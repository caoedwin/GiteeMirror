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10" windowWidth="10560" windowHeight="6980" activeTab="1"/>
  </bookViews>
  <sheets>
    <sheet name="Raw" sheetId="2" r:id="rId1"/>
    <sheet name="Main page" sheetId="3" r:id="rId2"/>
    <sheet name="Category" sheetId="6" r:id="rId3"/>
    <sheet name="Cal1" sheetId="4" r:id="rId4"/>
    <sheet name="Backup" sheetId="1" r:id="rId5"/>
  </sheets>
  <definedNames>
    <definedName name="_xlnm._FilterDatabase" localSheetId="4" hidden="1">Backup!$A$1:$ANK$1</definedName>
  </definedNames>
  <calcPr calcId="145621"/>
</workbook>
</file>

<file path=xl/calcChain.xml><?xml version="1.0" encoding="utf-8"?>
<calcChain xmlns="http://schemas.openxmlformats.org/spreadsheetml/2006/main">
  <c r="A7" i="3" l="1"/>
  <c r="AO2" i="1" l="1"/>
  <c r="AL2" i="1"/>
  <c r="AG2" i="1"/>
  <c r="AI2" i="1" s="1"/>
  <c r="Z2" i="1"/>
  <c r="AD2" i="1" s="1"/>
  <c r="L2" i="1"/>
  <c r="AM2" i="1" l="1"/>
  <c r="AP2" i="1" s="1"/>
</calcChain>
</file>

<file path=xl/comments1.xml><?xml version="1.0" encoding="utf-8"?>
<comments xmlns="http://schemas.openxmlformats.org/spreadsheetml/2006/main">
  <authors>
    <author>作者</author>
  </authors>
  <commentList>
    <comment ref="M1" authorId="0">
      <text>
        <r>
          <rPr>
            <b/>
            <sz val="11"/>
            <color indexed="81"/>
            <rFont val="標楷體"/>
            <family val="4"/>
            <charset val="136"/>
          </rPr>
          <t>作者:</t>
        </r>
        <r>
          <rPr>
            <sz val="11"/>
            <color indexed="81"/>
            <rFont val="標楷體"/>
            <family val="4"/>
            <charset val="136"/>
          </rPr>
          <t xml:space="preserve">
參考,無需編輯</t>
        </r>
      </text>
    </comment>
  </commentList>
</comments>
</file>

<file path=xl/sharedStrings.xml><?xml version="1.0" encoding="utf-8"?>
<sst xmlns="http://schemas.openxmlformats.org/spreadsheetml/2006/main" count="2371" uniqueCount="1259">
  <si>
    <t>Basic</t>
  </si>
  <si>
    <t>BFA001_01</t>
  </si>
  <si>
    <t>BIOS SETUP (NoteBook)</t>
  </si>
  <si>
    <t>3.1.5</t>
  </si>
  <si>
    <t>DQA</t>
  </si>
  <si>
    <t>P1</t>
  </si>
  <si>
    <t>C38(NB)</t>
  </si>
  <si>
    <t>Category</t>
    <phoneticPr fontId="18" type="noConversion"/>
  </si>
  <si>
    <t>ItemNo_d</t>
    <phoneticPr fontId="18" type="noConversion"/>
  </si>
  <si>
    <t>2018/12/21</t>
  </si>
  <si>
    <t>X</t>
    <phoneticPr fontId="3" type="noConversion"/>
  </si>
  <si>
    <t>V</t>
    <phoneticPr fontId="3" type="noConversion"/>
  </si>
  <si>
    <t>PhaseFVT</t>
    <phoneticPr fontId="3" type="noConversion"/>
  </si>
  <si>
    <t>Coverage</t>
    <phoneticPr fontId="3" type="noConversion"/>
  </si>
  <si>
    <t>UMA &amp; Discrete</t>
    <phoneticPr fontId="3" type="noConversion"/>
  </si>
  <si>
    <t>Chramshell</t>
    <phoneticPr fontId="3" type="noConversion"/>
  </si>
  <si>
    <t>SKU2</t>
  </si>
  <si>
    <t>V</t>
    <phoneticPr fontId="3" type="noConversion"/>
  </si>
  <si>
    <t>Item_d</t>
    <phoneticPr fontId="18" type="noConversion"/>
  </si>
  <si>
    <t>Category2</t>
    <phoneticPr fontId="18" type="noConversion"/>
  </si>
  <si>
    <t>Version</t>
    <phoneticPr fontId="18" type="noConversion"/>
  </si>
  <si>
    <t>ReleaseDate</t>
    <phoneticPr fontId="18" type="noConversion"/>
  </si>
  <si>
    <t>Owner</t>
    <phoneticPr fontId="18" type="noConversion"/>
  </si>
  <si>
    <t>Priority</t>
    <phoneticPr fontId="18" type="noConversion"/>
  </si>
  <si>
    <t>TDMSTotalTime</t>
    <phoneticPr fontId="18" type="noConversion"/>
  </si>
  <si>
    <t>BaseTime</t>
    <phoneticPr fontId="3" type="noConversion"/>
  </si>
  <si>
    <t>TDMSUnattendedTime</t>
    <phoneticPr fontId="18" type="noConversion"/>
  </si>
  <si>
    <t>BaseAotomationTime1SKU</t>
    <phoneticPr fontId="3" type="noConversion"/>
  </si>
  <si>
    <t>ConvertibaleNBMode</t>
    <phoneticPr fontId="3" type="noConversion"/>
  </si>
  <si>
    <t>ConvertibaleYogaPadMode</t>
    <phoneticPr fontId="3" type="noConversion"/>
  </si>
  <si>
    <t>DetachablePadMode</t>
    <phoneticPr fontId="3" type="noConversion"/>
  </si>
  <si>
    <t>DetachableWDockmode</t>
    <phoneticPr fontId="3" type="noConversion"/>
  </si>
  <si>
    <t>PhaseSIT</t>
    <phoneticPr fontId="18" type="noConversion"/>
  </si>
  <si>
    <t>PhaseFFRT</t>
    <phoneticPr fontId="3" type="noConversion"/>
  </si>
  <si>
    <t>FeatureSupport</t>
    <phoneticPr fontId="3" type="noConversion"/>
  </si>
  <si>
    <t>BaseTimeSupport</t>
    <phoneticPr fontId="3" type="noConversion"/>
  </si>
  <si>
    <t>TE</t>
    <phoneticPr fontId="3" type="noConversion"/>
  </si>
  <si>
    <t>Schedule</t>
    <phoneticPr fontId="3" type="noConversion"/>
  </si>
  <si>
    <t>ProjectTestSKUfollowMatrix</t>
    <phoneticPr fontId="3" type="noConversion"/>
  </si>
  <si>
    <t>TimewConfigFollowmatrix</t>
    <phoneticPr fontId="3" type="noConversion"/>
  </si>
  <si>
    <t>ConfigAutomationItem</t>
    <phoneticPr fontId="3" type="noConversion"/>
  </si>
  <si>
    <t>ConfigAutomationTime</t>
    <phoneticPr fontId="3" type="noConversion"/>
  </si>
  <si>
    <t>ConfigLeverageItem</t>
    <phoneticPr fontId="3" type="noConversion"/>
  </si>
  <si>
    <t>ConfigLeverageTime</t>
    <phoneticPr fontId="3" type="noConversion"/>
  </si>
  <si>
    <t>CommentsLeverage</t>
    <phoneticPr fontId="3" type="noConversion"/>
  </si>
  <si>
    <t>ConfigSmartItem</t>
    <phoneticPr fontId="3" type="noConversion"/>
  </si>
  <si>
    <t>ConfigSmartItemPer</t>
    <phoneticPr fontId="3" type="noConversion"/>
  </si>
  <si>
    <t>ConfigSmartTime</t>
    <phoneticPr fontId="3" type="noConversion"/>
  </si>
  <si>
    <t>CommentsSmart</t>
    <phoneticPr fontId="3" type="noConversion"/>
  </si>
  <si>
    <t>ProjectTestSKUOptimize</t>
    <phoneticPr fontId="3" type="noConversion"/>
  </si>
  <si>
    <t>AttendTimeOptimize</t>
    <phoneticPr fontId="3" type="noConversion"/>
  </si>
  <si>
    <t>SKU1</t>
    <phoneticPr fontId="2" type="noConversion"/>
  </si>
  <si>
    <t>SKU3</t>
    <phoneticPr fontId="2" type="noConversion"/>
  </si>
  <si>
    <t>SKU4</t>
    <phoneticPr fontId="2" type="noConversion"/>
  </si>
  <si>
    <t>SKU5</t>
    <phoneticPr fontId="2" type="noConversion"/>
  </si>
  <si>
    <t>SKU6</t>
    <phoneticPr fontId="2" type="noConversion"/>
  </si>
  <si>
    <t>SKU7</t>
    <phoneticPr fontId="2" type="noConversion"/>
  </si>
  <si>
    <t>SKU8</t>
    <phoneticPr fontId="2" type="noConversion"/>
  </si>
  <si>
    <t>SKU9</t>
    <phoneticPr fontId="2" type="noConversion"/>
  </si>
  <si>
    <t>SKU10</t>
    <phoneticPr fontId="2" type="noConversion"/>
  </si>
  <si>
    <t>SKU11</t>
    <phoneticPr fontId="2" type="noConversion"/>
  </si>
  <si>
    <t>SKU12</t>
    <phoneticPr fontId="2" type="noConversion"/>
  </si>
  <si>
    <t>SKU13</t>
    <phoneticPr fontId="2" type="noConversion"/>
  </si>
  <si>
    <t>SKU14</t>
    <phoneticPr fontId="2" type="noConversion"/>
  </si>
  <si>
    <t>SKU15</t>
    <phoneticPr fontId="2" type="noConversion"/>
  </si>
  <si>
    <t>SKU16</t>
    <phoneticPr fontId="2" type="noConversion"/>
  </si>
  <si>
    <t>SKU17</t>
    <phoneticPr fontId="2" type="noConversion"/>
  </si>
  <si>
    <t>SKU18</t>
    <phoneticPr fontId="2" type="noConversion"/>
  </si>
  <si>
    <t>SKU19</t>
    <phoneticPr fontId="2" type="noConversion"/>
  </si>
  <si>
    <t>SKU20</t>
    <phoneticPr fontId="2" type="noConversion"/>
  </si>
  <si>
    <t>ConfigRetestCycle</t>
    <phoneticPr fontId="3" type="noConversion"/>
  </si>
  <si>
    <t>ConfigRetestSKU</t>
    <phoneticPr fontId="3" type="noConversion"/>
  </si>
  <si>
    <t>ConfigRetestTime</t>
    <phoneticPr fontId="3" type="noConversion"/>
  </si>
  <si>
    <t>B(FVT)</t>
    <phoneticPr fontId="18" type="noConversion"/>
  </si>
  <si>
    <t>V</t>
    <phoneticPr fontId="3" type="noConversion"/>
  </si>
  <si>
    <t>X</t>
    <phoneticPr fontId="3" type="noConversion"/>
  </si>
  <si>
    <t>Y</t>
    <phoneticPr fontId="3" type="noConversion"/>
  </si>
  <si>
    <t>S</t>
    <phoneticPr fontId="2" type="noConversion"/>
  </si>
  <si>
    <t>L</t>
    <phoneticPr fontId="2" type="noConversion"/>
  </si>
  <si>
    <t>V</t>
    <phoneticPr fontId="2" type="noConversion"/>
  </si>
  <si>
    <t>TestItems</t>
    <phoneticPr fontId="18" type="noConversion"/>
  </si>
  <si>
    <t>Steps 1</t>
    <phoneticPr fontId="19" type="noConversion"/>
  </si>
  <si>
    <t>Steps 2</t>
  </si>
  <si>
    <t>Steps 3</t>
  </si>
  <si>
    <t>Steps 4</t>
  </si>
  <si>
    <t>如果出現Raw資料格式錯誤訊息, 請檢察行列是否有缺失, 或是改用最新版本模板</t>
    <phoneticPr fontId="19" type="noConversion"/>
  </si>
  <si>
    <t>將資料貼到Raw sheets</t>
    <phoneticPr fontId="19" type="noConversion"/>
  </si>
  <si>
    <t>整理與計算</t>
    <phoneticPr fontId="19" type="noConversion"/>
  </si>
  <si>
    <t>當下時間</t>
    <phoneticPr fontId="19" type="noConversion"/>
  </si>
  <si>
    <t>如果出現CAL1未清空的提示訊息, 請點下方按鈕</t>
    <phoneticPr fontId="19" type="noConversion"/>
  </si>
  <si>
    <t xml:space="preserve">注意: </t>
    <phoneticPr fontId="19" type="noConversion"/>
  </si>
  <si>
    <t>Case ID</t>
  </si>
  <si>
    <t>Case name</t>
  </si>
  <si>
    <t>BFA001_02</t>
  </si>
  <si>
    <t>BIOS SETUP (Pad)</t>
  </si>
  <si>
    <t>BFA001_03</t>
  </si>
  <si>
    <t>BIOS POST screen verification</t>
  </si>
  <si>
    <t>BFA001_04</t>
  </si>
  <si>
    <t>Flash BIOS conditions test</t>
  </si>
  <si>
    <t>BFA001_05</t>
  </si>
  <si>
    <t>BIOS SLIC table check (OA function)</t>
  </si>
  <si>
    <t>BFA001_07</t>
  </si>
  <si>
    <t>BIOS initialize time</t>
  </si>
  <si>
    <t>BFA001_12</t>
  </si>
  <si>
    <t>Windows UEFI Firmware Update(for MS MDA)</t>
  </si>
  <si>
    <t>BFA001_24</t>
  </si>
  <si>
    <t>BFA002_01</t>
  </si>
  <si>
    <t>Powermanagement System Setting check</t>
  </si>
  <si>
    <t>BFA002_02</t>
  </si>
  <si>
    <t>Powermanagement Manual Test</t>
  </si>
  <si>
    <t>BFA002_03</t>
  </si>
  <si>
    <t>Modern Standby for Notebook</t>
  </si>
  <si>
    <t>BFA002_04</t>
  </si>
  <si>
    <t>Modern Standby for PAD</t>
  </si>
  <si>
    <t>BFA003_01</t>
  </si>
  <si>
    <t>Charge Function Test (For Notebook)</t>
  </si>
  <si>
    <t>BFA003_03</t>
  </si>
  <si>
    <t>Battery ship mode test</t>
  </si>
  <si>
    <t>BFA003_05</t>
  </si>
  <si>
    <t>Charge function test (for PAD)</t>
  </si>
  <si>
    <t>BFA003_06</t>
  </si>
  <si>
    <t>BFA003_07</t>
  </si>
  <si>
    <t xml:space="preserve">BFA003_08 </t>
  </si>
  <si>
    <t>Dual battery test case for balance Charge/Discharge operation</t>
  </si>
  <si>
    <t>BFA003_09</t>
  </si>
  <si>
    <t>Battery Learning</t>
  </si>
  <si>
    <t>BFA004_01</t>
  </si>
  <si>
    <t>BFA004_02</t>
  </si>
  <si>
    <t>Performance</t>
  </si>
  <si>
    <t>BFA004_03</t>
  </si>
  <si>
    <t>USB-DC combo jack</t>
  </si>
  <si>
    <t>BFA011_04</t>
  </si>
  <si>
    <t>NOVO button test</t>
  </si>
  <si>
    <t>BFA012_04</t>
  </si>
  <si>
    <t>TPM</t>
  </si>
  <si>
    <t>BFA012_05</t>
  </si>
  <si>
    <t>TCM</t>
  </si>
  <si>
    <t>BFA012_09</t>
  </si>
  <si>
    <t>Intel Software Guard Extensions</t>
  </si>
  <si>
    <t>BFA012_10</t>
  </si>
  <si>
    <t>Intel online connect</t>
  </si>
  <si>
    <t>BFA014_01</t>
  </si>
  <si>
    <t>BFA014_02</t>
  </si>
  <si>
    <t>BFA014_03</t>
  </si>
  <si>
    <t xml:space="preserve">USB&amp;USB Type C devices compatibility test </t>
  </si>
  <si>
    <t>BFA015</t>
  </si>
  <si>
    <t>USB Type-C test</t>
  </si>
  <si>
    <t>BFA016</t>
  </si>
  <si>
    <t>Thunderbolt Test</t>
  </si>
  <si>
    <t xml:space="preserve">BFA018 </t>
  </si>
  <si>
    <t>IAA001</t>
  </si>
  <si>
    <t>IAA002</t>
  </si>
  <si>
    <t>Audio Recording test</t>
  </si>
  <si>
    <t>IAA006_01</t>
  </si>
  <si>
    <t>IAA006_02</t>
  </si>
  <si>
    <t>R200 3D camera</t>
  </si>
  <si>
    <t>IAA007_01</t>
  </si>
  <si>
    <t>Front Camera</t>
  </si>
  <si>
    <t>IAA007_02</t>
  </si>
  <si>
    <t>Rear Camera</t>
  </si>
  <si>
    <t>IAA007_03</t>
  </si>
  <si>
    <t>RGB-IR Camera</t>
  </si>
  <si>
    <t>IAA007_05</t>
  </si>
  <si>
    <t>IAA008</t>
  </si>
  <si>
    <t>IAA011</t>
  </si>
  <si>
    <t>IAA012_02</t>
  </si>
  <si>
    <t>IAA012_03</t>
  </si>
  <si>
    <t>IAA012_05</t>
  </si>
  <si>
    <t>IAA012_06</t>
  </si>
  <si>
    <t>IAA012_07</t>
  </si>
  <si>
    <t>IAA012_09</t>
  </si>
  <si>
    <t>IAA013_01</t>
  </si>
  <si>
    <t>Touch Panel Basic Function</t>
  </si>
  <si>
    <t>IAA013_02</t>
  </si>
  <si>
    <t>Touch Panel Advanced Function</t>
  </si>
  <si>
    <t>IAA014_01</t>
  </si>
  <si>
    <t>IAA014_02</t>
  </si>
  <si>
    <t>IAA015_01</t>
  </si>
  <si>
    <t>IAA015_02</t>
  </si>
  <si>
    <t>IAA015_03</t>
  </si>
  <si>
    <t>Keyboard Backlight Function Test</t>
  </si>
  <si>
    <t xml:space="preserve">IAA015_05 </t>
  </si>
  <si>
    <t>IAA016_01</t>
  </si>
  <si>
    <t>IAA016_02</t>
  </si>
  <si>
    <t>IAA017_01</t>
  </si>
  <si>
    <t>IAA017_03</t>
  </si>
  <si>
    <t>Fingerprint testcase for win7</t>
  </si>
  <si>
    <t>IAA017_04</t>
  </si>
  <si>
    <t>IAA018_01</t>
  </si>
  <si>
    <t>IAA018_02</t>
  </si>
  <si>
    <t>IAA019</t>
  </si>
  <si>
    <t>IAA020</t>
  </si>
  <si>
    <t>IAA021</t>
  </si>
  <si>
    <t>IAA022</t>
  </si>
  <si>
    <t>IAA023</t>
  </si>
  <si>
    <t>IAA024_03</t>
  </si>
  <si>
    <t>IAA024_05</t>
  </si>
  <si>
    <t>IAA024_06</t>
  </si>
  <si>
    <t>IAA024_07</t>
  </si>
  <si>
    <t>IAA024_08</t>
  </si>
  <si>
    <t>IAA025</t>
  </si>
  <si>
    <t>IAA027</t>
  </si>
  <si>
    <t>IAA028_02</t>
  </si>
  <si>
    <t>IAA029_01</t>
  </si>
  <si>
    <t>IAA029_02</t>
  </si>
  <si>
    <t>CTA001_02</t>
  </si>
  <si>
    <t>CTA002</t>
  </si>
  <si>
    <t>Airplane mode test case</t>
  </si>
  <si>
    <t>CTA003</t>
  </si>
  <si>
    <t>CTA004_02</t>
  </si>
  <si>
    <t>CTA005</t>
  </si>
  <si>
    <t>WIFI Security test case</t>
  </si>
  <si>
    <t>CTA008</t>
  </si>
  <si>
    <t>WWAN</t>
  </si>
  <si>
    <t>CTA010</t>
  </si>
  <si>
    <t>NIC test case</t>
  </si>
  <si>
    <t>CTA011</t>
  </si>
  <si>
    <t>NFC function test</t>
  </si>
  <si>
    <t>CTA013</t>
  </si>
  <si>
    <t>GPS basic function test case</t>
  </si>
  <si>
    <t>CTA020_02</t>
  </si>
  <si>
    <t>CTA025</t>
  </si>
  <si>
    <t>CTA027</t>
  </si>
  <si>
    <t>Phone impact UX test</t>
  </si>
  <si>
    <t>CTA028_02</t>
  </si>
  <si>
    <t>CTA031</t>
  </si>
  <si>
    <t>CTA033_02</t>
  </si>
  <si>
    <t>CTA033_03</t>
  </si>
  <si>
    <t>CTA033_04</t>
  </si>
  <si>
    <t>PSA001_02</t>
  </si>
  <si>
    <t>PSA001_03</t>
  </si>
  <si>
    <t>PSA001_04</t>
  </si>
  <si>
    <t>PSA001_10</t>
  </si>
  <si>
    <t>PSA002_02</t>
  </si>
  <si>
    <t>PSA002_06</t>
  </si>
  <si>
    <t>PSA003</t>
  </si>
  <si>
    <t>PSA004_02</t>
  </si>
  <si>
    <t>PSA004_03</t>
  </si>
  <si>
    <t>Monitor compatibility test</t>
  </si>
  <si>
    <t>PSA006</t>
  </si>
  <si>
    <t>PSA008</t>
  </si>
  <si>
    <t>PSA011</t>
  </si>
  <si>
    <t>PSA019_02</t>
  </si>
  <si>
    <t>PSA021_02</t>
  </si>
  <si>
    <t>PSA026</t>
  </si>
  <si>
    <t>PSA028</t>
  </si>
  <si>
    <t>PSA030</t>
  </si>
  <si>
    <t>Memory Function test</t>
  </si>
  <si>
    <t>PSA031</t>
  </si>
  <si>
    <t>PSA033</t>
  </si>
  <si>
    <t>PSA035</t>
  </si>
  <si>
    <t>PSA036</t>
  </si>
  <si>
    <t>PFA000</t>
  </si>
  <si>
    <t>Performance Test Report Template</t>
  </si>
  <si>
    <t xml:space="preserve">PFA001_01 </t>
  </si>
  <si>
    <t>WinSAT</t>
  </si>
  <si>
    <t>PCMark8</t>
  </si>
  <si>
    <t>PCMark10</t>
  </si>
  <si>
    <t>PFA002_02</t>
  </si>
  <si>
    <t>PFA003_01</t>
  </si>
  <si>
    <t>CrystalDiskMark</t>
  </si>
  <si>
    <t>PFA004</t>
  </si>
  <si>
    <t>PFA004_03</t>
  </si>
  <si>
    <t xml:space="preserve">PFA004_04 </t>
  </si>
  <si>
    <t>PFA005_02</t>
  </si>
  <si>
    <t>HD movie play back (1080p)</t>
  </si>
  <si>
    <t>PFA005_10</t>
  </si>
  <si>
    <t>Battery leackage testcase</t>
  </si>
  <si>
    <t>PFA005_12</t>
  </si>
  <si>
    <t>Modern Standby_battery life</t>
  </si>
  <si>
    <t>PFA005_15</t>
  </si>
  <si>
    <t>PFA005_16</t>
  </si>
  <si>
    <t>PFA013_01</t>
  </si>
  <si>
    <t>PFA013_02</t>
  </si>
  <si>
    <t>ITS4.0 Performance-Game only</t>
  </si>
  <si>
    <t>STA001</t>
  </si>
  <si>
    <t>Stress - coldboot test</t>
  </si>
  <si>
    <t>STA002</t>
  </si>
  <si>
    <t>Stress - S3 Cycle</t>
  </si>
  <si>
    <t>STA003</t>
  </si>
  <si>
    <t>Stress - S4 Cycle test</t>
  </si>
  <si>
    <t>STA004</t>
  </si>
  <si>
    <t>Stress - Warmboot test</t>
  </si>
  <si>
    <t>STA014_01</t>
  </si>
  <si>
    <t>Stress - BurnIn for PAD</t>
  </si>
  <si>
    <t>STA014_02</t>
  </si>
  <si>
    <t>Stress - BurnIn for Notebook</t>
  </si>
  <si>
    <t>STA017</t>
  </si>
  <si>
    <t>STA019</t>
  </si>
  <si>
    <t>Stress - PSR stress</t>
  </si>
  <si>
    <t>STA021_01</t>
  </si>
  <si>
    <t>Stress - Touch panel stress for PAD</t>
  </si>
  <si>
    <t>STA021_02</t>
  </si>
  <si>
    <t>Stress - Touchpanel stress for Notebook</t>
  </si>
  <si>
    <t>STA021_03</t>
  </si>
  <si>
    <t>Stress - Active pen stress</t>
  </si>
  <si>
    <t>STA022</t>
  </si>
  <si>
    <t>STA024</t>
  </si>
  <si>
    <t>Stress-3D Mark11</t>
  </si>
  <si>
    <t>STA027</t>
  </si>
  <si>
    <t>Stress-Idle stress</t>
  </si>
  <si>
    <t>STA032</t>
  </si>
  <si>
    <t xml:space="preserve">STA_000 </t>
  </si>
  <si>
    <t xml:space="preserve">Stress Test Report Template </t>
  </si>
  <si>
    <t>Vantage3.x_Gaming</t>
  </si>
  <si>
    <t>CBD001_01</t>
  </si>
  <si>
    <t>CBD001_02</t>
  </si>
  <si>
    <t>CBD001_03</t>
  </si>
  <si>
    <t>CBD001_04</t>
  </si>
  <si>
    <t>CBD001_05</t>
  </si>
  <si>
    <t>CBD001_06</t>
  </si>
  <si>
    <t>CBD001_07</t>
  </si>
  <si>
    <t>TBT Gfx Dock(Draft)</t>
  </si>
  <si>
    <t xml:space="preserve">TGD001-01 </t>
  </si>
  <si>
    <t>TGD001-02</t>
  </si>
  <si>
    <t>TGD001-03</t>
  </si>
  <si>
    <t>TGD001-04</t>
  </si>
  <si>
    <t>TGD001-06</t>
  </si>
  <si>
    <t>LAN port function for TBT GFX dock</t>
  </si>
  <si>
    <t>TGD001-07</t>
  </si>
  <si>
    <t>TBT GFX Dock Audio port test</t>
  </si>
  <si>
    <t>TGD001-09</t>
  </si>
  <si>
    <t xml:space="preserve">Performance test for TBT GFX dock </t>
  </si>
  <si>
    <t>TGD001-10</t>
  </si>
  <si>
    <t>TGD001-11</t>
  </si>
  <si>
    <t>TGD001-13</t>
  </si>
  <si>
    <t>TGD001-14</t>
  </si>
  <si>
    <t>TGD001-05</t>
  </si>
  <si>
    <t>TGD001-08</t>
  </si>
  <si>
    <t>UCD001_01</t>
  </si>
  <si>
    <t>UCD001_03</t>
  </si>
  <si>
    <t>UCD001_04</t>
  </si>
  <si>
    <t>UCD001_05</t>
  </si>
  <si>
    <t>UCD001_06</t>
  </si>
  <si>
    <t>UCD001_08</t>
  </si>
  <si>
    <t>UCD001_09</t>
  </si>
  <si>
    <t>UCD001_10</t>
  </si>
  <si>
    <t>UCD001_11</t>
  </si>
  <si>
    <t>TBD001_01</t>
  </si>
  <si>
    <t>TBD001_03</t>
  </si>
  <si>
    <t>TBD001_04</t>
  </si>
  <si>
    <t>TBD001_05</t>
  </si>
  <si>
    <t>TBD001_06</t>
  </si>
  <si>
    <t>TBD001_08</t>
  </si>
  <si>
    <t>TBD001_09</t>
  </si>
  <si>
    <t>TBD001_10</t>
  </si>
  <si>
    <t>HBD001_02</t>
  </si>
  <si>
    <t>HBD001_03</t>
  </si>
  <si>
    <t>HBD001_04</t>
  </si>
  <si>
    <t>HBD001_05</t>
  </si>
  <si>
    <t>HBD001_07</t>
  </si>
  <si>
    <t>HBD001_08</t>
  </si>
  <si>
    <t>HBD001_10</t>
  </si>
  <si>
    <t>UTH001_02</t>
  </si>
  <si>
    <t>UTH001_03</t>
  </si>
  <si>
    <t>UTH001_04</t>
  </si>
  <si>
    <t>UTH001_05</t>
  </si>
  <si>
    <t>UTH001_06</t>
  </si>
  <si>
    <t>UTH001_07</t>
  </si>
  <si>
    <t>UTH001_08</t>
  </si>
  <si>
    <t>UTH001_09</t>
  </si>
  <si>
    <t>[Compal]</t>
  </si>
  <si>
    <t>Fan Table test</t>
  </si>
  <si>
    <t>OS Password</t>
  </si>
  <si>
    <t>USB port protection</t>
  </si>
  <si>
    <t>Dual battery test case for power bridge operation</t>
  </si>
  <si>
    <t>Adapter Power Detection</t>
  </si>
  <si>
    <t>Hybrid power boost</t>
  </si>
  <si>
    <t>Audio playback</t>
  </si>
  <si>
    <t>F200 3D camera test</t>
  </si>
  <si>
    <t>Wake on voice</t>
  </si>
  <si>
    <t>Touchpad&amp;Clickpad Basic Function</t>
  </si>
  <si>
    <t>Touchpad&amp;Clickpad Advanced Function</t>
  </si>
  <si>
    <t>PTP Advanced Function</t>
  </si>
  <si>
    <t>PTP FW Windows Update test</t>
  </si>
  <si>
    <t>Active Pen</t>
  </si>
  <si>
    <t>Lenovo Pen Settings UI Check</t>
  </si>
  <si>
    <t>Keyboard Function</t>
  </si>
  <si>
    <t>Keyboard hot key</t>
  </si>
  <si>
    <t>Hot buttons UI Check</t>
  </si>
  <si>
    <t>LEDs Check</t>
  </si>
  <si>
    <t>Fingerprint testcase for win10</t>
  </si>
  <si>
    <t>FingerPrinter One-step login</t>
  </si>
  <si>
    <t>ALS sensor testcase(For old spec)</t>
  </si>
  <si>
    <t>Sensor Motion testcase</t>
  </si>
  <si>
    <t>Detect Angle by lid and G-sensor testcase for flex(300 degree)</t>
  </si>
  <si>
    <t>Continuum for win10</t>
  </si>
  <si>
    <t>P-Sensor Function Test</t>
  </si>
  <si>
    <t>Bluetooth FFRT</t>
  </si>
  <si>
    <t>USB LAN test case</t>
  </si>
  <si>
    <t>WIFI FFRT</t>
  </si>
  <si>
    <t>Miracast FFRT</t>
  </si>
  <si>
    <t>PC Project Function FFRT</t>
  </si>
  <si>
    <t>CTA032</t>
  </si>
  <si>
    <t>CTA033_05</t>
  </si>
  <si>
    <t>Intel CPU FFRT test case</t>
  </si>
  <si>
    <t>Intel DPTF testcase for Dynamic PL1</t>
  </si>
  <si>
    <t>Lenovo Over Clock</t>
  </si>
  <si>
    <t>AMD CPU FFRT test</t>
  </si>
  <si>
    <t>Graphics basic function</t>
  </si>
  <si>
    <t>Video display mode change for FFRT</t>
  </si>
  <si>
    <t>Decode Transcode</t>
  </si>
  <si>
    <t>Stereoscopic 3D</t>
  </si>
  <si>
    <t>Display power saving technology</t>
  </si>
  <si>
    <t>FFRT-Hybrid graphic test for NVIDIA</t>
  </si>
  <si>
    <t>FFRT-Hybrid graphic test for AMD</t>
  </si>
  <si>
    <t>G-SYNC Test</t>
  </si>
  <si>
    <t>Media card testcase</t>
  </si>
  <si>
    <t>ODD function test</t>
  </si>
  <si>
    <t>UFS_EMMC test</t>
  </si>
  <si>
    <t>Storage Raid0 function test</t>
  </si>
  <si>
    <t>Intel Optane test</t>
  </si>
  <si>
    <t>APS test</t>
  </si>
  <si>
    <t>PFA001_03</t>
  </si>
  <si>
    <t>PFA001_10</t>
  </si>
  <si>
    <t>PFA002_01</t>
  </si>
  <si>
    <t>3DMark</t>
  </si>
  <si>
    <t>Lenovo WER Performance</t>
  </si>
  <si>
    <t>JS Performance test case</t>
  </si>
  <si>
    <t>Performance test for Signature V2 image</t>
  </si>
  <si>
    <t>ITS3.0 Performance-Remove Game</t>
  </si>
  <si>
    <t>ITS4.0 Performance-Remove Game</t>
  </si>
  <si>
    <t>ITS3.0 Performance-Game only</t>
  </si>
  <si>
    <t>For E-ink manual stress</t>
  </si>
  <si>
    <t>LAN function for cable Dock</t>
  </si>
  <si>
    <t>Video function for cable dock</t>
  </si>
  <si>
    <t>Power Management with cable dock</t>
  </si>
  <si>
    <t>Compatibility test for cable dock</t>
  </si>
  <si>
    <t>USB function test for cable dock</t>
  </si>
  <si>
    <t>PXE boot for usb dock</t>
  </si>
  <si>
    <t>Cable dock stress testcase</t>
  </si>
  <si>
    <t xml:space="preserve">Basic function for TBT GFX Dock </t>
  </si>
  <si>
    <t>Post screen for TBT GFX Dock</t>
  </si>
  <si>
    <t>PXE BOOT for TBT dock</t>
  </si>
  <si>
    <t>USB function test for TBT GFX dock</t>
  </si>
  <si>
    <t>Compatibility test for TBT GFX dock</t>
  </si>
  <si>
    <t>Lenovo TBT Dock Stress</t>
  </si>
  <si>
    <t>TGD001-12</t>
  </si>
  <si>
    <t>Game test for TBT GFX dock</t>
  </si>
  <si>
    <t>MR test for TBT GFX dock</t>
  </si>
  <si>
    <t>VR Library for TBT GFX dock</t>
  </si>
  <si>
    <t xml:space="preserve">Power Management with TBT GFX dock </t>
  </si>
  <si>
    <t>TBT Dock GFX basic function</t>
  </si>
  <si>
    <t>USB function test for USB-C dock</t>
  </si>
  <si>
    <t>Power Management with USB-C dock</t>
  </si>
  <si>
    <t>Symbol error test for USB-C Dock</t>
  </si>
  <si>
    <t>Power Management with TBT dock</t>
  </si>
  <si>
    <t>FCB001_02</t>
  </si>
  <si>
    <t>FCB001_03</t>
  </si>
  <si>
    <t>FCB001_04</t>
  </si>
  <si>
    <t>FCB001_06</t>
  </si>
  <si>
    <t>Category#2</t>
  </si>
  <si>
    <t>BFA001_06</t>
  </si>
  <si>
    <t>SMBIOS structure</t>
  </si>
  <si>
    <t>BFA001_08</t>
  </si>
  <si>
    <t>BIOS Setup help message</t>
  </si>
  <si>
    <t>BFA001_09</t>
  </si>
  <si>
    <t>RTC test</t>
  </si>
  <si>
    <t>BFA001_11</t>
  </si>
  <si>
    <t>BIOS web release</t>
  </si>
  <si>
    <t>BFA001_13</t>
  </si>
  <si>
    <t>BIOS tool Package for Service</t>
  </si>
  <si>
    <t>BFA001_14</t>
  </si>
  <si>
    <t>BFA001_15</t>
  </si>
  <si>
    <t>PXE Boot</t>
  </si>
  <si>
    <t>BFA001_16</t>
  </si>
  <si>
    <t>Computrace test</t>
  </si>
  <si>
    <t>BFA001_17</t>
  </si>
  <si>
    <t>One key battery function test</t>
  </si>
  <si>
    <t>BFA001_18</t>
  </si>
  <si>
    <t>BIOS Wipe storage device test</t>
  </si>
  <si>
    <t>BFA001_20</t>
  </si>
  <si>
    <t>Lenovo BIOS POST Logo DIY</t>
  </si>
  <si>
    <t>BFA003_02</t>
  </si>
  <si>
    <t>Battery Authentication Test</t>
  </si>
  <si>
    <t>BFA003_04</t>
  </si>
  <si>
    <t>Battery FW Update</t>
  </si>
  <si>
    <t>BFA012_02</t>
  </si>
  <si>
    <t>Intel AT-configure</t>
  </si>
  <si>
    <t>BFA012_03</t>
  </si>
  <si>
    <t>Intel AT-compliance</t>
  </si>
  <si>
    <t>BFA012_11</t>
  </si>
  <si>
    <t>Lenovo Notebook BIOS Security Test</t>
  </si>
  <si>
    <t xml:space="preserve">BFA013_01 </t>
  </si>
  <si>
    <t>System Quick Functional Verification</t>
  </si>
  <si>
    <t xml:space="preserve">BFA013_02 </t>
  </si>
  <si>
    <t>BIOS and EC Full Function Testcase (for ECR )</t>
  </si>
  <si>
    <t>BFA017</t>
  </si>
  <si>
    <t>Input&amp;Output devices compatibility test</t>
  </si>
  <si>
    <t>IAA003</t>
  </si>
  <si>
    <t>Audio-Utility test -Realtek</t>
  </si>
  <si>
    <t>IAA003_1</t>
  </si>
  <si>
    <t>Realtek Audio Console test</t>
  </si>
  <si>
    <t>IAA004</t>
  </si>
  <si>
    <t>SmartAudio test (Conexant/Synaptics audio UI)</t>
  </si>
  <si>
    <t>IAA005</t>
  </si>
  <si>
    <t>Audio-Utility test - IDT</t>
  </si>
  <si>
    <t>Camear background blur</t>
  </si>
  <si>
    <t>IAA012_04</t>
  </si>
  <si>
    <t>Touchpad Noise and Compatibility</t>
  </si>
  <si>
    <t>IAA012_08</t>
  </si>
  <si>
    <t>PTP Noise and Compatibility</t>
  </si>
  <si>
    <t>IAA013_03</t>
  </si>
  <si>
    <t>Touch panel Compatibility and Noise test</t>
  </si>
  <si>
    <t>IAA024_01</t>
  </si>
  <si>
    <t xml:space="preserve">Dolby Audio test (For DCH) </t>
  </si>
  <si>
    <t>IAA024_02</t>
  </si>
  <si>
    <t>IAA024_04</t>
  </si>
  <si>
    <t>Dolby UI test(For Win7)</t>
  </si>
  <si>
    <t>CTA001_01</t>
  </si>
  <si>
    <t>Bluetooth function test</t>
  </si>
  <si>
    <t>CTA004_01</t>
  </si>
  <si>
    <t>WIFI basic function</t>
  </si>
  <si>
    <t>CTA006</t>
  </si>
  <si>
    <t>WIFI Throughput test case</t>
  </si>
  <si>
    <t>CTA014</t>
  </si>
  <si>
    <t>LSPT test case</t>
  </si>
  <si>
    <t>CTA015</t>
  </si>
  <si>
    <t>BT performance test case</t>
  </si>
  <si>
    <t>CTA017</t>
  </si>
  <si>
    <t>CPT for BT</t>
  </si>
  <si>
    <t>CTA018</t>
  </si>
  <si>
    <t>CPT for WIFI</t>
  </si>
  <si>
    <t>CTA020_01</t>
  </si>
  <si>
    <t>Miracast test case</t>
  </si>
  <si>
    <t>CTA021</t>
  </si>
  <si>
    <t>WWAN field test case</t>
  </si>
  <si>
    <t>CTA026</t>
  </si>
  <si>
    <t>WWAN field test for IoT card</t>
  </si>
  <si>
    <t>CTA028_01</t>
  </si>
  <si>
    <t>PC Project Function test case</t>
  </si>
  <si>
    <t>CTA029</t>
  </si>
  <si>
    <t>MU-MIMO test case</t>
  </si>
  <si>
    <t>CTA030</t>
  </si>
  <si>
    <t>PSA001_12</t>
  </si>
  <si>
    <t>PSA001_13</t>
  </si>
  <si>
    <t>PSA002_01</t>
  </si>
  <si>
    <t>AMD CPU test</t>
  </si>
  <si>
    <t>PSA002_03</t>
  </si>
  <si>
    <t>AMD DPTC basic function test</t>
  </si>
  <si>
    <t>PSA004_01</t>
  </si>
  <si>
    <t>Video Display Mode Change</t>
  </si>
  <si>
    <t>PSA004_04</t>
  </si>
  <si>
    <t>PSA005</t>
  </si>
  <si>
    <t>Video Power Management</t>
  </si>
  <si>
    <t>PSA010</t>
  </si>
  <si>
    <t>PSA013_02</t>
  </si>
  <si>
    <t>Intel Graphic Control Panel For CUI9.0</t>
  </si>
  <si>
    <t>PSA013_03</t>
  </si>
  <si>
    <t>PSA018</t>
  </si>
  <si>
    <t>NVIDIA Control Panel</t>
  </si>
  <si>
    <t>PSA019_01</t>
  </si>
  <si>
    <t>Hybrid graphic test for NVIDIA</t>
  </si>
  <si>
    <t>PSA021_01</t>
  </si>
  <si>
    <t>Hybrid graphic test for AMD</t>
  </si>
  <si>
    <t>PSA024</t>
  </si>
  <si>
    <t>AMD Radeon Setting</t>
  </si>
  <si>
    <t>PSA027</t>
  </si>
  <si>
    <t>GFE Test</t>
  </si>
  <si>
    <t>PFA001_05</t>
  </si>
  <si>
    <t>SYSMark2014</t>
  </si>
  <si>
    <t xml:space="preserve">PFA001_06 </t>
  </si>
  <si>
    <t>PFA001_08</t>
  </si>
  <si>
    <t>7-ZIP</t>
  </si>
  <si>
    <t>PFA001_09</t>
  </si>
  <si>
    <t>Sysmark2014 SE</t>
  </si>
  <si>
    <t>PFA001_11</t>
  </si>
  <si>
    <t>GeekBench4</t>
  </si>
  <si>
    <t>PFA001_12</t>
  </si>
  <si>
    <t>PFA001_12_Auto_02</t>
  </si>
  <si>
    <t>PFA001_12_Auto_03</t>
  </si>
  <si>
    <t>PFA002_02_Auto_02</t>
  </si>
  <si>
    <t>PFA002_02_Auto_03</t>
  </si>
  <si>
    <t>PFA002_02_Auto_04</t>
  </si>
  <si>
    <t>PFA002_02_Auto_05</t>
  </si>
  <si>
    <t>PFA002_02_Auto_06</t>
  </si>
  <si>
    <t>PFA002_02_Auto_07</t>
  </si>
  <si>
    <t>PFA002_02_Auto_08</t>
  </si>
  <si>
    <t>PFA002_02_Auto_09</t>
  </si>
  <si>
    <t>PFA002_02_Auto_10</t>
  </si>
  <si>
    <t>PFA002_02_Auto_11</t>
  </si>
  <si>
    <t>PFA002_03</t>
  </si>
  <si>
    <t>Heaven Benchmark</t>
  </si>
  <si>
    <t>PFA003_02</t>
  </si>
  <si>
    <t>PCmark Vantage</t>
  </si>
  <si>
    <t>PFA003_03</t>
  </si>
  <si>
    <t>PFA004_02</t>
  </si>
  <si>
    <t>WER performance test for WIMBOOT (WimBoot)</t>
  </si>
  <si>
    <t>PFA005_01</t>
  </si>
  <si>
    <t>Idle</t>
  </si>
  <si>
    <t>PFA005_05</t>
  </si>
  <si>
    <t>MobileMark2014</t>
  </si>
  <si>
    <t>PFA005_06</t>
  </si>
  <si>
    <t>Web browse battery life</t>
  </si>
  <si>
    <t>PFA005_07</t>
  </si>
  <si>
    <t>Online_video_playback_WLAN</t>
  </si>
  <si>
    <t>PFA005_08</t>
  </si>
  <si>
    <t>Online_video_through_WWAN</t>
  </si>
  <si>
    <t>PFA005_09</t>
  </si>
  <si>
    <t>Jeita2.0</t>
  </si>
  <si>
    <t xml:space="preserve">PFA005_11 </t>
  </si>
  <si>
    <r>
      <t>HD movie play back (1080p)35</t>
    </r>
    <r>
      <rPr>
        <sz val="10"/>
        <rFont val="Verdana"/>
        <family val="2"/>
        <charset val="134"/>
      </rPr>
      <t>℃</t>
    </r>
  </si>
  <si>
    <t>PFA007_01</t>
  </si>
  <si>
    <t>PFA010_01</t>
  </si>
  <si>
    <t>VR test</t>
  </si>
  <si>
    <t>PFA011_02</t>
  </si>
  <si>
    <t>MR Test Case</t>
  </si>
  <si>
    <t>STA007</t>
  </si>
  <si>
    <t>Stress - MP3+Copy&amp;Compare test</t>
  </si>
  <si>
    <t>STA008</t>
  </si>
  <si>
    <t>Stress - Media Play test</t>
  </si>
  <si>
    <t>STA009</t>
  </si>
  <si>
    <t>Stress - 3D Screen saver (For Touchpanel SKU)</t>
  </si>
  <si>
    <t>STA009_01</t>
  </si>
  <si>
    <t>Stress - 3D Screen saver test</t>
  </si>
  <si>
    <t>STA010</t>
  </si>
  <si>
    <t>Stress - Wifi stress</t>
  </si>
  <si>
    <t>STA011</t>
  </si>
  <si>
    <t>STA013</t>
  </si>
  <si>
    <t>Stress - BIOS flash test</t>
  </si>
  <si>
    <t>STA016</t>
  </si>
  <si>
    <t>Stress - Memory Stress test under UEFI mode</t>
  </si>
  <si>
    <t>STA018</t>
  </si>
  <si>
    <t>Stress - Charge Loading Cycle</t>
  </si>
  <si>
    <t>STA020</t>
  </si>
  <si>
    <t>Stress - 3DMark</t>
  </si>
  <si>
    <t>STA025</t>
  </si>
  <si>
    <t>STA030</t>
  </si>
  <si>
    <t>APP Stress</t>
  </si>
  <si>
    <t>APA000</t>
  </si>
  <si>
    <t>APP testcase Matirx</t>
  </si>
  <si>
    <t>APA001</t>
  </si>
  <si>
    <t>LSC 3.0</t>
  </si>
  <si>
    <t>APA002</t>
  </si>
  <si>
    <t>Photo Master 2.0</t>
  </si>
  <si>
    <t>APA003</t>
  </si>
  <si>
    <t>Motion Control 2.0</t>
  </si>
  <si>
    <t>APA004</t>
  </si>
  <si>
    <t>Metrics(LEI)</t>
  </si>
  <si>
    <t>APA005</t>
  </si>
  <si>
    <t>Smart Fingerprint</t>
  </si>
  <si>
    <t>APA006</t>
  </si>
  <si>
    <t>Garantia Estendida[Only for BAZ( Brazil) language OS]</t>
  </si>
  <si>
    <t>APA007</t>
  </si>
  <si>
    <t>Stagelight</t>
  </si>
  <si>
    <t>APA008</t>
  </si>
  <si>
    <t>Default Second HomePage for US</t>
  </si>
  <si>
    <t>APA009</t>
  </si>
  <si>
    <t>Lenovo Business Vantage 3.0</t>
  </si>
  <si>
    <t>APA010</t>
  </si>
  <si>
    <t>BT locker</t>
  </si>
  <si>
    <t>APA011</t>
  </si>
  <si>
    <t>Demo</t>
  </si>
  <si>
    <t>APA012</t>
  </si>
  <si>
    <t>Absolute Reminder</t>
  </si>
  <si>
    <t>APA013</t>
  </si>
  <si>
    <t>CCSDK2.0</t>
  </si>
  <si>
    <t>APA014</t>
  </si>
  <si>
    <t>Reachit</t>
  </si>
  <si>
    <t>APA015</t>
  </si>
  <si>
    <t>Harmony 2.0 for Yoga/Flex</t>
  </si>
  <si>
    <t>APA016</t>
  </si>
  <si>
    <t>Win10-OOBE</t>
  </si>
  <si>
    <t>APA016_02</t>
  </si>
  <si>
    <t>Win10-OOBE-Signature</t>
  </si>
  <si>
    <t>APA017</t>
  </si>
  <si>
    <t>LenovoID</t>
  </si>
  <si>
    <t>APA018</t>
  </si>
  <si>
    <t>YMC2.0</t>
  </si>
  <si>
    <t>APA019</t>
  </si>
  <si>
    <t>Lenovo Settings3.0</t>
  </si>
  <si>
    <t>APA020</t>
  </si>
  <si>
    <t>Paper Display Hotkey Installer</t>
  </si>
  <si>
    <t>APA021</t>
  </si>
  <si>
    <t>MyTimeLine[Only for JP( Japan) language OS]</t>
  </si>
  <si>
    <t>APA022</t>
  </si>
  <si>
    <r>
      <rPr>
        <sz val="10"/>
        <rFont val="SimSun"/>
        <family val="3"/>
        <charset val="134"/>
      </rPr>
      <t>聯程芯鎖可信服務系統</t>
    </r>
  </si>
  <si>
    <t>APA023</t>
  </si>
  <si>
    <t>Shareit</t>
  </si>
  <si>
    <t>APA024</t>
  </si>
  <si>
    <t>EPOS</t>
  </si>
  <si>
    <t>APA026</t>
  </si>
  <si>
    <t>Japan icons and Bookmarks[Only for JP( Japan) language OS]</t>
  </si>
  <si>
    <t>APA027</t>
  </si>
  <si>
    <t>Prism(lenovo companion)</t>
  </si>
  <si>
    <t>APA028</t>
  </si>
  <si>
    <t>OKR</t>
  </si>
  <si>
    <t>APA029</t>
  </si>
  <si>
    <t>USB Blocker2.0</t>
  </si>
  <si>
    <t>APA030</t>
  </si>
  <si>
    <t>User Guide4.0</t>
  </si>
  <si>
    <t>APA031</t>
  </si>
  <si>
    <t>3D Camera OOBE</t>
  </si>
  <si>
    <t>APA032</t>
  </si>
  <si>
    <t>Utiltiy</t>
  </si>
  <si>
    <t>APA033</t>
  </si>
  <si>
    <t>Photo services[Only for DE( German) language OS]</t>
  </si>
  <si>
    <t>APA034</t>
  </si>
  <si>
    <t>McAfee LiveSafe14.0</t>
  </si>
  <si>
    <t>APA035</t>
  </si>
  <si>
    <t>Power 2 Go</t>
  </si>
  <si>
    <t>APA037</t>
  </si>
  <si>
    <t>Active Protection System(APS)</t>
  </si>
  <si>
    <t>APA038</t>
  </si>
  <si>
    <t>Oneplay</t>
  </si>
  <si>
    <t>APA039</t>
  </si>
  <si>
    <t>PowerDVD</t>
  </si>
  <si>
    <t>APA040</t>
  </si>
  <si>
    <t>Office Universal Apps[Only for JP( Japan) language OS]</t>
  </si>
  <si>
    <t>APA042</t>
  </si>
  <si>
    <t>Harmony2.0 for Miix</t>
  </si>
  <si>
    <t>APA044</t>
  </si>
  <si>
    <t>LSC 2.0</t>
  </si>
  <si>
    <t>APA046</t>
  </si>
  <si>
    <t>DAD-Lenovo APP Explorer</t>
  </si>
  <si>
    <t>APA046_02</t>
  </si>
  <si>
    <t>DAD-Lenovo App Explorer for Signature OS</t>
  </si>
  <si>
    <t>APA046_03</t>
  </si>
  <si>
    <t>DAD-Lenovo App Explorer for Feature PC</t>
  </si>
  <si>
    <t>APA047</t>
  </si>
  <si>
    <t>Nascar'15 Demo</t>
  </si>
  <si>
    <t>APA048</t>
  </si>
  <si>
    <t>Yandex Browser[Only for RUS(Russia) language OS]</t>
  </si>
  <si>
    <t>APA049</t>
  </si>
  <si>
    <t>Intel Showcase Link Test case</t>
  </si>
  <si>
    <t>APA051</t>
  </si>
  <si>
    <t>Minipay Test case</t>
  </si>
  <si>
    <t>APA052</t>
  </si>
  <si>
    <t>Lenovo Certified Calendar</t>
  </si>
  <si>
    <t>APA053</t>
  </si>
  <si>
    <t>Lenovo Application store</t>
  </si>
  <si>
    <t>APA054</t>
  </si>
  <si>
    <t>Lenovo  Cloud</t>
  </si>
  <si>
    <t>APA055</t>
  </si>
  <si>
    <t>Dropbox 25GB[Only for JP( Japan) language OS]</t>
  </si>
  <si>
    <t>APA057</t>
  </si>
  <si>
    <t>Tencent PC Manager</t>
  </si>
  <si>
    <t>APA058_01</t>
  </si>
  <si>
    <t>Office2016 without AFO</t>
  </si>
  <si>
    <t>APA058_02</t>
  </si>
  <si>
    <t>Office2016AFO</t>
  </si>
  <si>
    <t>APA058_03</t>
  </si>
  <si>
    <t>Office2016 Japanese[Only for JP( Japan) language OS]</t>
  </si>
  <si>
    <t>APA058_04</t>
  </si>
  <si>
    <t>Office2016 Japanese Premium[Only for JP( Japan) language OS]</t>
  </si>
  <si>
    <t>APA059</t>
  </si>
  <si>
    <t>Writeit2.0</t>
  </si>
  <si>
    <t>APA060</t>
  </si>
  <si>
    <t>Lenovo Always Online</t>
  </si>
  <si>
    <t>APA061</t>
  </si>
  <si>
    <t>Y900 Traning Manual</t>
  </si>
  <si>
    <t>APA062</t>
  </si>
  <si>
    <t>Onekey Migration</t>
  </si>
  <si>
    <t>APA063</t>
  </si>
  <si>
    <r>
      <rPr>
        <sz val="10"/>
        <rFont val="標楷體"/>
        <family val="4"/>
        <charset val="136"/>
      </rPr>
      <t>數據粉碎</t>
    </r>
    <r>
      <rPr>
        <sz val="10"/>
        <rFont val="Calibri"/>
        <family val="2"/>
      </rPr>
      <t xml:space="preserve"> TestcaseV1.2_For ODM_20160522 </t>
    </r>
  </si>
  <si>
    <t>APA064</t>
  </si>
  <si>
    <t>Gaming Zone(nerve center)</t>
  </si>
  <si>
    <t>APA065_02</t>
  </si>
  <si>
    <t>PC manager_Utility</t>
  </si>
  <si>
    <t>APA065_03</t>
  </si>
  <si>
    <t>PC manager_EM Driver with YMC</t>
  </si>
  <si>
    <t>APA065_04</t>
  </si>
  <si>
    <t>PC manager_ITS2.0</t>
  </si>
  <si>
    <t>APA065_05</t>
  </si>
  <si>
    <t>PC Manager_SMB with LBV</t>
  </si>
  <si>
    <t>APA065_06</t>
  </si>
  <si>
    <t>PC Manager_SMB with APS</t>
  </si>
  <si>
    <t>APA065_07</t>
  </si>
  <si>
    <t>APA065_08</t>
  </si>
  <si>
    <t>APA065_12</t>
  </si>
  <si>
    <t>APA065_13</t>
  </si>
  <si>
    <t>APA066</t>
  </si>
  <si>
    <t>APA067</t>
  </si>
  <si>
    <t>Unionpay FP Payment</t>
  </si>
  <si>
    <t>APA069</t>
  </si>
  <si>
    <t xml:space="preserve">Adobe Reader DC </t>
  </si>
  <si>
    <t>APA071</t>
  </si>
  <si>
    <t xml:space="preserve">IQIYI </t>
  </si>
  <si>
    <t>APA072</t>
  </si>
  <si>
    <t xml:space="preserve">Lenovo Entertainment Hub </t>
  </si>
  <si>
    <t>APA073</t>
  </si>
  <si>
    <t xml:space="preserve">Lenovo Antivirus </t>
  </si>
  <si>
    <t>APA074_01</t>
  </si>
  <si>
    <t>Connected Standby_Pre-installed APP Compatibility Test</t>
  </si>
  <si>
    <t>APA074_02</t>
  </si>
  <si>
    <t>Connected Standby_Popular APP compatibility test</t>
  </si>
  <si>
    <t>APA075</t>
  </si>
  <si>
    <t>Lenovo Settings2 0</t>
  </si>
  <si>
    <t>APA076</t>
  </si>
  <si>
    <t>OneKey Optimized</t>
  </si>
  <si>
    <t>APA077</t>
  </si>
  <si>
    <t xml:space="preserve">Office Centennial Preview </t>
  </si>
  <si>
    <t>APA078</t>
  </si>
  <si>
    <t>LBV v2</t>
  </si>
  <si>
    <t>APA079_01</t>
  </si>
  <si>
    <t>APA079_02</t>
  </si>
  <si>
    <t>APA079_03</t>
  </si>
  <si>
    <t>Tangram_EM Driver with YMC</t>
  </si>
  <si>
    <t>APA079_04</t>
  </si>
  <si>
    <t>Tangram_Utility</t>
  </si>
  <si>
    <t>APA079_05</t>
  </si>
  <si>
    <t>Tangram_ITS2.0</t>
  </si>
  <si>
    <t>APA079_06</t>
  </si>
  <si>
    <t>Lenovo Welcome</t>
  </si>
  <si>
    <t>APA079_08</t>
  </si>
  <si>
    <t>APA079_09</t>
  </si>
  <si>
    <t>APA079_10</t>
  </si>
  <si>
    <t>APA079_11</t>
  </si>
  <si>
    <t>APA080</t>
  </si>
  <si>
    <t>McAfee LiveSafe16.0</t>
  </si>
  <si>
    <t>APA081</t>
  </si>
  <si>
    <t>PowerDVD(UWP)</t>
  </si>
  <si>
    <t>APA082</t>
  </si>
  <si>
    <t>Y920 TrainingManual</t>
  </si>
  <si>
    <t>APA083</t>
  </si>
  <si>
    <t>Power 2Go(UWP)</t>
  </si>
  <si>
    <t>APA084</t>
  </si>
  <si>
    <t>LinkedIn</t>
  </si>
  <si>
    <t>APA085</t>
  </si>
  <si>
    <t>Office2016 UWP</t>
  </si>
  <si>
    <t>APA085_02</t>
  </si>
  <si>
    <t>Office2016 UWP JP</t>
  </si>
  <si>
    <t xml:space="preserve">APA086 </t>
  </si>
  <si>
    <t xml:space="preserve">Lenovo Antivirus Plus </t>
  </si>
  <si>
    <t>APA087</t>
  </si>
  <si>
    <t>Ymc3.0</t>
  </si>
  <si>
    <t>APA088</t>
  </si>
  <si>
    <t>Magic Y key</t>
  </si>
  <si>
    <t>APA089</t>
  </si>
  <si>
    <t>Amazon Alexa App function testcase</t>
  </si>
  <si>
    <t>APA090</t>
  </si>
  <si>
    <t>Dolby Vision</t>
  </si>
  <si>
    <t>APA091</t>
  </si>
  <si>
    <t>iCUE</t>
  </si>
  <si>
    <t>APA092</t>
  </si>
  <si>
    <t>APA093</t>
  </si>
  <si>
    <t>APA094</t>
  </si>
  <si>
    <t>APA095</t>
  </si>
  <si>
    <t>APA097</t>
  </si>
  <si>
    <t>APA098</t>
  </si>
  <si>
    <t>APA099</t>
  </si>
  <si>
    <t>APA104</t>
  </si>
  <si>
    <t>APA105</t>
  </si>
  <si>
    <t>APA106</t>
  </si>
  <si>
    <t>APA107</t>
  </si>
  <si>
    <t>APA108</t>
  </si>
  <si>
    <t>APA109_02</t>
  </si>
  <si>
    <t>APA112</t>
  </si>
  <si>
    <t>APA113</t>
  </si>
  <si>
    <t>APA114</t>
  </si>
  <si>
    <t>APA115</t>
  </si>
  <si>
    <t>PLC001</t>
  </si>
  <si>
    <t>FreeDOS test case</t>
  </si>
  <si>
    <t>PLC002</t>
  </si>
  <si>
    <t>FreeDOS Keyparts test case</t>
  </si>
  <si>
    <t>PLC010</t>
  </si>
  <si>
    <t>Linpus_Lite2.2_testcase</t>
  </si>
  <si>
    <t>PLC011</t>
  </si>
  <si>
    <t>Linpus_Lite2.2 FFRT testcase</t>
  </si>
  <si>
    <t>PLC012</t>
  </si>
  <si>
    <t>Linpus_Lite2.2 Keyparts testcase</t>
  </si>
  <si>
    <t>ASA001_01</t>
  </si>
  <si>
    <t>Basic function for Intel WiGig</t>
  </si>
  <si>
    <t>ASA001_02</t>
  </si>
  <si>
    <t>USB function for Intel WiGig</t>
  </si>
  <si>
    <t>ASA001_03</t>
  </si>
  <si>
    <t>Video function for Intel WiGig</t>
  </si>
  <si>
    <t>ASA001_04</t>
  </si>
  <si>
    <t>LAN function for Intel WiGig</t>
  </si>
  <si>
    <t>ASA001_05</t>
  </si>
  <si>
    <t>Compatibility test for Intel WiGig</t>
  </si>
  <si>
    <t>ASA001_06.</t>
  </si>
  <si>
    <t>Power Management test for Intel WiGig</t>
  </si>
  <si>
    <t>ASA001_07</t>
  </si>
  <si>
    <t>Intel WiGig Performance test</t>
  </si>
  <si>
    <t>ASA001_08</t>
  </si>
  <si>
    <t>Stress test for Intel WiGig</t>
  </si>
  <si>
    <t>FCA001_01</t>
  </si>
  <si>
    <t>Folio Touchpad test</t>
  </si>
  <si>
    <t>FCA001_02</t>
  </si>
  <si>
    <t>Folio PTP test</t>
  </si>
  <si>
    <t>FCA001_03</t>
  </si>
  <si>
    <t>Folio Keyboard test</t>
  </si>
  <si>
    <t>FCA001_04</t>
  </si>
  <si>
    <t>Folio PM test</t>
  </si>
  <si>
    <t>FCA001_05</t>
  </si>
  <si>
    <t>Folio advanced function test</t>
  </si>
  <si>
    <t>FCA001_06</t>
  </si>
  <si>
    <t>Folio basic function test</t>
  </si>
  <si>
    <t>FCA001_07</t>
  </si>
  <si>
    <t>Folio case stress testcase</t>
  </si>
  <si>
    <t>EXB001_01</t>
  </si>
  <si>
    <t xml:space="preserve">Xbox function test </t>
  </si>
  <si>
    <t>EXB001_02</t>
  </si>
  <si>
    <t xml:space="preserve">XBOX Frequency Hopping </t>
  </si>
  <si>
    <t>PDA001</t>
  </si>
  <si>
    <t>Pad Docking test</t>
  </si>
  <si>
    <t>FCB001_05</t>
  </si>
  <si>
    <t>ACT_002</t>
  </si>
  <si>
    <t>ACT_003</t>
  </si>
  <si>
    <t>ACT_004</t>
  </si>
  <si>
    <t>ACT_005</t>
  </si>
  <si>
    <t>ACT_006</t>
  </si>
  <si>
    <t>ACT_007</t>
  </si>
  <si>
    <t>ACT_008</t>
  </si>
  <si>
    <t>ACT_009</t>
  </si>
  <si>
    <t>ACT_010</t>
  </si>
  <si>
    <t>ACT_011</t>
  </si>
  <si>
    <t>ACT_012</t>
  </si>
  <si>
    <t>ACT_013</t>
  </si>
  <si>
    <t>ACT_014</t>
  </si>
  <si>
    <t>ACT_015</t>
  </si>
  <si>
    <t>&gt; 因為B(FVT) &amp; C(SIT) 與 FFRT 的原始格式與整理方式不同, 所以請分開使用.</t>
    <phoneticPr fontId="19" type="noConversion"/>
  </si>
  <si>
    <t>Last Update:2020/7/3</t>
    <phoneticPr fontId="19" type="noConversion"/>
  </si>
  <si>
    <t>Category#1</t>
    <phoneticPr fontId="3" type="noConversion"/>
  </si>
  <si>
    <t>Basic</t>
    <phoneticPr fontId="3" type="noConversion"/>
  </si>
  <si>
    <t>Basic</t>
    <phoneticPr fontId="3" type="noConversion"/>
  </si>
  <si>
    <t>Device Error Check Test</t>
    <phoneticPr fontId="3" type="noConversion"/>
  </si>
  <si>
    <t>BFA001_23</t>
    <phoneticPr fontId="3" type="noConversion"/>
  </si>
  <si>
    <t>TPM setting check for modern preload</t>
    <phoneticPr fontId="3" type="noConversion"/>
  </si>
  <si>
    <t>Basic</t>
    <phoneticPr fontId="3" type="noConversion"/>
  </si>
  <si>
    <t>BIOS setup on OS (WMI)</t>
    <phoneticPr fontId="3" type="noConversion"/>
  </si>
  <si>
    <t>BFA001_26</t>
    <phoneticPr fontId="3" type="noConversion"/>
  </si>
  <si>
    <t>BIOS self-healing function check (draft version)</t>
    <phoneticPr fontId="3" type="noConversion"/>
  </si>
  <si>
    <t>BFA001_27</t>
    <phoneticPr fontId="3" type="noConversion"/>
  </si>
  <si>
    <t>Lenovo Diagnostics tool V04.12.001 function check</t>
    <phoneticPr fontId="3" type="noConversion"/>
  </si>
  <si>
    <t>BFA001_29</t>
    <phoneticPr fontId="3" type="noConversion"/>
  </si>
  <si>
    <t>BIOS setup quick setting page check for Gaming products</t>
    <phoneticPr fontId="3" type="noConversion"/>
  </si>
  <si>
    <t>Smart Discharge Power Performance Management test</t>
    <phoneticPr fontId="3" type="noConversion"/>
  </si>
  <si>
    <t>USB Type-A test</t>
    <phoneticPr fontId="3" type="noConversion"/>
  </si>
  <si>
    <t>USB charge test case(for old spec)</t>
    <phoneticPr fontId="3" type="noConversion"/>
  </si>
  <si>
    <t>USB charge test case(fornew spec AOU5 spec)</t>
    <phoneticPr fontId="3" type="noConversion"/>
  </si>
  <si>
    <t>Type-C port power output test</t>
    <phoneticPr fontId="3" type="noConversion"/>
  </si>
  <si>
    <t xml:space="preserve">Interaction </t>
    <phoneticPr fontId="3" type="noConversion"/>
  </si>
  <si>
    <t>IAA007_04</t>
    <phoneticPr fontId="3" type="noConversion"/>
  </si>
  <si>
    <t>Easycamera privacy</t>
    <phoneticPr fontId="3" type="noConversion"/>
  </si>
  <si>
    <t>Windows hello test</t>
    <phoneticPr fontId="3" type="noConversion"/>
  </si>
  <si>
    <t>IAA009</t>
    <phoneticPr fontId="3" type="noConversion"/>
  </si>
  <si>
    <t>Display quality</t>
    <phoneticPr fontId="3" type="noConversion"/>
  </si>
  <si>
    <t>IAA010</t>
    <phoneticPr fontId="3" type="noConversion"/>
  </si>
  <si>
    <t>Panel Self Refrsh test</t>
    <phoneticPr fontId="3" type="noConversion"/>
  </si>
  <si>
    <t>PTP Setting Test</t>
    <phoneticPr fontId="3" type="noConversion"/>
  </si>
  <si>
    <t>PTP Basic Function</t>
    <phoneticPr fontId="3" type="noConversion"/>
  </si>
  <si>
    <t>Keyboard Lighting Function Test For Gaming</t>
    <phoneticPr fontId="3" type="noConversion"/>
  </si>
  <si>
    <t>ALS sensor testcase(For thinkpad spec)</t>
    <phoneticPr fontId="3" type="noConversion"/>
  </si>
  <si>
    <t>Detect Angle by lid and G-sensor testcase for Yoga&amp;Flex(360 degree)</t>
    <phoneticPr fontId="3" type="noConversion"/>
  </si>
  <si>
    <t>Dolby Atmos test (For DCH)</t>
    <phoneticPr fontId="3" type="noConversion"/>
  </si>
  <si>
    <t xml:space="preserve">Dolby Atmos Speaker System test (For DCH) </t>
    <phoneticPr fontId="3" type="noConversion"/>
  </si>
  <si>
    <t xml:space="preserve">Dolby Audio Premium test (For DCH) </t>
    <phoneticPr fontId="3" type="noConversion"/>
  </si>
  <si>
    <t xml:space="preserve">Dolby Audio Speaker System test (For DCH) </t>
    <phoneticPr fontId="3" type="noConversion"/>
  </si>
  <si>
    <t xml:space="preserve">Dolby Atmos for Gaming test (For DCH) </t>
    <phoneticPr fontId="3" type="noConversion"/>
  </si>
  <si>
    <t xml:space="preserve">Dolby Atmos Speaker System for Gaming test (For DCH) </t>
    <phoneticPr fontId="3" type="noConversion"/>
  </si>
  <si>
    <t>Amazon Alexa basic function test</t>
    <phoneticPr fontId="3" type="noConversion"/>
  </si>
  <si>
    <t>IAA025_02</t>
    <phoneticPr fontId="3" type="noConversion"/>
  </si>
  <si>
    <t>Alexa Stability Test</t>
    <phoneticPr fontId="3" type="noConversion"/>
  </si>
  <si>
    <t>IAA026</t>
    <phoneticPr fontId="3" type="noConversion"/>
  </si>
  <si>
    <t>Low Power Audio Playback test</t>
    <phoneticPr fontId="3" type="noConversion"/>
  </si>
  <si>
    <t>Zero Touch test case</t>
    <phoneticPr fontId="3" type="noConversion"/>
  </si>
  <si>
    <t>IAA028_01</t>
    <phoneticPr fontId="3" type="noConversion"/>
  </si>
  <si>
    <t>Flip to boot with Hall sensor</t>
    <phoneticPr fontId="3" type="noConversion"/>
  </si>
  <si>
    <t>Flip to boot with Hall sensor and TOF sensor</t>
    <phoneticPr fontId="3" type="noConversion"/>
  </si>
  <si>
    <t>E-Ink System Interaction test</t>
    <phoneticPr fontId="3" type="noConversion"/>
  </si>
  <si>
    <t>E-Ink touch&amp;pen test</t>
    <phoneticPr fontId="3" type="noConversion"/>
  </si>
  <si>
    <t>IAA029_03</t>
    <phoneticPr fontId="3" type="noConversion"/>
  </si>
  <si>
    <t>E-Ink panel display quality test</t>
    <phoneticPr fontId="3" type="noConversion"/>
  </si>
  <si>
    <t>IAA030</t>
  </si>
  <si>
    <t>Intel ISST Function test</t>
  </si>
  <si>
    <t>IAA031</t>
  </si>
  <si>
    <t>Smart Keyboard Backlight</t>
    <phoneticPr fontId="3" type="noConversion"/>
  </si>
  <si>
    <t>IAA032</t>
  </si>
  <si>
    <t>Zero Touch 2.0 for VL53L5 TOF SENSOR</t>
  </si>
  <si>
    <t>IAA033_01</t>
    <phoneticPr fontId="3" type="noConversion"/>
  </si>
  <si>
    <t>Whisper Voice test_Elevoc</t>
  </si>
  <si>
    <t>IAA034</t>
  </si>
  <si>
    <t>Smart Motion Alarm</t>
  </si>
  <si>
    <t>IAA035</t>
  </si>
  <si>
    <t>Sound Quality test</t>
  </si>
  <si>
    <t>Connectivity</t>
    <phoneticPr fontId="3" type="noConversion"/>
  </si>
  <si>
    <t>CTA023</t>
    <phoneticPr fontId="3" type="noConversion"/>
  </si>
  <si>
    <t>Killer Network test</t>
    <phoneticPr fontId="3" type="noConversion"/>
  </si>
  <si>
    <t>WWAN for IoT card</t>
    <phoneticPr fontId="3" type="noConversion"/>
  </si>
  <si>
    <t xml:space="preserve">MU-MIMO function test case </t>
    <phoneticPr fontId="3" type="noConversion"/>
  </si>
  <si>
    <t>E-SIM</t>
    <phoneticPr fontId="3" type="noConversion"/>
  </si>
  <si>
    <t>WWAN field quick test</t>
    <phoneticPr fontId="3" type="noConversion"/>
  </si>
  <si>
    <t>CTA033_01</t>
    <phoneticPr fontId="3" type="noConversion"/>
  </si>
  <si>
    <t>WIFI function test with Lenovo one ON</t>
    <phoneticPr fontId="3" type="noConversion"/>
  </si>
  <si>
    <t>WIFI function test with phone connect by Lenovo one</t>
    <phoneticPr fontId="3" type="noConversion"/>
  </si>
  <si>
    <t>BT function test with Lenovo one ON</t>
    <phoneticPr fontId="3" type="noConversion"/>
  </si>
  <si>
    <t>BT function test with phone connect by Lenovo one</t>
    <phoneticPr fontId="3" type="noConversion"/>
  </si>
  <si>
    <t>WiFi&amp;BT performance test for Lenovo one</t>
    <phoneticPr fontId="3" type="noConversion"/>
  </si>
  <si>
    <t>PSA001_01</t>
    <phoneticPr fontId="3" type="noConversion"/>
  </si>
  <si>
    <t xml:space="preserve">Process and Stroage </t>
    <phoneticPr fontId="3" type="noConversion"/>
  </si>
  <si>
    <t>CPU (Intel) test case</t>
    <phoneticPr fontId="3" type="noConversion"/>
  </si>
  <si>
    <t xml:space="preserve">ITS (Intel) </t>
    <phoneticPr fontId="3" type="noConversion"/>
  </si>
  <si>
    <t>Machine Leraning (draft)</t>
    <phoneticPr fontId="3" type="noConversion"/>
  </si>
  <si>
    <t>Dynamic Power Distribution 1.0 (draft)</t>
    <phoneticPr fontId="3" type="noConversion"/>
  </si>
  <si>
    <t>ITS (AMD)</t>
    <phoneticPr fontId="3" type="noConversion"/>
  </si>
  <si>
    <t>HDR</t>
    <phoneticPr fontId="3" type="noConversion"/>
  </si>
  <si>
    <t>PSA007</t>
    <phoneticPr fontId="3" type="noConversion"/>
  </si>
  <si>
    <t>Media UE</t>
    <phoneticPr fontId="3" type="noConversion"/>
  </si>
  <si>
    <t>PSA009</t>
    <phoneticPr fontId="3" type="noConversion"/>
  </si>
  <si>
    <t>Multi-Display Test</t>
    <phoneticPr fontId="3" type="noConversion"/>
  </si>
  <si>
    <t>Content Protection</t>
    <phoneticPr fontId="3" type="noConversion"/>
  </si>
  <si>
    <t>Intel Graphics Command Center(IGCC)</t>
    <phoneticPr fontId="3" type="noConversion"/>
  </si>
  <si>
    <t>PSA013_04</t>
    <phoneticPr fontId="3" type="noConversion"/>
  </si>
  <si>
    <t>Super Resolution</t>
    <phoneticPr fontId="3" type="noConversion"/>
  </si>
  <si>
    <t>PSA026_01</t>
    <phoneticPr fontId="3" type="noConversion"/>
  </si>
  <si>
    <t xml:space="preserve">AMD Graphics FreeSync Test </t>
    <phoneticPr fontId="3" type="noConversion"/>
  </si>
  <si>
    <t>PSA027_01</t>
    <phoneticPr fontId="3" type="noConversion"/>
  </si>
  <si>
    <t>Platform Power Aware Boost(PPAB) for Non-Gaming</t>
  </si>
  <si>
    <t>PSA029</t>
    <phoneticPr fontId="3" type="noConversion"/>
  </si>
  <si>
    <t>HDDSSD function test</t>
    <phoneticPr fontId="3" type="noConversion"/>
  </si>
  <si>
    <t>PSA034</t>
    <phoneticPr fontId="3" type="noConversion"/>
  </si>
  <si>
    <t>Performance</t>
    <phoneticPr fontId="3" type="noConversion"/>
  </si>
  <si>
    <t>CineBench</t>
    <phoneticPr fontId="3" type="noConversion"/>
  </si>
  <si>
    <t>PFA001_06 _Auto</t>
    <phoneticPr fontId="3" type="noConversion"/>
  </si>
  <si>
    <t>PFA001_10_Auto_01</t>
    <phoneticPr fontId="3" type="noConversion"/>
  </si>
  <si>
    <t>PFA001_10_Auto_02</t>
    <phoneticPr fontId="3" type="noConversion"/>
  </si>
  <si>
    <t>PCMark10 Express</t>
    <phoneticPr fontId="3" type="noConversion"/>
  </si>
  <si>
    <t>PFA001_10_Auto_03</t>
    <phoneticPr fontId="3" type="noConversion"/>
  </si>
  <si>
    <t>PCMark10 Extendes</t>
    <phoneticPr fontId="3" type="noConversion"/>
  </si>
  <si>
    <t>PFA001_11_Auto</t>
    <phoneticPr fontId="3" type="noConversion"/>
  </si>
  <si>
    <t>CineBench r20</t>
    <phoneticPr fontId="3" type="noConversion"/>
  </si>
  <si>
    <t>PFA001_12_Auto_01</t>
    <phoneticPr fontId="3" type="noConversion"/>
  </si>
  <si>
    <t>CineBench r20-All</t>
    <phoneticPr fontId="3" type="noConversion"/>
  </si>
  <si>
    <t>CineBench r20-Multi</t>
    <phoneticPr fontId="3" type="noConversion"/>
  </si>
  <si>
    <t>CineBench r20-Single</t>
    <phoneticPr fontId="3" type="noConversion"/>
  </si>
  <si>
    <t>PFA001_13</t>
    <phoneticPr fontId="3" type="noConversion"/>
  </si>
  <si>
    <t>Sysmark2018</t>
    <phoneticPr fontId="3" type="noConversion"/>
  </si>
  <si>
    <t>3DMark11</t>
    <phoneticPr fontId="3" type="noConversion"/>
  </si>
  <si>
    <t>PFA002_01_Auto</t>
    <phoneticPr fontId="3" type="noConversion"/>
  </si>
  <si>
    <t>PFA002_02_Auto_01</t>
    <phoneticPr fontId="3" type="noConversion"/>
  </si>
  <si>
    <t>3DMark_Ice Storm</t>
    <phoneticPr fontId="3" type="noConversion"/>
  </si>
  <si>
    <t>3DMark_Ice Storm unlimited</t>
    <phoneticPr fontId="3" type="noConversion"/>
  </si>
  <si>
    <t>3DMark_Cloud Gate</t>
    <phoneticPr fontId="3" type="noConversion"/>
  </si>
  <si>
    <t>3DMark_Sky Driver</t>
    <phoneticPr fontId="3" type="noConversion"/>
  </si>
  <si>
    <t>3DMark_Fire Strike</t>
    <phoneticPr fontId="3" type="noConversion"/>
  </si>
  <si>
    <t>3DMark_Fire Strike Extreme</t>
    <phoneticPr fontId="3" type="noConversion"/>
  </si>
  <si>
    <t>3DMark_Fire Strike Ultra</t>
    <phoneticPr fontId="3" type="noConversion"/>
  </si>
  <si>
    <t>3DMark_Time Spy</t>
    <phoneticPr fontId="3" type="noConversion"/>
  </si>
  <si>
    <t>3DMark_Time Spy Extreme</t>
    <phoneticPr fontId="3" type="noConversion"/>
  </si>
  <si>
    <t>3DMark_Night Raid</t>
    <phoneticPr fontId="3" type="noConversion"/>
  </si>
  <si>
    <t>3DMarkPortroyal</t>
    <phoneticPr fontId="3" type="noConversion"/>
  </si>
  <si>
    <t>POST time</t>
    <phoneticPr fontId="3" type="noConversion"/>
  </si>
  <si>
    <t>PFA004_05</t>
    <phoneticPr fontId="3" type="noConversion"/>
  </si>
  <si>
    <t xml:space="preserve">Modern Preload Performance </t>
    <phoneticPr fontId="3" type="noConversion"/>
  </si>
  <si>
    <t>PFA004_06</t>
    <phoneticPr fontId="3" type="noConversion"/>
  </si>
  <si>
    <t>MGF Test</t>
    <phoneticPr fontId="3" type="noConversion"/>
  </si>
  <si>
    <t>PFA005_14</t>
    <phoneticPr fontId="3" type="noConversion"/>
  </si>
  <si>
    <t>MobileMark2018</t>
    <phoneticPr fontId="3" type="noConversion"/>
  </si>
  <si>
    <t>Battclues</t>
    <phoneticPr fontId="3" type="noConversion"/>
  </si>
  <si>
    <t>E-Book reading (W/ E-ink panel)</t>
    <phoneticPr fontId="3" type="noConversion"/>
  </si>
  <si>
    <t>UE test for WimBOOT (Wimboot)</t>
    <phoneticPr fontId="3" type="noConversion"/>
  </si>
  <si>
    <t>PFA013_01</t>
    <phoneticPr fontId="3" type="noConversion"/>
  </si>
  <si>
    <t>PFA013_02</t>
    <phoneticPr fontId="3" type="noConversion"/>
  </si>
  <si>
    <t>PFA015</t>
    <phoneticPr fontId="3" type="noConversion"/>
  </si>
  <si>
    <t>Lenovo UX Performance</t>
    <phoneticPr fontId="3" type="noConversion"/>
  </si>
  <si>
    <t>PFA016-01</t>
    <phoneticPr fontId="3" type="noConversion"/>
  </si>
  <si>
    <t>Game test case for Level 1</t>
  </si>
  <si>
    <t>PFA016-02_01</t>
    <phoneticPr fontId="3" type="noConversion"/>
  </si>
  <si>
    <t>Game performance test for level 2</t>
  </si>
  <si>
    <t>PFA016-02_02</t>
  </si>
  <si>
    <t>Game compatibility test for level 2</t>
  </si>
  <si>
    <t>PFA016-03_01</t>
    <phoneticPr fontId="3" type="noConversion"/>
  </si>
  <si>
    <t>Game performance test for level 3</t>
  </si>
  <si>
    <t>PFA016-03_02</t>
    <phoneticPr fontId="3" type="noConversion"/>
  </si>
  <si>
    <t>Game compatibility test for level 3</t>
  </si>
  <si>
    <t>PFA016-03_03</t>
  </si>
  <si>
    <t>Top games test for level 3</t>
  </si>
  <si>
    <t>PFA017-01</t>
    <phoneticPr fontId="3" type="noConversion"/>
  </si>
  <si>
    <t>FFRT game test for Level 1</t>
  </si>
  <si>
    <t>PFA017-02_01</t>
    <phoneticPr fontId="3" type="noConversion"/>
  </si>
  <si>
    <t>FFRT game test for Level 2</t>
  </si>
  <si>
    <t>PFA017-02_03</t>
    <phoneticPr fontId="3" type="noConversion"/>
  </si>
  <si>
    <t>FFRT game test for Level 3</t>
  </si>
  <si>
    <t>Game</t>
    <phoneticPr fontId="3" type="noConversion"/>
  </si>
  <si>
    <t>Stress</t>
    <phoneticPr fontId="3" type="noConversion"/>
  </si>
  <si>
    <t>Stress - S3/MS&amp;S4 random stress</t>
    <phoneticPr fontId="3" type="noConversion"/>
  </si>
  <si>
    <t>Stress - Manually Power management cycles test</t>
    <phoneticPr fontId="3" type="noConversion"/>
  </si>
  <si>
    <t>Stress - Modern Standby Cycle</t>
    <phoneticPr fontId="3" type="noConversion"/>
  </si>
  <si>
    <t>Stress-Lenovo Over Clock</t>
    <phoneticPr fontId="3" type="noConversion"/>
  </si>
  <si>
    <t>STA029</t>
    <phoneticPr fontId="3" type="noConversion"/>
  </si>
  <si>
    <t>Stress-Cinebench loop</t>
    <phoneticPr fontId="3" type="noConversion"/>
  </si>
  <si>
    <t>Stress-AIDA64+Furmark Double Roasting Test</t>
    <phoneticPr fontId="3" type="noConversion"/>
  </si>
  <si>
    <t>STA031</t>
    <phoneticPr fontId="3" type="noConversion"/>
  </si>
  <si>
    <t>Application</t>
    <phoneticPr fontId="3" type="noConversion"/>
  </si>
  <si>
    <t>APA065_01</t>
    <phoneticPr fontId="3" type="noConversion"/>
  </si>
  <si>
    <t>PC manager</t>
    <phoneticPr fontId="3" type="noConversion"/>
  </si>
  <si>
    <t>APA065_010</t>
    <phoneticPr fontId="3" type="noConversion"/>
  </si>
  <si>
    <t>PC manager_SMB with LBV3.0</t>
    <phoneticPr fontId="3" type="noConversion"/>
  </si>
  <si>
    <t>PC Manager_ITS3.0 for Intel</t>
    <phoneticPr fontId="3" type="noConversion"/>
  </si>
  <si>
    <t xml:space="preserve">PC Manager_ITS 3.0 For AMD </t>
    <phoneticPr fontId="3" type="noConversion"/>
  </si>
  <si>
    <t>APA065_11</t>
    <phoneticPr fontId="3" type="noConversion"/>
  </si>
  <si>
    <t>PC Manager_Lenovo One</t>
    <phoneticPr fontId="3" type="noConversion"/>
  </si>
  <si>
    <t>PC Manager_Lenovo One Performance test</t>
    <phoneticPr fontId="3" type="noConversion"/>
  </si>
  <si>
    <t>PC Manager_Lenovo One Stability test</t>
    <phoneticPr fontId="3" type="noConversion"/>
  </si>
  <si>
    <t>Lenovo101(only for 310s) - Timmy: please confirm S-seris  w/ PPA</t>
    <phoneticPr fontId="3" type="noConversion"/>
  </si>
  <si>
    <t>Vantage2.x (exclude hardware settings)</t>
    <phoneticPr fontId="3" type="noConversion"/>
  </si>
  <si>
    <t>Vantage2.x_Hardware Settings</t>
    <phoneticPr fontId="3" type="noConversion"/>
  </si>
  <si>
    <t>Tangram_ITS 3.0 for Intel</t>
    <phoneticPr fontId="3" type="noConversion"/>
  </si>
  <si>
    <t>Tangram_ITS 3.0 for AMD</t>
    <phoneticPr fontId="3" type="noConversion"/>
  </si>
  <si>
    <t>Tangram AP Policy 2.0</t>
    <phoneticPr fontId="3" type="noConversion"/>
  </si>
  <si>
    <t>Tangram_Lenovo Welcome 2.0</t>
    <phoneticPr fontId="3" type="noConversion"/>
  </si>
  <si>
    <t xml:space="preserve">Mirkat </t>
    <phoneticPr fontId="3" type="noConversion"/>
  </si>
  <si>
    <t xml:space="preserve">McAfee Security UWP </t>
    <phoneticPr fontId="3" type="noConversion"/>
  </si>
  <si>
    <t xml:space="preserve">Super Touchpad </t>
    <phoneticPr fontId="3" type="noConversion"/>
  </si>
  <si>
    <t xml:space="preserve">Office 2019 UWP </t>
    <phoneticPr fontId="3" type="noConversion"/>
  </si>
  <si>
    <t xml:space="preserve">Office2019 UWP JP </t>
    <phoneticPr fontId="3" type="noConversion"/>
  </si>
  <si>
    <t xml:space="preserve">Alexa Toast test </t>
    <phoneticPr fontId="3" type="noConversion"/>
  </si>
  <si>
    <t xml:space="preserve">Glance </t>
    <phoneticPr fontId="3" type="noConversion"/>
  </si>
  <si>
    <t>APA101</t>
    <phoneticPr fontId="3" type="noConversion"/>
  </si>
  <si>
    <t>Ofice V1904</t>
    <phoneticPr fontId="3" type="noConversion"/>
  </si>
  <si>
    <t>APA102</t>
    <phoneticPr fontId="3" type="noConversion"/>
  </si>
  <si>
    <t>Ofice V1904 JP</t>
    <phoneticPr fontId="3" type="noConversion"/>
  </si>
  <si>
    <t>APA103</t>
    <phoneticPr fontId="3" type="noConversion"/>
  </si>
  <si>
    <t>ITS4.0</t>
    <phoneticPr fontId="3" type="noConversion"/>
  </si>
  <si>
    <t>Amazon Alexa UWP</t>
    <phoneticPr fontId="3" type="noConversion"/>
  </si>
  <si>
    <t>X-Rite</t>
    <phoneticPr fontId="3" type="noConversion"/>
  </si>
  <si>
    <t>WPS Office 2019</t>
    <phoneticPr fontId="3" type="noConversion"/>
  </si>
  <si>
    <t xml:space="preserve">IQIYI </t>
    <phoneticPr fontId="3" type="noConversion"/>
  </si>
  <si>
    <t>QQ Live UWP</t>
    <phoneticPr fontId="3" type="noConversion"/>
  </si>
  <si>
    <t>APA109_01</t>
    <phoneticPr fontId="3" type="noConversion"/>
  </si>
  <si>
    <t>Vantage3.x (Excluding My Device Settings)</t>
    <phoneticPr fontId="3" type="noConversion"/>
  </si>
  <si>
    <t>Vantage3.x_My Device Settings</t>
    <phoneticPr fontId="3" type="noConversion"/>
  </si>
  <si>
    <t>APA110</t>
    <phoneticPr fontId="3" type="noConversion"/>
  </si>
  <si>
    <t>E-Ink App for ThinkBook PLUS</t>
    <phoneticPr fontId="3" type="noConversion"/>
  </si>
  <si>
    <t>APA111</t>
    <phoneticPr fontId="3" type="noConversion"/>
  </si>
  <si>
    <t>Lenovo Utility UWP(V3.1)</t>
    <phoneticPr fontId="3" type="noConversion"/>
  </si>
  <si>
    <t>XBOX</t>
    <phoneticPr fontId="3" type="noConversion"/>
  </si>
  <si>
    <t>Kugou Music_V1.0</t>
    <phoneticPr fontId="3" type="noConversion"/>
  </si>
  <si>
    <t>lenovo browser</t>
    <phoneticPr fontId="3" type="noConversion"/>
  </si>
  <si>
    <t>Legion Accessory Central</t>
    <phoneticPr fontId="3" type="noConversion"/>
  </si>
  <si>
    <t>APA065_09</t>
    <phoneticPr fontId="3" type="noConversion"/>
  </si>
  <si>
    <t>Gaming Unique</t>
    <phoneticPr fontId="3" type="noConversion"/>
  </si>
  <si>
    <t>PC Manager for Gaming</t>
    <phoneticPr fontId="3" type="noConversion"/>
  </si>
  <si>
    <t>APA079_07</t>
    <phoneticPr fontId="3" type="noConversion"/>
  </si>
  <si>
    <t>Vantage2.x_Gaming</t>
    <phoneticPr fontId="3" type="noConversion"/>
  </si>
  <si>
    <t>APA0109_03</t>
    <phoneticPr fontId="3" type="noConversion"/>
  </si>
  <si>
    <t>GMA000</t>
    <phoneticPr fontId="3" type="noConversion"/>
  </si>
  <si>
    <t>Gaming project test case summary</t>
    <phoneticPr fontId="3" type="noConversion"/>
  </si>
  <si>
    <t>GMA_010</t>
    <phoneticPr fontId="3" type="noConversion"/>
  </si>
  <si>
    <t>Gaming Unique stress</t>
    <phoneticPr fontId="3" type="noConversion"/>
  </si>
  <si>
    <t>PFA014_Gaming</t>
    <phoneticPr fontId="3" type="noConversion"/>
  </si>
  <si>
    <t>FN+Q 3.0 Performance</t>
    <phoneticPr fontId="3" type="noConversion"/>
  </si>
  <si>
    <t>PSA026_02_Gaming</t>
    <phoneticPr fontId="3" type="noConversion"/>
  </si>
  <si>
    <t>FN+Q 3.0 9 (Draft)</t>
    <phoneticPr fontId="3" type="noConversion"/>
  </si>
  <si>
    <t>PSA037_Gaming</t>
    <phoneticPr fontId="3" type="noConversion"/>
  </si>
  <si>
    <t>Dynamic Display Switch (DDS)</t>
    <phoneticPr fontId="3" type="noConversion"/>
  </si>
  <si>
    <t>PSA038_Gaming</t>
  </si>
  <si>
    <t>Overclock Function_</t>
  </si>
  <si>
    <t>PSA039_Gaming</t>
  </si>
  <si>
    <t>Overclock Performance</t>
  </si>
  <si>
    <t>STA025_Gaming</t>
  </si>
  <si>
    <t>Stress - Over Clock</t>
  </si>
  <si>
    <t>PSA040_Gaming</t>
  </si>
  <si>
    <t>Platform Power Aware Boost(PPAB)</t>
  </si>
  <si>
    <t>Linux and DOS</t>
    <phoneticPr fontId="3" type="noConversion"/>
  </si>
  <si>
    <t>PLC013</t>
    <phoneticPr fontId="3" type="noConversion"/>
  </si>
  <si>
    <t>Ubuntu test case</t>
    <phoneticPr fontId="3" type="noConversion"/>
  </si>
  <si>
    <t>PLC014</t>
  </si>
  <si>
    <t>Ubuntu Keyparts testcase</t>
    <phoneticPr fontId="3" type="noConversion"/>
  </si>
  <si>
    <t>Accessories for full function test</t>
    <phoneticPr fontId="3" type="noConversion"/>
  </si>
  <si>
    <t>WiGig Dock</t>
    <phoneticPr fontId="3" type="noConversion"/>
  </si>
  <si>
    <t>Cable(USB/One-link)Dock(Draft)</t>
    <phoneticPr fontId="3" type="noConversion"/>
  </si>
  <si>
    <t>Folio Case(Draft)</t>
    <phoneticPr fontId="3" type="noConversion"/>
  </si>
  <si>
    <t>USB-C Dock</t>
    <phoneticPr fontId="3" type="noConversion"/>
  </si>
  <si>
    <t>PXE BOOT for USB-C Dock</t>
    <phoneticPr fontId="3" type="noConversion"/>
  </si>
  <si>
    <t>Power Button for USB-C Dock</t>
    <phoneticPr fontId="3" type="noConversion"/>
  </si>
  <si>
    <t>LAN funciton for USB-C Dock</t>
    <phoneticPr fontId="3" type="noConversion"/>
  </si>
  <si>
    <t>Display function for USB-C dock</t>
    <phoneticPr fontId="3" type="noConversion"/>
  </si>
  <si>
    <t>Audio function for USB-C dock</t>
    <phoneticPr fontId="3" type="noConversion"/>
  </si>
  <si>
    <t>Stress for USB-C dock</t>
    <phoneticPr fontId="3" type="noConversion"/>
  </si>
  <si>
    <t>Thunderbolt Dock</t>
    <phoneticPr fontId="3" type="noConversion"/>
  </si>
  <si>
    <t>Power Button for TBT dock</t>
    <phoneticPr fontId="3" type="noConversion"/>
  </si>
  <si>
    <t>LAN funciton for TBT dock</t>
    <phoneticPr fontId="3" type="noConversion"/>
  </si>
  <si>
    <t>USB&amp;TBT port function test for TBT dock</t>
    <phoneticPr fontId="3" type="noConversion"/>
  </si>
  <si>
    <t>Display function test for TBT dock</t>
    <phoneticPr fontId="3" type="noConversion"/>
  </si>
  <si>
    <t>Audio function for TBT dock</t>
    <phoneticPr fontId="3" type="noConversion"/>
  </si>
  <si>
    <t>TBT dock stress test</t>
    <phoneticPr fontId="3" type="noConversion"/>
  </si>
  <si>
    <r>
      <t>Embeded Xbox</t>
    </r>
    <r>
      <rPr>
        <u/>
        <sz val="10"/>
        <rFont val="細明體"/>
        <family val="3"/>
        <charset val="136"/>
      </rPr>
      <t>（</t>
    </r>
    <r>
      <rPr>
        <u/>
        <sz val="10"/>
        <rFont val="Calibri"/>
        <family val="2"/>
      </rPr>
      <t>S.T. Martin)</t>
    </r>
    <phoneticPr fontId="3" type="noConversion"/>
  </si>
  <si>
    <t>Pad Docking</t>
    <phoneticPr fontId="3" type="noConversion"/>
  </si>
  <si>
    <t>HBD001_01</t>
    <phoneticPr fontId="3" type="noConversion"/>
  </si>
  <si>
    <t>Hybrid Dock</t>
    <phoneticPr fontId="3" type="noConversion"/>
  </si>
  <si>
    <t>PXE BOOT for Hybrid dock</t>
    <phoneticPr fontId="3" type="noConversion"/>
  </si>
  <si>
    <t>Power Button for Hybrid dock</t>
    <phoneticPr fontId="3" type="noConversion"/>
  </si>
  <si>
    <t>LAN funciton for Hybrid dock</t>
    <phoneticPr fontId="3" type="noConversion"/>
  </si>
  <si>
    <t>USB function test for Hybrid dock</t>
    <phoneticPr fontId="3" type="noConversion"/>
  </si>
  <si>
    <t>Power Management with Hybrid dock</t>
    <phoneticPr fontId="3" type="noConversion"/>
  </si>
  <si>
    <t>Display function test for Hybrid dock</t>
    <phoneticPr fontId="3" type="noConversion"/>
  </si>
  <si>
    <t>Audio function for Hybrid dock</t>
    <phoneticPr fontId="3" type="noConversion"/>
  </si>
  <si>
    <t>Stress test for Hybrid dock</t>
    <phoneticPr fontId="3" type="noConversion"/>
  </si>
  <si>
    <t>UTH001_01</t>
    <phoneticPr fontId="3" type="noConversion"/>
  </si>
  <si>
    <t>Power USB-C  Travel Hub &amp; USB-C Mini dock</t>
    <phoneticPr fontId="3" type="noConversion"/>
  </si>
  <si>
    <t>PXE BOOT test</t>
    <phoneticPr fontId="3" type="noConversion"/>
  </si>
  <si>
    <t>LAN funciton test</t>
    <phoneticPr fontId="3" type="noConversion"/>
  </si>
  <si>
    <t>USB function test</t>
    <phoneticPr fontId="3" type="noConversion"/>
  </si>
  <si>
    <t>Power Management for USB-C Gen2 Travel Hub &amp; USB-C Mini Dock</t>
    <phoneticPr fontId="3" type="noConversion"/>
  </si>
  <si>
    <t>Compatibility test</t>
    <phoneticPr fontId="3" type="noConversion"/>
  </si>
  <si>
    <t>Display function test</t>
    <phoneticPr fontId="3" type="noConversion"/>
  </si>
  <si>
    <t>POST screen test</t>
    <phoneticPr fontId="3" type="noConversion"/>
  </si>
  <si>
    <t>Stress test</t>
    <phoneticPr fontId="3" type="noConversion"/>
  </si>
  <si>
    <t>Audio function test</t>
    <phoneticPr fontId="3" type="noConversion"/>
  </si>
  <si>
    <t>FCB001_01</t>
    <phoneticPr fontId="3" type="noConversion"/>
  </si>
  <si>
    <t>BT Folio Case</t>
    <phoneticPr fontId="3" type="noConversion"/>
  </si>
  <si>
    <t>Bluetooth Function Test</t>
    <phoneticPr fontId="3" type="noConversion"/>
  </si>
  <si>
    <t>Charge &amp; LED test</t>
    <phoneticPr fontId="3" type="noConversion"/>
  </si>
  <si>
    <t>Keyboard test</t>
    <phoneticPr fontId="3" type="noConversion"/>
  </si>
  <si>
    <t>PTP Test</t>
    <phoneticPr fontId="3" type="noConversion"/>
  </si>
  <si>
    <t>Battery life test</t>
    <phoneticPr fontId="3" type="noConversion"/>
  </si>
  <si>
    <t>ACT_001</t>
    <phoneticPr fontId="3" type="noConversion"/>
  </si>
  <si>
    <t xml:space="preserve">Accessories for compatibility test </t>
    <phoneticPr fontId="3" type="noConversion"/>
  </si>
  <si>
    <t>Dock test</t>
    <phoneticPr fontId="3" type="noConversion"/>
  </si>
  <si>
    <t>Hub test</t>
    <phoneticPr fontId="3" type="noConversion"/>
  </si>
  <si>
    <t>Display adapter &amp; cable</t>
    <phoneticPr fontId="3" type="noConversion"/>
  </si>
  <si>
    <t>Mouse &amp; Keyboard</t>
    <phoneticPr fontId="3" type="noConversion"/>
  </si>
  <si>
    <t>USB storage</t>
    <phoneticPr fontId="3" type="noConversion"/>
  </si>
  <si>
    <t>AC power adapter</t>
    <phoneticPr fontId="3" type="noConversion"/>
  </si>
  <si>
    <t>BT speaker</t>
    <phoneticPr fontId="3" type="noConversion"/>
  </si>
  <si>
    <t>Headphone &amp; headser &amp; soundar</t>
    <phoneticPr fontId="3" type="noConversion"/>
  </si>
  <si>
    <t>Ethernet Adapter</t>
    <phoneticPr fontId="3" type="noConversion"/>
  </si>
  <si>
    <t>MR Test</t>
    <phoneticPr fontId="3" type="noConversion"/>
  </si>
  <si>
    <t>TBT Graphucs Dock</t>
    <phoneticPr fontId="3" type="noConversion"/>
  </si>
  <si>
    <t>360° camera speaker</t>
    <phoneticPr fontId="3" type="noConversion"/>
  </si>
  <si>
    <t>YSB-C to USB-A adapter</t>
    <phoneticPr fontId="3" type="noConversion"/>
  </si>
  <si>
    <t>USB ODD</t>
    <phoneticPr fontId="3" type="noConversion"/>
  </si>
  <si>
    <t>BT Mouse</t>
    <phoneticPr fontId="3" type="noConversion"/>
  </si>
  <si>
    <t>Compal internal test case</t>
    <phoneticPr fontId="3" type="noConversion"/>
  </si>
  <si>
    <t>Mobile phone nearing (CPI test)</t>
    <phoneticPr fontId="3" type="noConversion"/>
  </si>
  <si>
    <t>USB Type C for PD</t>
    <phoneticPr fontId="3" type="noConversion"/>
  </si>
  <si>
    <t>Compal internal test case</t>
  </si>
  <si>
    <t>Keyboard hot key test</t>
  </si>
  <si>
    <t>PXE Boot test</t>
  </si>
  <si>
    <t>導另一份Excel 上傳用</t>
    <phoneticPr fontId="19" type="noConversion"/>
  </si>
  <si>
    <t>Phase_Case</t>
    <phoneticPr fontId="18" type="noConversion"/>
  </si>
  <si>
    <t>Customer</t>
    <phoneticPr fontId="18" type="noConversion"/>
  </si>
  <si>
    <t>SKU21</t>
    <phoneticPr fontId="2" type="noConversion"/>
  </si>
  <si>
    <t>SKU22</t>
  </si>
  <si>
    <t>SKU23</t>
  </si>
  <si>
    <t>SKU24</t>
  </si>
  <si>
    <t>SKU25</t>
  </si>
  <si>
    <t>SKU26</t>
  </si>
  <si>
    <t>SKU27</t>
  </si>
  <si>
    <t>SKU28</t>
  </si>
  <si>
    <t>SKU29</t>
  </si>
  <si>
    <t>SKU30</t>
  </si>
  <si>
    <t>SKU31</t>
  </si>
  <si>
    <t>SKU32</t>
  </si>
  <si>
    <t>SKU33</t>
  </si>
  <si>
    <t>SKU34</t>
  </si>
  <si>
    <t>SKU35</t>
  </si>
  <si>
    <t>SKU36</t>
  </si>
  <si>
    <t>SKU37</t>
  </si>
  <si>
    <t>SKU38</t>
  </si>
  <si>
    <t>SKU39</t>
  </si>
  <si>
    <t>SKU40</t>
  </si>
  <si>
    <t>202112141050</t>
  </si>
  <si>
    <t>&gt; 使用前建議先複製最新的Category資料至Category sheets.</t>
    <phoneticPr fontId="19" type="noConversion"/>
  </si>
  <si>
    <t>當前工具版本: v2.7</t>
    <phoneticPr fontId="19" type="noConversion"/>
  </si>
  <si>
    <t>日期: 2022/6/28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</si>
</sst>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[$NT$-404]#,##0.00;[Red]\-[$NT$-404]#,##0.00"/>
    <numFmt numFmtId="177" formatCode="0_);[Red]\(0\)"/>
    <numFmt numFmtId="178" formatCode="m/d/yyyy"/>
    <numFmt numFmtId="179" formatCode="[$-409]d/mmm/yy;@"/>
    <numFmt numFmtId="180" formatCode="yyyy/m/d\ h:mm;@"/>
    <numFmt numFmtId="181" formatCode="0.00_);[Red]\(0.00\)"/>
  </numFmts>
  <fonts count="43">
    <font>
      <sz val="12"/>
      <color theme="1"/>
      <name val="新細明體"/>
      <family val="2"/>
      <scheme val="minor"/>
    </font>
    <font>
      <i/>
      <sz val="12"/>
      <color rgb="FF7F7F7F"/>
      <name val="新細明體"/>
      <family val="2"/>
      <charset val="134"/>
      <scheme val="minor"/>
    </font>
    <font>
      <sz val="9"/>
      <name val="新細明體"/>
      <family val="3"/>
      <charset val="134"/>
      <scheme val="minor"/>
    </font>
    <font>
      <sz val="9"/>
      <name val="細明體"/>
      <family val="3"/>
      <charset val="136"/>
    </font>
    <font>
      <sz val="10"/>
      <color rgb="FF333333"/>
      <name val="宋体"/>
    </font>
    <font>
      <sz val="12"/>
      <name val="新細明體"/>
      <family val="1"/>
      <charset val="136"/>
    </font>
    <font>
      <b/>
      <sz val="10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u/>
      <sz val="10"/>
      <name val="Calibri"/>
      <family val="2"/>
    </font>
    <font>
      <sz val="10"/>
      <name val="Calibri"/>
      <family val="2"/>
    </font>
    <font>
      <sz val="12"/>
      <color indexed="55"/>
      <name val="Arial"/>
      <family val="2"/>
      <charset val="134"/>
    </font>
    <font>
      <sz val="10"/>
      <color indexed="55"/>
      <name val="Calibri"/>
      <family val="2"/>
    </font>
    <font>
      <sz val="10"/>
      <color theme="1"/>
      <name val="Calibri"/>
      <family val="2"/>
    </font>
    <font>
      <sz val="10"/>
      <name val="宋体"/>
    </font>
    <font>
      <sz val="10"/>
      <color theme="1"/>
      <name val="宋体"/>
    </font>
    <font>
      <sz val="11"/>
      <color indexed="81"/>
      <name val="標楷體"/>
      <family val="4"/>
      <charset val="136"/>
    </font>
    <font>
      <b/>
      <sz val="11"/>
      <color indexed="81"/>
      <name val="標楷體"/>
      <family val="4"/>
      <charset val="136"/>
    </font>
    <font>
      <sz val="9"/>
      <name val="宋体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3"/>
      <charset val="134"/>
      <scheme val="minor"/>
    </font>
    <font>
      <sz val="12"/>
      <name val="宋体"/>
    </font>
    <font>
      <b/>
      <sz val="11"/>
      <color theme="0"/>
      <name val="Calibri"/>
      <family val="2"/>
    </font>
    <font>
      <b/>
      <sz val="11"/>
      <color rgb="FF333333"/>
      <name val="宋体"/>
    </font>
    <font>
      <b/>
      <sz val="9"/>
      <color theme="0"/>
      <name val="Calibri"/>
      <family val="2"/>
    </font>
    <font>
      <sz val="12"/>
      <color rgb="FF000000"/>
      <name val="新細明體"/>
      <family val="1"/>
      <charset val="136"/>
    </font>
    <font>
      <sz val="12"/>
      <color rgb="FF000000"/>
      <name val="Calibri"/>
      <family val="2"/>
    </font>
    <font>
      <sz val="12"/>
      <name val="Arial Unicode MS"/>
      <family val="2"/>
      <charset val="136"/>
    </font>
    <font>
      <sz val="10"/>
      <name val="Arial Unicode MS"/>
      <family val="2"/>
      <charset val="136"/>
    </font>
    <font>
      <sz val="10"/>
      <color rgb="FF333333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4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i/>
      <sz val="12"/>
      <color rgb="FF7F7F7F"/>
      <name val="新細明體"/>
      <family val="2"/>
      <charset val="136"/>
      <scheme val="minor"/>
    </font>
    <font>
      <sz val="16"/>
      <name val="Arial Unicode MS"/>
      <family val="2"/>
      <charset val="136"/>
    </font>
    <font>
      <sz val="10"/>
      <name val="標楷體"/>
      <family val="4"/>
      <charset val="136"/>
    </font>
    <font>
      <u/>
      <sz val="10"/>
      <color theme="1"/>
      <name val="Calibri"/>
      <family val="2"/>
    </font>
    <font>
      <sz val="10"/>
      <name val="Verdana"/>
      <family val="2"/>
      <charset val="134"/>
    </font>
    <font>
      <sz val="10"/>
      <name val="SimSun"/>
      <family val="3"/>
      <charset val="134"/>
    </font>
    <font>
      <u/>
      <sz val="10"/>
      <name val="細明體"/>
      <family val="3"/>
      <charset val="136"/>
    </font>
    <font>
      <sz val="12"/>
      <name val="Calibri"/>
      <family val="2"/>
    </font>
    <font>
      <sz val="10"/>
      <color rgb="FF333333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9999FF"/>
      </patternFill>
    </fill>
    <fill>
      <patternFill patternType="solid">
        <fgColor rgb="FFFFCC99"/>
        <bgColor rgb="FFC0C0C0"/>
      </patternFill>
    </fill>
    <fill>
      <patternFill patternType="solid">
        <fgColor theme="3" tint="0.79998168889431442"/>
        <bgColor rgb="FF9999FF"/>
      </patternFill>
    </fill>
    <fill>
      <patternFill patternType="solid">
        <fgColor theme="0"/>
        <bgColor rgb="FFCCCCFF"/>
      </patternFill>
    </fill>
    <fill>
      <patternFill patternType="solid">
        <fgColor theme="3"/>
        <bgColor rgb="FFCCFFFF"/>
      </patternFill>
    </fill>
    <fill>
      <patternFill patternType="solid">
        <fgColor theme="3"/>
        <bgColor rgb="FFC0C0C0"/>
      </patternFill>
    </fill>
    <fill>
      <patternFill patternType="solid">
        <fgColor theme="6" tint="-0.249977111117893"/>
        <bgColor rgb="FFCCFFFF"/>
      </patternFill>
    </fill>
    <fill>
      <patternFill patternType="solid">
        <fgColor theme="9" tint="-0.499984740745262"/>
        <bgColor rgb="FFCCFFFF"/>
      </patternFill>
    </fill>
    <fill>
      <patternFill patternType="solid">
        <fgColor theme="9" tint="-0.499984740745262"/>
        <bgColor rgb="FFC0C0C0"/>
      </patternFill>
    </fill>
    <fill>
      <patternFill patternType="solid">
        <fgColor theme="9"/>
        <bgColor rgb="FFCCFFFF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99FF"/>
        <bgColor rgb="FF9999FF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176" fontId="11" fillId="0" borderId="0">
      <alignment vertical="center"/>
    </xf>
    <xf numFmtId="176" fontId="11" fillId="0" borderId="0">
      <alignment vertical="center"/>
    </xf>
    <xf numFmtId="179" fontId="20" fillId="0" borderId="0">
      <alignment vertical="center"/>
    </xf>
    <xf numFmtId="0" fontId="34" fillId="0" borderId="0" applyNumberFormat="0" applyFill="0" applyBorder="0" applyAlignment="0" applyProtection="0">
      <alignment vertical="center"/>
    </xf>
  </cellStyleXfs>
  <cellXfs count="135">
    <xf numFmtId="0" fontId="0" fillId="0" borderId="0" xfId="0"/>
    <xf numFmtId="49" fontId="10" fillId="2" borderId="1" xfId="1" applyNumberFormat="1" applyFont="1" applyFill="1" applyBorder="1" applyAlignment="1">
      <alignment horizontal="center" vertical="center"/>
    </xf>
    <xf numFmtId="49" fontId="7" fillId="4" borderId="1" xfId="1" applyNumberFormat="1" applyFont="1" applyFill="1" applyBorder="1" applyAlignment="1">
      <alignment vertical="center" wrapText="1"/>
    </xf>
    <xf numFmtId="49" fontId="8" fillId="4" borderId="1" xfId="1" applyNumberFormat="1" applyFont="1" applyFill="1" applyBorder="1" applyAlignment="1">
      <alignment vertical="center" wrapText="1"/>
    </xf>
    <xf numFmtId="49" fontId="12" fillId="2" borderId="1" xfId="3" applyNumberFormat="1" applyFont="1" applyFill="1" applyBorder="1" applyAlignment="1">
      <alignment horizontal="center" vertical="center"/>
    </xf>
    <xf numFmtId="49" fontId="10" fillId="2" borderId="1" xfId="3" applyNumberFormat="1" applyFont="1" applyFill="1" applyBorder="1" applyAlignment="1">
      <alignment horizontal="center" vertical="center"/>
    </xf>
    <xf numFmtId="49" fontId="13" fillId="2" borderId="1" xfId="1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6" fillId="3" borderId="1" xfId="1" applyNumberFormat="1" applyFont="1" applyFill="1" applyBorder="1" applyAlignment="1">
      <alignment horizontal="center" vertical="center"/>
    </xf>
    <xf numFmtId="49" fontId="6" fillId="3" borderId="1" xfId="1" applyNumberFormat="1" applyFont="1" applyFill="1" applyBorder="1" applyAlignment="1">
      <alignment vertical="center"/>
    </xf>
    <xf numFmtId="49" fontId="6" fillId="5" borderId="1" xfId="1" applyNumberFormat="1" applyFont="1" applyFill="1" applyBorder="1" applyAlignment="1">
      <alignment vertical="center"/>
    </xf>
    <xf numFmtId="49" fontId="6" fillId="5" borderId="1" xfId="1" applyNumberFormat="1" applyFont="1" applyFill="1" applyBorder="1" applyAlignment="1">
      <alignment horizontal="center" vertical="center"/>
    </xf>
    <xf numFmtId="49" fontId="6" fillId="5" borderId="1" xfId="1" applyNumberFormat="1" applyFont="1" applyFill="1" applyBorder="1" applyAlignment="1">
      <alignment horizontal="center" vertical="center" wrapText="1"/>
    </xf>
    <xf numFmtId="49" fontId="6" fillId="5" borderId="1" xfId="1" applyNumberFormat="1" applyFont="1" applyFill="1" applyBorder="1" applyAlignment="1">
      <alignment vertical="center" wrapText="1"/>
    </xf>
    <xf numFmtId="49" fontId="7" fillId="4" borderId="2" xfId="1" applyNumberFormat="1" applyFont="1" applyFill="1" applyBorder="1" applyAlignment="1">
      <alignment vertical="center" wrapText="1"/>
    </xf>
    <xf numFmtId="49" fontId="7" fillId="0" borderId="2" xfId="1" applyNumberFormat="1" applyFont="1" applyFill="1" applyBorder="1" applyAlignment="1">
      <alignment vertical="center" wrapText="1"/>
    </xf>
    <xf numFmtId="49" fontId="22" fillId="7" borderId="2" xfId="1" applyNumberFormat="1" applyFont="1" applyFill="1" applyBorder="1" applyAlignment="1">
      <alignment vertical="center" wrapText="1"/>
    </xf>
    <xf numFmtId="49" fontId="22" fillId="8" borderId="2" xfId="1" applyNumberFormat="1" applyFont="1" applyFill="1" applyBorder="1" applyAlignment="1">
      <alignment vertical="center" wrapText="1"/>
    </xf>
    <xf numFmtId="49" fontId="23" fillId="0" borderId="0" xfId="1" applyNumberFormat="1" applyFont="1" applyBorder="1" applyAlignment="1">
      <alignment vertical="center"/>
    </xf>
    <xf numFmtId="49" fontId="22" fillId="9" borderId="2" xfId="1" applyNumberFormat="1" applyFont="1" applyFill="1" applyBorder="1" applyAlignment="1">
      <alignment vertical="center" wrapText="1"/>
    </xf>
    <xf numFmtId="49" fontId="22" fillId="10" borderId="2" xfId="1" applyNumberFormat="1" applyFont="1" applyFill="1" applyBorder="1" applyAlignment="1">
      <alignment vertical="center" wrapText="1"/>
    </xf>
    <xf numFmtId="49" fontId="22" fillId="11" borderId="2" xfId="1" applyNumberFormat="1" applyFont="1" applyFill="1" applyBorder="1" applyAlignment="1">
      <alignment vertical="center" wrapText="1"/>
    </xf>
    <xf numFmtId="49" fontId="22" fillId="10" borderId="3" xfId="1" applyNumberFormat="1" applyFont="1" applyFill="1" applyBorder="1" applyAlignment="1">
      <alignment vertical="center" wrapText="1"/>
    </xf>
    <xf numFmtId="49" fontId="24" fillId="13" borderId="1" xfId="0" applyNumberFormat="1" applyFont="1" applyFill="1" applyBorder="1" applyAlignment="1">
      <alignment horizontal="center" vertical="center" wrapText="1"/>
    </xf>
    <xf numFmtId="49" fontId="22" fillId="12" borderId="2" xfId="1" applyNumberFormat="1" applyFont="1" applyFill="1" applyBorder="1" applyAlignment="1">
      <alignment vertical="center" wrapText="1"/>
    </xf>
    <xf numFmtId="49" fontId="21" fillId="0" borderId="1" xfId="0" applyNumberFormat="1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49" fontId="9" fillId="2" borderId="1" xfId="1" applyNumberFormat="1" applyFont="1" applyFill="1" applyBorder="1" applyAlignment="1">
      <alignment vertical="center"/>
    </xf>
    <xf numFmtId="49" fontId="10" fillId="0" borderId="1" xfId="1" applyNumberFormat="1" applyFont="1" applyFill="1" applyBorder="1" applyAlignment="1">
      <alignment vertical="center" wrapText="1"/>
    </xf>
    <xf numFmtId="49" fontId="0" fillId="0" borderId="1" xfId="0" applyNumberFormat="1" applyBorder="1" applyAlignment="1">
      <alignment vertical="center"/>
    </xf>
    <xf numFmtId="49" fontId="10" fillId="6" borderId="1" xfId="1" applyNumberFormat="1" applyFont="1" applyFill="1" applyBorder="1" applyAlignment="1">
      <alignment horizontal="left" vertical="center" wrapText="1"/>
    </xf>
    <xf numFmtId="49" fontId="10" fillId="6" borderId="1" xfId="1" applyNumberFormat="1" applyFont="1" applyFill="1" applyBorder="1" applyAlignment="1">
      <alignment horizontal="left" vertical="center"/>
    </xf>
    <xf numFmtId="49" fontId="10" fillId="2" borderId="1" xfId="1" applyNumberFormat="1" applyFont="1" applyFill="1" applyBorder="1" applyAlignment="1">
      <alignment horizontal="left" vertical="center" wrapText="1"/>
    </xf>
    <xf numFmtId="49" fontId="10" fillId="2" borderId="1" xfId="1" applyNumberFormat="1" applyFont="1" applyFill="1" applyBorder="1" applyAlignment="1">
      <alignment horizontal="left" vertical="center"/>
    </xf>
    <xf numFmtId="49" fontId="4" fillId="0" borderId="0" xfId="1" applyNumberFormat="1" applyFont="1" applyBorder="1" applyAlignment="1">
      <alignment vertical="center"/>
    </xf>
    <xf numFmtId="49" fontId="14" fillId="0" borderId="0" xfId="1" applyNumberFormat="1" applyFont="1" applyBorder="1" applyAlignment="1">
      <alignment horizontal="left" vertical="center"/>
    </xf>
    <xf numFmtId="49" fontId="14" fillId="0" borderId="0" xfId="1" applyNumberFormat="1" applyFont="1" applyBorder="1" applyAlignment="1">
      <alignment vertical="center"/>
    </xf>
    <xf numFmtId="49" fontId="4" fillId="0" borderId="0" xfId="1" applyNumberFormat="1" applyFont="1" applyBorder="1" applyAlignment="1">
      <alignment horizontal="left" vertical="center"/>
    </xf>
    <xf numFmtId="49" fontId="4" fillId="0" borderId="0" xfId="1" applyNumberFormat="1" applyFont="1" applyBorder="1" applyAlignment="1">
      <alignment horizontal="center" vertical="center"/>
    </xf>
    <xf numFmtId="49" fontId="4" fillId="0" borderId="0" xfId="1" applyNumberFormat="1" applyFont="1" applyBorder="1" applyAlignment="1">
      <alignment horizontal="center" vertical="center" wrapText="1"/>
    </xf>
    <xf numFmtId="49" fontId="15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Border="1" applyAlignment="1">
      <alignment horizontal="left" vertical="center" wrapText="1"/>
    </xf>
    <xf numFmtId="0" fontId="28" fillId="0" borderId="0" xfId="1" applyNumberFormat="1" applyFont="1" applyBorder="1" applyAlignment="1">
      <alignment horizontal="left" vertical="center"/>
    </xf>
    <xf numFmtId="178" fontId="29" fillId="0" borderId="0" xfId="1" applyNumberFormat="1" applyFont="1" applyBorder="1" applyAlignment="1">
      <alignment horizontal="left" vertical="center"/>
    </xf>
    <xf numFmtId="176" fontId="29" fillId="0" borderId="0" xfId="1" applyNumberFormat="1" applyFont="1" applyBorder="1" applyAlignment="1">
      <alignment horizontal="left" vertical="center"/>
    </xf>
    <xf numFmtId="176" fontId="29" fillId="0" borderId="0" xfId="1" applyNumberFormat="1" applyFont="1" applyBorder="1" applyAlignment="1">
      <alignment horizontal="center" vertical="center"/>
    </xf>
    <xf numFmtId="177" fontId="29" fillId="0" borderId="0" xfId="1" applyNumberFormat="1" applyFont="1" applyBorder="1" applyAlignment="1">
      <alignment horizontal="center" vertical="center" wrapText="1"/>
    </xf>
    <xf numFmtId="177" fontId="30" fillId="0" borderId="0" xfId="1" applyNumberFormat="1" applyFont="1" applyBorder="1" applyAlignment="1">
      <alignment horizontal="center" vertical="center" wrapText="1"/>
    </xf>
    <xf numFmtId="176" fontId="29" fillId="0" borderId="0" xfId="1" applyNumberFormat="1" applyFont="1" applyBorder="1" applyAlignment="1">
      <alignment horizontal="center" vertical="center" wrapText="1"/>
    </xf>
    <xf numFmtId="176" fontId="29" fillId="0" borderId="0" xfId="1" applyNumberFormat="1" applyFont="1" applyBorder="1" applyAlignment="1">
      <alignment horizontal="left" vertical="center" wrapText="1"/>
    </xf>
    <xf numFmtId="0" fontId="27" fillId="0" borderId="0" xfId="0" applyFont="1" applyAlignment="1">
      <alignment vertical="center"/>
    </xf>
    <xf numFmtId="0" fontId="27" fillId="0" borderId="5" xfId="0" applyFont="1" applyBorder="1" applyAlignment="1">
      <alignment horizontal="center" vertical="center"/>
    </xf>
    <xf numFmtId="176" fontId="28" fillId="0" borderId="0" xfId="1" applyNumberFormat="1" applyFont="1" applyBorder="1" applyAlignment="1">
      <alignment horizontal="center" vertical="center"/>
    </xf>
    <xf numFmtId="176" fontId="28" fillId="0" borderId="10" xfId="1" applyNumberFormat="1" applyFont="1" applyBorder="1" applyAlignment="1">
      <alignment horizontal="center" vertical="center"/>
    </xf>
    <xf numFmtId="176" fontId="28" fillId="0" borderId="0" xfId="1" applyNumberFormat="1" applyFont="1" applyBorder="1" applyAlignment="1">
      <alignment horizontal="left" vertical="center"/>
    </xf>
    <xf numFmtId="176" fontId="28" fillId="0" borderId="10" xfId="1" applyNumberFormat="1" applyFont="1" applyBorder="1" applyAlignment="1">
      <alignment horizontal="left" vertical="center"/>
    </xf>
    <xf numFmtId="0" fontId="27" fillId="0" borderId="6" xfId="0" applyFont="1" applyBorder="1" applyAlignment="1">
      <alignment horizontal="center" vertical="center"/>
    </xf>
    <xf numFmtId="176" fontId="28" fillId="0" borderId="7" xfId="1" applyNumberFormat="1" applyFont="1" applyBorder="1" applyAlignment="1">
      <alignment horizontal="left" vertical="center"/>
    </xf>
    <xf numFmtId="176" fontId="28" fillId="0" borderId="11" xfId="1" applyNumberFormat="1" applyFont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176" fontId="28" fillId="0" borderId="0" xfId="1" applyNumberFormat="1" applyFont="1" applyBorder="1" applyAlignment="1">
      <alignment vertical="center"/>
    </xf>
    <xf numFmtId="176" fontId="32" fillId="0" borderId="0" xfId="1" applyNumberFormat="1" applyFont="1" applyBorder="1" applyAlignment="1">
      <alignment horizontal="left" vertical="center"/>
    </xf>
    <xf numFmtId="180" fontId="28" fillId="0" borderId="0" xfId="1" applyNumberFormat="1" applyFont="1" applyBorder="1" applyAlignment="1">
      <alignment horizontal="center" vertical="center"/>
    </xf>
    <xf numFmtId="0" fontId="28" fillId="0" borderId="0" xfId="1" applyNumberFormat="1" applyFont="1" applyBorder="1" applyAlignment="1">
      <alignment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5" fillId="14" borderId="8" xfId="0" applyFont="1" applyFill="1" applyBorder="1" applyAlignment="1">
      <alignment horizontal="center" vertical="center"/>
    </xf>
    <xf numFmtId="0" fontId="35" fillId="14" borderId="4" xfId="0" applyFont="1" applyFill="1" applyBorder="1" applyAlignment="1">
      <alignment horizontal="center" vertical="center"/>
    </xf>
    <xf numFmtId="0" fontId="35" fillId="14" borderId="9" xfId="0" applyFont="1" applyFill="1" applyBorder="1" applyAlignment="1">
      <alignment horizontal="center" vertical="center"/>
    </xf>
    <xf numFmtId="176" fontId="10" fillId="6" borderId="1" xfId="1" applyNumberFormat="1" applyFont="1" applyFill="1" applyBorder="1" applyAlignment="1">
      <alignment vertical="center" wrapText="1"/>
    </xf>
    <xf numFmtId="176" fontId="10" fillId="0" borderId="1" xfId="1" applyNumberFormat="1" applyFont="1" applyFill="1" applyBorder="1" applyAlignment="1">
      <alignment vertical="center" wrapText="1"/>
    </xf>
    <xf numFmtId="176" fontId="10" fillId="6" borderId="1" xfId="1" applyNumberFormat="1" applyFont="1" applyFill="1" applyBorder="1" applyAlignment="1">
      <alignment horizontal="left" vertical="center" wrapText="1"/>
    </xf>
    <xf numFmtId="176" fontId="10" fillId="2" borderId="1" xfId="1" applyNumberFormat="1" applyFont="1" applyFill="1" applyBorder="1" applyAlignment="1">
      <alignment vertical="center" wrapText="1"/>
    </xf>
    <xf numFmtId="176" fontId="10" fillId="15" borderId="1" xfId="1" applyNumberFormat="1" applyFont="1" applyFill="1" applyBorder="1" applyAlignment="1">
      <alignment vertical="center" wrapText="1"/>
    </xf>
    <xf numFmtId="176" fontId="10" fillId="0" borderId="1" xfId="1" applyNumberFormat="1" applyFont="1" applyFill="1" applyBorder="1" applyAlignment="1">
      <alignment vertical="center"/>
    </xf>
    <xf numFmtId="176" fontId="10" fillId="0" borderId="1" xfId="1" applyNumberFormat="1" applyFont="1" applyFill="1" applyBorder="1" applyAlignment="1">
      <alignment horizontal="left" vertical="center" wrapText="1"/>
    </xf>
    <xf numFmtId="178" fontId="6" fillId="6" borderId="12" xfId="1" applyNumberFormat="1" applyFont="1" applyFill="1" applyBorder="1" applyAlignment="1">
      <alignment horizontal="left" vertical="center" wrapText="1"/>
    </xf>
    <xf numFmtId="176" fontId="10" fillId="16" borderId="1" xfId="1" applyNumberFormat="1" applyFont="1" applyFill="1" applyBorder="1" applyAlignment="1">
      <alignment vertical="center" wrapText="1"/>
    </xf>
    <xf numFmtId="176" fontId="10" fillId="0" borderId="1" xfId="1" applyNumberFormat="1" applyFont="1" applyFill="1" applyBorder="1" applyAlignment="1">
      <alignment horizontal="left" vertical="center"/>
    </xf>
    <xf numFmtId="176" fontId="10" fillId="2" borderId="1" xfId="1" applyNumberFormat="1" applyFont="1" applyFill="1" applyBorder="1" applyAlignment="1">
      <alignment horizontal="left" vertical="center"/>
    </xf>
    <xf numFmtId="176" fontId="10" fillId="6" borderId="1" xfId="1" applyNumberFormat="1" applyFont="1" applyFill="1" applyBorder="1" applyAlignment="1">
      <alignment horizontal="left" vertical="center"/>
    </xf>
    <xf numFmtId="176" fontId="10" fillId="2" borderId="1" xfId="1" applyNumberFormat="1" applyFont="1" applyFill="1" applyBorder="1" applyAlignment="1">
      <alignment vertical="center"/>
    </xf>
    <xf numFmtId="176" fontId="10" fillId="0" borderId="1" xfId="1" applyNumberFormat="1" applyFont="1" applyBorder="1" applyAlignment="1">
      <alignment horizontal="left" vertical="center"/>
    </xf>
    <xf numFmtId="176" fontId="6" fillId="17" borderId="1" xfId="1" applyNumberFormat="1" applyFont="1" applyFill="1" applyBorder="1" applyAlignment="1">
      <alignment horizontal="center" vertical="center"/>
    </xf>
    <xf numFmtId="176" fontId="9" fillId="2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76" fontId="9" fillId="6" borderId="1" xfId="1" applyNumberFormat="1" applyFont="1" applyFill="1" applyBorder="1">
      <alignment vertical="center"/>
    </xf>
    <xf numFmtId="14" fontId="10" fillId="2" borderId="1" xfId="1" applyNumberFormat="1" applyFont="1" applyFill="1" applyBorder="1" applyAlignment="1">
      <alignment horizontal="left" vertical="center" wrapText="1"/>
    </xf>
    <xf numFmtId="176" fontId="9" fillId="2" borderId="1" xfId="1" applyNumberFormat="1" applyFont="1" applyFill="1" applyBorder="1" applyAlignment="1" applyProtection="1">
      <alignment vertical="center" wrapText="1"/>
    </xf>
    <xf numFmtId="176" fontId="10" fillId="0" borderId="1" xfId="1" applyNumberFormat="1" applyFont="1" applyFill="1" applyBorder="1">
      <alignment vertical="center"/>
    </xf>
    <xf numFmtId="176" fontId="9" fillId="6" borderId="1" xfId="1" applyNumberFormat="1" applyFont="1" applyFill="1" applyBorder="1" applyAlignment="1">
      <alignment horizontal="left" vertical="center"/>
    </xf>
    <xf numFmtId="176" fontId="9" fillId="0" borderId="1" xfId="1" applyNumberFormat="1" applyFont="1" applyFill="1" applyBorder="1" applyAlignment="1">
      <alignment horizontal="left" vertical="center"/>
    </xf>
    <xf numFmtId="176" fontId="9" fillId="16" borderId="1" xfId="1" applyNumberFormat="1" applyFont="1" applyFill="1" applyBorder="1">
      <alignment vertical="center"/>
    </xf>
    <xf numFmtId="176" fontId="37" fillId="0" borderId="1" xfId="1" applyNumberFormat="1" applyFont="1" applyFill="1" applyBorder="1">
      <alignment vertical="center"/>
    </xf>
    <xf numFmtId="176" fontId="37" fillId="16" borderId="1" xfId="1" applyNumberFormat="1" applyFont="1" applyFill="1" applyBorder="1">
      <alignment vertical="center"/>
    </xf>
    <xf numFmtId="176" fontId="13" fillId="16" borderId="1" xfId="1" applyNumberFormat="1" applyFont="1" applyFill="1" applyBorder="1" applyAlignment="1">
      <alignment vertical="center" wrapText="1"/>
    </xf>
    <xf numFmtId="176" fontId="13" fillId="0" borderId="1" xfId="1" applyNumberFormat="1" applyFont="1" applyFill="1" applyBorder="1" applyAlignment="1">
      <alignment vertical="center" wrapText="1"/>
    </xf>
    <xf numFmtId="176" fontId="9" fillId="0" borderId="1" xfId="1" applyNumberFormat="1" applyFont="1" applyBorder="1">
      <alignment vertical="center"/>
    </xf>
    <xf numFmtId="178" fontId="10" fillId="6" borderId="1" xfId="1" applyNumberFormat="1" applyFont="1" applyFill="1" applyBorder="1" applyAlignment="1">
      <alignment horizontal="left" vertical="center" wrapText="1"/>
    </xf>
    <xf numFmtId="176" fontId="9" fillId="2" borderId="1" xfId="1" applyNumberFormat="1" applyFont="1" applyFill="1" applyBorder="1" applyAlignment="1" applyProtection="1">
      <alignment horizontal="left" vertical="center" wrapText="1"/>
    </xf>
    <xf numFmtId="0" fontId="10" fillId="2" borderId="1" xfId="0" applyFont="1" applyFill="1" applyBorder="1" applyAlignment="1">
      <alignment horizontal="left" vertical="center" wrapText="1"/>
    </xf>
    <xf numFmtId="176" fontId="10" fillId="2" borderId="1" xfId="1" applyNumberFormat="1" applyFont="1" applyFill="1" applyBorder="1">
      <alignment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vertical="center" wrapText="1"/>
    </xf>
    <xf numFmtId="176" fontId="9" fillId="6" borderId="1" xfId="1" applyNumberFormat="1" applyFont="1" applyFill="1" applyBorder="1" applyAlignment="1" applyProtection="1">
      <alignment vertical="center" wrapText="1"/>
    </xf>
    <xf numFmtId="0" fontId="10" fillId="2" borderId="1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horizontal="left" vertical="center" wrapText="1"/>
    </xf>
    <xf numFmtId="176" fontId="13" fillId="0" borderId="1" xfId="1" applyNumberFormat="1" applyFont="1" applyFill="1" applyBorder="1" applyAlignment="1">
      <alignment vertical="center"/>
    </xf>
    <xf numFmtId="176" fontId="13" fillId="0" borderId="1" xfId="1" applyNumberFormat="1" applyFont="1" applyFill="1" applyBorder="1" applyAlignment="1">
      <alignment horizontal="left" vertical="center"/>
    </xf>
    <xf numFmtId="176" fontId="10" fillId="0" borderId="1" xfId="1" applyNumberFormat="1" applyFont="1" applyBorder="1" applyAlignment="1">
      <alignment horizontal="left" vertical="center" wrapText="1"/>
    </xf>
    <xf numFmtId="176" fontId="10" fillId="0" borderId="1" xfId="1" applyNumberFormat="1" applyFont="1" applyBorder="1" applyAlignment="1">
      <alignment vertical="center" wrapText="1"/>
    </xf>
    <xf numFmtId="178" fontId="13" fillId="0" borderId="1" xfId="1" applyNumberFormat="1" applyFont="1" applyFill="1" applyBorder="1" applyAlignment="1">
      <alignment horizontal="left" vertical="center"/>
    </xf>
    <xf numFmtId="176" fontId="6" fillId="0" borderId="13" xfId="1" applyNumberFormat="1" applyFont="1" applyFill="1" applyBorder="1" applyAlignment="1">
      <alignment horizontal="left" vertical="center"/>
    </xf>
    <xf numFmtId="0" fontId="33" fillId="0" borderId="0" xfId="0" applyFont="1" applyAlignment="1">
      <alignment horizontal="left" vertical="center"/>
    </xf>
    <xf numFmtId="176" fontId="9" fillId="15" borderId="1" xfId="1" applyNumberFormat="1" applyFont="1" applyFill="1" applyBorder="1">
      <alignment vertical="center"/>
    </xf>
    <xf numFmtId="176" fontId="10" fillId="2" borderId="1" xfId="1" applyNumberFormat="1" applyFont="1" applyFill="1" applyBorder="1" applyAlignment="1">
      <alignment horizontal="left" vertical="center" wrapText="1"/>
    </xf>
    <xf numFmtId="178" fontId="6" fillId="0" borderId="12" xfId="1" applyNumberFormat="1" applyFont="1" applyFill="1" applyBorder="1" applyAlignment="1">
      <alignment horizontal="left" vertical="center" wrapText="1"/>
    </xf>
    <xf numFmtId="176" fontId="13" fillId="2" borderId="1" xfId="1" applyNumberFormat="1" applyFont="1" applyFill="1" applyBorder="1" applyAlignment="1">
      <alignment horizontal="left" vertical="center"/>
    </xf>
    <xf numFmtId="176" fontId="13" fillId="2" borderId="1" xfId="1" applyNumberFormat="1" applyFont="1" applyFill="1" applyBorder="1" applyAlignment="1">
      <alignment vertical="center"/>
    </xf>
    <xf numFmtId="49" fontId="24" fillId="13" borderId="2" xfId="0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176" fontId="10" fillId="0" borderId="0" xfId="1" applyNumberFormat="1" applyFont="1" applyBorder="1" applyAlignment="1">
      <alignment horizontal="left" vertical="center"/>
    </xf>
    <xf numFmtId="0" fontId="10" fillId="0" borderId="0" xfId="1" applyNumberFormat="1" applyFont="1" applyBorder="1" applyAlignment="1">
      <alignment horizontal="left" vertical="center"/>
    </xf>
    <xf numFmtId="176" fontId="10" fillId="0" borderId="0" xfId="1" applyNumberFormat="1" applyFont="1" applyBorder="1" applyAlignment="1">
      <alignment vertical="center"/>
    </xf>
    <xf numFmtId="178" fontId="42" fillId="0" borderId="0" xfId="1" applyNumberFormat="1" applyFont="1" applyBorder="1" applyAlignment="1">
      <alignment horizontal="left" vertical="center"/>
    </xf>
    <xf numFmtId="176" fontId="42" fillId="0" borderId="0" xfId="1" applyNumberFormat="1" applyFont="1" applyBorder="1" applyAlignment="1">
      <alignment horizontal="left" vertical="center"/>
    </xf>
    <xf numFmtId="176" fontId="42" fillId="0" borderId="0" xfId="1" applyNumberFormat="1" applyFont="1" applyBorder="1" applyAlignment="1">
      <alignment horizontal="center" vertical="center"/>
    </xf>
    <xf numFmtId="0" fontId="42" fillId="0" borderId="0" xfId="1" applyNumberFormat="1" applyFont="1" applyBorder="1" applyAlignment="1">
      <alignment horizontal="center" vertical="center" wrapText="1"/>
    </xf>
    <xf numFmtId="177" fontId="42" fillId="0" borderId="0" xfId="1" applyNumberFormat="1" applyFont="1" applyBorder="1" applyAlignment="1">
      <alignment horizontal="center" vertical="center" wrapText="1"/>
    </xf>
    <xf numFmtId="177" fontId="13" fillId="0" borderId="0" xfId="1" applyNumberFormat="1" applyFont="1" applyBorder="1" applyAlignment="1">
      <alignment horizontal="center" vertical="center" wrapText="1"/>
    </xf>
    <xf numFmtId="176" fontId="42" fillId="0" borderId="0" xfId="1" applyNumberFormat="1" applyFont="1" applyBorder="1" applyAlignment="1">
      <alignment horizontal="center" vertical="center" wrapText="1"/>
    </xf>
    <xf numFmtId="176" fontId="42" fillId="0" borderId="0" xfId="1" applyNumberFormat="1" applyFont="1" applyBorder="1" applyAlignment="1">
      <alignment horizontal="left" vertical="center" wrapText="1"/>
    </xf>
    <xf numFmtId="181" fontId="42" fillId="0" borderId="0" xfId="1" applyNumberFormat="1" applyFont="1" applyBorder="1" applyAlignment="1">
      <alignment horizontal="center" vertical="center" wrapText="1"/>
    </xf>
    <xf numFmtId="176" fontId="31" fillId="0" borderId="10" xfId="1" applyNumberFormat="1" applyFont="1" applyBorder="1" applyAlignment="1">
      <alignment horizontal="center" vertical="center" wrapText="1"/>
    </xf>
    <xf numFmtId="176" fontId="31" fillId="0" borderId="11" xfId="1" applyNumberFormat="1" applyFont="1" applyBorder="1" applyAlignment="1">
      <alignment horizontal="center" vertical="center" wrapText="1"/>
    </xf>
  </cellXfs>
  <cellStyles count="7">
    <cellStyle name="Excel Built-in Explanatory Text" xfId="3"/>
    <cellStyle name="一般" xfId="0" builtinId="0"/>
    <cellStyle name="一般 13 3" xfId="2"/>
    <cellStyle name="常规 11" xfId="5"/>
    <cellStyle name="說明文字" xfId="1" builtinId="53"/>
    <cellStyle name="說明文字 2" xfId="4"/>
    <cellStyle name="說明文字 3" xfId="6"/>
  </cellStyles>
  <dxfs count="13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theme="0" tint="-0.34998626667073579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2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3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4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5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6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7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8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9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0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1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2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6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7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8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39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0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1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2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3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4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6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7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8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59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60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61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62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63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64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21056</xdr:rowOff>
    </xdr:to>
    <xdr:sp macro="" textlink="">
      <xdr:nvSpPr>
        <xdr:cNvPr id="1465" name="CustomShape 1" hidden="1"/>
        <xdr:cNvSpPr/>
      </xdr:nvSpPr>
      <xdr:spPr>
        <a:xfrm>
          <a:off x="50800" y="0"/>
          <a:ext cx="9934724" cy="8733256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5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6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7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8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19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0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1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1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1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3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24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25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26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6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2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0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1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3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4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6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3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0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0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1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1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47</xdr:row>
      <xdr:rowOff>124772</xdr:rowOff>
    </xdr:to>
    <xdr:sp macro="" textlink="">
      <xdr:nvSpPr>
        <xdr:cNvPr id="42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3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3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4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517674</xdr:colOff>
      <xdr:row>43</xdr:row>
      <xdr:rowOff>93022</xdr:rowOff>
    </xdr:to>
    <xdr:sp macro="" textlink="">
      <xdr:nvSpPr>
        <xdr:cNvPr id="45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66</xdr:row>
      <xdr:rowOff>75937</xdr:rowOff>
    </xdr:to>
    <xdr:sp macro="" textlink="">
      <xdr:nvSpPr>
        <xdr:cNvPr id="4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3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3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4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5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6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7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8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69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0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1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2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3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4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0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1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2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3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4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5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6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7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8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90148</xdr:rowOff>
    </xdr:to>
    <xdr:sp macro="" textlink="">
      <xdr:nvSpPr>
        <xdr:cNvPr id="4759" name="CustomShape 1" hidden="1"/>
        <xdr:cNvSpPr/>
      </xdr:nvSpPr>
      <xdr:spPr>
        <a:xfrm>
          <a:off x="50800" y="0"/>
          <a:ext cx="5760657" cy="116344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49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0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1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2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3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4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5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6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7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8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1207</xdr:colOff>
      <xdr:row>60</xdr:row>
      <xdr:rowOff>120387</xdr:rowOff>
    </xdr:to>
    <xdr:sp macro="" textlink="">
      <xdr:nvSpPr>
        <xdr:cNvPr id="59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8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599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0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1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2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3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4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5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6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7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8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2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3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4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5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6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7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8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099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100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29</xdr:col>
      <xdr:colOff>426693</xdr:colOff>
      <xdr:row>569</xdr:row>
      <xdr:rowOff>68448</xdr:rowOff>
    </xdr:to>
    <xdr:sp macro="" textlink="">
      <xdr:nvSpPr>
        <xdr:cNvPr id="6101" name="CustomShape 1" hidden="1"/>
        <xdr:cNvSpPr/>
      </xdr:nvSpPr>
      <xdr:spPr>
        <a:xfrm>
          <a:off x="50800" y="0"/>
          <a:ext cx="9938993" cy="982204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0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0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0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0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0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0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0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0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1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2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3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4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5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6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7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8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19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0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4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5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6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7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8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19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20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21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22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987</xdr:row>
      <xdr:rowOff>104965</xdr:rowOff>
    </xdr:to>
    <xdr:sp macro="" textlink="">
      <xdr:nvSpPr>
        <xdr:cNvPr id="6223" name="CustomShape 1" hidden="1"/>
        <xdr:cNvSpPr/>
      </xdr:nvSpPr>
      <xdr:spPr>
        <a:xfrm>
          <a:off x="50800" y="0"/>
          <a:ext cx="5759750" cy="11623865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2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2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2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2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2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2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3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4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5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6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7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8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29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0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1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2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3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4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4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4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4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4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42</xdr:row>
      <xdr:rowOff>194622</xdr:rowOff>
    </xdr:to>
    <xdr:sp macro="" textlink="">
      <xdr:nvSpPr>
        <xdr:cNvPr id="634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4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4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4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4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5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6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7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8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39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0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1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2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3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4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8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59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60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61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62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63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64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65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66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16822</xdr:rowOff>
    </xdr:to>
    <xdr:sp macro="" textlink="">
      <xdr:nvSpPr>
        <xdr:cNvPr id="6467" name="CustomShape 1" hidden="1"/>
        <xdr:cNvSpPr/>
      </xdr:nvSpPr>
      <xdr:spPr>
        <a:xfrm>
          <a:off x="50800" y="0"/>
          <a:ext cx="99220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6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6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7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8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49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0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1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2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3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4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5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6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7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47</xdr:row>
      <xdr:rowOff>108897</xdr:rowOff>
    </xdr:to>
    <xdr:sp macro="" textlink="">
      <xdr:nvSpPr>
        <xdr:cNvPr id="658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59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0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1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2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3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4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5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6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7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8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69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2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3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4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5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6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7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8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09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10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300</xdr:colOff>
      <xdr:row>66</xdr:row>
      <xdr:rowOff>38744</xdr:rowOff>
    </xdr:to>
    <xdr:sp macro="" textlink="">
      <xdr:nvSpPr>
        <xdr:cNvPr id="6711" name="CustomShape 1" hidden="1"/>
        <xdr:cNvSpPr/>
      </xdr:nvSpPr>
      <xdr:spPr>
        <a:xfrm>
          <a:off x="50800" y="0"/>
          <a:ext cx="5759750" cy="1162114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1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1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1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1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1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1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1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1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2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3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4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5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6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7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8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79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0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1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4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5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6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7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8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29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30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31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32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19</xdr:col>
      <xdr:colOff>73174</xdr:colOff>
      <xdr:row>43</xdr:row>
      <xdr:rowOff>77147</xdr:rowOff>
    </xdr:to>
    <xdr:sp macro="" textlink="">
      <xdr:nvSpPr>
        <xdr:cNvPr id="6833" name="CustomShape 1" hidden="1"/>
        <xdr:cNvSpPr/>
      </xdr:nvSpPr>
      <xdr:spPr>
        <a:xfrm>
          <a:off x="50800" y="0"/>
          <a:ext cx="9922024" cy="872584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3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3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3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3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3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3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4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5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6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7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8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89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0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1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2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3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6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7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8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49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50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51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52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53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54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73174</xdr:colOff>
      <xdr:row>47</xdr:row>
      <xdr:rowOff>90424</xdr:rowOff>
    </xdr:to>
    <xdr:sp macro="" textlink="">
      <xdr:nvSpPr>
        <xdr:cNvPr id="6955" name="CustomShape 1" hidden="1"/>
        <xdr:cNvSpPr/>
      </xdr:nvSpPr>
      <xdr:spPr>
        <a:xfrm>
          <a:off x="50800" y="0"/>
          <a:ext cx="9922024" cy="8707374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5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5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5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5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6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7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8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699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0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1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2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3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4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5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6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7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8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09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0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1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2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3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4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5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6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7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8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0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1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2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3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4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5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6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7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8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38</xdr:col>
      <xdr:colOff>127603</xdr:colOff>
      <xdr:row>49</xdr:row>
      <xdr:rowOff>154467</xdr:rowOff>
    </xdr:to>
    <xdr:sp macro="" textlink="">
      <xdr:nvSpPr>
        <xdr:cNvPr id="7199" name="CustomShape 1" hidden="1"/>
        <xdr:cNvSpPr/>
      </xdr:nvSpPr>
      <xdr:spPr>
        <a:xfrm>
          <a:off x="50800" y="0"/>
          <a:ext cx="9906603" cy="968581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0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1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2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3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4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5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6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7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8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29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0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1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2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299</xdr:colOff>
      <xdr:row>65</xdr:row>
      <xdr:rowOff>10623</xdr:rowOff>
    </xdr:to>
    <xdr:sp macro="" textlink="">
      <xdr:nvSpPr>
        <xdr:cNvPr id="732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2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2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2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2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2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2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2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2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3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4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5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6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7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8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39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0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1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2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4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5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6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7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8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39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40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41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42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9</xdr:col>
      <xdr:colOff>470199</xdr:colOff>
      <xdr:row>55</xdr:row>
      <xdr:rowOff>10623</xdr:rowOff>
    </xdr:to>
    <xdr:sp macro="" textlink="">
      <xdr:nvSpPr>
        <xdr:cNvPr id="7443" name="CustomShape 1" hidden="1"/>
        <xdr:cNvSpPr/>
      </xdr:nvSpPr>
      <xdr:spPr>
        <a:xfrm>
          <a:off x="38100" y="0"/>
          <a:ext cx="5753399" cy="11612073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2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3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4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5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6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7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8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9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0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4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5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6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7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8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19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0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1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2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1982407</xdr:colOff>
      <xdr:row>56</xdr:row>
      <xdr:rowOff>107687</xdr:rowOff>
    </xdr:to>
    <xdr:sp macro="" textlink="">
      <xdr:nvSpPr>
        <xdr:cNvPr id="123" name="CustomShape 1" hidden="1"/>
        <xdr:cNvSpPr/>
      </xdr:nvSpPr>
      <xdr:spPr>
        <a:xfrm>
          <a:off x="50800" y="0"/>
          <a:ext cx="5760657" cy="11664687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31750</xdr:rowOff>
        </xdr:from>
        <xdr:to>
          <xdr:col>2</xdr:col>
          <xdr:colOff>1974850</xdr:colOff>
          <xdr:row>4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資料整理用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50800</xdr:rowOff>
        </xdr:from>
        <xdr:to>
          <xdr:col>3</xdr:col>
          <xdr:colOff>1962150</xdr:colOff>
          <xdr:row>4</xdr:row>
          <xdr:rowOff>146050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導另一份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ea typeface="新細明體"/>
                  <a:cs typeface="Calibri"/>
                </a:rPr>
                <a:t>Excel 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  <a:cs typeface="Calibri"/>
                </a:rPr>
                <a:t>上傳用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</xdr:row>
          <xdr:rowOff>88900</xdr:rowOff>
        </xdr:from>
        <xdr:to>
          <xdr:col>0</xdr:col>
          <xdr:colOff>1879600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ea typeface="新細明體"/>
                  <a:cs typeface="Calibri"/>
                </a:rPr>
                <a:t>Raw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  <a:cs typeface="Calibri"/>
                </a:rPr>
                <a:t>與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ea typeface="新細明體"/>
                  <a:cs typeface="Calibri"/>
                </a:rPr>
                <a:t>Cal1 sheets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50800</xdr:rowOff>
        </xdr:from>
        <xdr:to>
          <xdr:col>2</xdr:col>
          <xdr:colOff>1943100</xdr:colOff>
          <xdr:row>8</xdr:row>
          <xdr:rowOff>165100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ea typeface="新細明體"/>
                  <a:cs typeface="Calibri"/>
                </a:rPr>
                <a:t>CAL1 Sheets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  <a:cs typeface="Calibri"/>
                </a:rPr>
                <a:t>資料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2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3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4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5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6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7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8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9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0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4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5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6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7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8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19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20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21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22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1216249</xdr:colOff>
      <xdr:row>152</xdr:row>
      <xdr:rowOff>136868</xdr:rowOff>
    </xdr:to>
    <xdr:sp macro="" textlink="">
      <xdr:nvSpPr>
        <xdr:cNvPr id="123" name="CustomShape 1" hidden="1"/>
        <xdr:cNvSpPr/>
      </xdr:nvSpPr>
      <xdr:spPr>
        <a:xfrm>
          <a:off x="8255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2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2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2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2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2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2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3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4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5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6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7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8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19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0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1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2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6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7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8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39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40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41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42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43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44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3191099</xdr:colOff>
      <xdr:row>56</xdr:row>
      <xdr:rowOff>9868</xdr:rowOff>
    </xdr:to>
    <xdr:sp macro="" textlink="">
      <xdr:nvSpPr>
        <xdr:cNvPr id="245" name="CustomShape 1" hidden="1"/>
        <xdr:cNvSpPr/>
      </xdr:nvSpPr>
      <xdr:spPr>
        <a:xfrm>
          <a:off x="0" y="0"/>
          <a:ext cx="9928449" cy="9363418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2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3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4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5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6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7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8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9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0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4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5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6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7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8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19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0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1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2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5</xdr:col>
      <xdr:colOff>657374</xdr:colOff>
      <xdr:row>40</xdr:row>
      <xdr:rowOff>80322</xdr:rowOff>
    </xdr:to>
    <xdr:sp macro="" textlink="">
      <xdr:nvSpPr>
        <xdr:cNvPr id="123" name="CustomShape 1" hidden="1"/>
        <xdr:cNvSpPr/>
      </xdr:nvSpPr>
      <xdr:spPr>
        <a:xfrm>
          <a:off x="50800" y="0"/>
          <a:ext cx="9934724" cy="87290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2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3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4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5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6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7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8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19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0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1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2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6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7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8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39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0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1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2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3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4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0</xdr:colOff>
      <xdr:row>0</xdr:row>
      <xdr:rowOff>0</xdr:rowOff>
    </xdr:from>
    <xdr:to>
      <xdr:col>4</xdr:col>
      <xdr:colOff>1470174</xdr:colOff>
      <xdr:row>36</xdr:row>
      <xdr:rowOff>169222</xdr:rowOff>
    </xdr:to>
    <xdr:sp macro="" textlink="">
      <xdr:nvSpPr>
        <xdr:cNvPr id="245" name="CustomShape 1" hidden="1"/>
        <xdr:cNvSpPr/>
      </xdr:nvSpPr>
      <xdr:spPr>
        <a:xfrm>
          <a:off x="1403350" y="0"/>
          <a:ext cx="6581924" cy="9160822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fxviewCase('3641')" TargetMode="External"/><Relationship Id="rId299" Type="http://schemas.openxmlformats.org/officeDocument/2006/relationships/hyperlink" Target="javascript:fxviewCase('3252')" TargetMode="External"/><Relationship Id="rId303" Type="http://schemas.openxmlformats.org/officeDocument/2006/relationships/hyperlink" Target="javascript:fxviewCase('6043')" TargetMode="External"/><Relationship Id="rId21" Type="http://schemas.openxmlformats.org/officeDocument/2006/relationships/hyperlink" Target="javascript:fxviewCase('3016')" TargetMode="External"/><Relationship Id="rId42" Type="http://schemas.openxmlformats.org/officeDocument/2006/relationships/hyperlink" Target="javascript:fxviewCase('3635')" TargetMode="External"/><Relationship Id="rId63" Type="http://schemas.openxmlformats.org/officeDocument/2006/relationships/hyperlink" Target="javascript:fxviewCase('3553')" TargetMode="External"/><Relationship Id="rId84" Type="http://schemas.openxmlformats.org/officeDocument/2006/relationships/hyperlink" Target="javascript:fxviewCase('3606')" TargetMode="External"/><Relationship Id="rId138" Type="http://schemas.openxmlformats.org/officeDocument/2006/relationships/hyperlink" Target="javascript:fxviewCase('3697')" TargetMode="External"/><Relationship Id="rId159" Type="http://schemas.openxmlformats.org/officeDocument/2006/relationships/hyperlink" Target="javascript:fxviewCase('3428')" TargetMode="External"/><Relationship Id="rId324" Type="http://schemas.openxmlformats.org/officeDocument/2006/relationships/hyperlink" Target="javascript:fxviewCase('2889')" TargetMode="External"/><Relationship Id="rId345" Type="http://schemas.openxmlformats.org/officeDocument/2006/relationships/hyperlink" Target="javascript:fxviewCase('3858')" TargetMode="External"/><Relationship Id="rId366" Type="http://schemas.openxmlformats.org/officeDocument/2006/relationships/drawing" Target="../drawings/drawing3.xml"/><Relationship Id="rId170" Type="http://schemas.openxmlformats.org/officeDocument/2006/relationships/hyperlink" Target="javascript:fxviewCase('3450')" TargetMode="External"/><Relationship Id="rId191" Type="http://schemas.openxmlformats.org/officeDocument/2006/relationships/hyperlink" Target="javascript:fxviewCase('2479')" TargetMode="External"/><Relationship Id="rId205" Type="http://schemas.openxmlformats.org/officeDocument/2006/relationships/hyperlink" Target="javascript:fxviewCase('3466')" TargetMode="External"/><Relationship Id="rId226" Type="http://schemas.openxmlformats.org/officeDocument/2006/relationships/hyperlink" Target="javascript:fxviewCase('2116')" TargetMode="External"/><Relationship Id="rId247" Type="http://schemas.openxmlformats.org/officeDocument/2006/relationships/hyperlink" Target="javascript:fxviewCase('3510')" TargetMode="External"/><Relationship Id="rId107" Type="http://schemas.openxmlformats.org/officeDocument/2006/relationships/hyperlink" Target="javascript:fxviewCase('3546')" TargetMode="External"/><Relationship Id="rId268" Type="http://schemas.openxmlformats.org/officeDocument/2006/relationships/hyperlink" Target="javascript:fxviewCase('2854')" TargetMode="External"/><Relationship Id="rId289" Type="http://schemas.openxmlformats.org/officeDocument/2006/relationships/hyperlink" Target="javascript:fxviewCase('3609')" TargetMode="External"/><Relationship Id="rId11" Type="http://schemas.openxmlformats.org/officeDocument/2006/relationships/hyperlink" Target="javascript:fxviewCase('3425')" TargetMode="External"/><Relationship Id="rId32" Type="http://schemas.openxmlformats.org/officeDocument/2006/relationships/hyperlink" Target="javascript:fxviewCase('3548')" TargetMode="External"/><Relationship Id="rId53" Type="http://schemas.openxmlformats.org/officeDocument/2006/relationships/hyperlink" Target="javascript:fxviewCase('3678')" TargetMode="External"/><Relationship Id="rId74" Type="http://schemas.openxmlformats.org/officeDocument/2006/relationships/hyperlink" Target="javascript:fxviewCase('3566')" TargetMode="External"/><Relationship Id="rId128" Type="http://schemas.openxmlformats.org/officeDocument/2006/relationships/hyperlink" Target="javascript:fxviewCase('3645')" TargetMode="External"/><Relationship Id="rId149" Type="http://schemas.openxmlformats.org/officeDocument/2006/relationships/hyperlink" Target="javascript:fxviewCase('3704')" TargetMode="External"/><Relationship Id="rId314" Type="http://schemas.openxmlformats.org/officeDocument/2006/relationships/hyperlink" Target="javascript:fxviewCase('3670')" TargetMode="External"/><Relationship Id="rId335" Type="http://schemas.openxmlformats.org/officeDocument/2006/relationships/hyperlink" Target="javascript:fxviewCase('3696')" TargetMode="External"/><Relationship Id="rId356" Type="http://schemas.openxmlformats.org/officeDocument/2006/relationships/hyperlink" Target="javascript:fxviewCase('3871')" TargetMode="External"/><Relationship Id="rId5" Type="http://schemas.openxmlformats.org/officeDocument/2006/relationships/hyperlink" Target="javascript:fxviewCase('3714')" TargetMode="External"/><Relationship Id="rId95" Type="http://schemas.openxmlformats.org/officeDocument/2006/relationships/hyperlink" Target="javascript:fxviewCase('3597')" TargetMode="External"/><Relationship Id="rId160" Type="http://schemas.openxmlformats.org/officeDocument/2006/relationships/hyperlink" Target="javascript:fxviewCase('3429')" TargetMode="External"/><Relationship Id="rId181" Type="http://schemas.openxmlformats.org/officeDocument/2006/relationships/hyperlink" Target="javascript:fxviewCase('3858')" TargetMode="External"/><Relationship Id="rId216" Type="http://schemas.openxmlformats.org/officeDocument/2006/relationships/hyperlink" Target="javascript:fxviewCase('2123')" TargetMode="External"/><Relationship Id="rId237" Type="http://schemas.openxmlformats.org/officeDocument/2006/relationships/hyperlink" Target="javascript:fxviewCase('3028')" TargetMode="External"/><Relationship Id="rId258" Type="http://schemas.openxmlformats.org/officeDocument/2006/relationships/hyperlink" Target="javascript:fxviewCase('3795')" TargetMode="External"/><Relationship Id="rId279" Type="http://schemas.openxmlformats.org/officeDocument/2006/relationships/hyperlink" Target="javascript:fxviewCase('2781')" TargetMode="External"/><Relationship Id="rId22" Type="http://schemas.openxmlformats.org/officeDocument/2006/relationships/hyperlink" Target="javascript:fxviewCase('3016')" TargetMode="External"/><Relationship Id="rId43" Type="http://schemas.openxmlformats.org/officeDocument/2006/relationships/hyperlink" Target="javascript:fxviewCase('3636')" TargetMode="External"/><Relationship Id="rId64" Type="http://schemas.openxmlformats.org/officeDocument/2006/relationships/hyperlink" Target="javascript:fxviewCase('3170')" TargetMode="External"/><Relationship Id="rId118" Type="http://schemas.openxmlformats.org/officeDocument/2006/relationships/hyperlink" Target="javascript:fxviewCase('3647')" TargetMode="External"/><Relationship Id="rId139" Type="http://schemas.openxmlformats.org/officeDocument/2006/relationships/hyperlink" Target="javascript:fxviewCase('3698')" TargetMode="External"/><Relationship Id="rId290" Type="http://schemas.openxmlformats.org/officeDocument/2006/relationships/hyperlink" Target="javascript:fxviewCase('3611')" TargetMode="External"/><Relationship Id="rId304" Type="http://schemas.openxmlformats.org/officeDocument/2006/relationships/hyperlink" Target="javascript:fxviewCase('6173')" TargetMode="External"/><Relationship Id="rId325" Type="http://schemas.openxmlformats.org/officeDocument/2006/relationships/hyperlink" Target="javascript:fxviewCase('3422')" TargetMode="External"/><Relationship Id="rId346" Type="http://schemas.openxmlformats.org/officeDocument/2006/relationships/hyperlink" Target="javascript:fxviewCase('6411')" TargetMode="External"/><Relationship Id="rId85" Type="http://schemas.openxmlformats.org/officeDocument/2006/relationships/hyperlink" Target="javascript:fxviewCase('3608')" TargetMode="External"/><Relationship Id="rId150" Type="http://schemas.openxmlformats.org/officeDocument/2006/relationships/hyperlink" Target="javascript:fxviewCase('3705')" TargetMode="External"/><Relationship Id="rId171" Type="http://schemas.openxmlformats.org/officeDocument/2006/relationships/hyperlink" Target="javascript:fxviewCase('2157')" TargetMode="External"/><Relationship Id="rId192" Type="http://schemas.openxmlformats.org/officeDocument/2006/relationships/hyperlink" Target="javascript:fxviewCase('2210')" TargetMode="External"/><Relationship Id="rId206" Type="http://schemas.openxmlformats.org/officeDocument/2006/relationships/hyperlink" Target="javascript:fxviewCase('1653')" TargetMode="External"/><Relationship Id="rId227" Type="http://schemas.openxmlformats.org/officeDocument/2006/relationships/hyperlink" Target="javascript:fxviewCase('3496')" TargetMode="External"/><Relationship Id="rId248" Type="http://schemas.openxmlformats.org/officeDocument/2006/relationships/hyperlink" Target="javascript:fxviewCase('3510')" TargetMode="External"/><Relationship Id="rId269" Type="http://schemas.openxmlformats.org/officeDocument/2006/relationships/hyperlink" Target="javascript:fxviewCase('2794')" TargetMode="External"/><Relationship Id="rId12" Type="http://schemas.openxmlformats.org/officeDocument/2006/relationships/hyperlink" Target="javascript:fxviewCase('3837')" TargetMode="External"/><Relationship Id="rId33" Type="http://schemas.openxmlformats.org/officeDocument/2006/relationships/hyperlink" Target="javascript:fxviewCase('3565')" TargetMode="External"/><Relationship Id="rId108" Type="http://schemas.openxmlformats.org/officeDocument/2006/relationships/hyperlink" Target="javascript:fxviewCase('3547')" TargetMode="External"/><Relationship Id="rId129" Type="http://schemas.openxmlformats.org/officeDocument/2006/relationships/hyperlink" Target="javascript:fxviewCase('3692')" TargetMode="External"/><Relationship Id="rId280" Type="http://schemas.openxmlformats.org/officeDocument/2006/relationships/hyperlink" Target="javascript:fxviewCase('2786')" TargetMode="External"/><Relationship Id="rId315" Type="http://schemas.openxmlformats.org/officeDocument/2006/relationships/hyperlink" Target="javascript:fxviewCase('3668')" TargetMode="External"/><Relationship Id="rId336" Type="http://schemas.openxmlformats.org/officeDocument/2006/relationships/hyperlink" Target="javascript:fxviewCase('3696')" TargetMode="External"/><Relationship Id="rId357" Type="http://schemas.openxmlformats.org/officeDocument/2006/relationships/hyperlink" Target="javascript:fxviewCase('3697')" TargetMode="External"/><Relationship Id="rId54" Type="http://schemas.openxmlformats.org/officeDocument/2006/relationships/hyperlink" Target="javascript:fxviewCase('3679')" TargetMode="External"/><Relationship Id="rId75" Type="http://schemas.openxmlformats.org/officeDocument/2006/relationships/hyperlink" Target="javascript:fxviewCase('3568')" TargetMode="External"/><Relationship Id="rId96" Type="http://schemas.openxmlformats.org/officeDocument/2006/relationships/hyperlink" Target="javascript:fxviewCase('3689')" TargetMode="External"/><Relationship Id="rId140" Type="http://schemas.openxmlformats.org/officeDocument/2006/relationships/hyperlink" Target="javascript:fxviewCase('3699')" TargetMode="External"/><Relationship Id="rId161" Type="http://schemas.openxmlformats.org/officeDocument/2006/relationships/hyperlink" Target="javascript:fxviewCase('3432')" TargetMode="External"/><Relationship Id="rId182" Type="http://schemas.openxmlformats.org/officeDocument/2006/relationships/hyperlink" Target="javascript:fxviewCase('2180')" TargetMode="External"/><Relationship Id="rId217" Type="http://schemas.openxmlformats.org/officeDocument/2006/relationships/hyperlink" Target="javascript:fxviewCase('3527')" TargetMode="External"/><Relationship Id="rId6" Type="http://schemas.openxmlformats.org/officeDocument/2006/relationships/hyperlink" Target="javascript:fxviewCase('3423')" TargetMode="External"/><Relationship Id="rId238" Type="http://schemas.openxmlformats.org/officeDocument/2006/relationships/hyperlink" Target="javascript:fxviewCase('2443')" TargetMode="External"/><Relationship Id="rId259" Type="http://schemas.openxmlformats.org/officeDocument/2006/relationships/hyperlink" Target="javascript:fxviewCase('3799')" TargetMode="External"/><Relationship Id="rId23" Type="http://schemas.openxmlformats.org/officeDocument/2006/relationships/hyperlink" Target="javascript:fxviewCase('1809')" TargetMode="External"/><Relationship Id="rId119" Type="http://schemas.openxmlformats.org/officeDocument/2006/relationships/hyperlink" Target="javascript:fxviewCase('3650')" TargetMode="External"/><Relationship Id="rId270" Type="http://schemas.openxmlformats.org/officeDocument/2006/relationships/hyperlink" Target="javascript:fxviewCase('2943')" TargetMode="External"/><Relationship Id="rId291" Type="http://schemas.openxmlformats.org/officeDocument/2006/relationships/hyperlink" Target="javascript:fxviewCase('3613')" TargetMode="External"/><Relationship Id="rId305" Type="http://schemas.openxmlformats.org/officeDocument/2006/relationships/hyperlink" Target="javascript:fxviewCase('6173')" TargetMode="External"/><Relationship Id="rId326" Type="http://schemas.openxmlformats.org/officeDocument/2006/relationships/hyperlink" Target="javascript:fxviewCase('3422')" TargetMode="External"/><Relationship Id="rId347" Type="http://schemas.openxmlformats.org/officeDocument/2006/relationships/hyperlink" Target="javascript:fxviewCase('3422')" TargetMode="External"/><Relationship Id="rId44" Type="http://schemas.openxmlformats.org/officeDocument/2006/relationships/hyperlink" Target="javascript:fxviewCase('3482')" TargetMode="External"/><Relationship Id="rId65" Type="http://schemas.openxmlformats.org/officeDocument/2006/relationships/hyperlink" Target="javascript:fxviewCase('3652')" TargetMode="External"/><Relationship Id="rId86" Type="http://schemas.openxmlformats.org/officeDocument/2006/relationships/hyperlink" Target="javascript:fxviewCase('3614')" TargetMode="External"/><Relationship Id="rId130" Type="http://schemas.openxmlformats.org/officeDocument/2006/relationships/hyperlink" Target="javascript:fxviewCase('3400')" TargetMode="External"/><Relationship Id="rId151" Type="http://schemas.openxmlformats.org/officeDocument/2006/relationships/hyperlink" Target="javascript:fxviewCase('3706')" TargetMode="External"/><Relationship Id="rId172" Type="http://schemas.openxmlformats.org/officeDocument/2006/relationships/hyperlink" Target="javascript:fxviewCase('2976')" TargetMode="External"/><Relationship Id="rId193" Type="http://schemas.openxmlformats.org/officeDocument/2006/relationships/hyperlink" Target="javascript:fxviewCase('1595')" TargetMode="External"/><Relationship Id="rId207" Type="http://schemas.openxmlformats.org/officeDocument/2006/relationships/hyperlink" Target="javascript:fxviewCase('1838')" TargetMode="External"/><Relationship Id="rId228" Type="http://schemas.openxmlformats.org/officeDocument/2006/relationships/hyperlink" Target="javascript:fxviewCase('2015')" TargetMode="External"/><Relationship Id="rId249" Type="http://schemas.openxmlformats.org/officeDocument/2006/relationships/hyperlink" Target="javascript:fxviewCase('3510')" TargetMode="External"/><Relationship Id="rId13" Type="http://schemas.openxmlformats.org/officeDocument/2006/relationships/hyperlink" Target="javascript:fxviewCase('3334')" TargetMode="External"/><Relationship Id="rId109" Type="http://schemas.openxmlformats.org/officeDocument/2006/relationships/hyperlink" Target="javascript:fxviewCase('3549')" TargetMode="External"/><Relationship Id="rId260" Type="http://schemas.openxmlformats.org/officeDocument/2006/relationships/hyperlink" Target="javascript:fxviewCase('3364')" TargetMode="External"/><Relationship Id="rId281" Type="http://schemas.openxmlformats.org/officeDocument/2006/relationships/hyperlink" Target="javascript:fxviewCase('2485')" TargetMode="External"/><Relationship Id="rId316" Type="http://schemas.openxmlformats.org/officeDocument/2006/relationships/hyperlink" Target="javascript:fxviewCase('3667')" TargetMode="External"/><Relationship Id="rId337" Type="http://schemas.openxmlformats.org/officeDocument/2006/relationships/hyperlink" Target="javascript:fxviewCase('3696')" TargetMode="External"/><Relationship Id="rId34" Type="http://schemas.openxmlformats.org/officeDocument/2006/relationships/hyperlink" Target="javascript:fxviewCase('3579')" TargetMode="External"/><Relationship Id="rId55" Type="http://schemas.openxmlformats.org/officeDocument/2006/relationships/hyperlink" Target="javascript:fxviewCase('3680')" TargetMode="External"/><Relationship Id="rId76" Type="http://schemas.openxmlformats.org/officeDocument/2006/relationships/hyperlink" Target="javascript:fxviewCase('3569')" TargetMode="External"/><Relationship Id="rId97" Type="http://schemas.openxmlformats.org/officeDocument/2006/relationships/hyperlink" Target="javascript:fxviewCase('2740')" TargetMode="External"/><Relationship Id="rId120" Type="http://schemas.openxmlformats.org/officeDocument/2006/relationships/hyperlink" Target="javascript:fxviewCase('3651')" TargetMode="External"/><Relationship Id="rId141" Type="http://schemas.openxmlformats.org/officeDocument/2006/relationships/hyperlink" Target="javascript:fxviewCase('3712')" TargetMode="External"/><Relationship Id="rId358" Type="http://schemas.openxmlformats.org/officeDocument/2006/relationships/hyperlink" Target="javascript:fxviewCase('3510')" TargetMode="External"/><Relationship Id="rId7" Type="http://schemas.openxmlformats.org/officeDocument/2006/relationships/hyperlink" Target="javascript:fxviewCase('2365')" TargetMode="External"/><Relationship Id="rId162" Type="http://schemas.openxmlformats.org/officeDocument/2006/relationships/hyperlink" Target="javascript:fxviewCase('3434')" TargetMode="External"/><Relationship Id="rId183" Type="http://schemas.openxmlformats.org/officeDocument/2006/relationships/hyperlink" Target="javascript:fxviewCase('2181')" TargetMode="External"/><Relationship Id="rId218" Type="http://schemas.openxmlformats.org/officeDocument/2006/relationships/hyperlink" Target="javascript:fxviewCase('2005')" TargetMode="External"/><Relationship Id="rId239" Type="http://schemas.openxmlformats.org/officeDocument/2006/relationships/hyperlink" Target="javascript:fxviewCase('2997')" TargetMode="External"/><Relationship Id="rId250" Type="http://schemas.openxmlformats.org/officeDocument/2006/relationships/hyperlink" Target="javascript:fxviewCase('3510')" TargetMode="External"/><Relationship Id="rId271" Type="http://schemas.openxmlformats.org/officeDocument/2006/relationships/hyperlink" Target="javascript:fxviewCase('2796')" TargetMode="External"/><Relationship Id="rId292" Type="http://schemas.openxmlformats.org/officeDocument/2006/relationships/hyperlink" Target="javascript:fxviewCase('3615')" TargetMode="External"/><Relationship Id="rId306" Type="http://schemas.openxmlformats.org/officeDocument/2006/relationships/hyperlink" Target="javascript:fxviewCase('3871')" TargetMode="External"/><Relationship Id="rId24" Type="http://schemas.openxmlformats.org/officeDocument/2006/relationships/hyperlink" Target="javascript:fxviewCase('3420')" TargetMode="External"/><Relationship Id="rId45" Type="http://schemas.openxmlformats.org/officeDocument/2006/relationships/hyperlink" Target="javascript:fxviewCase('3642')" TargetMode="External"/><Relationship Id="rId66" Type="http://schemas.openxmlformats.org/officeDocument/2006/relationships/hyperlink" Target="javascript:fxviewCase('3653')" TargetMode="External"/><Relationship Id="rId87" Type="http://schemas.openxmlformats.org/officeDocument/2006/relationships/hyperlink" Target="javascript:fxviewCase('3617')" TargetMode="External"/><Relationship Id="rId110" Type="http://schemas.openxmlformats.org/officeDocument/2006/relationships/hyperlink" Target="javascript:fxviewCase('3550')" TargetMode="External"/><Relationship Id="rId131" Type="http://schemas.openxmlformats.org/officeDocument/2006/relationships/hyperlink" Target="javascript:fxviewCase('3693')" TargetMode="External"/><Relationship Id="rId327" Type="http://schemas.openxmlformats.org/officeDocument/2006/relationships/hyperlink" Target="javascript:fxviewCase('3422')" TargetMode="External"/><Relationship Id="rId348" Type="http://schemas.openxmlformats.org/officeDocument/2006/relationships/hyperlink" Target="javascript:fxviewCase('3422')" TargetMode="External"/><Relationship Id="rId152" Type="http://schemas.openxmlformats.org/officeDocument/2006/relationships/hyperlink" Target="javascript:fxviewCase('3707')" TargetMode="External"/><Relationship Id="rId173" Type="http://schemas.openxmlformats.org/officeDocument/2006/relationships/hyperlink" Target="javascript:fxviewCase('3453')" TargetMode="External"/><Relationship Id="rId194" Type="http://schemas.openxmlformats.org/officeDocument/2006/relationships/hyperlink" Target="javascript:fxviewCase('1596')" TargetMode="External"/><Relationship Id="rId208" Type="http://schemas.openxmlformats.org/officeDocument/2006/relationships/hyperlink" Target="javascript:fxviewCase('2728')" TargetMode="External"/><Relationship Id="rId229" Type="http://schemas.openxmlformats.org/officeDocument/2006/relationships/hyperlink" Target="javascript:fxviewCase('2549')" TargetMode="External"/><Relationship Id="rId240" Type="http://schemas.openxmlformats.org/officeDocument/2006/relationships/hyperlink" Target="javascript:fxviewCase('2998')" TargetMode="External"/><Relationship Id="rId261" Type="http://schemas.openxmlformats.org/officeDocument/2006/relationships/hyperlink" Target="javascript:fxviewCase('3367')" TargetMode="External"/><Relationship Id="rId14" Type="http://schemas.openxmlformats.org/officeDocument/2006/relationships/hyperlink" Target="javascript:fxviewCase('3587')" TargetMode="External"/><Relationship Id="rId35" Type="http://schemas.openxmlformats.org/officeDocument/2006/relationships/hyperlink" Target="javascript:fxviewCase('3592')" TargetMode="External"/><Relationship Id="rId56" Type="http://schemas.openxmlformats.org/officeDocument/2006/relationships/hyperlink" Target="javascript:fxviewCase('3682')" TargetMode="External"/><Relationship Id="rId77" Type="http://schemas.openxmlformats.org/officeDocument/2006/relationships/hyperlink" Target="javascript:fxviewCase('3572')" TargetMode="External"/><Relationship Id="rId100" Type="http://schemas.openxmlformats.org/officeDocument/2006/relationships/hyperlink" Target="javascript:fxviewCase('2396')" TargetMode="External"/><Relationship Id="rId282" Type="http://schemas.openxmlformats.org/officeDocument/2006/relationships/hyperlink" Target="javascript:fxviewCase('2486')" TargetMode="External"/><Relationship Id="rId317" Type="http://schemas.openxmlformats.org/officeDocument/2006/relationships/hyperlink" Target="javascript:fxviewCase('3558')" TargetMode="External"/><Relationship Id="rId338" Type="http://schemas.openxmlformats.org/officeDocument/2006/relationships/hyperlink" Target="javascript:fxviewCase('3696')" TargetMode="External"/><Relationship Id="rId359" Type="http://schemas.openxmlformats.org/officeDocument/2006/relationships/hyperlink" Target="javascript:fxviewCase('2510')" TargetMode="External"/><Relationship Id="rId8" Type="http://schemas.openxmlformats.org/officeDocument/2006/relationships/hyperlink" Target="javascript:fxviewCase('3702')" TargetMode="External"/><Relationship Id="rId98" Type="http://schemas.openxmlformats.org/officeDocument/2006/relationships/hyperlink" Target="javascript:fxviewCase('3607')" TargetMode="External"/><Relationship Id="rId121" Type="http://schemas.openxmlformats.org/officeDocument/2006/relationships/hyperlink" Target="javascript:fxviewCase('3586')" TargetMode="External"/><Relationship Id="rId142" Type="http://schemas.openxmlformats.org/officeDocument/2006/relationships/hyperlink" Target="javascript:fxviewCase('3700')" TargetMode="External"/><Relationship Id="rId163" Type="http://schemas.openxmlformats.org/officeDocument/2006/relationships/hyperlink" Target="javascript:fxviewCase('3438')" TargetMode="External"/><Relationship Id="rId184" Type="http://schemas.openxmlformats.org/officeDocument/2006/relationships/hyperlink" Target="javascript:fxviewCase('2508')" TargetMode="External"/><Relationship Id="rId219" Type="http://schemas.openxmlformats.org/officeDocument/2006/relationships/hyperlink" Target="javascript:fxviewCase('3433')" TargetMode="External"/><Relationship Id="rId230" Type="http://schemas.openxmlformats.org/officeDocument/2006/relationships/hyperlink" Target="javascript:fxviewCase('2068')" TargetMode="External"/><Relationship Id="rId251" Type="http://schemas.openxmlformats.org/officeDocument/2006/relationships/hyperlink" Target="javascript:fxviewCase('6089')" TargetMode="External"/><Relationship Id="rId25" Type="http://schemas.openxmlformats.org/officeDocument/2006/relationships/hyperlink" Target="javascript:fxviewCase('3556')" TargetMode="External"/><Relationship Id="rId46" Type="http://schemas.openxmlformats.org/officeDocument/2006/relationships/hyperlink" Target="javascript:fxviewCase('3662')" TargetMode="External"/><Relationship Id="rId67" Type="http://schemas.openxmlformats.org/officeDocument/2006/relationships/hyperlink" Target="javascript:fxviewCase('3657')" TargetMode="External"/><Relationship Id="rId272" Type="http://schemas.openxmlformats.org/officeDocument/2006/relationships/hyperlink" Target="javascript:fxviewCase('2952')" TargetMode="External"/><Relationship Id="rId293" Type="http://schemas.openxmlformats.org/officeDocument/2006/relationships/hyperlink" Target="javascript:fxviewCase('3621')" TargetMode="External"/><Relationship Id="rId307" Type="http://schemas.openxmlformats.org/officeDocument/2006/relationships/hyperlink" Target="javascript:fxviewCase('3543')" TargetMode="External"/><Relationship Id="rId328" Type="http://schemas.openxmlformats.org/officeDocument/2006/relationships/hyperlink" Target="javascript:fxviewCase('3837')" TargetMode="External"/><Relationship Id="rId349" Type="http://schemas.openxmlformats.org/officeDocument/2006/relationships/hyperlink" Target="javascript:fxviewCase('6411')" TargetMode="External"/><Relationship Id="rId88" Type="http://schemas.openxmlformats.org/officeDocument/2006/relationships/hyperlink" Target="javascript:fxviewCase('3622')" TargetMode="External"/><Relationship Id="rId111" Type="http://schemas.openxmlformats.org/officeDocument/2006/relationships/hyperlink" Target="javascript:fxviewCase('3656')" TargetMode="External"/><Relationship Id="rId132" Type="http://schemas.openxmlformats.org/officeDocument/2006/relationships/hyperlink" Target="javascript:fxviewCase('3694')" TargetMode="External"/><Relationship Id="rId153" Type="http://schemas.openxmlformats.org/officeDocument/2006/relationships/hyperlink" Target="javascript:fxviewCase('3708')" TargetMode="External"/><Relationship Id="rId174" Type="http://schemas.openxmlformats.org/officeDocument/2006/relationships/hyperlink" Target="javascript:fxviewCase('2121')" TargetMode="External"/><Relationship Id="rId195" Type="http://schemas.openxmlformats.org/officeDocument/2006/relationships/hyperlink" Target="javascript:fxviewCase('3229')" TargetMode="External"/><Relationship Id="rId209" Type="http://schemas.openxmlformats.org/officeDocument/2006/relationships/hyperlink" Target="javascript:fxviewCase('1863')" TargetMode="External"/><Relationship Id="rId360" Type="http://schemas.openxmlformats.org/officeDocument/2006/relationships/hyperlink" Target="javascript:fxviewCase('3552')" TargetMode="External"/><Relationship Id="rId220" Type="http://schemas.openxmlformats.org/officeDocument/2006/relationships/hyperlink" Target="javascript:fxviewCase('1894')" TargetMode="External"/><Relationship Id="rId241" Type="http://schemas.openxmlformats.org/officeDocument/2006/relationships/hyperlink" Target="javascript:fxviewCase('2495')" TargetMode="External"/><Relationship Id="rId15" Type="http://schemas.openxmlformats.org/officeDocument/2006/relationships/hyperlink" Target="javascript:fxviewCase('1931')" TargetMode="External"/><Relationship Id="rId36" Type="http://schemas.openxmlformats.org/officeDocument/2006/relationships/hyperlink" Target="javascript:fxviewCase('3596')" TargetMode="External"/><Relationship Id="rId57" Type="http://schemas.openxmlformats.org/officeDocument/2006/relationships/hyperlink" Target="javascript:fxviewCase('3683')" TargetMode="External"/><Relationship Id="rId106" Type="http://schemas.openxmlformats.org/officeDocument/2006/relationships/hyperlink" Target="javascript:fxviewCase('3545')" TargetMode="External"/><Relationship Id="rId127" Type="http://schemas.openxmlformats.org/officeDocument/2006/relationships/hyperlink" Target="javascript:fxviewCase('3643')" TargetMode="External"/><Relationship Id="rId262" Type="http://schemas.openxmlformats.org/officeDocument/2006/relationships/hyperlink" Target="javascript:fxviewCase('3504')" TargetMode="External"/><Relationship Id="rId283" Type="http://schemas.openxmlformats.org/officeDocument/2006/relationships/hyperlink" Target="javascript:fxviewCase('2487')" TargetMode="External"/><Relationship Id="rId313" Type="http://schemas.openxmlformats.org/officeDocument/2006/relationships/hyperlink" Target="javascript:fxviewCase('3671')" TargetMode="External"/><Relationship Id="rId318" Type="http://schemas.openxmlformats.org/officeDocument/2006/relationships/hyperlink" Target="javascript:fxviewCase('3696')" TargetMode="External"/><Relationship Id="rId339" Type="http://schemas.openxmlformats.org/officeDocument/2006/relationships/hyperlink" Target="javascript:fxviewCase('3696')" TargetMode="External"/><Relationship Id="rId10" Type="http://schemas.openxmlformats.org/officeDocument/2006/relationships/hyperlink" Target="javascript:fxviewCase('2777')" TargetMode="External"/><Relationship Id="rId31" Type="http://schemas.openxmlformats.org/officeDocument/2006/relationships/hyperlink" Target="javascript:fxviewCase('3573')" TargetMode="External"/><Relationship Id="rId52" Type="http://schemas.openxmlformats.org/officeDocument/2006/relationships/hyperlink" Target="javascript:fxviewCase('3677')" TargetMode="External"/><Relationship Id="rId73" Type="http://schemas.openxmlformats.org/officeDocument/2006/relationships/hyperlink" Target="javascript:fxviewCase('3564')" TargetMode="External"/><Relationship Id="rId78" Type="http://schemas.openxmlformats.org/officeDocument/2006/relationships/hyperlink" Target="javascript:fxviewCase('3574')" TargetMode="External"/><Relationship Id="rId94" Type="http://schemas.openxmlformats.org/officeDocument/2006/relationships/hyperlink" Target="javascript:fxviewCase('3595')" TargetMode="External"/><Relationship Id="rId99" Type="http://schemas.openxmlformats.org/officeDocument/2006/relationships/hyperlink" Target="javascript:fxviewCase('2396')" TargetMode="External"/><Relationship Id="rId101" Type="http://schemas.openxmlformats.org/officeDocument/2006/relationships/hyperlink" Target="javascript:fxviewCase('3669')" TargetMode="External"/><Relationship Id="rId122" Type="http://schemas.openxmlformats.org/officeDocument/2006/relationships/hyperlink" Target="javascript:fxviewCase('3535')" TargetMode="External"/><Relationship Id="rId143" Type="http://schemas.openxmlformats.org/officeDocument/2006/relationships/hyperlink" Target="javascript:fxviewCase('3533')" TargetMode="External"/><Relationship Id="rId148" Type="http://schemas.openxmlformats.org/officeDocument/2006/relationships/hyperlink" Target="javascript:fxviewCase('3703')" TargetMode="External"/><Relationship Id="rId164" Type="http://schemas.openxmlformats.org/officeDocument/2006/relationships/hyperlink" Target="javascript:fxviewCase('3446')" TargetMode="External"/><Relationship Id="rId169" Type="http://schemas.openxmlformats.org/officeDocument/2006/relationships/hyperlink" Target="javascript:fxviewCase('3451')" TargetMode="External"/><Relationship Id="rId185" Type="http://schemas.openxmlformats.org/officeDocument/2006/relationships/hyperlink" Target="javascript:fxviewCase('2509')" TargetMode="External"/><Relationship Id="rId334" Type="http://schemas.openxmlformats.org/officeDocument/2006/relationships/hyperlink" Target="javascript:fxviewCase('3696')" TargetMode="External"/><Relationship Id="rId350" Type="http://schemas.openxmlformats.org/officeDocument/2006/relationships/hyperlink" Target="javascript:fxviewCase('6411')" TargetMode="External"/><Relationship Id="rId355" Type="http://schemas.openxmlformats.org/officeDocument/2006/relationships/hyperlink" Target="javascript:fxviewCase('3871')" TargetMode="External"/><Relationship Id="rId4" Type="http://schemas.openxmlformats.org/officeDocument/2006/relationships/hyperlink" Target="javascript:fxviewCase('3376')" TargetMode="External"/><Relationship Id="rId9" Type="http://schemas.openxmlformats.org/officeDocument/2006/relationships/hyperlink" Target="javascript:fxviewCase('3375')" TargetMode="External"/><Relationship Id="rId180" Type="http://schemas.openxmlformats.org/officeDocument/2006/relationships/hyperlink" Target="javascript:fxviewCase('3455')" TargetMode="External"/><Relationship Id="rId210" Type="http://schemas.openxmlformats.org/officeDocument/2006/relationships/hyperlink" Target="javascript:fxviewCase('3227')" TargetMode="External"/><Relationship Id="rId215" Type="http://schemas.openxmlformats.org/officeDocument/2006/relationships/hyperlink" Target="javascript:fxviewCase('1890')" TargetMode="External"/><Relationship Id="rId236" Type="http://schemas.openxmlformats.org/officeDocument/2006/relationships/hyperlink" Target="javascript:fxviewCase('2183')" TargetMode="External"/><Relationship Id="rId257" Type="http://schemas.openxmlformats.org/officeDocument/2006/relationships/hyperlink" Target="javascript:fxviewCase('3191')" TargetMode="External"/><Relationship Id="rId278" Type="http://schemas.openxmlformats.org/officeDocument/2006/relationships/hyperlink" Target="javascript:fxviewCase('2646')" TargetMode="External"/><Relationship Id="rId26" Type="http://schemas.openxmlformats.org/officeDocument/2006/relationships/hyperlink" Target="javascript:fxviewCase('3562')" TargetMode="External"/><Relationship Id="rId231" Type="http://schemas.openxmlformats.org/officeDocument/2006/relationships/hyperlink" Target="javascript:fxviewCase('2093')" TargetMode="External"/><Relationship Id="rId252" Type="http://schemas.openxmlformats.org/officeDocument/2006/relationships/hyperlink" Target="javascript:fxviewCase('2721')" TargetMode="External"/><Relationship Id="rId273" Type="http://schemas.openxmlformats.org/officeDocument/2006/relationships/hyperlink" Target="javascript:fxviewCase('2944')" TargetMode="External"/><Relationship Id="rId294" Type="http://schemas.openxmlformats.org/officeDocument/2006/relationships/hyperlink" Target="javascript:fxviewCase('2886')" TargetMode="External"/><Relationship Id="rId308" Type="http://schemas.openxmlformats.org/officeDocument/2006/relationships/hyperlink" Target="javascript:fxviewCase('3650')" TargetMode="External"/><Relationship Id="rId329" Type="http://schemas.openxmlformats.org/officeDocument/2006/relationships/hyperlink" Target="javascript:fxviewCase('3558')" TargetMode="External"/><Relationship Id="rId47" Type="http://schemas.openxmlformats.org/officeDocument/2006/relationships/hyperlink" Target="javascript:fxviewCase('3663')" TargetMode="External"/><Relationship Id="rId68" Type="http://schemas.openxmlformats.org/officeDocument/2006/relationships/hyperlink" Target="javascript:fxviewCase('6042')" TargetMode="External"/><Relationship Id="rId89" Type="http://schemas.openxmlformats.org/officeDocument/2006/relationships/hyperlink" Target="javascript:fxviewCase('3626')" TargetMode="External"/><Relationship Id="rId112" Type="http://schemas.openxmlformats.org/officeDocument/2006/relationships/hyperlink" Target="javascript:fxviewCase('3558')" TargetMode="External"/><Relationship Id="rId133" Type="http://schemas.openxmlformats.org/officeDocument/2006/relationships/hyperlink" Target="javascript:fxviewCase('3696')" TargetMode="External"/><Relationship Id="rId154" Type="http://schemas.openxmlformats.org/officeDocument/2006/relationships/hyperlink" Target="javascript:fxviewCase('3709')" TargetMode="External"/><Relationship Id="rId175" Type="http://schemas.openxmlformats.org/officeDocument/2006/relationships/hyperlink" Target="javascript:fxviewCase('3454')" TargetMode="External"/><Relationship Id="rId340" Type="http://schemas.openxmlformats.org/officeDocument/2006/relationships/hyperlink" Target="javascript:fxviewCase('3696')" TargetMode="External"/><Relationship Id="rId361" Type="http://schemas.openxmlformats.org/officeDocument/2006/relationships/hyperlink" Target="javascript:fxviewCase('6411')" TargetMode="External"/><Relationship Id="rId196" Type="http://schemas.openxmlformats.org/officeDocument/2006/relationships/hyperlink" Target="javascript:fxviewCase('1607')" TargetMode="External"/><Relationship Id="rId200" Type="http://schemas.openxmlformats.org/officeDocument/2006/relationships/hyperlink" Target="javascript:fxviewCase('2278')" TargetMode="External"/><Relationship Id="rId16" Type="http://schemas.openxmlformats.org/officeDocument/2006/relationships/hyperlink" Target="javascript:fxviewCase('1779')" TargetMode="External"/><Relationship Id="rId221" Type="http://schemas.openxmlformats.org/officeDocument/2006/relationships/hyperlink" Target="javascript:fxviewCase('2111')" TargetMode="External"/><Relationship Id="rId242" Type="http://schemas.openxmlformats.org/officeDocument/2006/relationships/hyperlink" Target="javascript:fxviewCase('2483')" TargetMode="External"/><Relationship Id="rId263" Type="http://schemas.openxmlformats.org/officeDocument/2006/relationships/hyperlink" Target="javascript:fxviewCase('3528')" TargetMode="External"/><Relationship Id="rId284" Type="http://schemas.openxmlformats.org/officeDocument/2006/relationships/hyperlink" Target="javascript:fxviewCase('3338')" TargetMode="External"/><Relationship Id="rId319" Type="http://schemas.openxmlformats.org/officeDocument/2006/relationships/hyperlink" Target="javascript:fxviewCase('6411')" TargetMode="External"/><Relationship Id="rId37" Type="http://schemas.openxmlformats.org/officeDocument/2006/relationships/hyperlink" Target="javascript:fxviewCase('3603')" TargetMode="External"/><Relationship Id="rId58" Type="http://schemas.openxmlformats.org/officeDocument/2006/relationships/hyperlink" Target="javascript:fxviewCase('3685')" TargetMode="External"/><Relationship Id="rId79" Type="http://schemas.openxmlformats.org/officeDocument/2006/relationships/hyperlink" Target="javascript:fxviewCase('3583')" TargetMode="External"/><Relationship Id="rId102" Type="http://schemas.openxmlformats.org/officeDocument/2006/relationships/hyperlink" Target="javascript:fxviewCase('3672')" TargetMode="External"/><Relationship Id="rId123" Type="http://schemas.openxmlformats.org/officeDocument/2006/relationships/hyperlink" Target="javascript:fxviewCase('3623')" TargetMode="External"/><Relationship Id="rId144" Type="http://schemas.openxmlformats.org/officeDocument/2006/relationships/hyperlink" Target="javascript:fxviewCase('2029')" TargetMode="External"/><Relationship Id="rId330" Type="http://schemas.openxmlformats.org/officeDocument/2006/relationships/hyperlink" Target="javascript:fxviewCase('3858')" TargetMode="External"/><Relationship Id="rId90" Type="http://schemas.openxmlformats.org/officeDocument/2006/relationships/hyperlink" Target="javascript:fxviewCase('3627')" TargetMode="External"/><Relationship Id="rId165" Type="http://schemas.openxmlformats.org/officeDocument/2006/relationships/hyperlink" Target="javascript:fxviewCase('3447')" TargetMode="External"/><Relationship Id="rId186" Type="http://schemas.openxmlformats.org/officeDocument/2006/relationships/hyperlink" Target="javascript:fxviewCase('2510')" TargetMode="External"/><Relationship Id="rId351" Type="http://schemas.openxmlformats.org/officeDocument/2006/relationships/hyperlink" Target="javascript:fxviewCase('3704')" TargetMode="External"/><Relationship Id="rId211" Type="http://schemas.openxmlformats.org/officeDocument/2006/relationships/hyperlink" Target="javascript:fxviewCase('3259')" TargetMode="External"/><Relationship Id="rId232" Type="http://schemas.openxmlformats.org/officeDocument/2006/relationships/hyperlink" Target="javascript:fxviewCase('2160')" TargetMode="External"/><Relationship Id="rId253" Type="http://schemas.openxmlformats.org/officeDocument/2006/relationships/hyperlink" Target="javascript:fxviewCase('3490')" TargetMode="External"/><Relationship Id="rId274" Type="http://schemas.openxmlformats.org/officeDocument/2006/relationships/hyperlink" Target="javascript:fxviewCase('3125')" TargetMode="External"/><Relationship Id="rId295" Type="http://schemas.openxmlformats.org/officeDocument/2006/relationships/hyperlink" Target="javascript:fxviewCase('2888')" TargetMode="External"/><Relationship Id="rId309" Type="http://schemas.openxmlformats.org/officeDocument/2006/relationships/hyperlink" Target="javascript:fxviewCase('6411')" TargetMode="External"/><Relationship Id="rId27" Type="http://schemas.openxmlformats.org/officeDocument/2006/relationships/hyperlink" Target="javascript:fxviewCase('3559')" TargetMode="External"/><Relationship Id="rId48" Type="http://schemas.openxmlformats.org/officeDocument/2006/relationships/hyperlink" Target="javascript:fxviewCase('3664')" TargetMode="External"/><Relationship Id="rId69" Type="http://schemas.openxmlformats.org/officeDocument/2006/relationships/hyperlink" Target="javascript:fxviewCase('6018')" TargetMode="External"/><Relationship Id="rId113" Type="http://schemas.openxmlformats.org/officeDocument/2006/relationships/hyperlink" Target="javascript:fxviewCase('3659')" TargetMode="External"/><Relationship Id="rId134" Type="http://schemas.openxmlformats.org/officeDocument/2006/relationships/hyperlink" Target="javascript:fxviewCase('3696')" TargetMode="External"/><Relationship Id="rId320" Type="http://schemas.openxmlformats.org/officeDocument/2006/relationships/hyperlink" Target="javascript:fxviewCase('6411')" TargetMode="External"/><Relationship Id="rId80" Type="http://schemas.openxmlformats.org/officeDocument/2006/relationships/hyperlink" Target="javascript:fxviewCase('3584')" TargetMode="External"/><Relationship Id="rId155" Type="http://schemas.openxmlformats.org/officeDocument/2006/relationships/hyperlink" Target="javascript:fxviewCase('3711')" TargetMode="External"/><Relationship Id="rId176" Type="http://schemas.openxmlformats.org/officeDocument/2006/relationships/hyperlink" Target="javascript:fxviewCase('3456')" TargetMode="External"/><Relationship Id="rId197" Type="http://schemas.openxmlformats.org/officeDocument/2006/relationships/hyperlink" Target="javascript:fxviewCase('1932')" TargetMode="External"/><Relationship Id="rId341" Type="http://schemas.openxmlformats.org/officeDocument/2006/relationships/hyperlink" Target="javascript:fxviewCase('3232')" TargetMode="External"/><Relationship Id="rId362" Type="http://schemas.openxmlformats.org/officeDocument/2006/relationships/hyperlink" Target="javascript:fxviewCase('6411')" TargetMode="External"/><Relationship Id="rId201" Type="http://schemas.openxmlformats.org/officeDocument/2006/relationships/hyperlink" Target="javascript:fxviewCase('2890')" TargetMode="External"/><Relationship Id="rId222" Type="http://schemas.openxmlformats.org/officeDocument/2006/relationships/hyperlink" Target="javascript:fxviewCase('1899')" TargetMode="External"/><Relationship Id="rId243" Type="http://schemas.openxmlformats.org/officeDocument/2006/relationships/hyperlink" Target="javascript:fxviewCase('2230')" TargetMode="External"/><Relationship Id="rId264" Type="http://schemas.openxmlformats.org/officeDocument/2006/relationships/hyperlink" Target="javascript:fxviewCase('6176')" TargetMode="External"/><Relationship Id="rId285" Type="http://schemas.openxmlformats.org/officeDocument/2006/relationships/hyperlink" Target="javascript:fxviewCase('2578')" TargetMode="External"/><Relationship Id="rId17" Type="http://schemas.openxmlformats.org/officeDocument/2006/relationships/hyperlink" Target="javascript:fxviewCase('2388')" TargetMode="External"/><Relationship Id="rId38" Type="http://schemas.openxmlformats.org/officeDocument/2006/relationships/hyperlink" Target="javascript:fxviewCase('3610')" TargetMode="External"/><Relationship Id="rId59" Type="http://schemas.openxmlformats.org/officeDocument/2006/relationships/hyperlink" Target="javascript:fxviewCase('3687')" TargetMode="External"/><Relationship Id="rId103" Type="http://schemas.openxmlformats.org/officeDocument/2006/relationships/hyperlink" Target="javascript:fxviewCase('3542')" TargetMode="External"/><Relationship Id="rId124" Type="http://schemas.openxmlformats.org/officeDocument/2006/relationships/hyperlink" Target="javascript:fxviewCase('3630')" TargetMode="External"/><Relationship Id="rId310" Type="http://schemas.openxmlformats.org/officeDocument/2006/relationships/hyperlink" Target="javascript:fxviewCase('6411')" TargetMode="External"/><Relationship Id="rId70" Type="http://schemas.openxmlformats.org/officeDocument/2006/relationships/hyperlink" Target="javascript:fxviewCase('6173')" TargetMode="External"/><Relationship Id="rId91" Type="http://schemas.openxmlformats.org/officeDocument/2006/relationships/hyperlink" Target="javascript:fxviewCase('3629')" TargetMode="External"/><Relationship Id="rId145" Type="http://schemas.openxmlformats.org/officeDocument/2006/relationships/hyperlink" Target="javascript:fxviewCase('3552')" TargetMode="External"/><Relationship Id="rId166" Type="http://schemas.openxmlformats.org/officeDocument/2006/relationships/hyperlink" Target="javascript:fxviewCase('3448')" TargetMode="External"/><Relationship Id="rId187" Type="http://schemas.openxmlformats.org/officeDocument/2006/relationships/hyperlink" Target="javascript:fxviewCase('2493')" TargetMode="External"/><Relationship Id="rId331" Type="http://schemas.openxmlformats.org/officeDocument/2006/relationships/hyperlink" Target="javascript:fxviewCase('3704')" TargetMode="External"/><Relationship Id="rId352" Type="http://schemas.openxmlformats.org/officeDocument/2006/relationships/hyperlink" Target="javascript:fxviewCase('3704')" TargetMode="External"/><Relationship Id="rId1" Type="http://schemas.openxmlformats.org/officeDocument/2006/relationships/hyperlink" Target="javascript:fxviewCase('3322')" TargetMode="External"/><Relationship Id="rId212" Type="http://schemas.openxmlformats.org/officeDocument/2006/relationships/hyperlink" Target="javascript:fxviewCase('3356')" TargetMode="External"/><Relationship Id="rId233" Type="http://schemas.openxmlformats.org/officeDocument/2006/relationships/hyperlink" Target="javascript:fxviewCase('2774')" TargetMode="External"/><Relationship Id="rId254" Type="http://schemas.openxmlformats.org/officeDocument/2006/relationships/hyperlink" Target="javascript:fxviewCase('3029')" TargetMode="External"/><Relationship Id="rId28" Type="http://schemas.openxmlformats.org/officeDocument/2006/relationships/hyperlink" Target="javascript:fxviewCase('3567')" TargetMode="External"/><Relationship Id="rId49" Type="http://schemas.openxmlformats.org/officeDocument/2006/relationships/hyperlink" Target="javascript:fxviewCase('3665')" TargetMode="External"/><Relationship Id="rId114" Type="http://schemas.openxmlformats.org/officeDocument/2006/relationships/hyperlink" Target="javascript:fxviewCase('3633')" TargetMode="External"/><Relationship Id="rId275" Type="http://schemas.openxmlformats.org/officeDocument/2006/relationships/hyperlink" Target="javascript:fxviewCase('3123')" TargetMode="External"/><Relationship Id="rId296" Type="http://schemas.openxmlformats.org/officeDocument/2006/relationships/hyperlink" Target="javascript:fxviewCase('2881')" TargetMode="External"/><Relationship Id="rId300" Type="http://schemas.openxmlformats.org/officeDocument/2006/relationships/hyperlink" Target="javascript:fxviewCase('3121')" TargetMode="External"/><Relationship Id="rId60" Type="http://schemas.openxmlformats.org/officeDocument/2006/relationships/hyperlink" Target="javascript:fxviewCase('3688')" TargetMode="External"/><Relationship Id="rId81" Type="http://schemas.openxmlformats.org/officeDocument/2006/relationships/hyperlink" Target="javascript:fxviewCase('3594')" TargetMode="External"/><Relationship Id="rId135" Type="http://schemas.openxmlformats.org/officeDocument/2006/relationships/hyperlink" Target="javascript:fxviewCase('3696')" TargetMode="External"/><Relationship Id="rId156" Type="http://schemas.openxmlformats.org/officeDocument/2006/relationships/hyperlink" Target="javascript:fxviewCase('3538')" TargetMode="External"/><Relationship Id="rId177" Type="http://schemas.openxmlformats.org/officeDocument/2006/relationships/hyperlink" Target="javascript:fxviewCase('3457')" TargetMode="External"/><Relationship Id="rId198" Type="http://schemas.openxmlformats.org/officeDocument/2006/relationships/hyperlink" Target="javascript:fxviewCase('2910')" TargetMode="External"/><Relationship Id="rId321" Type="http://schemas.openxmlformats.org/officeDocument/2006/relationships/hyperlink" Target="javascript:fxviewCase('2886')" TargetMode="External"/><Relationship Id="rId342" Type="http://schemas.openxmlformats.org/officeDocument/2006/relationships/hyperlink" Target="javascript:fxviewCase('3697')" TargetMode="External"/><Relationship Id="rId363" Type="http://schemas.openxmlformats.org/officeDocument/2006/relationships/hyperlink" Target="javascript:fxviewCase('2510')" TargetMode="External"/><Relationship Id="rId202" Type="http://schemas.openxmlformats.org/officeDocument/2006/relationships/hyperlink" Target="javascript:fxviewCase('3539')" TargetMode="External"/><Relationship Id="rId223" Type="http://schemas.openxmlformats.org/officeDocument/2006/relationships/hyperlink" Target="javascript:fxviewCase('2791')" TargetMode="External"/><Relationship Id="rId244" Type="http://schemas.openxmlformats.org/officeDocument/2006/relationships/hyperlink" Target="javascript:fxviewCase('2490')" TargetMode="External"/><Relationship Id="rId18" Type="http://schemas.openxmlformats.org/officeDocument/2006/relationships/hyperlink" Target="javascript:fxviewCase('3255')" TargetMode="External"/><Relationship Id="rId39" Type="http://schemas.openxmlformats.org/officeDocument/2006/relationships/hyperlink" Target="javascript:fxviewCase('3616')" TargetMode="External"/><Relationship Id="rId265" Type="http://schemas.openxmlformats.org/officeDocument/2006/relationships/hyperlink" Target="javascript:fxviewCase('6411')" TargetMode="External"/><Relationship Id="rId286" Type="http://schemas.openxmlformats.org/officeDocument/2006/relationships/hyperlink" Target="javascript:fxviewCase('2596')" TargetMode="External"/><Relationship Id="rId50" Type="http://schemas.openxmlformats.org/officeDocument/2006/relationships/hyperlink" Target="javascript:fxviewCase('3666')" TargetMode="External"/><Relationship Id="rId104" Type="http://schemas.openxmlformats.org/officeDocument/2006/relationships/hyperlink" Target="javascript:fxviewCase('3543')" TargetMode="External"/><Relationship Id="rId125" Type="http://schemas.openxmlformats.org/officeDocument/2006/relationships/hyperlink" Target="javascript:fxviewCase('3634')" TargetMode="External"/><Relationship Id="rId146" Type="http://schemas.openxmlformats.org/officeDocument/2006/relationships/hyperlink" Target="javascript:fxviewCase('3030')" TargetMode="External"/><Relationship Id="rId167" Type="http://schemas.openxmlformats.org/officeDocument/2006/relationships/hyperlink" Target="javascript:fxviewCase('3449')" TargetMode="External"/><Relationship Id="rId188" Type="http://schemas.openxmlformats.org/officeDocument/2006/relationships/hyperlink" Target="javascript:fxviewCase('2947')" TargetMode="External"/><Relationship Id="rId311" Type="http://schemas.openxmlformats.org/officeDocument/2006/relationships/hyperlink" Target="javascript:fxviewCase('3674')" TargetMode="External"/><Relationship Id="rId332" Type="http://schemas.openxmlformats.org/officeDocument/2006/relationships/hyperlink" Target="javascript:fxviewCase('3552')" TargetMode="External"/><Relationship Id="rId353" Type="http://schemas.openxmlformats.org/officeDocument/2006/relationships/hyperlink" Target="javascript:fxviewCase('3871')" TargetMode="External"/><Relationship Id="rId71" Type="http://schemas.openxmlformats.org/officeDocument/2006/relationships/hyperlink" Target="javascript:fxviewCase('3561')" TargetMode="External"/><Relationship Id="rId92" Type="http://schemas.openxmlformats.org/officeDocument/2006/relationships/hyperlink" Target="javascript:fxviewCase('3871')" TargetMode="External"/><Relationship Id="rId213" Type="http://schemas.openxmlformats.org/officeDocument/2006/relationships/hyperlink" Target="javascript:fxviewCase('3260')" TargetMode="External"/><Relationship Id="rId234" Type="http://schemas.openxmlformats.org/officeDocument/2006/relationships/hyperlink" Target="javascript:fxviewCase('3131')" TargetMode="External"/><Relationship Id="rId2" Type="http://schemas.openxmlformats.org/officeDocument/2006/relationships/hyperlink" Target="javascript:fxviewCase('3710')" TargetMode="External"/><Relationship Id="rId29" Type="http://schemas.openxmlformats.org/officeDocument/2006/relationships/hyperlink" Target="javascript:fxviewCase('3691')" TargetMode="External"/><Relationship Id="rId255" Type="http://schemas.openxmlformats.org/officeDocument/2006/relationships/hyperlink" Target="javascript:fxviewCase('3532')" TargetMode="External"/><Relationship Id="rId276" Type="http://schemas.openxmlformats.org/officeDocument/2006/relationships/hyperlink" Target="javascript:fxviewCase('2613')" TargetMode="External"/><Relationship Id="rId297" Type="http://schemas.openxmlformats.org/officeDocument/2006/relationships/hyperlink" Target="javascript:fxviewCase('2882')" TargetMode="External"/><Relationship Id="rId40" Type="http://schemas.openxmlformats.org/officeDocument/2006/relationships/hyperlink" Target="javascript:fxviewCase('3628')" TargetMode="External"/><Relationship Id="rId115" Type="http://schemas.openxmlformats.org/officeDocument/2006/relationships/hyperlink" Target="javascript:fxviewCase('3637')" TargetMode="External"/><Relationship Id="rId136" Type="http://schemas.openxmlformats.org/officeDocument/2006/relationships/hyperlink" Target="javascript:fxviewCase('3696')" TargetMode="External"/><Relationship Id="rId157" Type="http://schemas.openxmlformats.org/officeDocument/2006/relationships/hyperlink" Target="javascript:fxviewCase('2030')" TargetMode="External"/><Relationship Id="rId178" Type="http://schemas.openxmlformats.org/officeDocument/2006/relationships/hyperlink" Target="javascript:fxviewCase('3458')" TargetMode="External"/><Relationship Id="rId301" Type="http://schemas.openxmlformats.org/officeDocument/2006/relationships/hyperlink" Target="javascript:fxviewCase('3422')" TargetMode="External"/><Relationship Id="rId322" Type="http://schemas.openxmlformats.org/officeDocument/2006/relationships/hyperlink" Target="javascript:fxviewCase('2886')" TargetMode="External"/><Relationship Id="rId343" Type="http://schemas.openxmlformats.org/officeDocument/2006/relationships/hyperlink" Target="javascript:fxviewCase('3697')" TargetMode="External"/><Relationship Id="rId364" Type="http://schemas.openxmlformats.org/officeDocument/2006/relationships/hyperlink" Target="javascript:fxviewCase('3645')" TargetMode="External"/><Relationship Id="rId61" Type="http://schemas.openxmlformats.org/officeDocument/2006/relationships/hyperlink" Target="javascript:fxviewCase('3648')" TargetMode="External"/><Relationship Id="rId82" Type="http://schemas.openxmlformats.org/officeDocument/2006/relationships/hyperlink" Target="javascript:fxviewCase('3599')" TargetMode="External"/><Relationship Id="rId199" Type="http://schemas.openxmlformats.org/officeDocument/2006/relationships/hyperlink" Target="javascript:fxviewCase('3002')" TargetMode="External"/><Relationship Id="rId203" Type="http://schemas.openxmlformats.org/officeDocument/2006/relationships/hyperlink" Target="javascript:fxviewCase('3512')" TargetMode="External"/><Relationship Id="rId19" Type="http://schemas.openxmlformats.org/officeDocument/2006/relationships/hyperlink" Target="javascript:fxviewCase('2446')" TargetMode="External"/><Relationship Id="rId224" Type="http://schemas.openxmlformats.org/officeDocument/2006/relationships/hyperlink" Target="javascript:fxviewCase('3493')" TargetMode="External"/><Relationship Id="rId245" Type="http://schemas.openxmlformats.org/officeDocument/2006/relationships/hyperlink" Target="javascript:fxviewCase('3005')" TargetMode="External"/><Relationship Id="rId266" Type="http://schemas.openxmlformats.org/officeDocument/2006/relationships/hyperlink" Target="javascript:fxviewCase('3182')" TargetMode="External"/><Relationship Id="rId287" Type="http://schemas.openxmlformats.org/officeDocument/2006/relationships/hyperlink" Target="javascript:fxviewCase('2784')" TargetMode="External"/><Relationship Id="rId30" Type="http://schemas.openxmlformats.org/officeDocument/2006/relationships/hyperlink" Target="javascript:fxviewCase('3580')" TargetMode="External"/><Relationship Id="rId105" Type="http://schemas.openxmlformats.org/officeDocument/2006/relationships/hyperlink" Target="javascript:fxviewCase('3544')" TargetMode="External"/><Relationship Id="rId126" Type="http://schemas.openxmlformats.org/officeDocument/2006/relationships/hyperlink" Target="javascript:fxviewCase('3640')" TargetMode="External"/><Relationship Id="rId147" Type="http://schemas.openxmlformats.org/officeDocument/2006/relationships/hyperlink" Target="javascript:fxviewCase('3701')" TargetMode="External"/><Relationship Id="rId168" Type="http://schemas.openxmlformats.org/officeDocument/2006/relationships/hyperlink" Target="javascript:fxviewCase('1408')" TargetMode="External"/><Relationship Id="rId312" Type="http://schemas.openxmlformats.org/officeDocument/2006/relationships/hyperlink" Target="javascript:fxviewCase('3673')" TargetMode="External"/><Relationship Id="rId333" Type="http://schemas.openxmlformats.org/officeDocument/2006/relationships/hyperlink" Target="javascript:fxviewCase('3694')" TargetMode="External"/><Relationship Id="rId354" Type="http://schemas.openxmlformats.org/officeDocument/2006/relationships/hyperlink" Target="javascript:fxviewCase('3871')" TargetMode="External"/><Relationship Id="rId51" Type="http://schemas.openxmlformats.org/officeDocument/2006/relationships/hyperlink" Target="javascript:fxviewCase('3676')" TargetMode="External"/><Relationship Id="rId72" Type="http://schemas.openxmlformats.org/officeDocument/2006/relationships/hyperlink" Target="javascript:fxviewCase('3563')" TargetMode="External"/><Relationship Id="rId93" Type="http://schemas.openxmlformats.org/officeDocument/2006/relationships/hyperlink" Target="javascript:fxviewCase('3871')" TargetMode="External"/><Relationship Id="rId189" Type="http://schemas.openxmlformats.org/officeDocument/2006/relationships/hyperlink" Target="javascript:fxviewCase('2113')" TargetMode="External"/><Relationship Id="rId3" Type="http://schemas.openxmlformats.org/officeDocument/2006/relationships/hyperlink" Target="javascript:fxviewCase('3341')" TargetMode="External"/><Relationship Id="rId214" Type="http://schemas.openxmlformats.org/officeDocument/2006/relationships/hyperlink" Target="javascript:fxviewCase('2562')" TargetMode="External"/><Relationship Id="rId235" Type="http://schemas.openxmlformats.org/officeDocument/2006/relationships/hyperlink" Target="javascript:fxviewCase('3189')" TargetMode="External"/><Relationship Id="rId256" Type="http://schemas.openxmlformats.org/officeDocument/2006/relationships/hyperlink" Target="javascript:fxviewCase('3184')" TargetMode="External"/><Relationship Id="rId277" Type="http://schemas.openxmlformats.org/officeDocument/2006/relationships/hyperlink" Target="javascript:fxviewCase('2935')" TargetMode="External"/><Relationship Id="rId298" Type="http://schemas.openxmlformats.org/officeDocument/2006/relationships/hyperlink" Target="javascript:fxviewCase('2883')" TargetMode="External"/><Relationship Id="rId116" Type="http://schemas.openxmlformats.org/officeDocument/2006/relationships/hyperlink" Target="javascript:fxviewCase('3661')" TargetMode="External"/><Relationship Id="rId137" Type="http://schemas.openxmlformats.org/officeDocument/2006/relationships/hyperlink" Target="javascript:fxviewCase('3232')" TargetMode="External"/><Relationship Id="rId158" Type="http://schemas.openxmlformats.org/officeDocument/2006/relationships/hyperlink" Target="javascript:fxviewCase('3439')" TargetMode="External"/><Relationship Id="rId302" Type="http://schemas.openxmlformats.org/officeDocument/2006/relationships/hyperlink" Target="javascript:fxviewCase('3632')" TargetMode="External"/><Relationship Id="rId323" Type="http://schemas.openxmlformats.org/officeDocument/2006/relationships/hyperlink" Target="javascript:fxviewCase('2889')" TargetMode="External"/><Relationship Id="rId344" Type="http://schemas.openxmlformats.org/officeDocument/2006/relationships/hyperlink" Target="javascript:fxviewCase('3858')" TargetMode="External"/><Relationship Id="rId20" Type="http://schemas.openxmlformats.org/officeDocument/2006/relationships/hyperlink" Target="javascript:fxviewCase('3016')" TargetMode="External"/><Relationship Id="rId41" Type="http://schemas.openxmlformats.org/officeDocument/2006/relationships/hyperlink" Target="javascript:fxviewCase('3632')" TargetMode="External"/><Relationship Id="rId62" Type="http://schemas.openxmlformats.org/officeDocument/2006/relationships/hyperlink" Target="javascript:fxviewCase('3648')" TargetMode="External"/><Relationship Id="rId83" Type="http://schemas.openxmlformats.org/officeDocument/2006/relationships/hyperlink" Target="javascript:fxviewCase('3601')" TargetMode="External"/><Relationship Id="rId179" Type="http://schemas.openxmlformats.org/officeDocument/2006/relationships/hyperlink" Target="javascript:fxviewCase('1419')" TargetMode="External"/><Relationship Id="rId365" Type="http://schemas.openxmlformats.org/officeDocument/2006/relationships/hyperlink" Target="javascript:fxviewCase('3455')" TargetMode="External"/><Relationship Id="rId190" Type="http://schemas.openxmlformats.org/officeDocument/2006/relationships/hyperlink" Target="javascript:fxviewCase('2851')" TargetMode="External"/><Relationship Id="rId204" Type="http://schemas.openxmlformats.org/officeDocument/2006/relationships/hyperlink" Target="javascript:fxviewCase('3041')" TargetMode="External"/><Relationship Id="rId225" Type="http://schemas.openxmlformats.org/officeDocument/2006/relationships/hyperlink" Target="javascript:fxviewCase('2204')" TargetMode="External"/><Relationship Id="rId246" Type="http://schemas.openxmlformats.org/officeDocument/2006/relationships/hyperlink" Target="javascript:fxviewCase('3492')" TargetMode="External"/><Relationship Id="rId267" Type="http://schemas.openxmlformats.org/officeDocument/2006/relationships/hyperlink" Target="javascript:fxviewCase('2533')" TargetMode="External"/><Relationship Id="rId288" Type="http://schemas.openxmlformats.org/officeDocument/2006/relationships/hyperlink" Target="javascript:fxviewCase('3600')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B1:AQ1"/>
  <sheetViews>
    <sheetView workbookViewId="0">
      <selection activeCell="J12" sqref="J12"/>
    </sheetView>
  </sheetViews>
  <sheetFormatPr defaultColWidth="9.453125" defaultRowHeight="15.5" outlineLevelCol="1"/>
  <cols>
    <col min="1" max="1" width="9.453125" style="120"/>
    <col min="2" max="2" width="9.453125" style="123"/>
    <col min="3" max="4" width="9.453125" style="121"/>
    <col min="5" max="5" width="9.453125" style="122"/>
    <col min="6" max="6" width="9.453125" style="124"/>
    <col min="7" max="7" width="9.453125" style="125"/>
    <col min="8" max="8" width="9.453125" style="126"/>
    <col min="9" max="9" width="9.453125" style="127"/>
    <col min="10" max="10" width="9.453125" style="128"/>
    <col min="11" max="11" width="9.453125" style="129"/>
    <col min="12" max="17" width="9.453125" style="130" outlineLevel="1"/>
    <col min="18" max="18" width="9.453125" style="131" outlineLevel="1"/>
    <col min="19" max="19" width="9.453125" style="130"/>
    <col min="20" max="20" width="9.453125" style="128" collapsed="1"/>
    <col min="21" max="22" width="9.453125" style="131"/>
    <col min="23" max="23" width="9.453125" style="130"/>
    <col min="24" max="24" width="9.453125" style="128"/>
    <col min="25" max="25" width="9.453125" style="120"/>
    <col min="26" max="26" width="9.453125" style="130"/>
    <col min="27" max="27" width="9.453125" style="128"/>
    <col min="28" max="28" width="9.453125" style="130"/>
    <col min="29" max="30" width="9.453125" style="128"/>
    <col min="31" max="31" width="9.453125" style="130"/>
    <col min="32" max="32" width="9.453125" style="132"/>
    <col min="33" max="34" width="9.453125" style="128"/>
    <col min="35" max="35" width="9.453125" style="130"/>
    <col min="36" max="36" width="9.453125" style="131"/>
    <col min="37" max="43" width="9.453125" style="130" outlineLevel="1"/>
    <col min="44" max="16384" width="9.453125" style="120"/>
  </cols>
  <sheetData/>
  <protectedRanges>
    <protectedRange sqref="B1 X6 X1094 X1707 B1685:AB1703 B2:C3 AR1685:AR1703 AH8:AH1713 U8:W1713 AD8:AF1713 Z8:Z1713 S8:S1713 AB8:AB1713 AR8:AR1713 AK8:AQ1713 AH1685:AQ1703" name="範圍1_1"/>
  </protectedRanges>
  <phoneticPr fontId="19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FF00"/>
  </sheetPr>
  <dimension ref="A1:AU14"/>
  <sheetViews>
    <sheetView tabSelected="1" workbookViewId="0">
      <selection activeCell="E5" sqref="E5"/>
    </sheetView>
  </sheetViews>
  <sheetFormatPr defaultColWidth="9.453125" defaultRowHeight="18" outlineLevelCol="1"/>
  <cols>
    <col min="1" max="1" width="29" style="59" customWidth="1"/>
    <col min="2" max="2" width="29" style="60" customWidth="1"/>
    <col min="3" max="4" width="29" style="54" customWidth="1"/>
    <col min="5" max="5" width="31.08984375" style="42" customWidth="1"/>
    <col min="6" max="6" width="9.453125" style="43"/>
    <col min="7" max="7" width="9.453125" style="44"/>
    <col min="8" max="8" width="9.453125" style="45"/>
    <col min="9" max="10" width="9.453125" style="46"/>
    <col min="11" max="11" width="9.453125" style="47"/>
    <col min="12" max="17" width="9.453125" style="48" outlineLevel="1"/>
    <col min="18" max="18" width="9.453125" style="49" outlineLevel="1"/>
    <col min="19" max="19" width="9.453125" style="48"/>
    <col min="20" max="20" width="9.453125" style="46" collapsed="1"/>
    <col min="21" max="22" width="9.453125" style="49"/>
    <col min="23" max="23" width="9.453125" style="48"/>
    <col min="24" max="24" width="9.453125" style="46"/>
    <col min="25" max="25" width="9.453125" style="50"/>
    <col min="26" max="26" width="9.453125" style="48"/>
    <col min="27" max="27" width="9.453125" style="46"/>
    <col min="28" max="28" width="9.453125" style="48"/>
    <col min="29" max="30" width="9.453125" style="46"/>
    <col min="31" max="32" width="9.453125" style="48"/>
    <col min="33" max="34" width="9.453125" style="46"/>
    <col min="35" max="35" width="9.453125" style="48"/>
    <col min="36" max="36" width="9.453125" style="49"/>
    <col min="37" max="46" width="9.453125" style="48" outlineLevel="1"/>
    <col min="47" max="47" width="9.453125" style="46"/>
    <col min="48" max="16384" width="9.453125" style="50"/>
  </cols>
  <sheetData>
    <row r="1" spans="1:5" ht="30.65" customHeight="1" thickBot="1">
      <c r="A1" s="66" t="s">
        <v>81</v>
      </c>
      <c r="B1" s="67" t="s">
        <v>82</v>
      </c>
      <c r="C1" s="68" t="s">
        <v>83</v>
      </c>
      <c r="D1" s="67" t="s">
        <v>84</v>
      </c>
    </row>
    <row r="2" spans="1:5">
      <c r="A2" s="51"/>
      <c r="B2" s="133" t="s">
        <v>86</v>
      </c>
      <c r="C2" s="52" t="s">
        <v>87</v>
      </c>
      <c r="D2" s="53" t="s">
        <v>1232</v>
      </c>
    </row>
    <row r="3" spans="1:5">
      <c r="A3" s="51"/>
      <c r="B3" s="133"/>
      <c r="D3" s="55"/>
      <c r="E3" s="50" t="s">
        <v>1257</v>
      </c>
    </row>
    <row r="4" spans="1:5">
      <c r="A4" s="51"/>
      <c r="B4" s="133"/>
      <c r="D4" s="55"/>
      <c r="E4" s="50" t="s">
        <v>1258</v>
      </c>
    </row>
    <row r="5" spans="1:5" ht="18.5" thickBot="1">
      <c r="A5" s="56"/>
      <c r="B5" s="134"/>
      <c r="C5" s="57"/>
      <c r="D5" s="58"/>
    </row>
    <row r="6" spans="1:5">
      <c r="A6" s="59" t="s">
        <v>88</v>
      </c>
      <c r="C6" s="61" t="s">
        <v>89</v>
      </c>
    </row>
    <row r="7" spans="1:5">
      <c r="A7" s="62">
        <f ca="1">NOW()</f>
        <v>44740.366345717594</v>
      </c>
      <c r="B7" s="63" t="s">
        <v>1255</v>
      </c>
    </row>
    <row r="10" spans="1:5">
      <c r="C10" s="61" t="s">
        <v>85</v>
      </c>
    </row>
    <row r="11" spans="1:5">
      <c r="A11" s="64" t="s">
        <v>90</v>
      </c>
    </row>
    <row r="12" spans="1:5">
      <c r="A12" s="65" t="s">
        <v>912</v>
      </c>
    </row>
    <row r="13" spans="1:5">
      <c r="A13" s="113" t="s">
        <v>1256</v>
      </c>
    </row>
    <row r="14" spans="1:5">
      <c r="A14" s="113"/>
    </row>
  </sheetData>
  <protectedRanges>
    <protectedRange sqref="C2:C3 X6 X981 X966 B1356:AW1376 D2 AD8:AF1374 U8:W1374 AH8:AH1374 AK8:AW1374 AB8:AB1374 Z8:Z1374 S8:S1374" name="範圍1"/>
  </protectedRanges>
  <mergeCells count="1">
    <mergeCell ref="B2:B5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atacalculate">
                <anchor moveWithCells="1" sizeWithCells="1">
                  <from>
                    <xdr:col>2</xdr:col>
                    <xdr:colOff>38100</xdr:colOff>
                    <xdr:row>2</xdr:row>
                    <xdr:rowOff>31750</xdr:rowOff>
                  </from>
                  <to>
                    <xdr:col>2</xdr:col>
                    <xdr:colOff>1974850</xdr:colOff>
                    <xdr:row>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eps12">
                <anchor moveWithCells="1" sizeWithCells="1">
                  <from>
                    <xdr:col>3</xdr:col>
                    <xdr:colOff>57150</xdr:colOff>
                    <xdr:row>2</xdr:row>
                    <xdr:rowOff>50800</xdr:rowOff>
                  </from>
                  <to>
                    <xdr:col>3</xdr:col>
                    <xdr:colOff>1962150</xdr:colOff>
                    <xdr:row>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leanup">
                <anchor moveWithCells="1" sizeWithCells="1">
                  <from>
                    <xdr:col>0</xdr:col>
                    <xdr:colOff>127000</xdr:colOff>
                    <xdr:row>1</xdr:row>
                    <xdr:rowOff>88900</xdr:rowOff>
                  </from>
                  <to>
                    <xdr:col>0</xdr:col>
                    <xdr:colOff>1879600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cleanupcal1">
                <anchor moveWithCells="1" sizeWithCells="1">
                  <from>
                    <xdr:col>2</xdr:col>
                    <xdr:colOff>57150</xdr:colOff>
                    <xdr:row>6</xdr:row>
                    <xdr:rowOff>50800</xdr:rowOff>
                  </from>
                  <to>
                    <xdr:col>2</xdr:col>
                    <xdr:colOff>1943100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7030A0"/>
  </sheetPr>
  <dimension ref="A1:E562"/>
  <sheetViews>
    <sheetView workbookViewId="0">
      <selection activeCell="D9" sqref="D9"/>
    </sheetView>
  </sheetViews>
  <sheetFormatPr defaultRowHeight="17"/>
  <cols>
    <col min="1" max="1" width="17.453125" bestFit="1" customWidth="1"/>
    <col min="2" max="2" width="28.08984375" bestFit="1" customWidth="1"/>
    <col min="3" max="3" width="36.7265625" bestFit="1" customWidth="1"/>
    <col min="4" max="4" width="53.90625" bestFit="1" customWidth="1"/>
    <col min="5" max="5" width="11.36328125" customWidth="1"/>
  </cols>
  <sheetData>
    <row r="1" spans="1:5">
      <c r="A1" s="83" t="s">
        <v>91</v>
      </c>
      <c r="B1" s="83" t="s">
        <v>914</v>
      </c>
      <c r="C1" s="83" t="s">
        <v>451</v>
      </c>
      <c r="D1" s="83" t="s">
        <v>92</v>
      </c>
      <c r="E1" s="112" t="s">
        <v>913</v>
      </c>
    </row>
    <row r="2" spans="1:5">
      <c r="A2" s="84" t="s">
        <v>1</v>
      </c>
      <c r="B2" s="84" t="s">
        <v>915</v>
      </c>
      <c r="C2" s="84" t="s">
        <v>916</v>
      </c>
      <c r="D2" s="72" t="s">
        <v>2</v>
      </c>
    </row>
    <row r="3" spans="1:5">
      <c r="A3" s="84" t="s">
        <v>93</v>
      </c>
      <c r="B3" s="84" t="s">
        <v>916</v>
      </c>
      <c r="C3" s="84" t="s">
        <v>916</v>
      </c>
      <c r="D3" s="72" t="s">
        <v>94</v>
      </c>
    </row>
    <row r="4" spans="1:5">
      <c r="A4" s="84" t="s">
        <v>95</v>
      </c>
      <c r="B4" s="84" t="s">
        <v>916</v>
      </c>
      <c r="C4" s="84" t="s">
        <v>916</v>
      </c>
      <c r="D4" s="72" t="s">
        <v>96</v>
      </c>
    </row>
    <row r="5" spans="1:5">
      <c r="A5" s="84" t="s">
        <v>97</v>
      </c>
      <c r="B5" s="84" t="s">
        <v>916</v>
      </c>
      <c r="C5" s="84" t="s">
        <v>916</v>
      </c>
      <c r="D5" s="72" t="s">
        <v>98</v>
      </c>
    </row>
    <row r="6" spans="1:5">
      <c r="A6" s="84" t="s">
        <v>99</v>
      </c>
      <c r="B6" s="84" t="s">
        <v>916</v>
      </c>
      <c r="C6" s="84" t="s">
        <v>916</v>
      </c>
      <c r="D6" s="72" t="s">
        <v>100</v>
      </c>
    </row>
    <row r="7" spans="1:5">
      <c r="A7" s="85" t="s">
        <v>452</v>
      </c>
      <c r="B7" s="84" t="s">
        <v>916</v>
      </c>
      <c r="C7" s="84" t="s">
        <v>916</v>
      </c>
      <c r="D7" s="72" t="s">
        <v>453</v>
      </c>
    </row>
    <row r="8" spans="1:5">
      <c r="A8" s="85" t="s">
        <v>101</v>
      </c>
      <c r="B8" s="84" t="s">
        <v>916</v>
      </c>
      <c r="C8" s="84" t="s">
        <v>916</v>
      </c>
      <c r="D8" s="72" t="s">
        <v>102</v>
      </c>
    </row>
    <row r="9" spans="1:5">
      <c r="A9" s="85" t="s">
        <v>454</v>
      </c>
      <c r="B9" s="84" t="s">
        <v>916</v>
      </c>
      <c r="C9" s="84" t="s">
        <v>916</v>
      </c>
      <c r="D9" s="72" t="s">
        <v>455</v>
      </c>
    </row>
    <row r="10" spans="1:5">
      <c r="A10" s="85" t="s">
        <v>456</v>
      </c>
      <c r="B10" s="84" t="s">
        <v>916</v>
      </c>
      <c r="C10" s="84" t="s">
        <v>916</v>
      </c>
      <c r="D10" s="72" t="s">
        <v>457</v>
      </c>
    </row>
    <row r="11" spans="1:5">
      <c r="A11" s="85" t="s">
        <v>458</v>
      </c>
      <c r="B11" s="84" t="s">
        <v>916</v>
      </c>
      <c r="C11" s="84" t="s">
        <v>916</v>
      </c>
      <c r="D11" s="72" t="s">
        <v>459</v>
      </c>
    </row>
    <row r="12" spans="1:5">
      <c r="A12" s="85" t="s">
        <v>103</v>
      </c>
      <c r="B12" s="84" t="s">
        <v>916</v>
      </c>
      <c r="C12" s="84" t="s">
        <v>916</v>
      </c>
      <c r="D12" s="72" t="s">
        <v>104</v>
      </c>
    </row>
    <row r="13" spans="1:5">
      <c r="A13" s="85" t="s">
        <v>460</v>
      </c>
      <c r="B13" s="84" t="s">
        <v>916</v>
      </c>
      <c r="C13" s="84" t="s">
        <v>916</v>
      </c>
      <c r="D13" s="72" t="s">
        <v>461</v>
      </c>
    </row>
    <row r="14" spans="1:5">
      <c r="A14" s="85" t="s">
        <v>462</v>
      </c>
      <c r="B14" s="84" t="s">
        <v>916</v>
      </c>
      <c r="C14" s="84" t="s">
        <v>916</v>
      </c>
      <c r="D14" s="72" t="s">
        <v>917</v>
      </c>
    </row>
    <row r="15" spans="1:5">
      <c r="A15" s="85" t="s">
        <v>463</v>
      </c>
      <c r="B15" s="84" t="s">
        <v>916</v>
      </c>
      <c r="C15" s="84" t="s">
        <v>916</v>
      </c>
      <c r="D15" s="72" t="s">
        <v>464</v>
      </c>
    </row>
    <row r="16" spans="1:5">
      <c r="A16" s="85" t="s">
        <v>465</v>
      </c>
      <c r="B16" s="84" t="s">
        <v>916</v>
      </c>
      <c r="C16" s="84" t="s">
        <v>916</v>
      </c>
      <c r="D16" s="72" t="s">
        <v>466</v>
      </c>
    </row>
    <row r="17" spans="1:4">
      <c r="A17" s="85" t="s">
        <v>467</v>
      </c>
      <c r="B17" s="84" t="s">
        <v>916</v>
      </c>
      <c r="C17" s="84" t="s">
        <v>916</v>
      </c>
      <c r="D17" s="72" t="s">
        <v>468</v>
      </c>
    </row>
    <row r="18" spans="1:4">
      <c r="A18" s="85" t="s">
        <v>469</v>
      </c>
      <c r="B18" s="84" t="s">
        <v>916</v>
      </c>
      <c r="C18" s="84" t="s">
        <v>916</v>
      </c>
      <c r="D18" s="72" t="s">
        <v>470</v>
      </c>
    </row>
    <row r="19" spans="1:4">
      <c r="A19" s="85" t="s">
        <v>471</v>
      </c>
      <c r="B19" s="84" t="s">
        <v>916</v>
      </c>
      <c r="C19" s="84" t="s">
        <v>916</v>
      </c>
      <c r="D19" s="72" t="s">
        <v>472</v>
      </c>
    </row>
    <row r="20" spans="1:4">
      <c r="A20" s="85" t="s">
        <v>918</v>
      </c>
      <c r="B20" s="84" t="s">
        <v>915</v>
      </c>
      <c r="C20" s="84" t="s">
        <v>915</v>
      </c>
      <c r="D20" s="72" t="s">
        <v>919</v>
      </c>
    </row>
    <row r="21" spans="1:4">
      <c r="A21" s="85" t="s">
        <v>105</v>
      </c>
      <c r="B21" s="84" t="s">
        <v>920</v>
      </c>
      <c r="C21" s="84" t="s">
        <v>920</v>
      </c>
      <c r="D21" s="72" t="s">
        <v>921</v>
      </c>
    </row>
    <row r="22" spans="1:4">
      <c r="A22" s="85" t="s">
        <v>922</v>
      </c>
      <c r="B22" s="84" t="s">
        <v>920</v>
      </c>
      <c r="C22" s="84" t="s">
        <v>920</v>
      </c>
      <c r="D22" s="72" t="s">
        <v>923</v>
      </c>
    </row>
    <row r="23" spans="1:4">
      <c r="A23" s="85" t="s">
        <v>924</v>
      </c>
      <c r="B23" s="84" t="s">
        <v>920</v>
      </c>
      <c r="C23" s="84" t="s">
        <v>920</v>
      </c>
      <c r="D23" s="72" t="s">
        <v>925</v>
      </c>
    </row>
    <row r="24" spans="1:4">
      <c r="A24" s="114" t="s">
        <v>926</v>
      </c>
      <c r="B24" s="114" t="s">
        <v>0</v>
      </c>
      <c r="C24" s="114" t="s">
        <v>0</v>
      </c>
      <c r="D24" s="73" t="s">
        <v>927</v>
      </c>
    </row>
    <row r="25" spans="1:4">
      <c r="A25" s="85" t="s">
        <v>106</v>
      </c>
      <c r="B25" s="84" t="s">
        <v>920</v>
      </c>
      <c r="C25" s="84" t="s">
        <v>920</v>
      </c>
      <c r="D25" s="72" t="s">
        <v>107</v>
      </c>
    </row>
    <row r="26" spans="1:4">
      <c r="A26" s="85" t="s">
        <v>108</v>
      </c>
      <c r="B26" s="84" t="s">
        <v>920</v>
      </c>
      <c r="C26" s="84" t="s">
        <v>920</v>
      </c>
      <c r="D26" s="72" t="s">
        <v>109</v>
      </c>
    </row>
    <row r="27" spans="1:4">
      <c r="A27" s="85" t="s">
        <v>110</v>
      </c>
      <c r="B27" s="84" t="s">
        <v>920</v>
      </c>
      <c r="C27" s="84" t="s">
        <v>920</v>
      </c>
      <c r="D27" s="72" t="s">
        <v>111</v>
      </c>
    </row>
    <row r="28" spans="1:4">
      <c r="A28" s="85" t="s">
        <v>112</v>
      </c>
      <c r="B28" s="84" t="s">
        <v>920</v>
      </c>
      <c r="C28" s="84" t="s">
        <v>920</v>
      </c>
      <c r="D28" s="72" t="s">
        <v>113</v>
      </c>
    </row>
    <row r="29" spans="1:4">
      <c r="A29" s="85" t="s">
        <v>114</v>
      </c>
      <c r="B29" s="84" t="s">
        <v>920</v>
      </c>
      <c r="C29" s="84" t="s">
        <v>920</v>
      </c>
      <c r="D29" s="72" t="s">
        <v>115</v>
      </c>
    </row>
    <row r="30" spans="1:4">
      <c r="A30" s="85" t="s">
        <v>473</v>
      </c>
      <c r="B30" s="84" t="s">
        <v>920</v>
      </c>
      <c r="C30" s="84" t="s">
        <v>920</v>
      </c>
      <c r="D30" s="72" t="s">
        <v>474</v>
      </c>
    </row>
    <row r="31" spans="1:4">
      <c r="A31" s="85" t="s">
        <v>116</v>
      </c>
      <c r="B31" s="84" t="s">
        <v>920</v>
      </c>
      <c r="C31" s="84" t="s">
        <v>920</v>
      </c>
      <c r="D31" s="72" t="s">
        <v>117</v>
      </c>
    </row>
    <row r="32" spans="1:4">
      <c r="A32" s="85" t="s">
        <v>475</v>
      </c>
      <c r="B32" s="84" t="s">
        <v>920</v>
      </c>
      <c r="C32" s="84" t="s">
        <v>920</v>
      </c>
      <c r="D32" s="72" t="s">
        <v>476</v>
      </c>
    </row>
    <row r="33" spans="1:4">
      <c r="A33" s="85" t="s">
        <v>118</v>
      </c>
      <c r="B33" s="84" t="s">
        <v>920</v>
      </c>
      <c r="C33" s="84" t="s">
        <v>920</v>
      </c>
      <c r="D33" s="72" t="s">
        <v>119</v>
      </c>
    </row>
    <row r="34" spans="1:4">
      <c r="A34" s="85" t="s">
        <v>120</v>
      </c>
      <c r="B34" s="84" t="s">
        <v>920</v>
      </c>
      <c r="C34" s="84" t="s">
        <v>920</v>
      </c>
      <c r="D34" s="72" t="s">
        <v>928</v>
      </c>
    </row>
    <row r="35" spans="1:4">
      <c r="A35" s="85" t="s">
        <v>121</v>
      </c>
      <c r="B35" s="84" t="s">
        <v>920</v>
      </c>
      <c r="C35" s="84" t="s">
        <v>920</v>
      </c>
      <c r="D35" s="115" t="s">
        <v>365</v>
      </c>
    </row>
    <row r="36" spans="1:4">
      <c r="A36" s="85" t="s">
        <v>122</v>
      </c>
      <c r="B36" s="84" t="s">
        <v>920</v>
      </c>
      <c r="C36" s="84" t="s">
        <v>920</v>
      </c>
      <c r="D36" s="115" t="s">
        <v>123</v>
      </c>
    </row>
    <row r="37" spans="1:4">
      <c r="A37" s="84" t="s">
        <v>124</v>
      </c>
      <c r="B37" s="84" t="s">
        <v>920</v>
      </c>
      <c r="C37" s="84" t="s">
        <v>920</v>
      </c>
      <c r="D37" s="115" t="s">
        <v>125</v>
      </c>
    </row>
    <row r="38" spans="1:4">
      <c r="A38" s="84" t="s">
        <v>126</v>
      </c>
      <c r="B38" s="84" t="s">
        <v>920</v>
      </c>
      <c r="C38" s="84" t="s">
        <v>920</v>
      </c>
      <c r="D38" s="72" t="s">
        <v>366</v>
      </c>
    </row>
    <row r="39" spans="1:4">
      <c r="A39" s="84" t="s">
        <v>127</v>
      </c>
      <c r="B39" s="84" t="s">
        <v>920</v>
      </c>
      <c r="C39" s="84" t="s">
        <v>920</v>
      </c>
      <c r="D39" s="72" t="s">
        <v>367</v>
      </c>
    </row>
    <row r="40" spans="1:4">
      <c r="A40" s="84" t="s">
        <v>129</v>
      </c>
      <c r="B40" s="84" t="s">
        <v>920</v>
      </c>
      <c r="C40" s="84" t="s">
        <v>920</v>
      </c>
      <c r="D40" s="72" t="s">
        <v>130</v>
      </c>
    </row>
    <row r="41" spans="1:4">
      <c r="A41" s="84" t="s">
        <v>131</v>
      </c>
      <c r="B41" s="84" t="s">
        <v>920</v>
      </c>
      <c r="C41" s="84" t="s">
        <v>920</v>
      </c>
      <c r="D41" s="72" t="s">
        <v>132</v>
      </c>
    </row>
    <row r="42" spans="1:4">
      <c r="A42" s="84" t="s">
        <v>477</v>
      </c>
      <c r="B42" s="84" t="s">
        <v>920</v>
      </c>
      <c r="C42" s="84" t="s">
        <v>920</v>
      </c>
      <c r="D42" s="72" t="s">
        <v>478</v>
      </c>
    </row>
    <row r="43" spans="1:4">
      <c r="A43" s="86" t="s">
        <v>479</v>
      </c>
      <c r="B43" s="84" t="s">
        <v>920</v>
      </c>
      <c r="C43" s="84" t="s">
        <v>920</v>
      </c>
      <c r="D43" s="72" t="s">
        <v>480</v>
      </c>
    </row>
    <row r="44" spans="1:4">
      <c r="A44" s="86" t="s">
        <v>133</v>
      </c>
      <c r="B44" s="84" t="s">
        <v>920</v>
      </c>
      <c r="C44" s="84" t="s">
        <v>920</v>
      </c>
      <c r="D44" s="72" t="s">
        <v>134</v>
      </c>
    </row>
    <row r="45" spans="1:4">
      <c r="A45" s="86" t="s">
        <v>135</v>
      </c>
      <c r="B45" s="84" t="s">
        <v>920</v>
      </c>
      <c r="C45" s="84" t="s">
        <v>920</v>
      </c>
      <c r="D45" s="72" t="s">
        <v>136</v>
      </c>
    </row>
    <row r="46" spans="1:4">
      <c r="A46" s="86" t="s">
        <v>137</v>
      </c>
      <c r="B46" s="84" t="s">
        <v>920</v>
      </c>
      <c r="C46" s="84" t="s">
        <v>920</v>
      </c>
      <c r="D46" s="72" t="s">
        <v>138</v>
      </c>
    </row>
    <row r="47" spans="1:4">
      <c r="A47" s="86" t="s">
        <v>139</v>
      </c>
      <c r="B47" s="84" t="s">
        <v>920</v>
      </c>
      <c r="C47" s="84" t="s">
        <v>920</v>
      </c>
      <c r="D47" s="72" t="s">
        <v>140</v>
      </c>
    </row>
    <row r="48" spans="1:4">
      <c r="A48" s="86" t="s">
        <v>481</v>
      </c>
      <c r="B48" s="84" t="s">
        <v>920</v>
      </c>
      <c r="C48" s="84" t="s">
        <v>920</v>
      </c>
      <c r="D48" s="72" t="s">
        <v>482</v>
      </c>
    </row>
    <row r="49" spans="1:4">
      <c r="A49" s="86" t="s">
        <v>483</v>
      </c>
      <c r="B49" s="84" t="s">
        <v>920</v>
      </c>
      <c r="C49" s="84" t="s">
        <v>920</v>
      </c>
      <c r="D49" s="72" t="s">
        <v>484</v>
      </c>
    </row>
    <row r="50" spans="1:4">
      <c r="A50" s="86" t="s">
        <v>485</v>
      </c>
      <c r="B50" s="84" t="s">
        <v>920</v>
      </c>
      <c r="C50" s="84" t="s">
        <v>920</v>
      </c>
      <c r="D50" s="72" t="s">
        <v>486</v>
      </c>
    </row>
    <row r="51" spans="1:4">
      <c r="A51" s="86" t="s">
        <v>141</v>
      </c>
      <c r="B51" s="84" t="s">
        <v>920</v>
      </c>
      <c r="C51" s="84" t="s">
        <v>920</v>
      </c>
      <c r="D51" s="72" t="s">
        <v>929</v>
      </c>
    </row>
    <row r="52" spans="1:4">
      <c r="A52" s="86" t="s">
        <v>142</v>
      </c>
      <c r="B52" s="84" t="s">
        <v>920</v>
      </c>
      <c r="C52" s="84" t="s">
        <v>920</v>
      </c>
      <c r="D52" s="72" t="s">
        <v>930</v>
      </c>
    </row>
    <row r="53" spans="1:4">
      <c r="A53" s="86" t="s">
        <v>142</v>
      </c>
      <c r="B53" s="84" t="s">
        <v>920</v>
      </c>
      <c r="C53" s="84" t="s">
        <v>920</v>
      </c>
      <c r="D53" s="72" t="s">
        <v>931</v>
      </c>
    </row>
    <row r="54" spans="1:4">
      <c r="A54" s="86" t="s">
        <v>143</v>
      </c>
      <c r="B54" s="84" t="s">
        <v>920</v>
      </c>
      <c r="C54" s="84" t="s">
        <v>920</v>
      </c>
      <c r="D54" s="72" t="s">
        <v>144</v>
      </c>
    </row>
    <row r="55" spans="1:4">
      <c r="A55" s="86" t="s">
        <v>145</v>
      </c>
      <c r="B55" s="84" t="s">
        <v>920</v>
      </c>
      <c r="C55" s="84" t="s">
        <v>920</v>
      </c>
      <c r="D55" s="72" t="s">
        <v>146</v>
      </c>
    </row>
    <row r="56" spans="1:4">
      <c r="A56" s="86" t="s">
        <v>147</v>
      </c>
      <c r="B56" s="84" t="s">
        <v>920</v>
      </c>
      <c r="C56" s="84" t="s">
        <v>920</v>
      </c>
      <c r="D56" s="72" t="s">
        <v>148</v>
      </c>
    </row>
    <row r="57" spans="1:4">
      <c r="A57" s="86" t="s">
        <v>487</v>
      </c>
      <c r="B57" s="84" t="s">
        <v>920</v>
      </c>
      <c r="C57" s="84" t="s">
        <v>920</v>
      </c>
      <c r="D57" s="72" t="s">
        <v>488</v>
      </c>
    </row>
    <row r="58" spans="1:4">
      <c r="A58" s="86" t="s">
        <v>149</v>
      </c>
      <c r="B58" s="84" t="s">
        <v>920</v>
      </c>
      <c r="C58" s="84" t="s">
        <v>920</v>
      </c>
      <c r="D58" s="87" t="s">
        <v>932</v>
      </c>
    </row>
    <row r="59" spans="1:4">
      <c r="A59" s="84" t="s">
        <v>150</v>
      </c>
      <c r="B59" s="84" t="s">
        <v>933</v>
      </c>
      <c r="C59" s="84" t="s">
        <v>933</v>
      </c>
      <c r="D59" s="72" t="s">
        <v>368</v>
      </c>
    </row>
    <row r="60" spans="1:4">
      <c r="A60" s="86" t="s">
        <v>151</v>
      </c>
      <c r="B60" s="84" t="s">
        <v>933</v>
      </c>
      <c r="C60" s="84" t="s">
        <v>933</v>
      </c>
      <c r="D60" s="72" t="s">
        <v>152</v>
      </c>
    </row>
    <row r="61" spans="1:4">
      <c r="A61" s="86" t="s">
        <v>489</v>
      </c>
      <c r="B61" s="84" t="s">
        <v>933</v>
      </c>
      <c r="C61" s="84" t="s">
        <v>933</v>
      </c>
      <c r="D61" s="72" t="s">
        <v>490</v>
      </c>
    </row>
    <row r="62" spans="1:4">
      <c r="A62" s="86" t="s">
        <v>491</v>
      </c>
      <c r="B62" s="84" t="s">
        <v>933</v>
      </c>
      <c r="C62" s="84" t="s">
        <v>933</v>
      </c>
      <c r="D62" s="72" t="s">
        <v>492</v>
      </c>
    </row>
    <row r="63" spans="1:4">
      <c r="A63" s="84" t="s">
        <v>493</v>
      </c>
      <c r="B63" s="84" t="s">
        <v>933</v>
      </c>
      <c r="C63" s="84" t="s">
        <v>933</v>
      </c>
      <c r="D63" s="72" t="s">
        <v>494</v>
      </c>
    </row>
    <row r="64" spans="1:4">
      <c r="A64" s="84" t="s">
        <v>495</v>
      </c>
      <c r="B64" s="84" t="s">
        <v>933</v>
      </c>
      <c r="C64" s="84" t="s">
        <v>933</v>
      </c>
      <c r="D64" s="72" t="s">
        <v>496</v>
      </c>
    </row>
    <row r="65" spans="1:4">
      <c r="A65" s="84" t="s">
        <v>153</v>
      </c>
      <c r="B65" s="84" t="s">
        <v>933</v>
      </c>
      <c r="C65" s="84" t="s">
        <v>933</v>
      </c>
      <c r="D65" s="72" t="s">
        <v>369</v>
      </c>
    </row>
    <row r="66" spans="1:4">
      <c r="A66" s="84" t="s">
        <v>154</v>
      </c>
      <c r="B66" s="84" t="s">
        <v>933</v>
      </c>
      <c r="C66" s="84" t="s">
        <v>933</v>
      </c>
      <c r="D66" s="72" t="s">
        <v>155</v>
      </c>
    </row>
    <row r="67" spans="1:4">
      <c r="A67" s="84" t="s">
        <v>156</v>
      </c>
      <c r="B67" s="84" t="s">
        <v>933</v>
      </c>
      <c r="C67" s="84" t="s">
        <v>933</v>
      </c>
      <c r="D67" s="72" t="s">
        <v>157</v>
      </c>
    </row>
    <row r="68" spans="1:4">
      <c r="A68" s="84" t="s">
        <v>158</v>
      </c>
      <c r="B68" s="84" t="s">
        <v>933</v>
      </c>
      <c r="C68" s="84" t="s">
        <v>933</v>
      </c>
      <c r="D68" s="72" t="s">
        <v>159</v>
      </c>
    </row>
    <row r="69" spans="1:4">
      <c r="A69" s="84" t="s">
        <v>160</v>
      </c>
      <c r="B69" s="84" t="s">
        <v>933</v>
      </c>
      <c r="C69" s="84" t="s">
        <v>933</v>
      </c>
      <c r="D69" s="72" t="s">
        <v>161</v>
      </c>
    </row>
    <row r="70" spans="1:4">
      <c r="A70" s="84" t="s">
        <v>934</v>
      </c>
      <c r="B70" s="84" t="s">
        <v>933</v>
      </c>
      <c r="C70" s="84" t="s">
        <v>933</v>
      </c>
      <c r="D70" s="72" t="s">
        <v>935</v>
      </c>
    </row>
    <row r="71" spans="1:4">
      <c r="A71" s="84" t="s">
        <v>162</v>
      </c>
      <c r="B71" s="84" t="s">
        <v>933</v>
      </c>
      <c r="C71" s="84" t="s">
        <v>933</v>
      </c>
      <c r="D71" s="72" t="s">
        <v>497</v>
      </c>
    </row>
    <row r="72" spans="1:4">
      <c r="A72" s="84" t="s">
        <v>163</v>
      </c>
      <c r="B72" s="84" t="s">
        <v>933</v>
      </c>
      <c r="C72" s="84" t="s">
        <v>933</v>
      </c>
      <c r="D72" s="72" t="s">
        <v>936</v>
      </c>
    </row>
    <row r="73" spans="1:4">
      <c r="A73" s="84" t="s">
        <v>937</v>
      </c>
      <c r="B73" s="84" t="s">
        <v>933</v>
      </c>
      <c r="C73" s="84" t="s">
        <v>933</v>
      </c>
      <c r="D73" s="72" t="s">
        <v>938</v>
      </c>
    </row>
    <row r="74" spans="1:4">
      <c r="A74" s="84" t="s">
        <v>939</v>
      </c>
      <c r="B74" s="84" t="s">
        <v>933</v>
      </c>
      <c r="C74" s="84" t="s">
        <v>933</v>
      </c>
      <c r="D74" s="72" t="s">
        <v>940</v>
      </c>
    </row>
    <row r="75" spans="1:4">
      <c r="A75" s="84" t="s">
        <v>164</v>
      </c>
      <c r="B75" s="84" t="s">
        <v>933</v>
      </c>
      <c r="C75" s="84" t="s">
        <v>933</v>
      </c>
      <c r="D75" s="72" t="s">
        <v>370</v>
      </c>
    </row>
    <row r="76" spans="1:4">
      <c r="A76" s="84" t="s">
        <v>165</v>
      </c>
      <c r="B76" s="84" t="s">
        <v>933</v>
      </c>
      <c r="C76" s="84" t="s">
        <v>933</v>
      </c>
      <c r="D76" s="72" t="s">
        <v>371</v>
      </c>
    </row>
    <row r="77" spans="1:4">
      <c r="A77" s="84" t="s">
        <v>166</v>
      </c>
      <c r="B77" s="84" t="s">
        <v>933</v>
      </c>
      <c r="C77" s="84" t="s">
        <v>933</v>
      </c>
      <c r="D77" s="72" t="s">
        <v>372</v>
      </c>
    </row>
    <row r="78" spans="1:4">
      <c r="A78" s="84" t="s">
        <v>498</v>
      </c>
      <c r="B78" s="84" t="s">
        <v>933</v>
      </c>
      <c r="C78" s="84" t="s">
        <v>933</v>
      </c>
      <c r="D78" s="72" t="s">
        <v>499</v>
      </c>
    </row>
    <row r="79" spans="1:4">
      <c r="A79" s="84" t="s">
        <v>167</v>
      </c>
      <c r="B79" s="84" t="s">
        <v>933</v>
      </c>
      <c r="C79" s="84" t="s">
        <v>933</v>
      </c>
      <c r="D79" s="72" t="s">
        <v>941</v>
      </c>
    </row>
    <row r="80" spans="1:4">
      <c r="A80" s="84" t="s">
        <v>168</v>
      </c>
      <c r="B80" s="84" t="s">
        <v>933</v>
      </c>
      <c r="C80" s="84" t="s">
        <v>933</v>
      </c>
      <c r="D80" s="72" t="s">
        <v>942</v>
      </c>
    </row>
    <row r="81" spans="1:4">
      <c r="A81" s="84" t="s">
        <v>169</v>
      </c>
      <c r="B81" s="84" t="s">
        <v>933</v>
      </c>
      <c r="C81" s="84" t="s">
        <v>933</v>
      </c>
      <c r="D81" s="72" t="s">
        <v>373</v>
      </c>
    </row>
    <row r="82" spans="1:4">
      <c r="A82" s="84" t="s">
        <v>500</v>
      </c>
      <c r="B82" s="84" t="s">
        <v>933</v>
      </c>
      <c r="C82" s="84" t="s">
        <v>933</v>
      </c>
      <c r="D82" s="72" t="s">
        <v>501</v>
      </c>
    </row>
    <row r="83" spans="1:4">
      <c r="A83" s="84" t="s">
        <v>170</v>
      </c>
      <c r="B83" s="84" t="s">
        <v>933</v>
      </c>
      <c r="C83" s="84" t="s">
        <v>933</v>
      </c>
      <c r="D83" s="72" t="s">
        <v>374</v>
      </c>
    </row>
    <row r="84" spans="1:4">
      <c r="A84" s="84" t="s">
        <v>171</v>
      </c>
      <c r="B84" s="84" t="s">
        <v>933</v>
      </c>
      <c r="C84" s="84" t="s">
        <v>933</v>
      </c>
      <c r="D84" s="72" t="s">
        <v>172</v>
      </c>
    </row>
    <row r="85" spans="1:4">
      <c r="A85" s="84" t="s">
        <v>173</v>
      </c>
      <c r="B85" s="84" t="s">
        <v>933</v>
      </c>
      <c r="C85" s="84" t="s">
        <v>933</v>
      </c>
      <c r="D85" s="72" t="s">
        <v>174</v>
      </c>
    </row>
    <row r="86" spans="1:4">
      <c r="A86" s="84" t="s">
        <v>502</v>
      </c>
      <c r="B86" s="84" t="s">
        <v>933</v>
      </c>
      <c r="C86" s="84" t="s">
        <v>933</v>
      </c>
      <c r="D86" s="72" t="s">
        <v>503</v>
      </c>
    </row>
    <row r="87" spans="1:4">
      <c r="A87" s="84" t="s">
        <v>175</v>
      </c>
      <c r="B87" s="84" t="s">
        <v>933</v>
      </c>
      <c r="C87" s="84" t="s">
        <v>933</v>
      </c>
      <c r="D87" s="72" t="s">
        <v>375</v>
      </c>
    </row>
    <row r="88" spans="1:4">
      <c r="A88" s="84" t="s">
        <v>176</v>
      </c>
      <c r="B88" s="84" t="s">
        <v>933</v>
      </c>
      <c r="C88" s="84" t="s">
        <v>933</v>
      </c>
      <c r="D88" s="72" t="s">
        <v>376</v>
      </c>
    </row>
    <row r="89" spans="1:4">
      <c r="A89" s="84" t="s">
        <v>177</v>
      </c>
      <c r="B89" s="84" t="s">
        <v>933</v>
      </c>
      <c r="C89" s="84" t="s">
        <v>933</v>
      </c>
      <c r="D89" s="72" t="s">
        <v>377</v>
      </c>
    </row>
    <row r="90" spans="1:4">
      <c r="A90" s="84" t="s">
        <v>178</v>
      </c>
      <c r="B90" s="84" t="s">
        <v>933</v>
      </c>
      <c r="C90" s="84" t="s">
        <v>933</v>
      </c>
      <c r="D90" s="72" t="s">
        <v>378</v>
      </c>
    </row>
    <row r="91" spans="1:4">
      <c r="A91" s="84" t="s">
        <v>179</v>
      </c>
      <c r="B91" s="84" t="s">
        <v>933</v>
      </c>
      <c r="C91" s="84" t="s">
        <v>933</v>
      </c>
      <c r="D91" s="72" t="s">
        <v>180</v>
      </c>
    </row>
    <row r="92" spans="1:4">
      <c r="A92" s="84" t="s">
        <v>181</v>
      </c>
      <c r="B92" s="84" t="s">
        <v>933</v>
      </c>
      <c r="C92" s="84" t="s">
        <v>933</v>
      </c>
      <c r="D92" s="72" t="s">
        <v>943</v>
      </c>
    </row>
    <row r="93" spans="1:4">
      <c r="A93" s="84" t="s">
        <v>182</v>
      </c>
      <c r="B93" s="84" t="s">
        <v>933</v>
      </c>
      <c r="C93" s="84" t="s">
        <v>933</v>
      </c>
      <c r="D93" s="72" t="s">
        <v>379</v>
      </c>
    </row>
    <row r="94" spans="1:4">
      <c r="A94" s="84" t="s">
        <v>183</v>
      </c>
      <c r="B94" s="84" t="s">
        <v>933</v>
      </c>
      <c r="C94" s="84" t="s">
        <v>933</v>
      </c>
      <c r="D94" s="72" t="s">
        <v>380</v>
      </c>
    </row>
    <row r="95" spans="1:4">
      <c r="A95" s="84" t="s">
        <v>184</v>
      </c>
      <c r="B95" s="84" t="s">
        <v>933</v>
      </c>
      <c r="C95" s="84" t="s">
        <v>933</v>
      </c>
      <c r="D95" s="72" t="s">
        <v>381</v>
      </c>
    </row>
    <row r="96" spans="1:4">
      <c r="A96" s="84" t="s">
        <v>185</v>
      </c>
      <c r="B96" s="84" t="s">
        <v>933</v>
      </c>
      <c r="C96" s="84" t="s">
        <v>933</v>
      </c>
      <c r="D96" s="72" t="s">
        <v>186</v>
      </c>
    </row>
    <row r="97" spans="1:4">
      <c r="A97" s="84" t="s">
        <v>187</v>
      </c>
      <c r="B97" s="84" t="s">
        <v>933</v>
      </c>
      <c r="C97" s="84" t="s">
        <v>933</v>
      </c>
      <c r="D97" s="72" t="s">
        <v>382</v>
      </c>
    </row>
    <row r="98" spans="1:4">
      <c r="A98" s="86" t="s">
        <v>188</v>
      </c>
      <c r="B98" s="84" t="s">
        <v>933</v>
      </c>
      <c r="C98" s="84" t="s">
        <v>933</v>
      </c>
      <c r="D98" s="72" t="s">
        <v>383</v>
      </c>
    </row>
    <row r="99" spans="1:4">
      <c r="A99" s="86" t="s">
        <v>189</v>
      </c>
      <c r="B99" s="84" t="s">
        <v>933</v>
      </c>
      <c r="C99" s="84" t="s">
        <v>933</v>
      </c>
      <c r="D99" s="72" t="s">
        <v>944</v>
      </c>
    </row>
    <row r="100" spans="1:4">
      <c r="A100" s="84" t="s">
        <v>190</v>
      </c>
      <c r="B100" s="84" t="s">
        <v>933</v>
      </c>
      <c r="C100" s="84" t="s">
        <v>933</v>
      </c>
      <c r="D100" s="72" t="s">
        <v>384</v>
      </c>
    </row>
    <row r="101" spans="1:4">
      <c r="A101" s="84" t="s">
        <v>191</v>
      </c>
      <c r="B101" s="84" t="s">
        <v>933</v>
      </c>
      <c r="C101" s="84" t="s">
        <v>933</v>
      </c>
      <c r="D101" s="72" t="s">
        <v>945</v>
      </c>
    </row>
    <row r="102" spans="1:4">
      <c r="A102" s="84" t="s">
        <v>192</v>
      </c>
      <c r="B102" s="84" t="s">
        <v>933</v>
      </c>
      <c r="C102" s="84" t="s">
        <v>933</v>
      </c>
      <c r="D102" s="72" t="s">
        <v>385</v>
      </c>
    </row>
    <row r="103" spans="1:4">
      <c r="A103" s="84" t="s">
        <v>193</v>
      </c>
      <c r="B103" s="84" t="s">
        <v>933</v>
      </c>
      <c r="C103" s="84" t="s">
        <v>933</v>
      </c>
      <c r="D103" s="72" t="s">
        <v>386</v>
      </c>
    </row>
    <row r="104" spans="1:4">
      <c r="A104" s="84" t="s">
        <v>194</v>
      </c>
      <c r="B104" s="84" t="s">
        <v>933</v>
      </c>
      <c r="C104" s="84" t="s">
        <v>933</v>
      </c>
      <c r="D104" s="72" t="s">
        <v>387</v>
      </c>
    </row>
    <row r="105" spans="1:4">
      <c r="A105" s="84" t="s">
        <v>504</v>
      </c>
      <c r="B105" s="84" t="s">
        <v>933</v>
      </c>
      <c r="C105" s="84" t="s">
        <v>933</v>
      </c>
      <c r="D105" s="72" t="s">
        <v>505</v>
      </c>
    </row>
    <row r="106" spans="1:4">
      <c r="A106" s="88" t="s">
        <v>506</v>
      </c>
      <c r="B106" s="84" t="s">
        <v>933</v>
      </c>
      <c r="C106" s="84" t="s">
        <v>933</v>
      </c>
      <c r="D106" s="72" t="s">
        <v>946</v>
      </c>
    </row>
    <row r="107" spans="1:4">
      <c r="A107" s="84" t="s">
        <v>195</v>
      </c>
      <c r="B107" s="84" t="s">
        <v>933</v>
      </c>
      <c r="C107" s="84" t="s">
        <v>933</v>
      </c>
      <c r="D107" s="72" t="s">
        <v>947</v>
      </c>
    </row>
    <row r="108" spans="1:4">
      <c r="A108" s="88" t="s">
        <v>507</v>
      </c>
      <c r="B108" s="84" t="s">
        <v>933</v>
      </c>
      <c r="C108" s="84" t="s">
        <v>933</v>
      </c>
      <c r="D108" s="72" t="s">
        <v>508</v>
      </c>
    </row>
    <row r="109" spans="1:4">
      <c r="A109" s="88" t="s">
        <v>196</v>
      </c>
      <c r="B109" s="84" t="s">
        <v>933</v>
      </c>
      <c r="C109" s="84" t="s">
        <v>933</v>
      </c>
      <c r="D109" s="72" t="s">
        <v>948</v>
      </c>
    </row>
    <row r="110" spans="1:4">
      <c r="A110" s="88" t="s">
        <v>197</v>
      </c>
      <c r="B110" s="84" t="s">
        <v>933</v>
      </c>
      <c r="C110" s="84" t="s">
        <v>933</v>
      </c>
      <c r="D110" s="72" t="s">
        <v>949</v>
      </c>
    </row>
    <row r="111" spans="1:4">
      <c r="A111" s="88" t="s">
        <v>198</v>
      </c>
      <c r="B111" s="84" t="s">
        <v>933</v>
      </c>
      <c r="C111" s="84" t="s">
        <v>933</v>
      </c>
      <c r="D111" s="72" t="s">
        <v>950</v>
      </c>
    </row>
    <row r="112" spans="1:4">
      <c r="A112" s="88" t="s">
        <v>199</v>
      </c>
      <c r="B112" s="84" t="s">
        <v>933</v>
      </c>
      <c r="C112" s="84" t="s">
        <v>933</v>
      </c>
      <c r="D112" s="72" t="s">
        <v>951</v>
      </c>
    </row>
    <row r="113" spans="1:4">
      <c r="A113" s="88" t="s">
        <v>200</v>
      </c>
      <c r="B113" s="84" t="s">
        <v>933</v>
      </c>
      <c r="C113" s="84" t="s">
        <v>933</v>
      </c>
      <c r="D113" s="101" t="s">
        <v>952</v>
      </c>
    </row>
    <row r="114" spans="1:4">
      <c r="A114" s="88" t="s">
        <v>953</v>
      </c>
      <c r="B114" s="84" t="s">
        <v>933</v>
      </c>
      <c r="C114" s="84" t="s">
        <v>933</v>
      </c>
      <c r="D114" s="101" t="s">
        <v>954</v>
      </c>
    </row>
    <row r="115" spans="1:4">
      <c r="A115" s="88" t="s">
        <v>955</v>
      </c>
      <c r="B115" s="84" t="s">
        <v>933</v>
      </c>
      <c r="C115" s="84" t="s">
        <v>933</v>
      </c>
      <c r="D115" s="72" t="s">
        <v>956</v>
      </c>
    </row>
    <row r="116" spans="1:4">
      <c r="A116" s="88" t="s">
        <v>201</v>
      </c>
      <c r="B116" s="84" t="s">
        <v>933</v>
      </c>
      <c r="C116" s="84" t="s">
        <v>933</v>
      </c>
      <c r="D116" s="87" t="s">
        <v>957</v>
      </c>
    </row>
    <row r="117" spans="1:4">
      <c r="A117" s="88" t="s">
        <v>958</v>
      </c>
      <c r="B117" s="84" t="s">
        <v>933</v>
      </c>
      <c r="C117" s="84" t="s">
        <v>933</v>
      </c>
      <c r="D117" s="87" t="s">
        <v>959</v>
      </c>
    </row>
    <row r="118" spans="1:4">
      <c r="A118" s="88" t="s">
        <v>202</v>
      </c>
      <c r="B118" s="84" t="s">
        <v>933</v>
      </c>
      <c r="C118" s="84" t="s">
        <v>933</v>
      </c>
      <c r="D118" s="87" t="s">
        <v>960</v>
      </c>
    </row>
    <row r="119" spans="1:4">
      <c r="A119" s="88" t="s">
        <v>203</v>
      </c>
      <c r="B119" s="84" t="s">
        <v>933</v>
      </c>
      <c r="C119" s="84" t="s">
        <v>933</v>
      </c>
      <c r="D119" s="87" t="s">
        <v>961</v>
      </c>
    </row>
    <row r="120" spans="1:4">
      <c r="A120" s="88" t="s">
        <v>204</v>
      </c>
      <c r="B120" s="84" t="s">
        <v>933</v>
      </c>
      <c r="C120" s="84" t="s">
        <v>933</v>
      </c>
      <c r="D120" s="87" t="s">
        <v>962</v>
      </c>
    </row>
    <row r="121" spans="1:4">
      <c r="A121" s="88" t="s">
        <v>963</v>
      </c>
      <c r="B121" s="84" t="s">
        <v>933</v>
      </c>
      <c r="C121" s="84" t="s">
        <v>933</v>
      </c>
      <c r="D121" s="87" t="s">
        <v>964</v>
      </c>
    </row>
    <row r="122" spans="1:4">
      <c r="A122" s="88" t="s">
        <v>965</v>
      </c>
      <c r="B122" s="84" t="s">
        <v>933</v>
      </c>
      <c r="C122" s="84" t="s">
        <v>933</v>
      </c>
      <c r="D122" s="87" t="s">
        <v>966</v>
      </c>
    </row>
    <row r="123" spans="1:4">
      <c r="A123" s="88" t="s">
        <v>967</v>
      </c>
      <c r="B123" s="84" t="s">
        <v>933</v>
      </c>
      <c r="C123" s="84" t="s">
        <v>933</v>
      </c>
      <c r="D123" s="87" t="s">
        <v>968</v>
      </c>
    </row>
    <row r="124" spans="1:4">
      <c r="A124" s="88" t="s">
        <v>969</v>
      </c>
      <c r="B124" s="84" t="s">
        <v>933</v>
      </c>
      <c r="C124" s="84" t="s">
        <v>933</v>
      </c>
      <c r="D124" s="87" t="s">
        <v>970</v>
      </c>
    </row>
    <row r="125" spans="1:4">
      <c r="A125" s="88" t="s">
        <v>971</v>
      </c>
      <c r="B125" s="84" t="s">
        <v>933</v>
      </c>
      <c r="C125" s="84" t="s">
        <v>933</v>
      </c>
      <c r="D125" s="87" t="s">
        <v>972</v>
      </c>
    </row>
    <row r="126" spans="1:4">
      <c r="A126" s="88" t="s">
        <v>973</v>
      </c>
      <c r="B126" s="84" t="s">
        <v>933</v>
      </c>
      <c r="C126" s="84" t="s">
        <v>933</v>
      </c>
      <c r="D126" s="87" t="s">
        <v>974</v>
      </c>
    </row>
    <row r="127" spans="1:4">
      <c r="A127" s="88" t="s">
        <v>975</v>
      </c>
      <c r="B127" s="84" t="s">
        <v>933</v>
      </c>
      <c r="C127" s="84" t="s">
        <v>933</v>
      </c>
      <c r="D127" s="87" t="s">
        <v>976</v>
      </c>
    </row>
    <row r="128" spans="1:4">
      <c r="A128" s="84" t="s">
        <v>509</v>
      </c>
      <c r="B128" s="84" t="s">
        <v>977</v>
      </c>
      <c r="C128" s="84" t="s">
        <v>977</v>
      </c>
      <c r="D128" s="72" t="s">
        <v>510</v>
      </c>
    </row>
    <row r="129" spans="1:4">
      <c r="A129" s="84" t="s">
        <v>205</v>
      </c>
      <c r="B129" s="84" t="s">
        <v>977</v>
      </c>
      <c r="C129" s="84" t="s">
        <v>977</v>
      </c>
      <c r="D129" s="72" t="s">
        <v>388</v>
      </c>
    </row>
    <row r="130" spans="1:4">
      <c r="A130" s="84" t="s">
        <v>206</v>
      </c>
      <c r="B130" s="84" t="s">
        <v>977</v>
      </c>
      <c r="C130" s="84" t="s">
        <v>977</v>
      </c>
      <c r="D130" s="72" t="s">
        <v>207</v>
      </c>
    </row>
    <row r="131" spans="1:4">
      <c r="A131" s="84" t="s">
        <v>208</v>
      </c>
      <c r="B131" s="84" t="s">
        <v>977</v>
      </c>
      <c r="C131" s="84" t="s">
        <v>977</v>
      </c>
      <c r="D131" s="72" t="s">
        <v>389</v>
      </c>
    </row>
    <row r="132" spans="1:4">
      <c r="A132" s="84" t="s">
        <v>511</v>
      </c>
      <c r="B132" s="84" t="s">
        <v>977</v>
      </c>
      <c r="C132" s="84" t="s">
        <v>977</v>
      </c>
      <c r="D132" s="72" t="s">
        <v>512</v>
      </c>
    </row>
    <row r="133" spans="1:4">
      <c r="A133" s="84" t="s">
        <v>209</v>
      </c>
      <c r="B133" s="84" t="s">
        <v>977</v>
      </c>
      <c r="C133" s="84" t="s">
        <v>977</v>
      </c>
      <c r="D133" s="72" t="s">
        <v>390</v>
      </c>
    </row>
    <row r="134" spans="1:4">
      <c r="A134" s="84" t="s">
        <v>210</v>
      </c>
      <c r="B134" s="84" t="s">
        <v>977</v>
      </c>
      <c r="C134" s="84" t="s">
        <v>977</v>
      </c>
      <c r="D134" s="72" t="s">
        <v>211</v>
      </c>
    </row>
    <row r="135" spans="1:4">
      <c r="A135" s="84" t="s">
        <v>513</v>
      </c>
      <c r="B135" s="84" t="s">
        <v>977</v>
      </c>
      <c r="C135" s="84" t="s">
        <v>977</v>
      </c>
      <c r="D135" s="72" t="s">
        <v>514</v>
      </c>
    </row>
    <row r="136" spans="1:4">
      <c r="A136" s="84" t="s">
        <v>212</v>
      </c>
      <c r="B136" s="84" t="s">
        <v>977</v>
      </c>
      <c r="C136" s="84" t="s">
        <v>977</v>
      </c>
      <c r="D136" s="72" t="s">
        <v>213</v>
      </c>
    </row>
    <row r="137" spans="1:4">
      <c r="A137" s="84" t="s">
        <v>214</v>
      </c>
      <c r="B137" s="84" t="s">
        <v>977</v>
      </c>
      <c r="C137" s="84" t="s">
        <v>977</v>
      </c>
      <c r="D137" s="72" t="s">
        <v>215</v>
      </c>
    </row>
    <row r="138" spans="1:4">
      <c r="A138" s="84" t="s">
        <v>216</v>
      </c>
      <c r="B138" s="84" t="s">
        <v>977</v>
      </c>
      <c r="C138" s="84" t="s">
        <v>977</v>
      </c>
      <c r="D138" s="72" t="s">
        <v>217</v>
      </c>
    </row>
    <row r="139" spans="1:4">
      <c r="A139" s="84" t="s">
        <v>218</v>
      </c>
      <c r="B139" s="84" t="s">
        <v>977</v>
      </c>
      <c r="C139" s="84" t="s">
        <v>977</v>
      </c>
      <c r="D139" s="72" t="s">
        <v>219</v>
      </c>
    </row>
    <row r="140" spans="1:4">
      <c r="A140" s="84" t="s">
        <v>515</v>
      </c>
      <c r="B140" s="84" t="s">
        <v>977</v>
      </c>
      <c r="C140" s="84" t="s">
        <v>977</v>
      </c>
      <c r="D140" s="72" t="s">
        <v>516</v>
      </c>
    </row>
    <row r="141" spans="1:4">
      <c r="A141" s="84" t="s">
        <v>517</v>
      </c>
      <c r="B141" s="84" t="s">
        <v>977</v>
      </c>
      <c r="C141" s="84" t="s">
        <v>977</v>
      </c>
      <c r="D141" s="72" t="s">
        <v>518</v>
      </c>
    </row>
    <row r="142" spans="1:4">
      <c r="A142" s="84" t="s">
        <v>519</v>
      </c>
      <c r="B142" s="84" t="s">
        <v>977</v>
      </c>
      <c r="C142" s="84" t="s">
        <v>977</v>
      </c>
      <c r="D142" s="72" t="s">
        <v>520</v>
      </c>
    </row>
    <row r="143" spans="1:4">
      <c r="A143" s="84" t="s">
        <v>521</v>
      </c>
      <c r="B143" s="84" t="s">
        <v>977</v>
      </c>
      <c r="C143" s="84" t="s">
        <v>977</v>
      </c>
      <c r="D143" s="72" t="s">
        <v>522</v>
      </c>
    </row>
    <row r="144" spans="1:4">
      <c r="A144" s="84" t="s">
        <v>523</v>
      </c>
      <c r="B144" s="84" t="s">
        <v>977</v>
      </c>
      <c r="C144" s="84" t="s">
        <v>977</v>
      </c>
      <c r="D144" s="72" t="s">
        <v>524</v>
      </c>
    </row>
    <row r="145" spans="1:4">
      <c r="A145" s="84" t="s">
        <v>220</v>
      </c>
      <c r="B145" s="84" t="s">
        <v>977</v>
      </c>
      <c r="C145" s="84" t="s">
        <v>977</v>
      </c>
      <c r="D145" s="72" t="s">
        <v>391</v>
      </c>
    </row>
    <row r="146" spans="1:4">
      <c r="A146" s="84" t="s">
        <v>525</v>
      </c>
      <c r="B146" s="84" t="s">
        <v>977</v>
      </c>
      <c r="C146" s="84" t="s">
        <v>977</v>
      </c>
      <c r="D146" s="72" t="s">
        <v>526</v>
      </c>
    </row>
    <row r="147" spans="1:4">
      <c r="A147" s="84" t="s">
        <v>978</v>
      </c>
      <c r="B147" s="84" t="s">
        <v>977</v>
      </c>
      <c r="C147" s="84" t="s">
        <v>977</v>
      </c>
      <c r="D147" s="72" t="s">
        <v>979</v>
      </c>
    </row>
    <row r="148" spans="1:4">
      <c r="A148" s="86" t="s">
        <v>221</v>
      </c>
      <c r="B148" s="84" t="s">
        <v>977</v>
      </c>
      <c r="C148" s="84" t="s">
        <v>977</v>
      </c>
      <c r="D148" s="72" t="s">
        <v>980</v>
      </c>
    </row>
    <row r="149" spans="1:4">
      <c r="A149" s="86" t="s">
        <v>527</v>
      </c>
      <c r="B149" s="84" t="s">
        <v>977</v>
      </c>
      <c r="C149" s="84" t="s">
        <v>977</v>
      </c>
      <c r="D149" s="72" t="s">
        <v>528</v>
      </c>
    </row>
    <row r="150" spans="1:4">
      <c r="A150" s="86" t="s">
        <v>222</v>
      </c>
      <c r="B150" s="84" t="s">
        <v>977</v>
      </c>
      <c r="C150" s="84" t="s">
        <v>977</v>
      </c>
      <c r="D150" s="72" t="s">
        <v>223</v>
      </c>
    </row>
    <row r="151" spans="1:4">
      <c r="A151" s="86" t="s">
        <v>529</v>
      </c>
      <c r="B151" s="84" t="s">
        <v>977</v>
      </c>
      <c r="C151" s="84" t="s">
        <v>977</v>
      </c>
      <c r="D151" s="72" t="s">
        <v>530</v>
      </c>
    </row>
    <row r="152" spans="1:4">
      <c r="A152" s="90" t="s">
        <v>224</v>
      </c>
      <c r="B152" s="84" t="s">
        <v>977</v>
      </c>
      <c r="C152" s="84" t="s">
        <v>977</v>
      </c>
      <c r="D152" s="115" t="s">
        <v>392</v>
      </c>
    </row>
    <row r="153" spans="1:4">
      <c r="A153" s="91" t="s">
        <v>531</v>
      </c>
      <c r="B153" s="84" t="s">
        <v>977</v>
      </c>
      <c r="C153" s="84" t="s">
        <v>977</v>
      </c>
      <c r="D153" s="115" t="s">
        <v>532</v>
      </c>
    </row>
    <row r="154" spans="1:4">
      <c r="A154" s="91" t="s">
        <v>533</v>
      </c>
      <c r="B154" s="84" t="s">
        <v>977</v>
      </c>
      <c r="C154" s="84" t="s">
        <v>977</v>
      </c>
      <c r="D154" s="115" t="s">
        <v>981</v>
      </c>
    </row>
    <row r="155" spans="1:4">
      <c r="A155" s="91" t="s">
        <v>225</v>
      </c>
      <c r="B155" s="84" t="s">
        <v>977</v>
      </c>
      <c r="C155" s="84" t="s">
        <v>977</v>
      </c>
      <c r="D155" s="115" t="s">
        <v>982</v>
      </c>
    </row>
    <row r="156" spans="1:4">
      <c r="A156" s="91" t="s">
        <v>393</v>
      </c>
      <c r="B156" s="84" t="s">
        <v>977</v>
      </c>
      <c r="C156" s="84" t="s">
        <v>977</v>
      </c>
      <c r="D156" s="115" t="s">
        <v>983</v>
      </c>
    </row>
    <row r="157" spans="1:4">
      <c r="A157" s="91" t="s">
        <v>984</v>
      </c>
      <c r="B157" s="84" t="s">
        <v>977</v>
      </c>
      <c r="C157" s="84" t="s">
        <v>977</v>
      </c>
      <c r="D157" s="115" t="s">
        <v>985</v>
      </c>
    </row>
    <row r="158" spans="1:4">
      <c r="A158" s="91" t="s">
        <v>226</v>
      </c>
      <c r="B158" s="84" t="s">
        <v>977</v>
      </c>
      <c r="C158" s="84" t="s">
        <v>977</v>
      </c>
      <c r="D158" s="115" t="s">
        <v>986</v>
      </c>
    </row>
    <row r="159" spans="1:4">
      <c r="A159" s="91" t="s">
        <v>227</v>
      </c>
      <c r="B159" s="84" t="s">
        <v>977</v>
      </c>
      <c r="C159" s="84" t="s">
        <v>977</v>
      </c>
      <c r="D159" s="115" t="s">
        <v>987</v>
      </c>
    </row>
    <row r="160" spans="1:4">
      <c r="A160" s="91" t="s">
        <v>228</v>
      </c>
      <c r="B160" s="84" t="s">
        <v>977</v>
      </c>
      <c r="C160" s="84" t="s">
        <v>977</v>
      </c>
      <c r="D160" s="115" t="s">
        <v>988</v>
      </c>
    </row>
    <row r="161" spans="1:4">
      <c r="A161" s="91" t="s">
        <v>394</v>
      </c>
      <c r="B161" s="84" t="s">
        <v>977</v>
      </c>
      <c r="C161" s="84" t="s">
        <v>977</v>
      </c>
      <c r="D161" s="115" t="s">
        <v>989</v>
      </c>
    </row>
    <row r="162" spans="1:4">
      <c r="A162" s="85" t="s">
        <v>990</v>
      </c>
      <c r="B162" s="85" t="s">
        <v>991</v>
      </c>
      <c r="C162" s="85" t="s">
        <v>991</v>
      </c>
      <c r="D162" s="72" t="s">
        <v>992</v>
      </c>
    </row>
    <row r="163" spans="1:4">
      <c r="A163" s="85" t="s">
        <v>229</v>
      </c>
      <c r="B163" s="85" t="s">
        <v>991</v>
      </c>
      <c r="C163" s="85" t="s">
        <v>991</v>
      </c>
      <c r="D163" s="72" t="s">
        <v>395</v>
      </c>
    </row>
    <row r="164" spans="1:4">
      <c r="A164" s="85" t="s">
        <v>230</v>
      </c>
      <c r="B164" s="85" t="s">
        <v>991</v>
      </c>
      <c r="C164" s="85" t="s">
        <v>991</v>
      </c>
      <c r="D164" s="72" t="s">
        <v>396</v>
      </c>
    </row>
    <row r="165" spans="1:4">
      <c r="A165" s="85" t="s">
        <v>231</v>
      </c>
      <c r="B165" s="85" t="s">
        <v>991</v>
      </c>
      <c r="C165" s="85" t="s">
        <v>991</v>
      </c>
      <c r="D165" s="72" t="s">
        <v>397</v>
      </c>
    </row>
    <row r="166" spans="1:4">
      <c r="A166" s="85" t="s">
        <v>232</v>
      </c>
      <c r="B166" s="85" t="s">
        <v>991</v>
      </c>
      <c r="C166" s="85" t="s">
        <v>991</v>
      </c>
      <c r="D166" s="72" t="s">
        <v>993</v>
      </c>
    </row>
    <row r="167" spans="1:4">
      <c r="A167" s="85" t="s">
        <v>534</v>
      </c>
      <c r="B167" s="85" t="s">
        <v>991</v>
      </c>
      <c r="C167" s="85" t="s">
        <v>991</v>
      </c>
      <c r="D167" s="72" t="s">
        <v>994</v>
      </c>
    </row>
    <row r="168" spans="1:4">
      <c r="A168" s="85" t="s">
        <v>535</v>
      </c>
      <c r="B168" s="85" t="s">
        <v>991</v>
      </c>
      <c r="C168" s="85" t="s">
        <v>991</v>
      </c>
      <c r="D168" s="72" t="s">
        <v>995</v>
      </c>
    </row>
    <row r="169" spans="1:4">
      <c r="A169" s="85" t="s">
        <v>536</v>
      </c>
      <c r="B169" s="85" t="s">
        <v>991</v>
      </c>
      <c r="C169" s="85" t="s">
        <v>991</v>
      </c>
      <c r="D169" s="72" t="s">
        <v>537</v>
      </c>
    </row>
    <row r="170" spans="1:4">
      <c r="A170" s="85" t="s">
        <v>233</v>
      </c>
      <c r="B170" s="85" t="s">
        <v>991</v>
      </c>
      <c r="C170" s="85" t="s">
        <v>991</v>
      </c>
      <c r="D170" s="72" t="s">
        <v>398</v>
      </c>
    </row>
    <row r="171" spans="1:4">
      <c r="A171" s="85" t="s">
        <v>538</v>
      </c>
      <c r="B171" s="85" t="s">
        <v>991</v>
      </c>
      <c r="C171" s="85" t="s">
        <v>991</v>
      </c>
      <c r="D171" s="72" t="s">
        <v>539</v>
      </c>
    </row>
    <row r="172" spans="1:4">
      <c r="A172" s="85" t="s">
        <v>234</v>
      </c>
      <c r="B172" s="85" t="s">
        <v>991</v>
      </c>
      <c r="C172" s="85" t="s">
        <v>991</v>
      </c>
      <c r="D172" s="72" t="s">
        <v>996</v>
      </c>
    </row>
    <row r="173" spans="1:4">
      <c r="A173" s="85" t="s">
        <v>235</v>
      </c>
      <c r="B173" s="85" t="s">
        <v>991</v>
      </c>
      <c r="C173" s="85" t="s">
        <v>991</v>
      </c>
      <c r="D173" s="72" t="s">
        <v>399</v>
      </c>
    </row>
    <row r="174" spans="1:4">
      <c r="A174" s="85" t="s">
        <v>540</v>
      </c>
      <c r="B174" s="85" t="s">
        <v>991</v>
      </c>
      <c r="C174" s="85" t="s">
        <v>991</v>
      </c>
      <c r="D174" s="72" t="s">
        <v>541</v>
      </c>
    </row>
    <row r="175" spans="1:4">
      <c r="A175" s="85" t="s">
        <v>236</v>
      </c>
      <c r="B175" s="85" t="s">
        <v>991</v>
      </c>
      <c r="C175" s="85" t="s">
        <v>991</v>
      </c>
      <c r="D175" s="72" t="s">
        <v>400</v>
      </c>
    </row>
    <row r="176" spans="1:4">
      <c r="A176" s="85" t="s">
        <v>237</v>
      </c>
      <c r="B176" s="85" t="s">
        <v>991</v>
      </c>
      <c r="C176" s="85" t="s">
        <v>991</v>
      </c>
      <c r="D176" s="72" t="s">
        <v>238</v>
      </c>
    </row>
    <row r="177" spans="1:4">
      <c r="A177" s="84" t="s">
        <v>542</v>
      </c>
      <c r="B177" s="85" t="s">
        <v>991</v>
      </c>
      <c r="C177" s="85" t="s">
        <v>991</v>
      </c>
      <c r="D177" s="72" t="s">
        <v>997</v>
      </c>
    </row>
    <row r="178" spans="1:4">
      <c r="A178" s="84" t="s">
        <v>543</v>
      </c>
      <c r="B178" s="85" t="s">
        <v>991</v>
      </c>
      <c r="C178" s="85" t="s">
        <v>991</v>
      </c>
      <c r="D178" s="72" t="s">
        <v>544</v>
      </c>
    </row>
    <row r="179" spans="1:4">
      <c r="A179" s="84" t="s">
        <v>239</v>
      </c>
      <c r="B179" s="85" t="s">
        <v>991</v>
      </c>
      <c r="C179" s="85" t="s">
        <v>991</v>
      </c>
      <c r="D179" s="72" t="s">
        <v>401</v>
      </c>
    </row>
    <row r="180" spans="1:4">
      <c r="A180" s="84" t="s">
        <v>998</v>
      </c>
      <c r="B180" s="85" t="s">
        <v>991</v>
      </c>
      <c r="C180" s="85" t="s">
        <v>991</v>
      </c>
      <c r="D180" s="72" t="s">
        <v>999</v>
      </c>
    </row>
    <row r="181" spans="1:4">
      <c r="A181" s="84" t="s">
        <v>240</v>
      </c>
      <c r="B181" s="85" t="s">
        <v>991</v>
      </c>
      <c r="C181" s="85" t="s">
        <v>991</v>
      </c>
      <c r="D181" s="72" t="s">
        <v>402</v>
      </c>
    </row>
    <row r="182" spans="1:4">
      <c r="A182" s="84" t="s">
        <v>1000</v>
      </c>
      <c r="B182" s="85" t="s">
        <v>991</v>
      </c>
      <c r="C182" s="85" t="s">
        <v>991</v>
      </c>
      <c r="D182" s="72" t="s">
        <v>1001</v>
      </c>
    </row>
    <row r="183" spans="1:4">
      <c r="A183" s="84" t="s">
        <v>545</v>
      </c>
      <c r="B183" s="85" t="s">
        <v>991</v>
      </c>
      <c r="C183" s="85" t="s">
        <v>991</v>
      </c>
      <c r="D183" s="72" t="s">
        <v>1002</v>
      </c>
    </row>
    <row r="184" spans="1:4">
      <c r="A184" s="84" t="s">
        <v>241</v>
      </c>
      <c r="B184" s="85" t="s">
        <v>991</v>
      </c>
      <c r="C184" s="85" t="s">
        <v>991</v>
      </c>
      <c r="D184" s="72" t="s">
        <v>403</v>
      </c>
    </row>
    <row r="185" spans="1:4">
      <c r="A185" s="84" t="s">
        <v>546</v>
      </c>
      <c r="B185" s="85" t="s">
        <v>991</v>
      </c>
      <c r="C185" s="85" t="s">
        <v>991</v>
      </c>
      <c r="D185" s="72" t="s">
        <v>547</v>
      </c>
    </row>
    <row r="186" spans="1:4">
      <c r="A186" s="84" t="s">
        <v>548</v>
      </c>
      <c r="B186" s="85" t="s">
        <v>991</v>
      </c>
      <c r="C186" s="85" t="s">
        <v>991</v>
      </c>
      <c r="D186" s="72" t="s">
        <v>1003</v>
      </c>
    </row>
    <row r="187" spans="1:4">
      <c r="A187" s="84" t="s">
        <v>1004</v>
      </c>
      <c r="B187" s="85" t="s">
        <v>991</v>
      </c>
      <c r="C187" s="85" t="s">
        <v>991</v>
      </c>
      <c r="D187" s="72" t="s">
        <v>1005</v>
      </c>
    </row>
    <row r="188" spans="1:4">
      <c r="A188" s="84" t="s">
        <v>549</v>
      </c>
      <c r="B188" s="85" t="s">
        <v>991</v>
      </c>
      <c r="C188" s="85" t="s">
        <v>991</v>
      </c>
      <c r="D188" s="69" t="s">
        <v>550</v>
      </c>
    </row>
    <row r="189" spans="1:4">
      <c r="A189" s="84" t="s">
        <v>551</v>
      </c>
      <c r="B189" s="85" t="s">
        <v>991</v>
      </c>
      <c r="C189" s="85" t="s">
        <v>991</v>
      </c>
      <c r="D189" s="69" t="s">
        <v>552</v>
      </c>
    </row>
    <row r="190" spans="1:4">
      <c r="A190" s="84" t="s">
        <v>242</v>
      </c>
      <c r="B190" s="85" t="s">
        <v>991</v>
      </c>
      <c r="C190" s="85" t="s">
        <v>991</v>
      </c>
      <c r="D190" s="69" t="s">
        <v>404</v>
      </c>
    </row>
    <row r="191" spans="1:4">
      <c r="A191" s="84" t="s">
        <v>553</v>
      </c>
      <c r="B191" s="85" t="s">
        <v>991</v>
      </c>
      <c r="C191" s="85" t="s">
        <v>991</v>
      </c>
      <c r="D191" s="69" t="s">
        <v>554</v>
      </c>
    </row>
    <row r="192" spans="1:4">
      <c r="A192" s="84" t="s">
        <v>243</v>
      </c>
      <c r="B192" s="85" t="s">
        <v>991</v>
      </c>
      <c r="C192" s="85" t="s">
        <v>991</v>
      </c>
      <c r="D192" s="69" t="s">
        <v>405</v>
      </c>
    </row>
    <row r="193" spans="1:4">
      <c r="A193" s="84" t="s">
        <v>555</v>
      </c>
      <c r="B193" s="85" t="s">
        <v>991</v>
      </c>
      <c r="C193" s="85" t="s">
        <v>991</v>
      </c>
      <c r="D193" s="69" t="s">
        <v>556</v>
      </c>
    </row>
    <row r="194" spans="1:4">
      <c r="A194" s="84" t="s">
        <v>244</v>
      </c>
      <c r="B194" s="85" t="s">
        <v>991</v>
      </c>
      <c r="C194" s="85" t="s">
        <v>991</v>
      </c>
      <c r="D194" s="72" t="s">
        <v>406</v>
      </c>
    </row>
    <row r="195" spans="1:4">
      <c r="A195" s="84" t="s">
        <v>1006</v>
      </c>
      <c r="B195" s="85" t="s">
        <v>991</v>
      </c>
      <c r="C195" s="85" t="s">
        <v>991</v>
      </c>
      <c r="D195" s="72" t="s">
        <v>1007</v>
      </c>
    </row>
    <row r="196" spans="1:4">
      <c r="A196" s="84" t="s">
        <v>557</v>
      </c>
      <c r="B196" s="85" t="s">
        <v>991</v>
      </c>
      <c r="C196" s="85" t="s">
        <v>991</v>
      </c>
      <c r="D196" s="72" t="s">
        <v>558</v>
      </c>
    </row>
    <row r="197" spans="1:4">
      <c r="A197" s="84" t="s">
        <v>1008</v>
      </c>
      <c r="B197" s="85" t="s">
        <v>991</v>
      </c>
      <c r="C197" s="85" t="s">
        <v>991</v>
      </c>
      <c r="D197" s="72" t="s">
        <v>1009</v>
      </c>
    </row>
    <row r="198" spans="1:4">
      <c r="A198" s="84" t="s">
        <v>245</v>
      </c>
      <c r="B198" s="85" t="s">
        <v>991</v>
      </c>
      <c r="C198" s="85" t="s">
        <v>991</v>
      </c>
      <c r="D198" s="72" t="s">
        <v>407</v>
      </c>
    </row>
    <row r="199" spans="1:4">
      <c r="A199" s="84" t="s">
        <v>1010</v>
      </c>
      <c r="B199" s="85" t="s">
        <v>991</v>
      </c>
      <c r="C199" s="85" t="s">
        <v>991</v>
      </c>
      <c r="D199" s="72" t="s">
        <v>1011</v>
      </c>
    </row>
    <row r="200" spans="1:4">
      <c r="A200" s="84" t="s">
        <v>246</v>
      </c>
      <c r="B200" s="85" t="s">
        <v>991</v>
      </c>
      <c r="C200" s="85" t="s">
        <v>991</v>
      </c>
      <c r="D200" s="69" t="s">
        <v>247</v>
      </c>
    </row>
    <row r="201" spans="1:4">
      <c r="A201" s="84" t="s">
        <v>248</v>
      </c>
      <c r="B201" s="85" t="s">
        <v>991</v>
      </c>
      <c r="C201" s="85" t="s">
        <v>991</v>
      </c>
      <c r="D201" s="69" t="s">
        <v>408</v>
      </c>
    </row>
    <row r="202" spans="1:4">
      <c r="A202" s="84" t="s">
        <v>249</v>
      </c>
      <c r="B202" s="85" t="s">
        <v>991</v>
      </c>
      <c r="C202" s="85" t="s">
        <v>991</v>
      </c>
      <c r="D202" s="69" t="s">
        <v>409</v>
      </c>
    </row>
    <row r="203" spans="1:4">
      <c r="A203" s="84" t="s">
        <v>1012</v>
      </c>
      <c r="B203" s="85" t="s">
        <v>991</v>
      </c>
      <c r="C203" s="85" t="s">
        <v>991</v>
      </c>
      <c r="D203" s="70" t="s">
        <v>410</v>
      </c>
    </row>
    <row r="204" spans="1:4">
      <c r="A204" s="84" t="s">
        <v>250</v>
      </c>
      <c r="B204" s="85" t="s">
        <v>991</v>
      </c>
      <c r="C204" s="85" t="s">
        <v>991</v>
      </c>
      <c r="D204" s="69" t="s">
        <v>411</v>
      </c>
    </row>
    <row r="205" spans="1:4">
      <c r="A205" s="84" t="s">
        <v>251</v>
      </c>
      <c r="B205" s="85" t="s">
        <v>991</v>
      </c>
      <c r="C205" s="85" t="s">
        <v>991</v>
      </c>
      <c r="D205" s="69" t="s">
        <v>412</v>
      </c>
    </row>
    <row r="206" spans="1:4">
      <c r="A206" s="116" t="s">
        <v>252</v>
      </c>
      <c r="B206" s="116" t="s">
        <v>1013</v>
      </c>
      <c r="C206" s="116" t="s">
        <v>1013</v>
      </c>
      <c r="D206" s="76" t="s">
        <v>253</v>
      </c>
    </row>
    <row r="207" spans="1:4">
      <c r="A207" s="92" t="s">
        <v>254</v>
      </c>
      <c r="B207" s="92" t="s">
        <v>128</v>
      </c>
      <c r="C207" s="92" t="s">
        <v>128</v>
      </c>
      <c r="D207" s="77" t="s">
        <v>255</v>
      </c>
    </row>
    <row r="208" spans="1:4">
      <c r="A208" s="92" t="s">
        <v>413</v>
      </c>
      <c r="B208" s="92" t="s">
        <v>128</v>
      </c>
      <c r="C208" s="92" t="s">
        <v>128</v>
      </c>
      <c r="D208" s="77" t="s">
        <v>256</v>
      </c>
    </row>
    <row r="209" spans="1:4">
      <c r="A209" s="92" t="s">
        <v>559</v>
      </c>
      <c r="B209" s="92" t="s">
        <v>128</v>
      </c>
      <c r="C209" s="92" t="s">
        <v>128</v>
      </c>
      <c r="D209" s="77" t="s">
        <v>560</v>
      </c>
    </row>
    <row r="210" spans="1:4">
      <c r="A210" s="85" t="s">
        <v>561</v>
      </c>
      <c r="B210" s="85" t="s">
        <v>128</v>
      </c>
      <c r="C210" s="85" t="s">
        <v>128</v>
      </c>
      <c r="D210" s="70" t="s">
        <v>1014</v>
      </c>
    </row>
    <row r="211" spans="1:4">
      <c r="A211" s="85" t="s">
        <v>1015</v>
      </c>
      <c r="B211" s="85" t="s">
        <v>128</v>
      </c>
      <c r="C211" s="85" t="s">
        <v>128</v>
      </c>
      <c r="D211" s="70" t="s">
        <v>1014</v>
      </c>
    </row>
    <row r="212" spans="1:4">
      <c r="A212" s="92" t="s">
        <v>562</v>
      </c>
      <c r="B212" s="92" t="s">
        <v>128</v>
      </c>
      <c r="C212" s="92" t="s">
        <v>128</v>
      </c>
      <c r="D212" s="77" t="s">
        <v>563</v>
      </c>
    </row>
    <row r="213" spans="1:4">
      <c r="A213" s="92" t="s">
        <v>564</v>
      </c>
      <c r="B213" s="92" t="s">
        <v>128</v>
      </c>
      <c r="C213" s="92" t="s">
        <v>128</v>
      </c>
      <c r="D213" s="77" t="s">
        <v>565</v>
      </c>
    </row>
    <row r="214" spans="1:4">
      <c r="A214" s="85" t="s">
        <v>414</v>
      </c>
      <c r="B214" s="85" t="s">
        <v>128</v>
      </c>
      <c r="C214" s="85" t="s">
        <v>128</v>
      </c>
      <c r="D214" s="70" t="s">
        <v>257</v>
      </c>
    </row>
    <row r="215" spans="1:4">
      <c r="A215" s="85" t="s">
        <v>1016</v>
      </c>
      <c r="B215" s="85" t="s">
        <v>128</v>
      </c>
      <c r="C215" s="85" t="s">
        <v>128</v>
      </c>
      <c r="D215" s="70" t="s">
        <v>257</v>
      </c>
    </row>
    <row r="216" spans="1:4">
      <c r="A216" s="85" t="s">
        <v>1017</v>
      </c>
      <c r="B216" s="85" t="s">
        <v>128</v>
      </c>
      <c r="C216" s="85" t="s">
        <v>128</v>
      </c>
      <c r="D216" s="70" t="s">
        <v>1018</v>
      </c>
    </row>
    <row r="217" spans="1:4">
      <c r="A217" s="85" t="s">
        <v>1019</v>
      </c>
      <c r="B217" s="85" t="s">
        <v>128</v>
      </c>
      <c r="C217" s="85" t="s">
        <v>128</v>
      </c>
      <c r="D217" s="70" t="s">
        <v>1020</v>
      </c>
    </row>
    <row r="218" spans="1:4">
      <c r="A218" s="85" t="s">
        <v>566</v>
      </c>
      <c r="B218" s="85" t="s">
        <v>128</v>
      </c>
      <c r="C218" s="85" t="s">
        <v>128</v>
      </c>
      <c r="D218" s="70" t="s">
        <v>567</v>
      </c>
    </row>
    <row r="219" spans="1:4">
      <c r="A219" s="85" t="s">
        <v>1021</v>
      </c>
      <c r="B219" s="85" t="s">
        <v>128</v>
      </c>
      <c r="C219" s="85" t="s">
        <v>128</v>
      </c>
      <c r="D219" s="70" t="s">
        <v>567</v>
      </c>
    </row>
    <row r="220" spans="1:4">
      <c r="A220" s="85" t="s">
        <v>568</v>
      </c>
      <c r="B220" s="85" t="s">
        <v>128</v>
      </c>
      <c r="C220" s="85" t="s">
        <v>128</v>
      </c>
      <c r="D220" s="70" t="s">
        <v>1022</v>
      </c>
    </row>
    <row r="221" spans="1:4">
      <c r="A221" s="85" t="s">
        <v>1023</v>
      </c>
      <c r="B221" s="85" t="s">
        <v>128</v>
      </c>
      <c r="C221" s="85" t="s">
        <v>128</v>
      </c>
      <c r="D221" s="70" t="s">
        <v>1024</v>
      </c>
    </row>
    <row r="222" spans="1:4">
      <c r="A222" s="85" t="s">
        <v>569</v>
      </c>
      <c r="B222" s="85" t="s">
        <v>128</v>
      </c>
      <c r="C222" s="85" t="s">
        <v>128</v>
      </c>
      <c r="D222" s="70" t="s">
        <v>1025</v>
      </c>
    </row>
    <row r="223" spans="1:4">
      <c r="A223" s="85" t="s">
        <v>570</v>
      </c>
      <c r="B223" s="85" t="s">
        <v>128</v>
      </c>
      <c r="C223" s="85" t="s">
        <v>128</v>
      </c>
      <c r="D223" s="70" t="s">
        <v>1026</v>
      </c>
    </row>
    <row r="224" spans="1:4">
      <c r="A224" s="85" t="s">
        <v>1027</v>
      </c>
      <c r="B224" s="85" t="s">
        <v>128</v>
      </c>
      <c r="C224" s="85" t="s">
        <v>128</v>
      </c>
      <c r="D224" s="70" t="s">
        <v>1028</v>
      </c>
    </row>
    <row r="225" spans="1:4">
      <c r="A225" s="85" t="s">
        <v>415</v>
      </c>
      <c r="B225" s="85" t="s">
        <v>128</v>
      </c>
      <c r="C225" s="85" t="s">
        <v>128</v>
      </c>
      <c r="D225" s="70" t="s">
        <v>1029</v>
      </c>
    </row>
    <row r="226" spans="1:4">
      <c r="A226" s="85" t="s">
        <v>1030</v>
      </c>
      <c r="B226" s="85" t="s">
        <v>128</v>
      </c>
      <c r="C226" s="85" t="s">
        <v>128</v>
      </c>
      <c r="D226" s="70" t="s">
        <v>1029</v>
      </c>
    </row>
    <row r="227" spans="1:4">
      <c r="A227" s="85" t="s">
        <v>258</v>
      </c>
      <c r="B227" s="85" t="s">
        <v>128</v>
      </c>
      <c r="C227" s="85" t="s">
        <v>128</v>
      </c>
      <c r="D227" s="70" t="s">
        <v>416</v>
      </c>
    </row>
    <row r="228" spans="1:4">
      <c r="A228" s="92" t="s">
        <v>1031</v>
      </c>
      <c r="B228" s="92" t="s">
        <v>128</v>
      </c>
      <c r="C228" s="92" t="s">
        <v>128</v>
      </c>
      <c r="D228" s="77" t="s">
        <v>1032</v>
      </c>
    </row>
    <row r="229" spans="1:4">
      <c r="A229" s="92" t="s">
        <v>571</v>
      </c>
      <c r="B229" s="92" t="s">
        <v>128</v>
      </c>
      <c r="C229" s="92" t="s">
        <v>128</v>
      </c>
      <c r="D229" s="77" t="s">
        <v>1033</v>
      </c>
    </row>
    <row r="230" spans="1:4">
      <c r="A230" s="92" t="s">
        <v>572</v>
      </c>
      <c r="B230" s="92" t="s">
        <v>128</v>
      </c>
      <c r="C230" s="92" t="s">
        <v>128</v>
      </c>
      <c r="D230" s="77" t="s">
        <v>1034</v>
      </c>
    </row>
    <row r="231" spans="1:4">
      <c r="A231" s="85" t="s">
        <v>573</v>
      </c>
      <c r="B231" s="85" t="s">
        <v>128</v>
      </c>
      <c r="C231" s="85" t="s">
        <v>128</v>
      </c>
      <c r="D231" s="70" t="s">
        <v>1035</v>
      </c>
    </row>
    <row r="232" spans="1:4">
      <c r="A232" s="85" t="s">
        <v>574</v>
      </c>
      <c r="B232" s="85" t="s">
        <v>128</v>
      </c>
      <c r="C232" s="85" t="s">
        <v>128</v>
      </c>
      <c r="D232" s="70" t="s">
        <v>1036</v>
      </c>
    </row>
    <row r="233" spans="1:4">
      <c r="A233" s="85" t="s">
        <v>575</v>
      </c>
      <c r="B233" s="85" t="s">
        <v>128</v>
      </c>
      <c r="C233" s="85" t="s">
        <v>128</v>
      </c>
      <c r="D233" s="70" t="s">
        <v>1037</v>
      </c>
    </row>
    <row r="234" spans="1:4">
      <c r="A234" s="85" t="s">
        <v>576</v>
      </c>
      <c r="B234" s="85" t="s">
        <v>128</v>
      </c>
      <c r="C234" s="85" t="s">
        <v>128</v>
      </c>
      <c r="D234" s="70" t="s">
        <v>1038</v>
      </c>
    </row>
    <row r="235" spans="1:4">
      <c r="A235" s="85" t="s">
        <v>577</v>
      </c>
      <c r="B235" s="85" t="s">
        <v>128</v>
      </c>
      <c r="C235" s="85" t="s">
        <v>128</v>
      </c>
      <c r="D235" s="70" t="s">
        <v>1039</v>
      </c>
    </row>
    <row r="236" spans="1:4">
      <c r="A236" s="85" t="s">
        <v>578</v>
      </c>
      <c r="B236" s="85" t="s">
        <v>128</v>
      </c>
      <c r="C236" s="85" t="s">
        <v>128</v>
      </c>
      <c r="D236" s="70" t="s">
        <v>1040</v>
      </c>
    </row>
    <row r="237" spans="1:4">
      <c r="A237" s="85" t="s">
        <v>579</v>
      </c>
      <c r="B237" s="85" t="s">
        <v>128</v>
      </c>
      <c r="C237" s="85" t="s">
        <v>128</v>
      </c>
      <c r="D237" s="70" t="s">
        <v>1041</v>
      </c>
    </row>
    <row r="238" spans="1:4">
      <c r="A238" s="85" t="s">
        <v>580</v>
      </c>
      <c r="B238" s="85" t="s">
        <v>128</v>
      </c>
      <c r="C238" s="85" t="s">
        <v>128</v>
      </c>
      <c r="D238" s="70" t="s">
        <v>1042</v>
      </c>
    </row>
    <row r="239" spans="1:4">
      <c r="A239" s="85" t="s">
        <v>581</v>
      </c>
      <c r="B239" s="85" t="s">
        <v>128</v>
      </c>
      <c r="C239" s="85" t="s">
        <v>128</v>
      </c>
      <c r="D239" s="70" t="s">
        <v>582</v>
      </c>
    </row>
    <row r="240" spans="1:4">
      <c r="A240" s="85" t="s">
        <v>259</v>
      </c>
      <c r="B240" s="85" t="s">
        <v>128</v>
      </c>
      <c r="C240" s="85" t="s">
        <v>128</v>
      </c>
      <c r="D240" s="70" t="s">
        <v>260</v>
      </c>
    </row>
    <row r="241" spans="1:4">
      <c r="A241" s="85" t="s">
        <v>583</v>
      </c>
      <c r="B241" s="85" t="s">
        <v>128</v>
      </c>
      <c r="C241" s="85" t="s">
        <v>128</v>
      </c>
      <c r="D241" s="70" t="s">
        <v>584</v>
      </c>
    </row>
    <row r="242" spans="1:4">
      <c r="A242" s="92" t="s">
        <v>585</v>
      </c>
      <c r="B242" s="92" t="s">
        <v>128</v>
      </c>
      <c r="C242" s="92" t="s">
        <v>128</v>
      </c>
      <c r="D242" s="77" t="s">
        <v>1043</v>
      </c>
    </row>
    <row r="243" spans="1:4">
      <c r="A243" s="93" t="s">
        <v>261</v>
      </c>
      <c r="B243" s="93" t="s">
        <v>128</v>
      </c>
      <c r="C243" s="93" t="s">
        <v>128</v>
      </c>
      <c r="D243" s="96" t="s">
        <v>417</v>
      </c>
    </row>
    <row r="244" spans="1:4">
      <c r="A244" s="94" t="s">
        <v>586</v>
      </c>
      <c r="B244" s="94" t="s">
        <v>128</v>
      </c>
      <c r="C244" s="94" t="s">
        <v>128</v>
      </c>
      <c r="D244" s="95" t="s">
        <v>587</v>
      </c>
    </row>
    <row r="245" spans="1:4">
      <c r="A245" s="93" t="s">
        <v>262</v>
      </c>
      <c r="B245" s="93" t="s">
        <v>128</v>
      </c>
      <c r="C245" s="93" t="s">
        <v>128</v>
      </c>
      <c r="D245" s="96" t="s">
        <v>418</v>
      </c>
    </row>
    <row r="246" spans="1:4">
      <c r="A246" s="93" t="s">
        <v>263</v>
      </c>
      <c r="B246" s="93" t="s">
        <v>128</v>
      </c>
      <c r="C246" s="93" t="s">
        <v>128</v>
      </c>
      <c r="D246" s="96" t="s">
        <v>419</v>
      </c>
    </row>
    <row r="247" spans="1:4">
      <c r="A247" s="93" t="s">
        <v>1044</v>
      </c>
      <c r="B247" s="93" t="s">
        <v>128</v>
      </c>
      <c r="C247" s="93" t="s">
        <v>128</v>
      </c>
      <c r="D247" s="96" t="s">
        <v>1045</v>
      </c>
    </row>
    <row r="248" spans="1:4">
      <c r="A248" s="93" t="s">
        <v>1046</v>
      </c>
      <c r="B248" s="93" t="s">
        <v>128</v>
      </c>
      <c r="C248" s="93" t="s">
        <v>128</v>
      </c>
      <c r="D248" s="96" t="s">
        <v>1047</v>
      </c>
    </row>
    <row r="249" spans="1:4">
      <c r="A249" s="93" t="s">
        <v>588</v>
      </c>
      <c r="B249" s="93" t="s">
        <v>128</v>
      </c>
      <c r="C249" s="93" t="s">
        <v>128</v>
      </c>
      <c r="D249" s="96" t="s">
        <v>589</v>
      </c>
    </row>
    <row r="250" spans="1:4">
      <c r="A250" s="93" t="s">
        <v>264</v>
      </c>
      <c r="B250" s="93" t="s">
        <v>128</v>
      </c>
      <c r="C250" s="93" t="s">
        <v>128</v>
      </c>
      <c r="D250" s="96" t="s">
        <v>265</v>
      </c>
    </row>
    <row r="251" spans="1:4">
      <c r="A251" s="94" t="s">
        <v>590</v>
      </c>
      <c r="B251" s="94" t="s">
        <v>128</v>
      </c>
      <c r="C251" s="94" t="s">
        <v>128</v>
      </c>
      <c r="D251" s="95" t="s">
        <v>591</v>
      </c>
    </row>
    <row r="252" spans="1:4">
      <c r="A252" s="94" t="s">
        <v>592</v>
      </c>
      <c r="B252" s="94" t="s">
        <v>128</v>
      </c>
      <c r="C252" s="94" t="s">
        <v>128</v>
      </c>
      <c r="D252" s="95" t="s">
        <v>593</v>
      </c>
    </row>
    <row r="253" spans="1:4">
      <c r="A253" s="94" t="s">
        <v>594</v>
      </c>
      <c r="B253" s="94" t="s">
        <v>128</v>
      </c>
      <c r="C253" s="94" t="s">
        <v>128</v>
      </c>
      <c r="D253" s="95" t="s">
        <v>595</v>
      </c>
    </row>
    <row r="254" spans="1:4">
      <c r="A254" s="92" t="s">
        <v>596</v>
      </c>
      <c r="B254" s="92" t="s">
        <v>128</v>
      </c>
      <c r="C254" s="92" t="s">
        <v>128</v>
      </c>
      <c r="D254" s="77" t="s">
        <v>597</v>
      </c>
    </row>
    <row r="255" spans="1:4">
      <c r="A255" s="85" t="s">
        <v>598</v>
      </c>
      <c r="B255" s="85" t="s">
        <v>128</v>
      </c>
      <c r="C255" s="85" t="s">
        <v>128</v>
      </c>
      <c r="D255" s="70" t="s">
        <v>599</v>
      </c>
    </row>
    <row r="256" spans="1:4">
      <c r="A256" s="85" t="s">
        <v>266</v>
      </c>
      <c r="B256" s="85" t="s">
        <v>128</v>
      </c>
      <c r="C256" s="85" t="s">
        <v>128</v>
      </c>
      <c r="D256" s="70" t="s">
        <v>267</v>
      </c>
    </row>
    <row r="257" spans="1:4">
      <c r="A257" s="92" t="s">
        <v>600</v>
      </c>
      <c r="B257" s="92" t="s">
        <v>128</v>
      </c>
      <c r="C257" s="92" t="s">
        <v>128</v>
      </c>
      <c r="D257" s="77" t="s">
        <v>601</v>
      </c>
    </row>
    <row r="258" spans="1:4">
      <c r="A258" s="85" t="s">
        <v>268</v>
      </c>
      <c r="B258" s="85" t="s">
        <v>128</v>
      </c>
      <c r="C258" s="85" t="s">
        <v>128</v>
      </c>
      <c r="D258" s="70" t="s">
        <v>269</v>
      </c>
    </row>
    <row r="259" spans="1:4">
      <c r="A259" s="85" t="s">
        <v>1048</v>
      </c>
      <c r="B259" s="85" t="s">
        <v>128</v>
      </c>
      <c r="C259" s="85" t="s">
        <v>128</v>
      </c>
      <c r="D259" s="70" t="s">
        <v>1049</v>
      </c>
    </row>
    <row r="260" spans="1:4">
      <c r="A260" s="85" t="s">
        <v>270</v>
      </c>
      <c r="B260" s="85" t="s">
        <v>128</v>
      </c>
      <c r="C260" s="85" t="s">
        <v>128</v>
      </c>
      <c r="D260" s="70" t="s">
        <v>1050</v>
      </c>
    </row>
    <row r="261" spans="1:4">
      <c r="A261" s="85" t="s">
        <v>271</v>
      </c>
      <c r="B261" s="85" t="s">
        <v>128</v>
      </c>
      <c r="C261" s="85" t="s">
        <v>128</v>
      </c>
      <c r="D261" s="70" t="s">
        <v>1051</v>
      </c>
    </row>
    <row r="262" spans="1:4">
      <c r="A262" s="92" t="s">
        <v>602</v>
      </c>
      <c r="B262" s="92" t="s">
        <v>128</v>
      </c>
      <c r="C262" s="92" t="s">
        <v>128</v>
      </c>
      <c r="D262" s="77" t="s">
        <v>1052</v>
      </c>
    </row>
    <row r="263" spans="1:4">
      <c r="A263" s="85" t="s">
        <v>603</v>
      </c>
      <c r="B263" s="85" t="s">
        <v>128</v>
      </c>
      <c r="C263" s="85" t="s">
        <v>128</v>
      </c>
      <c r="D263" s="70" t="s">
        <v>604</v>
      </c>
    </row>
    <row r="264" spans="1:4">
      <c r="A264" s="85" t="s">
        <v>605</v>
      </c>
      <c r="B264" s="85" t="s">
        <v>128</v>
      </c>
      <c r="C264" s="85" t="s">
        <v>128</v>
      </c>
      <c r="D264" s="70" t="s">
        <v>606</v>
      </c>
    </row>
    <row r="265" spans="1:4">
      <c r="A265" s="85" t="s">
        <v>1053</v>
      </c>
      <c r="B265" s="85" t="s">
        <v>128</v>
      </c>
      <c r="C265" s="85" t="s">
        <v>128</v>
      </c>
      <c r="D265" s="70" t="s">
        <v>420</v>
      </c>
    </row>
    <row r="266" spans="1:4">
      <c r="A266" s="85" t="s">
        <v>1054</v>
      </c>
      <c r="B266" s="85" t="s">
        <v>128</v>
      </c>
      <c r="C266" s="85" t="s">
        <v>128</v>
      </c>
      <c r="D266" s="70" t="s">
        <v>421</v>
      </c>
    </row>
    <row r="267" spans="1:4">
      <c r="A267" s="85" t="s">
        <v>1055</v>
      </c>
      <c r="B267" s="85" t="s">
        <v>128</v>
      </c>
      <c r="C267" s="85" t="s">
        <v>128</v>
      </c>
      <c r="D267" s="70" t="s">
        <v>1056</v>
      </c>
    </row>
    <row r="268" spans="1:4">
      <c r="A268" s="85" t="s">
        <v>1057</v>
      </c>
      <c r="B268" s="85" t="s">
        <v>128</v>
      </c>
      <c r="C268" s="85" t="s">
        <v>128</v>
      </c>
      <c r="D268" s="70" t="s">
        <v>1058</v>
      </c>
    </row>
    <row r="269" spans="1:4">
      <c r="A269" s="85" t="s">
        <v>1059</v>
      </c>
      <c r="B269" s="85" t="s">
        <v>128</v>
      </c>
      <c r="C269" s="85" t="s">
        <v>128</v>
      </c>
      <c r="D269" s="70" t="s">
        <v>1060</v>
      </c>
    </row>
    <row r="270" spans="1:4">
      <c r="A270" s="85" t="s">
        <v>1061</v>
      </c>
      <c r="B270" s="85" t="s">
        <v>128</v>
      </c>
      <c r="C270" s="85" t="s">
        <v>128</v>
      </c>
      <c r="D270" s="70" t="s">
        <v>1062</v>
      </c>
    </row>
    <row r="271" spans="1:4">
      <c r="A271" s="85" t="s">
        <v>1063</v>
      </c>
      <c r="B271" s="85" t="s">
        <v>128</v>
      </c>
      <c r="C271" s="85" t="s">
        <v>128</v>
      </c>
      <c r="D271" s="70" t="s">
        <v>1064</v>
      </c>
    </row>
    <row r="272" spans="1:4">
      <c r="A272" s="85" t="s">
        <v>1065</v>
      </c>
      <c r="B272" s="85" t="s">
        <v>128</v>
      </c>
      <c r="C272" s="85" t="s">
        <v>128</v>
      </c>
      <c r="D272" s="70" t="s">
        <v>1066</v>
      </c>
    </row>
    <row r="273" spans="1:4">
      <c r="A273" s="85" t="s">
        <v>1067</v>
      </c>
      <c r="B273" s="85" t="s">
        <v>128</v>
      </c>
      <c r="C273" s="85" t="s">
        <v>128</v>
      </c>
      <c r="D273" s="72" t="s">
        <v>1068</v>
      </c>
    </row>
    <row r="274" spans="1:4">
      <c r="A274" s="85" t="s">
        <v>1069</v>
      </c>
      <c r="B274" s="85" t="s">
        <v>128</v>
      </c>
      <c r="C274" s="85" t="s">
        <v>128</v>
      </c>
      <c r="D274" s="70" t="s">
        <v>1070</v>
      </c>
    </row>
    <row r="275" spans="1:4">
      <c r="A275" s="85" t="s">
        <v>1071</v>
      </c>
      <c r="B275" s="85" t="s">
        <v>128</v>
      </c>
      <c r="C275" s="85" t="s">
        <v>128</v>
      </c>
      <c r="D275" s="70" t="s">
        <v>1072</v>
      </c>
    </row>
    <row r="276" spans="1:4">
      <c r="A276" s="85" t="s">
        <v>1073</v>
      </c>
      <c r="B276" s="85" t="s">
        <v>128</v>
      </c>
      <c r="C276" s="85" t="s">
        <v>128</v>
      </c>
      <c r="D276" s="70" t="s">
        <v>1074</v>
      </c>
    </row>
    <row r="277" spans="1:4">
      <c r="A277" s="85" t="s">
        <v>272</v>
      </c>
      <c r="B277" s="85" t="s">
        <v>1075</v>
      </c>
      <c r="C277" s="85" t="s">
        <v>1075</v>
      </c>
      <c r="D277" s="70" t="s">
        <v>422</v>
      </c>
    </row>
    <row r="278" spans="1:4">
      <c r="A278" s="85" t="s">
        <v>273</v>
      </c>
      <c r="B278" s="85" t="s">
        <v>1075</v>
      </c>
      <c r="C278" s="85" t="s">
        <v>1075</v>
      </c>
      <c r="D278" s="70" t="s">
        <v>274</v>
      </c>
    </row>
    <row r="279" spans="1:4">
      <c r="A279" s="97" t="s">
        <v>275</v>
      </c>
      <c r="B279" s="97" t="s">
        <v>1076</v>
      </c>
      <c r="C279" s="97" t="s">
        <v>1076</v>
      </c>
      <c r="D279" s="80" t="s">
        <v>276</v>
      </c>
    </row>
    <row r="280" spans="1:4">
      <c r="A280" s="97" t="s">
        <v>277</v>
      </c>
      <c r="B280" s="97" t="s">
        <v>1076</v>
      </c>
      <c r="C280" s="97" t="s">
        <v>1076</v>
      </c>
      <c r="D280" s="80" t="s">
        <v>278</v>
      </c>
    </row>
    <row r="281" spans="1:4">
      <c r="A281" s="97" t="s">
        <v>279</v>
      </c>
      <c r="B281" s="97" t="s">
        <v>1076</v>
      </c>
      <c r="C281" s="97" t="s">
        <v>1076</v>
      </c>
      <c r="D281" s="80" t="s">
        <v>280</v>
      </c>
    </row>
    <row r="282" spans="1:4">
      <c r="A282" s="97" t="s">
        <v>281</v>
      </c>
      <c r="B282" s="97" t="s">
        <v>1076</v>
      </c>
      <c r="C282" s="97" t="s">
        <v>1076</v>
      </c>
      <c r="D282" s="80" t="s">
        <v>282</v>
      </c>
    </row>
    <row r="283" spans="1:4">
      <c r="A283" s="97" t="s">
        <v>607</v>
      </c>
      <c r="B283" s="97" t="s">
        <v>1076</v>
      </c>
      <c r="C283" s="97" t="s">
        <v>1076</v>
      </c>
      <c r="D283" s="80" t="s">
        <v>608</v>
      </c>
    </row>
    <row r="284" spans="1:4">
      <c r="A284" s="97" t="s">
        <v>609</v>
      </c>
      <c r="B284" s="97" t="s">
        <v>1076</v>
      </c>
      <c r="C284" s="97" t="s">
        <v>1076</v>
      </c>
      <c r="D284" s="80" t="s">
        <v>610</v>
      </c>
    </row>
    <row r="285" spans="1:4">
      <c r="A285" s="97" t="s">
        <v>611</v>
      </c>
      <c r="B285" s="97" t="s">
        <v>1076</v>
      </c>
      <c r="C285" s="97" t="s">
        <v>1076</v>
      </c>
      <c r="D285" s="80" t="s">
        <v>612</v>
      </c>
    </row>
    <row r="286" spans="1:4">
      <c r="A286" s="97" t="s">
        <v>613</v>
      </c>
      <c r="B286" s="97" t="s">
        <v>1076</v>
      </c>
      <c r="C286" s="97" t="s">
        <v>1076</v>
      </c>
      <c r="D286" s="80" t="s">
        <v>614</v>
      </c>
    </row>
    <row r="287" spans="1:4">
      <c r="A287" s="97" t="s">
        <v>615</v>
      </c>
      <c r="B287" s="97" t="s">
        <v>1076</v>
      </c>
      <c r="C287" s="97" t="s">
        <v>1076</v>
      </c>
      <c r="D287" s="80" t="s">
        <v>616</v>
      </c>
    </row>
    <row r="288" spans="1:4">
      <c r="A288" s="97" t="s">
        <v>617</v>
      </c>
      <c r="B288" s="97" t="s">
        <v>1076</v>
      </c>
      <c r="C288" s="97" t="s">
        <v>1076</v>
      </c>
      <c r="D288" s="80" t="s">
        <v>1077</v>
      </c>
    </row>
    <row r="289" spans="1:4">
      <c r="A289" s="97" t="s">
        <v>618</v>
      </c>
      <c r="B289" s="97" t="s">
        <v>1076</v>
      </c>
      <c r="C289" s="97" t="s">
        <v>1076</v>
      </c>
      <c r="D289" s="79" t="s">
        <v>619</v>
      </c>
    </row>
    <row r="290" spans="1:4">
      <c r="A290" s="97" t="s">
        <v>283</v>
      </c>
      <c r="B290" s="97" t="s">
        <v>1076</v>
      </c>
      <c r="C290" s="97" t="s">
        <v>1076</v>
      </c>
      <c r="D290" s="80" t="s">
        <v>284</v>
      </c>
    </row>
    <row r="291" spans="1:4">
      <c r="A291" s="97" t="s">
        <v>285</v>
      </c>
      <c r="B291" s="97" t="s">
        <v>1076</v>
      </c>
      <c r="C291" s="97" t="s">
        <v>1076</v>
      </c>
      <c r="D291" s="80" t="s">
        <v>286</v>
      </c>
    </row>
    <row r="292" spans="1:4">
      <c r="A292" s="97" t="s">
        <v>620</v>
      </c>
      <c r="B292" s="97" t="s">
        <v>1076</v>
      </c>
      <c r="C292" s="97" t="s">
        <v>1076</v>
      </c>
      <c r="D292" s="79" t="s">
        <v>621</v>
      </c>
    </row>
    <row r="293" spans="1:4">
      <c r="A293" s="97" t="s">
        <v>287</v>
      </c>
      <c r="B293" s="97" t="s">
        <v>1076</v>
      </c>
      <c r="C293" s="97" t="s">
        <v>1076</v>
      </c>
      <c r="D293" s="78" t="s">
        <v>1078</v>
      </c>
    </row>
    <row r="294" spans="1:4">
      <c r="A294" s="97" t="s">
        <v>622</v>
      </c>
      <c r="B294" s="97" t="s">
        <v>1076</v>
      </c>
      <c r="C294" s="97" t="s">
        <v>1076</v>
      </c>
      <c r="D294" s="79" t="s">
        <v>623</v>
      </c>
    </row>
    <row r="295" spans="1:4">
      <c r="A295" s="97" t="s">
        <v>288</v>
      </c>
      <c r="B295" s="97" t="s">
        <v>1076</v>
      </c>
      <c r="C295" s="97" t="s">
        <v>1076</v>
      </c>
      <c r="D295" s="79" t="s">
        <v>289</v>
      </c>
    </row>
    <row r="296" spans="1:4">
      <c r="A296" s="97" t="s">
        <v>624</v>
      </c>
      <c r="B296" s="97" t="s">
        <v>1076</v>
      </c>
      <c r="C296" s="97" t="s">
        <v>1076</v>
      </c>
      <c r="D296" s="80" t="s">
        <v>625</v>
      </c>
    </row>
    <row r="297" spans="1:4">
      <c r="A297" s="97" t="s">
        <v>290</v>
      </c>
      <c r="B297" s="97" t="s">
        <v>1076</v>
      </c>
      <c r="C297" s="97" t="s">
        <v>1076</v>
      </c>
      <c r="D297" s="80" t="s">
        <v>291</v>
      </c>
    </row>
    <row r="298" spans="1:4">
      <c r="A298" s="97" t="s">
        <v>292</v>
      </c>
      <c r="B298" s="97" t="s">
        <v>1076</v>
      </c>
      <c r="C298" s="97" t="s">
        <v>1076</v>
      </c>
      <c r="D298" s="80" t="s">
        <v>293</v>
      </c>
    </row>
    <row r="299" spans="1:4">
      <c r="A299" s="97" t="s">
        <v>294</v>
      </c>
      <c r="B299" s="97" t="s">
        <v>1076</v>
      </c>
      <c r="C299" s="97" t="s">
        <v>1076</v>
      </c>
      <c r="D299" s="80" t="s">
        <v>295</v>
      </c>
    </row>
    <row r="300" spans="1:4">
      <c r="A300" s="97" t="s">
        <v>296</v>
      </c>
      <c r="B300" s="97" t="s">
        <v>1076</v>
      </c>
      <c r="C300" s="97" t="s">
        <v>1076</v>
      </c>
      <c r="D300" s="79" t="s">
        <v>1079</v>
      </c>
    </row>
    <row r="301" spans="1:4">
      <c r="A301" s="97" t="s">
        <v>297</v>
      </c>
      <c r="B301" s="97" t="s">
        <v>1076</v>
      </c>
      <c r="C301" s="97" t="s">
        <v>1076</v>
      </c>
      <c r="D301" s="80" t="s">
        <v>298</v>
      </c>
    </row>
    <row r="302" spans="1:4">
      <c r="A302" s="97" t="s">
        <v>626</v>
      </c>
      <c r="B302" s="97" t="s">
        <v>1076</v>
      </c>
      <c r="C302" s="97" t="s">
        <v>1076</v>
      </c>
      <c r="D302" s="80" t="s">
        <v>1080</v>
      </c>
    </row>
    <row r="303" spans="1:4">
      <c r="A303" s="97" t="s">
        <v>299</v>
      </c>
      <c r="B303" s="97" t="s">
        <v>1076</v>
      </c>
      <c r="C303" s="97" t="s">
        <v>1076</v>
      </c>
      <c r="D303" s="72" t="s">
        <v>300</v>
      </c>
    </row>
    <row r="304" spans="1:4">
      <c r="A304" s="97" t="s">
        <v>1081</v>
      </c>
      <c r="B304" s="97" t="s">
        <v>1076</v>
      </c>
      <c r="C304" s="97" t="s">
        <v>1076</v>
      </c>
      <c r="D304" s="72" t="s">
        <v>1082</v>
      </c>
    </row>
    <row r="305" spans="1:4">
      <c r="A305" s="97" t="s">
        <v>627</v>
      </c>
      <c r="B305" s="97" t="s">
        <v>1076</v>
      </c>
      <c r="C305" s="97" t="s">
        <v>1076</v>
      </c>
      <c r="D305" s="80" t="s">
        <v>1083</v>
      </c>
    </row>
    <row r="306" spans="1:4">
      <c r="A306" s="97" t="s">
        <v>1084</v>
      </c>
      <c r="B306" s="97" t="s">
        <v>1076</v>
      </c>
      <c r="C306" s="97" t="s">
        <v>1076</v>
      </c>
      <c r="D306" s="80" t="s">
        <v>628</v>
      </c>
    </row>
    <row r="307" spans="1:4">
      <c r="A307" s="97" t="s">
        <v>301</v>
      </c>
      <c r="B307" s="97" t="s">
        <v>1076</v>
      </c>
      <c r="C307" s="97" t="s">
        <v>1076</v>
      </c>
      <c r="D307" s="80" t="s">
        <v>423</v>
      </c>
    </row>
    <row r="308" spans="1:4">
      <c r="A308" s="97" t="s">
        <v>302</v>
      </c>
      <c r="B308" s="97" t="s">
        <v>1076</v>
      </c>
      <c r="C308" s="97" t="s">
        <v>1076</v>
      </c>
      <c r="D308" s="72" t="s">
        <v>303</v>
      </c>
    </row>
    <row r="309" spans="1:4">
      <c r="A309" s="98" t="s">
        <v>629</v>
      </c>
      <c r="B309" s="98" t="s">
        <v>1085</v>
      </c>
      <c r="C309" s="98" t="s">
        <v>1085</v>
      </c>
      <c r="D309" s="98" t="s">
        <v>630</v>
      </c>
    </row>
    <row r="310" spans="1:4">
      <c r="A310" s="84" t="s">
        <v>631</v>
      </c>
      <c r="B310" s="98" t="s">
        <v>1085</v>
      </c>
      <c r="C310" s="98" t="s">
        <v>1085</v>
      </c>
      <c r="D310" s="79" t="s">
        <v>632</v>
      </c>
    </row>
    <row r="311" spans="1:4">
      <c r="A311" s="84" t="s">
        <v>633</v>
      </c>
      <c r="B311" s="98" t="s">
        <v>1085</v>
      </c>
      <c r="C311" s="98" t="s">
        <v>1085</v>
      </c>
      <c r="D311" s="79" t="s">
        <v>634</v>
      </c>
    </row>
    <row r="312" spans="1:4">
      <c r="A312" s="84" t="s">
        <v>635</v>
      </c>
      <c r="B312" s="98" t="s">
        <v>1085</v>
      </c>
      <c r="C312" s="98" t="s">
        <v>1085</v>
      </c>
      <c r="D312" s="79" t="s">
        <v>636</v>
      </c>
    </row>
    <row r="313" spans="1:4">
      <c r="A313" s="84" t="s">
        <v>637</v>
      </c>
      <c r="B313" s="98" t="s">
        <v>1085</v>
      </c>
      <c r="C313" s="98" t="s">
        <v>1085</v>
      </c>
      <c r="D313" s="79" t="s">
        <v>638</v>
      </c>
    </row>
    <row r="314" spans="1:4">
      <c r="A314" s="84" t="s">
        <v>639</v>
      </c>
      <c r="B314" s="98" t="s">
        <v>1085</v>
      </c>
      <c r="C314" s="98" t="s">
        <v>1085</v>
      </c>
      <c r="D314" s="79" t="s">
        <v>640</v>
      </c>
    </row>
    <row r="315" spans="1:4">
      <c r="A315" s="84" t="s">
        <v>641</v>
      </c>
      <c r="B315" s="98" t="s">
        <v>1085</v>
      </c>
      <c r="C315" s="98" t="s">
        <v>1085</v>
      </c>
      <c r="D315" s="79" t="s">
        <v>642</v>
      </c>
    </row>
    <row r="316" spans="1:4">
      <c r="A316" s="84" t="s">
        <v>643</v>
      </c>
      <c r="B316" s="98" t="s">
        <v>1085</v>
      </c>
      <c r="C316" s="98" t="s">
        <v>1085</v>
      </c>
      <c r="D316" s="79" t="s">
        <v>644</v>
      </c>
    </row>
    <row r="317" spans="1:4">
      <c r="A317" s="84" t="s">
        <v>645</v>
      </c>
      <c r="B317" s="98" t="s">
        <v>1085</v>
      </c>
      <c r="C317" s="98" t="s">
        <v>1085</v>
      </c>
      <c r="D317" s="79" t="s">
        <v>646</v>
      </c>
    </row>
    <row r="318" spans="1:4">
      <c r="A318" s="84" t="s">
        <v>647</v>
      </c>
      <c r="B318" s="98" t="s">
        <v>1085</v>
      </c>
      <c r="C318" s="98" t="s">
        <v>1085</v>
      </c>
      <c r="D318" s="79" t="s">
        <v>648</v>
      </c>
    </row>
    <row r="319" spans="1:4">
      <c r="A319" s="84" t="s">
        <v>649</v>
      </c>
      <c r="B319" s="98" t="s">
        <v>1085</v>
      </c>
      <c r="C319" s="98" t="s">
        <v>1085</v>
      </c>
      <c r="D319" s="79" t="s">
        <v>650</v>
      </c>
    </row>
    <row r="320" spans="1:4">
      <c r="A320" s="84" t="s">
        <v>651</v>
      </c>
      <c r="B320" s="98" t="s">
        <v>1085</v>
      </c>
      <c r="C320" s="98" t="s">
        <v>1085</v>
      </c>
      <c r="D320" s="79" t="s">
        <v>652</v>
      </c>
    </row>
    <row r="321" spans="1:4">
      <c r="A321" s="84" t="s">
        <v>653</v>
      </c>
      <c r="B321" s="98" t="s">
        <v>1085</v>
      </c>
      <c r="C321" s="98" t="s">
        <v>1085</v>
      </c>
      <c r="D321" s="79" t="s">
        <v>654</v>
      </c>
    </row>
    <row r="322" spans="1:4">
      <c r="A322" s="84" t="s">
        <v>655</v>
      </c>
      <c r="B322" s="98" t="s">
        <v>1085</v>
      </c>
      <c r="C322" s="98" t="s">
        <v>1085</v>
      </c>
      <c r="D322" s="79" t="s">
        <v>656</v>
      </c>
    </row>
    <row r="323" spans="1:4">
      <c r="A323" s="84" t="s">
        <v>657</v>
      </c>
      <c r="B323" s="98" t="s">
        <v>1085</v>
      </c>
      <c r="C323" s="98" t="s">
        <v>1085</v>
      </c>
      <c r="D323" s="79" t="s">
        <v>658</v>
      </c>
    </row>
    <row r="324" spans="1:4">
      <c r="A324" s="84" t="s">
        <v>659</v>
      </c>
      <c r="B324" s="98" t="s">
        <v>1085</v>
      </c>
      <c r="C324" s="98" t="s">
        <v>1085</v>
      </c>
      <c r="D324" s="79" t="s">
        <v>660</v>
      </c>
    </row>
    <row r="325" spans="1:4">
      <c r="A325" s="84" t="s">
        <v>661</v>
      </c>
      <c r="B325" s="98" t="s">
        <v>1085</v>
      </c>
      <c r="C325" s="98" t="s">
        <v>1085</v>
      </c>
      <c r="D325" s="78" t="s">
        <v>662</v>
      </c>
    </row>
    <row r="326" spans="1:4">
      <c r="A326" s="84" t="s">
        <v>663</v>
      </c>
      <c r="B326" s="98" t="s">
        <v>1085</v>
      </c>
      <c r="C326" s="98" t="s">
        <v>1085</v>
      </c>
      <c r="D326" s="79" t="s">
        <v>664</v>
      </c>
    </row>
    <row r="327" spans="1:4">
      <c r="A327" s="84" t="s">
        <v>665</v>
      </c>
      <c r="B327" s="98" t="s">
        <v>1085</v>
      </c>
      <c r="C327" s="98" t="s">
        <v>1085</v>
      </c>
      <c r="D327" s="79" t="s">
        <v>666</v>
      </c>
    </row>
    <row r="328" spans="1:4">
      <c r="A328" s="84" t="s">
        <v>667</v>
      </c>
      <c r="B328" s="98" t="s">
        <v>1085</v>
      </c>
      <c r="C328" s="98" t="s">
        <v>1085</v>
      </c>
      <c r="D328" s="79" t="s">
        <v>668</v>
      </c>
    </row>
    <row r="329" spans="1:4">
      <c r="A329" s="84" t="s">
        <v>669</v>
      </c>
      <c r="B329" s="98" t="s">
        <v>1085</v>
      </c>
      <c r="C329" s="98" t="s">
        <v>1085</v>
      </c>
      <c r="D329" s="79" t="s">
        <v>670</v>
      </c>
    </row>
    <row r="330" spans="1:4">
      <c r="A330" s="84" t="s">
        <v>671</v>
      </c>
      <c r="B330" s="98" t="s">
        <v>1085</v>
      </c>
      <c r="C330" s="98" t="s">
        <v>1085</v>
      </c>
      <c r="D330" s="79" t="s">
        <v>672</v>
      </c>
    </row>
    <row r="331" spans="1:4">
      <c r="A331" s="84" t="s">
        <v>673</v>
      </c>
      <c r="B331" s="98" t="s">
        <v>1085</v>
      </c>
      <c r="C331" s="98" t="s">
        <v>1085</v>
      </c>
      <c r="D331" s="79" t="s">
        <v>674</v>
      </c>
    </row>
    <row r="332" spans="1:4">
      <c r="A332" s="84" t="s">
        <v>675</v>
      </c>
      <c r="B332" s="98" t="s">
        <v>1085</v>
      </c>
      <c r="C332" s="98" t="s">
        <v>1085</v>
      </c>
      <c r="D332" s="79" t="s">
        <v>676</v>
      </c>
    </row>
    <row r="333" spans="1:4">
      <c r="A333" s="84" t="s">
        <v>677</v>
      </c>
      <c r="B333" s="98" t="s">
        <v>1085</v>
      </c>
      <c r="C333" s="98" t="s">
        <v>1085</v>
      </c>
      <c r="D333" s="79" t="s">
        <v>678</v>
      </c>
    </row>
    <row r="334" spans="1:4">
      <c r="A334" s="84" t="s">
        <v>679</v>
      </c>
      <c r="B334" s="98" t="s">
        <v>1085</v>
      </c>
      <c r="C334" s="98" t="s">
        <v>1085</v>
      </c>
      <c r="D334" s="79" t="s">
        <v>680</v>
      </c>
    </row>
    <row r="335" spans="1:4">
      <c r="A335" s="84" t="s">
        <v>681</v>
      </c>
      <c r="B335" s="98" t="s">
        <v>1085</v>
      </c>
      <c r="C335" s="98" t="s">
        <v>1085</v>
      </c>
      <c r="D335" s="79" t="s">
        <v>682</v>
      </c>
    </row>
    <row r="336" spans="1:4">
      <c r="A336" s="84" t="s">
        <v>683</v>
      </c>
      <c r="B336" s="98" t="s">
        <v>1085</v>
      </c>
      <c r="C336" s="98" t="s">
        <v>1085</v>
      </c>
      <c r="D336" s="72" t="s">
        <v>684</v>
      </c>
    </row>
    <row r="337" spans="1:4">
      <c r="A337" s="84" t="s">
        <v>685</v>
      </c>
      <c r="B337" s="98" t="s">
        <v>1085</v>
      </c>
      <c r="C337" s="98" t="s">
        <v>1085</v>
      </c>
      <c r="D337" s="79" t="s">
        <v>686</v>
      </c>
    </row>
    <row r="338" spans="1:4">
      <c r="A338" s="84" t="s">
        <v>687</v>
      </c>
      <c r="B338" s="98" t="s">
        <v>1085</v>
      </c>
      <c r="C338" s="98" t="s">
        <v>1085</v>
      </c>
      <c r="D338" s="79" t="s">
        <v>688</v>
      </c>
    </row>
    <row r="339" spans="1:4">
      <c r="A339" s="84" t="s">
        <v>689</v>
      </c>
      <c r="B339" s="98" t="s">
        <v>1085</v>
      </c>
      <c r="C339" s="98" t="s">
        <v>1085</v>
      </c>
      <c r="D339" s="79" t="s">
        <v>690</v>
      </c>
    </row>
    <row r="340" spans="1:4">
      <c r="A340" s="84" t="s">
        <v>691</v>
      </c>
      <c r="B340" s="98" t="s">
        <v>1085</v>
      </c>
      <c r="C340" s="98" t="s">
        <v>1085</v>
      </c>
      <c r="D340" s="79" t="s">
        <v>692</v>
      </c>
    </row>
    <row r="341" spans="1:4">
      <c r="A341" s="84" t="s">
        <v>693</v>
      </c>
      <c r="B341" s="98" t="s">
        <v>1085</v>
      </c>
      <c r="C341" s="98" t="s">
        <v>1085</v>
      </c>
      <c r="D341" s="79" t="s">
        <v>694</v>
      </c>
    </row>
    <row r="342" spans="1:4">
      <c r="A342" s="84" t="s">
        <v>695</v>
      </c>
      <c r="B342" s="98" t="s">
        <v>1085</v>
      </c>
      <c r="C342" s="98" t="s">
        <v>1085</v>
      </c>
      <c r="D342" s="79" t="s">
        <v>696</v>
      </c>
    </row>
    <row r="343" spans="1:4">
      <c r="A343" s="84" t="s">
        <v>697</v>
      </c>
      <c r="B343" s="98" t="s">
        <v>1085</v>
      </c>
      <c r="C343" s="98" t="s">
        <v>1085</v>
      </c>
      <c r="D343" s="79" t="s">
        <v>698</v>
      </c>
    </row>
    <row r="344" spans="1:4">
      <c r="A344" s="84" t="s">
        <v>699</v>
      </c>
      <c r="B344" s="98" t="s">
        <v>1085</v>
      </c>
      <c r="C344" s="98" t="s">
        <v>1085</v>
      </c>
      <c r="D344" s="79" t="s">
        <v>700</v>
      </c>
    </row>
    <row r="345" spans="1:4">
      <c r="A345" s="84" t="s">
        <v>701</v>
      </c>
      <c r="B345" s="98" t="s">
        <v>1085</v>
      </c>
      <c r="C345" s="98" t="s">
        <v>1085</v>
      </c>
      <c r="D345" s="79" t="s">
        <v>702</v>
      </c>
    </row>
    <row r="346" spans="1:4">
      <c r="A346" s="84" t="s">
        <v>703</v>
      </c>
      <c r="B346" s="98" t="s">
        <v>1085</v>
      </c>
      <c r="C346" s="98" t="s">
        <v>1085</v>
      </c>
      <c r="D346" s="79" t="s">
        <v>704</v>
      </c>
    </row>
    <row r="347" spans="1:4">
      <c r="A347" s="84" t="s">
        <v>705</v>
      </c>
      <c r="B347" s="98" t="s">
        <v>1085</v>
      </c>
      <c r="C347" s="98" t="s">
        <v>1085</v>
      </c>
      <c r="D347" s="79" t="s">
        <v>706</v>
      </c>
    </row>
    <row r="348" spans="1:4">
      <c r="A348" s="84" t="s">
        <v>707</v>
      </c>
      <c r="B348" s="98" t="s">
        <v>1085</v>
      </c>
      <c r="C348" s="98" t="s">
        <v>1085</v>
      </c>
      <c r="D348" s="79" t="s">
        <v>708</v>
      </c>
    </row>
    <row r="349" spans="1:4">
      <c r="A349" s="84" t="s">
        <v>709</v>
      </c>
      <c r="B349" s="98" t="s">
        <v>1085</v>
      </c>
      <c r="C349" s="98" t="s">
        <v>1085</v>
      </c>
      <c r="D349" s="79" t="s">
        <v>710</v>
      </c>
    </row>
    <row r="350" spans="1:4">
      <c r="A350" s="84" t="s">
        <v>711</v>
      </c>
      <c r="B350" s="98" t="s">
        <v>1085</v>
      </c>
      <c r="C350" s="98" t="s">
        <v>1085</v>
      </c>
      <c r="D350" s="79" t="s">
        <v>712</v>
      </c>
    </row>
    <row r="351" spans="1:4">
      <c r="A351" s="84" t="s">
        <v>713</v>
      </c>
      <c r="B351" s="98" t="s">
        <v>1085</v>
      </c>
      <c r="C351" s="98" t="s">
        <v>1085</v>
      </c>
      <c r="D351" s="79" t="s">
        <v>714</v>
      </c>
    </row>
    <row r="352" spans="1:4">
      <c r="A352" s="84" t="s">
        <v>715</v>
      </c>
      <c r="B352" s="98" t="s">
        <v>1085</v>
      </c>
      <c r="C352" s="98" t="s">
        <v>1085</v>
      </c>
      <c r="D352" s="79" t="s">
        <v>716</v>
      </c>
    </row>
    <row r="353" spans="1:4">
      <c r="A353" s="84" t="s">
        <v>717</v>
      </c>
      <c r="B353" s="98" t="s">
        <v>1085</v>
      </c>
      <c r="C353" s="98" t="s">
        <v>1085</v>
      </c>
      <c r="D353" s="79" t="s">
        <v>718</v>
      </c>
    </row>
    <row r="354" spans="1:4">
      <c r="A354" s="84" t="s">
        <v>719</v>
      </c>
      <c r="B354" s="98" t="s">
        <v>1085</v>
      </c>
      <c r="C354" s="98" t="s">
        <v>1085</v>
      </c>
      <c r="D354" s="79" t="s">
        <v>720</v>
      </c>
    </row>
    <row r="355" spans="1:4">
      <c r="A355" s="84" t="s">
        <v>721</v>
      </c>
      <c r="B355" s="98" t="s">
        <v>1085</v>
      </c>
      <c r="C355" s="98" t="s">
        <v>1085</v>
      </c>
      <c r="D355" s="79" t="s">
        <v>722</v>
      </c>
    </row>
    <row r="356" spans="1:4">
      <c r="A356" s="84" t="s">
        <v>723</v>
      </c>
      <c r="B356" s="98" t="s">
        <v>1085</v>
      </c>
      <c r="C356" s="98" t="s">
        <v>1085</v>
      </c>
      <c r="D356" s="79" t="s">
        <v>724</v>
      </c>
    </row>
    <row r="357" spans="1:4">
      <c r="A357" s="84" t="s">
        <v>725</v>
      </c>
      <c r="B357" s="98" t="s">
        <v>1085</v>
      </c>
      <c r="C357" s="98" t="s">
        <v>1085</v>
      </c>
      <c r="D357" s="79" t="s">
        <v>726</v>
      </c>
    </row>
    <row r="358" spans="1:4">
      <c r="A358" s="84" t="s">
        <v>727</v>
      </c>
      <c r="B358" s="98" t="s">
        <v>1085</v>
      </c>
      <c r="C358" s="98" t="s">
        <v>1085</v>
      </c>
      <c r="D358" s="79" t="s">
        <v>728</v>
      </c>
    </row>
    <row r="359" spans="1:4">
      <c r="A359" s="84" t="s">
        <v>729</v>
      </c>
      <c r="B359" s="98" t="s">
        <v>1085</v>
      </c>
      <c r="C359" s="98" t="s">
        <v>1085</v>
      </c>
      <c r="D359" s="79" t="s">
        <v>730</v>
      </c>
    </row>
    <row r="360" spans="1:4">
      <c r="A360" s="84" t="s">
        <v>731</v>
      </c>
      <c r="B360" s="98" t="s">
        <v>1085</v>
      </c>
      <c r="C360" s="98" t="s">
        <v>1085</v>
      </c>
      <c r="D360" s="80" t="s">
        <v>732</v>
      </c>
    </row>
    <row r="361" spans="1:4">
      <c r="A361" s="84" t="s">
        <v>733</v>
      </c>
      <c r="B361" s="98" t="s">
        <v>1085</v>
      </c>
      <c r="C361" s="98" t="s">
        <v>1085</v>
      </c>
      <c r="D361" s="79" t="s">
        <v>734</v>
      </c>
    </row>
    <row r="362" spans="1:4">
      <c r="A362" s="84" t="s">
        <v>735</v>
      </c>
      <c r="B362" s="98" t="s">
        <v>1085</v>
      </c>
      <c r="C362" s="98" t="s">
        <v>1085</v>
      </c>
      <c r="D362" s="79" t="s">
        <v>736</v>
      </c>
    </row>
    <row r="363" spans="1:4">
      <c r="A363" s="84" t="s">
        <v>737</v>
      </c>
      <c r="B363" s="98" t="s">
        <v>1085</v>
      </c>
      <c r="C363" s="98" t="s">
        <v>1085</v>
      </c>
      <c r="D363" s="79" t="s">
        <v>738</v>
      </c>
    </row>
    <row r="364" spans="1:4">
      <c r="A364" s="84" t="s">
        <v>739</v>
      </c>
      <c r="B364" s="98" t="s">
        <v>1085</v>
      </c>
      <c r="C364" s="98" t="s">
        <v>1085</v>
      </c>
      <c r="D364" s="79" t="s">
        <v>740</v>
      </c>
    </row>
    <row r="365" spans="1:4">
      <c r="A365" s="84" t="s">
        <v>741</v>
      </c>
      <c r="B365" s="98" t="s">
        <v>1085</v>
      </c>
      <c r="C365" s="98" t="s">
        <v>1085</v>
      </c>
      <c r="D365" s="79" t="s">
        <v>742</v>
      </c>
    </row>
    <row r="366" spans="1:4">
      <c r="A366" s="84" t="s">
        <v>743</v>
      </c>
      <c r="B366" s="98" t="s">
        <v>1085</v>
      </c>
      <c r="C366" s="98" t="s">
        <v>1085</v>
      </c>
      <c r="D366" s="79" t="s">
        <v>744</v>
      </c>
    </row>
    <row r="367" spans="1:4">
      <c r="A367" s="84" t="s">
        <v>745</v>
      </c>
      <c r="B367" s="98" t="s">
        <v>1085</v>
      </c>
      <c r="C367" s="98" t="s">
        <v>1085</v>
      </c>
      <c r="D367" s="79" t="s">
        <v>746</v>
      </c>
    </row>
    <row r="368" spans="1:4">
      <c r="A368" s="84" t="s">
        <v>747</v>
      </c>
      <c r="B368" s="98" t="s">
        <v>1085</v>
      </c>
      <c r="C368" s="98" t="s">
        <v>1085</v>
      </c>
      <c r="D368" s="79" t="s">
        <v>748</v>
      </c>
    </row>
    <row r="369" spans="1:4">
      <c r="A369" s="84" t="s">
        <v>749</v>
      </c>
      <c r="B369" s="98" t="s">
        <v>1085</v>
      </c>
      <c r="C369" s="98" t="s">
        <v>1085</v>
      </c>
      <c r="D369" s="79" t="s">
        <v>750</v>
      </c>
    </row>
    <row r="370" spans="1:4">
      <c r="A370" s="84" t="s">
        <v>751</v>
      </c>
      <c r="B370" s="98" t="s">
        <v>1085</v>
      </c>
      <c r="C370" s="98" t="s">
        <v>1085</v>
      </c>
      <c r="D370" s="79" t="s">
        <v>752</v>
      </c>
    </row>
    <row r="371" spans="1:4">
      <c r="A371" s="84" t="s">
        <v>753</v>
      </c>
      <c r="B371" s="98" t="s">
        <v>1085</v>
      </c>
      <c r="C371" s="98" t="s">
        <v>1085</v>
      </c>
      <c r="D371" s="79" t="s">
        <v>754</v>
      </c>
    </row>
    <row r="372" spans="1:4">
      <c r="A372" s="84" t="s">
        <v>755</v>
      </c>
      <c r="B372" s="98" t="s">
        <v>1085</v>
      </c>
      <c r="C372" s="98" t="s">
        <v>1085</v>
      </c>
      <c r="D372" s="79" t="s">
        <v>756</v>
      </c>
    </row>
    <row r="373" spans="1:4">
      <c r="A373" s="84" t="s">
        <v>1086</v>
      </c>
      <c r="B373" s="98" t="s">
        <v>1085</v>
      </c>
      <c r="C373" s="98" t="s">
        <v>1085</v>
      </c>
      <c r="D373" s="79" t="s">
        <v>1087</v>
      </c>
    </row>
    <row r="374" spans="1:4">
      <c r="A374" s="84" t="s">
        <v>1088</v>
      </c>
      <c r="B374" s="98" t="s">
        <v>1085</v>
      </c>
      <c r="C374" s="98" t="s">
        <v>1085</v>
      </c>
      <c r="D374" s="78" t="s">
        <v>1089</v>
      </c>
    </row>
    <row r="375" spans="1:4">
      <c r="A375" s="84" t="s">
        <v>757</v>
      </c>
      <c r="B375" s="98" t="s">
        <v>1085</v>
      </c>
      <c r="C375" s="98" t="s">
        <v>1085</v>
      </c>
      <c r="D375" s="79" t="s">
        <v>758</v>
      </c>
    </row>
    <row r="376" spans="1:4">
      <c r="A376" s="84" t="s">
        <v>759</v>
      </c>
      <c r="B376" s="98" t="s">
        <v>1085</v>
      </c>
      <c r="C376" s="98" t="s">
        <v>1085</v>
      </c>
      <c r="D376" s="79" t="s">
        <v>760</v>
      </c>
    </row>
    <row r="377" spans="1:4">
      <c r="A377" s="84" t="s">
        <v>761</v>
      </c>
      <c r="B377" s="98" t="s">
        <v>1085</v>
      </c>
      <c r="C377" s="98" t="s">
        <v>1085</v>
      </c>
      <c r="D377" s="79" t="s">
        <v>762</v>
      </c>
    </row>
    <row r="378" spans="1:4">
      <c r="A378" s="99" t="s">
        <v>763</v>
      </c>
      <c r="B378" s="98" t="s">
        <v>1085</v>
      </c>
      <c r="C378" s="98" t="s">
        <v>1085</v>
      </c>
      <c r="D378" s="100" t="s">
        <v>764</v>
      </c>
    </row>
    <row r="379" spans="1:4">
      <c r="A379" s="84" t="s">
        <v>765</v>
      </c>
      <c r="B379" s="98" t="s">
        <v>1085</v>
      </c>
      <c r="C379" s="98" t="s">
        <v>1085</v>
      </c>
      <c r="D379" s="79" t="s">
        <v>766</v>
      </c>
    </row>
    <row r="380" spans="1:4">
      <c r="A380" s="84" t="s">
        <v>767</v>
      </c>
      <c r="B380" s="98" t="s">
        <v>1085</v>
      </c>
      <c r="C380" s="98" t="s">
        <v>1085</v>
      </c>
      <c r="D380" s="79" t="s">
        <v>1090</v>
      </c>
    </row>
    <row r="381" spans="1:4">
      <c r="A381" s="84" t="s">
        <v>768</v>
      </c>
      <c r="B381" s="98" t="s">
        <v>1085</v>
      </c>
      <c r="C381" s="98" t="s">
        <v>1085</v>
      </c>
      <c r="D381" s="79" t="s">
        <v>1091</v>
      </c>
    </row>
    <row r="382" spans="1:4">
      <c r="A382" s="84" t="s">
        <v>1092</v>
      </c>
      <c r="B382" s="98" t="s">
        <v>1085</v>
      </c>
      <c r="C382" s="98" t="s">
        <v>1085</v>
      </c>
      <c r="D382" s="78" t="s">
        <v>1093</v>
      </c>
    </row>
    <row r="383" spans="1:4">
      <c r="A383" s="84" t="s">
        <v>769</v>
      </c>
      <c r="B383" s="98" t="s">
        <v>1085</v>
      </c>
      <c r="C383" s="98" t="s">
        <v>1085</v>
      </c>
      <c r="D383" s="78" t="s">
        <v>1094</v>
      </c>
    </row>
    <row r="384" spans="1:4">
      <c r="A384" s="84" t="s">
        <v>770</v>
      </c>
      <c r="B384" s="98" t="s">
        <v>1085</v>
      </c>
      <c r="C384" s="98" t="s">
        <v>1085</v>
      </c>
      <c r="D384" s="78" t="s">
        <v>1095</v>
      </c>
    </row>
    <row r="385" spans="1:4">
      <c r="A385" s="84" t="s">
        <v>771</v>
      </c>
      <c r="B385" s="98" t="s">
        <v>1085</v>
      </c>
      <c r="C385" s="98" t="s">
        <v>1085</v>
      </c>
      <c r="D385" s="78" t="s">
        <v>1096</v>
      </c>
    </row>
    <row r="386" spans="1:4">
      <c r="A386" s="84" t="s">
        <v>772</v>
      </c>
      <c r="B386" s="98" t="s">
        <v>1085</v>
      </c>
      <c r="C386" s="98" t="s">
        <v>1085</v>
      </c>
      <c r="D386" s="78" t="s">
        <v>773</v>
      </c>
    </row>
    <row r="387" spans="1:4">
      <c r="A387" s="84" t="s">
        <v>774</v>
      </c>
      <c r="B387" s="98" t="s">
        <v>1085</v>
      </c>
      <c r="C387" s="98" t="s">
        <v>1085</v>
      </c>
      <c r="D387" s="79" t="s">
        <v>775</v>
      </c>
    </row>
    <row r="388" spans="1:4">
      <c r="A388" s="84" t="s">
        <v>776</v>
      </c>
      <c r="B388" s="98" t="s">
        <v>1085</v>
      </c>
      <c r="C388" s="98" t="s">
        <v>1085</v>
      </c>
      <c r="D388" s="79" t="s">
        <v>777</v>
      </c>
    </row>
    <row r="389" spans="1:4">
      <c r="A389" s="84" t="s">
        <v>778</v>
      </c>
      <c r="B389" s="98" t="s">
        <v>1085</v>
      </c>
      <c r="C389" s="98" t="s">
        <v>1085</v>
      </c>
      <c r="D389" s="79" t="s">
        <v>779</v>
      </c>
    </row>
    <row r="390" spans="1:4">
      <c r="A390" s="84" t="s">
        <v>780</v>
      </c>
      <c r="B390" s="98" t="s">
        <v>1085</v>
      </c>
      <c r="C390" s="98" t="s">
        <v>1085</v>
      </c>
      <c r="D390" s="79" t="s">
        <v>781</v>
      </c>
    </row>
    <row r="391" spans="1:4">
      <c r="A391" s="84" t="s">
        <v>782</v>
      </c>
      <c r="B391" s="98" t="s">
        <v>1085</v>
      </c>
      <c r="C391" s="98" t="s">
        <v>1085</v>
      </c>
      <c r="D391" s="72" t="s">
        <v>783</v>
      </c>
    </row>
    <row r="392" spans="1:4">
      <c r="A392" s="84" t="s">
        <v>784</v>
      </c>
      <c r="B392" s="98" t="s">
        <v>1085</v>
      </c>
      <c r="C392" s="98" t="s">
        <v>1085</v>
      </c>
      <c r="D392" s="72" t="s">
        <v>785</v>
      </c>
    </row>
    <row r="393" spans="1:4">
      <c r="A393" s="84" t="s">
        <v>786</v>
      </c>
      <c r="B393" s="98" t="s">
        <v>1085</v>
      </c>
      <c r="C393" s="98" t="s">
        <v>1085</v>
      </c>
      <c r="D393" s="101" t="s">
        <v>787</v>
      </c>
    </row>
    <row r="394" spans="1:4">
      <c r="A394" s="84" t="s">
        <v>788</v>
      </c>
      <c r="B394" s="98" t="s">
        <v>1085</v>
      </c>
      <c r="C394" s="98" t="s">
        <v>1085</v>
      </c>
      <c r="D394" s="101" t="s">
        <v>789</v>
      </c>
    </row>
    <row r="395" spans="1:4">
      <c r="A395" s="84" t="s">
        <v>790</v>
      </c>
      <c r="B395" s="98" t="s">
        <v>1085</v>
      </c>
      <c r="C395" s="98" t="s">
        <v>1085</v>
      </c>
      <c r="D395" s="89" t="s">
        <v>791</v>
      </c>
    </row>
    <row r="396" spans="1:4">
      <c r="A396" s="84" t="s">
        <v>792</v>
      </c>
      <c r="B396" s="98" t="s">
        <v>1085</v>
      </c>
      <c r="C396" s="98" t="s">
        <v>1085</v>
      </c>
      <c r="D396" s="75" t="s">
        <v>793</v>
      </c>
    </row>
    <row r="397" spans="1:4">
      <c r="A397" s="84" t="s">
        <v>794</v>
      </c>
      <c r="B397" s="98" t="s">
        <v>1085</v>
      </c>
      <c r="C397" s="98" t="s">
        <v>1085</v>
      </c>
      <c r="D397" s="70" t="s">
        <v>1097</v>
      </c>
    </row>
    <row r="398" spans="1:4">
      <c r="A398" s="84" t="s">
        <v>795</v>
      </c>
      <c r="B398" s="98" t="s">
        <v>1085</v>
      </c>
      <c r="C398" s="98" t="s">
        <v>1085</v>
      </c>
      <c r="D398" s="70" t="s">
        <v>1098</v>
      </c>
    </row>
    <row r="399" spans="1:4">
      <c r="A399" s="84" t="s">
        <v>796</v>
      </c>
      <c r="B399" s="98" t="s">
        <v>1085</v>
      </c>
      <c r="C399" s="98" t="s">
        <v>1085</v>
      </c>
      <c r="D399" s="70" t="s">
        <v>797</v>
      </c>
    </row>
    <row r="400" spans="1:4">
      <c r="A400" s="84" t="s">
        <v>798</v>
      </c>
      <c r="B400" s="98" t="s">
        <v>1085</v>
      </c>
      <c r="C400" s="98" t="s">
        <v>1085</v>
      </c>
      <c r="D400" s="69" t="s">
        <v>799</v>
      </c>
    </row>
    <row r="401" spans="1:4">
      <c r="A401" s="84" t="s">
        <v>800</v>
      </c>
      <c r="B401" s="98" t="s">
        <v>1085</v>
      </c>
      <c r="C401" s="98" t="s">
        <v>1085</v>
      </c>
      <c r="D401" s="69" t="s">
        <v>801</v>
      </c>
    </row>
    <row r="402" spans="1:4">
      <c r="A402" s="99" t="s">
        <v>802</v>
      </c>
      <c r="B402" s="98" t="s">
        <v>1085</v>
      </c>
      <c r="C402" s="98" t="s">
        <v>1085</v>
      </c>
      <c r="D402" s="102" t="s">
        <v>803</v>
      </c>
    </row>
    <row r="403" spans="1:4">
      <c r="A403" s="84" t="s">
        <v>804</v>
      </c>
      <c r="B403" s="98" t="s">
        <v>1085</v>
      </c>
      <c r="C403" s="98" t="s">
        <v>1085</v>
      </c>
      <c r="D403" s="70" t="s">
        <v>1099</v>
      </c>
    </row>
    <row r="404" spans="1:4">
      <c r="A404" s="84" t="s">
        <v>805</v>
      </c>
      <c r="B404" s="98" t="s">
        <v>1085</v>
      </c>
      <c r="C404" s="98" t="s">
        <v>1085</v>
      </c>
      <c r="D404" s="70" t="s">
        <v>1100</v>
      </c>
    </row>
    <row r="405" spans="1:4">
      <c r="A405" s="84" t="s">
        <v>806</v>
      </c>
      <c r="B405" s="98" t="s">
        <v>1085</v>
      </c>
      <c r="C405" s="98" t="s">
        <v>1085</v>
      </c>
      <c r="D405" s="70" t="s">
        <v>1101</v>
      </c>
    </row>
    <row r="406" spans="1:4">
      <c r="A406" s="84" t="s">
        <v>807</v>
      </c>
      <c r="B406" s="98" t="s">
        <v>1085</v>
      </c>
      <c r="C406" s="98" t="s">
        <v>1085</v>
      </c>
      <c r="D406" s="70" t="s">
        <v>1102</v>
      </c>
    </row>
    <row r="407" spans="1:4">
      <c r="A407" s="84" t="s">
        <v>808</v>
      </c>
      <c r="B407" s="98" t="s">
        <v>1085</v>
      </c>
      <c r="C407" s="98" t="s">
        <v>1085</v>
      </c>
      <c r="D407" s="69" t="s">
        <v>809</v>
      </c>
    </row>
    <row r="408" spans="1:4">
      <c r="A408" s="84" t="s">
        <v>810</v>
      </c>
      <c r="B408" s="98" t="s">
        <v>1085</v>
      </c>
      <c r="C408" s="98" t="s">
        <v>1085</v>
      </c>
      <c r="D408" s="69" t="s">
        <v>811</v>
      </c>
    </row>
    <row r="409" spans="1:4">
      <c r="A409" s="84" t="s">
        <v>812</v>
      </c>
      <c r="B409" s="98" t="s">
        <v>1085</v>
      </c>
      <c r="C409" s="98" t="s">
        <v>1085</v>
      </c>
      <c r="D409" s="69" t="s">
        <v>813</v>
      </c>
    </row>
    <row r="410" spans="1:4">
      <c r="A410" s="84" t="s">
        <v>814</v>
      </c>
      <c r="B410" s="98" t="s">
        <v>1085</v>
      </c>
      <c r="C410" s="98" t="s">
        <v>1085</v>
      </c>
      <c r="D410" s="69" t="s">
        <v>815</v>
      </c>
    </row>
    <row r="411" spans="1:4">
      <c r="A411" s="84" t="s">
        <v>816</v>
      </c>
      <c r="B411" s="98" t="s">
        <v>1085</v>
      </c>
      <c r="C411" s="98" t="s">
        <v>1085</v>
      </c>
      <c r="D411" s="69" t="s">
        <v>817</v>
      </c>
    </row>
    <row r="412" spans="1:4">
      <c r="A412" s="84" t="s">
        <v>818</v>
      </c>
      <c r="B412" s="98" t="s">
        <v>1085</v>
      </c>
      <c r="C412" s="98" t="s">
        <v>1085</v>
      </c>
      <c r="D412" s="69" t="s">
        <v>819</v>
      </c>
    </row>
    <row r="413" spans="1:4">
      <c r="A413" s="84" t="s">
        <v>820</v>
      </c>
      <c r="B413" s="98" t="s">
        <v>1085</v>
      </c>
      <c r="C413" s="98" t="s">
        <v>1085</v>
      </c>
      <c r="D413" s="69" t="s">
        <v>821</v>
      </c>
    </row>
    <row r="414" spans="1:4">
      <c r="A414" s="84" t="s">
        <v>822</v>
      </c>
      <c r="B414" s="98" t="s">
        <v>1085</v>
      </c>
      <c r="C414" s="98" t="s">
        <v>1085</v>
      </c>
      <c r="D414" s="69" t="s">
        <v>823</v>
      </c>
    </row>
    <row r="415" spans="1:4">
      <c r="A415" s="88" t="s">
        <v>824</v>
      </c>
      <c r="B415" s="98" t="s">
        <v>1085</v>
      </c>
      <c r="C415" s="98" t="s">
        <v>1085</v>
      </c>
      <c r="D415" s="103" t="s">
        <v>825</v>
      </c>
    </row>
    <row r="416" spans="1:4">
      <c r="A416" s="104" t="s">
        <v>826</v>
      </c>
      <c r="B416" s="98" t="s">
        <v>1085</v>
      </c>
      <c r="C416" s="98" t="s">
        <v>1085</v>
      </c>
      <c r="D416" s="103" t="s">
        <v>827</v>
      </c>
    </row>
    <row r="417" spans="1:4">
      <c r="A417" s="104" t="s">
        <v>828</v>
      </c>
      <c r="B417" s="98" t="s">
        <v>1085</v>
      </c>
      <c r="C417" s="98" t="s">
        <v>1085</v>
      </c>
      <c r="D417" s="105" t="s">
        <v>829</v>
      </c>
    </row>
    <row r="418" spans="1:4">
      <c r="A418" s="104" t="s">
        <v>830</v>
      </c>
      <c r="B418" s="98" t="s">
        <v>1085</v>
      </c>
      <c r="C418" s="98" t="s">
        <v>1085</v>
      </c>
      <c r="D418" s="105" t="s">
        <v>831</v>
      </c>
    </row>
    <row r="419" spans="1:4">
      <c r="A419" s="99" t="s">
        <v>832</v>
      </c>
      <c r="B419" s="98" t="s">
        <v>1085</v>
      </c>
      <c r="C419" s="98" t="s">
        <v>1085</v>
      </c>
      <c r="D419" s="100" t="s">
        <v>833</v>
      </c>
    </row>
    <row r="420" spans="1:4">
      <c r="A420" s="99" t="s">
        <v>834</v>
      </c>
      <c r="B420" s="98" t="s">
        <v>1085</v>
      </c>
      <c r="C420" s="98" t="s">
        <v>1085</v>
      </c>
      <c r="D420" s="100" t="s">
        <v>1103</v>
      </c>
    </row>
    <row r="421" spans="1:4">
      <c r="A421" s="99" t="s">
        <v>835</v>
      </c>
      <c r="B421" s="98" t="s">
        <v>1085</v>
      </c>
      <c r="C421" s="98" t="s">
        <v>1085</v>
      </c>
      <c r="D421" s="100" t="s">
        <v>1104</v>
      </c>
    </row>
    <row r="422" spans="1:4">
      <c r="A422" s="99" t="s">
        <v>836</v>
      </c>
      <c r="B422" s="98" t="s">
        <v>1085</v>
      </c>
      <c r="C422" s="98" t="s">
        <v>1085</v>
      </c>
      <c r="D422" s="100" t="s">
        <v>1105</v>
      </c>
    </row>
    <row r="423" spans="1:4">
      <c r="A423" s="99" t="s">
        <v>837</v>
      </c>
      <c r="B423" s="98" t="s">
        <v>1085</v>
      </c>
      <c r="C423" s="98" t="s">
        <v>1085</v>
      </c>
      <c r="D423" s="100" t="s">
        <v>1106</v>
      </c>
    </row>
    <row r="424" spans="1:4">
      <c r="A424" s="99" t="s">
        <v>838</v>
      </c>
      <c r="B424" s="98" t="s">
        <v>1085</v>
      </c>
      <c r="C424" s="98" t="s">
        <v>1085</v>
      </c>
      <c r="D424" s="100" t="s">
        <v>1107</v>
      </c>
    </row>
    <row r="425" spans="1:4">
      <c r="A425" s="99" t="s">
        <v>839</v>
      </c>
      <c r="B425" s="98" t="s">
        <v>1085</v>
      </c>
      <c r="C425" s="98" t="s">
        <v>1085</v>
      </c>
      <c r="D425" s="100" t="s">
        <v>1108</v>
      </c>
    </row>
    <row r="426" spans="1:4">
      <c r="A426" s="99" t="s">
        <v>840</v>
      </c>
      <c r="B426" s="98" t="s">
        <v>1085</v>
      </c>
      <c r="C426" s="98" t="s">
        <v>1085</v>
      </c>
      <c r="D426" s="100" t="s">
        <v>1109</v>
      </c>
    </row>
    <row r="427" spans="1:4">
      <c r="A427" s="99" t="s">
        <v>1110</v>
      </c>
      <c r="B427" s="98" t="s">
        <v>1085</v>
      </c>
      <c r="C427" s="98" t="s">
        <v>1085</v>
      </c>
      <c r="D427" s="100" t="s">
        <v>1111</v>
      </c>
    </row>
    <row r="428" spans="1:4">
      <c r="A428" s="99" t="s">
        <v>1112</v>
      </c>
      <c r="B428" s="98" t="s">
        <v>1085</v>
      </c>
      <c r="C428" s="98" t="s">
        <v>1085</v>
      </c>
      <c r="D428" s="100" t="s">
        <v>1113</v>
      </c>
    </row>
    <row r="429" spans="1:4">
      <c r="A429" s="99" t="s">
        <v>1114</v>
      </c>
      <c r="B429" s="98" t="s">
        <v>1085</v>
      </c>
      <c r="C429" s="98" t="s">
        <v>1085</v>
      </c>
      <c r="D429" s="100" t="s">
        <v>1115</v>
      </c>
    </row>
    <row r="430" spans="1:4">
      <c r="A430" s="99" t="s">
        <v>841</v>
      </c>
      <c r="B430" s="98" t="s">
        <v>1085</v>
      </c>
      <c r="C430" s="98" t="s">
        <v>1085</v>
      </c>
      <c r="D430" s="100" t="s">
        <v>1116</v>
      </c>
    </row>
    <row r="431" spans="1:4">
      <c r="A431" s="99" t="s">
        <v>842</v>
      </c>
      <c r="B431" s="98" t="s">
        <v>1085</v>
      </c>
      <c r="C431" s="98" t="s">
        <v>1085</v>
      </c>
      <c r="D431" s="106" t="s">
        <v>1117</v>
      </c>
    </row>
    <row r="432" spans="1:4">
      <c r="A432" s="99" t="s">
        <v>843</v>
      </c>
      <c r="B432" s="98" t="s">
        <v>1085</v>
      </c>
      <c r="C432" s="98" t="s">
        <v>1085</v>
      </c>
      <c r="D432" s="106" t="s">
        <v>1118</v>
      </c>
    </row>
    <row r="433" spans="1:4">
      <c r="A433" s="99" t="s">
        <v>844</v>
      </c>
      <c r="B433" s="98" t="s">
        <v>1085</v>
      </c>
      <c r="C433" s="98" t="s">
        <v>1085</v>
      </c>
      <c r="D433" s="106" t="s">
        <v>1119</v>
      </c>
    </row>
    <row r="434" spans="1:4">
      <c r="A434" s="99" t="s">
        <v>845</v>
      </c>
      <c r="B434" s="98" t="s">
        <v>1085</v>
      </c>
      <c r="C434" s="98" t="s">
        <v>1085</v>
      </c>
      <c r="D434" s="106" t="s">
        <v>1120</v>
      </c>
    </row>
    <row r="435" spans="1:4">
      <c r="A435" s="99" t="s">
        <v>1121</v>
      </c>
      <c r="B435" s="98" t="s">
        <v>1085</v>
      </c>
      <c r="C435" s="98" t="s">
        <v>1085</v>
      </c>
      <c r="D435" s="106" t="s">
        <v>1122</v>
      </c>
    </row>
    <row r="436" spans="1:4">
      <c r="A436" s="99" t="s">
        <v>846</v>
      </c>
      <c r="B436" s="98" t="s">
        <v>1085</v>
      </c>
      <c r="C436" s="98" t="s">
        <v>1085</v>
      </c>
      <c r="D436" s="106" t="s">
        <v>1123</v>
      </c>
    </row>
    <row r="437" spans="1:4">
      <c r="A437" s="99" t="s">
        <v>1124</v>
      </c>
      <c r="B437" s="98" t="s">
        <v>1085</v>
      </c>
      <c r="C437" s="98" t="s">
        <v>1085</v>
      </c>
      <c r="D437" s="106" t="s">
        <v>1125</v>
      </c>
    </row>
    <row r="438" spans="1:4">
      <c r="A438" s="99" t="s">
        <v>1126</v>
      </c>
      <c r="B438" s="98" t="s">
        <v>1085</v>
      </c>
      <c r="C438" s="98" t="s">
        <v>1085</v>
      </c>
      <c r="D438" s="106" t="s">
        <v>1127</v>
      </c>
    </row>
    <row r="439" spans="1:4">
      <c r="A439" s="99" t="s">
        <v>847</v>
      </c>
      <c r="B439" s="98" t="s">
        <v>1085</v>
      </c>
      <c r="C439" s="98" t="s">
        <v>1085</v>
      </c>
      <c r="D439" s="106" t="s">
        <v>1128</v>
      </c>
    </row>
    <row r="440" spans="1:4">
      <c r="A440" s="99" t="s">
        <v>848</v>
      </c>
      <c r="B440" s="98" t="s">
        <v>1085</v>
      </c>
      <c r="C440" s="98" t="s">
        <v>1085</v>
      </c>
      <c r="D440" s="106" t="s">
        <v>1129</v>
      </c>
    </row>
    <row r="441" spans="1:4">
      <c r="A441" s="99" t="s">
        <v>849</v>
      </c>
      <c r="B441" s="98" t="s">
        <v>1085</v>
      </c>
      <c r="C441" s="98" t="s">
        <v>1085</v>
      </c>
      <c r="D441" s="106" t="s">
        <v>1130</v>
      </c>
    </row>
    <row r="442" spans="1:4">
      <c r="A442" s="99" t="s">
        <v>850</v>
      </c>
      <c r="B442" s="98" t="s">
        <v>1085</v>
      </c>
      <c r="C442" s="98" t="s">
        <v>1085</v>
      </c>
      <c r="D442" s="106" t="s">
        <v>1131</v>
      </c>
    </row>
    <row r="443" spans="1:4">
      <c r="A443" s="107" t="s">
        <v>1132</v>
      </c>
      <c r="B443" s="107" t="s">
        <v>1133</v>
      </c>
      <c r="C443" s="107" t="s">
        <v>1133</v>
      </c>
      <c r="D443" s="108" t="s">
        <v>1134</v>
      </c>
    </row>
    <row r="444" spans="1:4">
      <c r="A444" s="107" t="s">
        <v>1135</v>
      </c>
      <c r="B444" s="107" t="s">
        <v>1133</v>
      </c>
      <c r="C444" s="107" t="s">
        <v>1133</v>
      </c>
      <c r="D444" s="108" t="s">
        <v>1136</v>
      </c>
    </row>
    <row r="445" spans="1:4">
      <c r="A445" s="107" t="s">
        <v>1137</v>
      </c>
      <c r="B445" s="107" t="s">
        <v>1133</v>
      </c>
      <c r="C445" s="107" t="s">
        <v>1133</v>
      </c>
      <c r="D445" s="108" t="s">
        <v>304</v>
      </c>
    </row>
    <row r="446" spans="1:4">
      <c r="A446" s="107" t="s">
        <v>1138</v>
      </c>
      <c r="B446" s="107" t="s">
        <v>1133</v>
      </c>
      <c r="C446" s="107" t="s">
        <v>1133</v>
      </c>
      <c r="D446" s="117" t="s">
        <v>1139</v>
      </c>
    </row>
    <row r="447" spans="1:4">
      <c r="A447" s="107" t="s">
        <v>1140</v>
      </c>
      <c r="B447" s="107" t="s">
        <v>1133</v>
      </c>
      <c r="C447" s="107" t="s">
        <v>1133</v>
      </c>
      <c r="D447" s="117" t="s">
        <v>1141</v>
      </c>
    </row>
    <row r="448" spans="1:4">
      <c r="A448" s="107" t="s">
        <v>1142</v>
      </c>
      <c r="B448" s="107" t="s">
        <v>1133</v>
      </c>
      <c r="C448" s="107" t="s">
        <v>1133</v>
      </c>
      <c r="D448" s="117" t="s">
        <v>1143</v>
      </c>
    </row>
    <row r="449" spans="1:4">
      <c r="A449" s="107" t="s">
        <v>1144</v>
      </c>
      <c r="B449" s="107" t="s">
        <v>1133</v>
      </c>
      <c r="C449" s="107" t="s">
        <v>1133</v>
      </c>
      <c r="D449" s="117" t="s">
        <v>1145</v>
      </c>
    </row>
    <row r="450" spans="1:4">
      <c r="A450" s="107" t="s">
        <v>1146</v>
      </c>
      <c r="B450" s="107" t="s">
        <v>1133</v>
      </c>
      <c r="C450" s="107" t="s">
        <v>1133</v>
      </c>
      <c r="D450" s="118" t="s">
        <v>1147</v>
      </c>
    </row>
    <row r="451" spans="1:4">
      <c r="A451" s="107" t="s">
        <v>1148</v>
      </c>
      <c r="B451" s="107" t="s">
        <v>1133</v>
      </c>
      <c r="C451" s="107" t="s">
        <v>1133</v>
      </c>
      <c r="D451" s="79" t="s">
        <v>1149</v>
      </c>
    </row>
    <row r="452" spans="1:4">
      <c r="A452" s="107" t="s">
        <v>1150</v>
      </c>
      <c r="B452" s="107" t="s">
        <v>1133</v>
      </c>
      <c r="C452" s="107" t="s">
        <v>1133</v>
      </c>
      <c r="D452" s="79" t="s">
        <v>1151</v>
      </c>
    </row>
    <row r="453" spans="1:4">
      <c r="A453" s="107" t="s">
        <v>1152</v>
      </c>
      <c r="B453" s="107" t="s">
        <v>1133</v>
      </c>
      <c r="C453" s="107" t="s">
        <v>1133</v>
      </c>
      <c r="D453" s="79" t="s">
        <v>1153</v>
      </c>
    </row>
    <row r="454" spans="1:4">
      <c r="A454" s="107" t="s">
        <v>1154</v>
      </c>
      <c r="B454" s="107" t="s">
        <v>1133</v>
      </c>
      <c r="C454" s="107" t="s">
        <v>1133</v>
      </c>
      <c r="D454" s="79" t="s">
        <v>1155</v>
      </c>
    </row>
    <row r="455" spans="1:4">
      <c r="A455" s="97" t="s">
        <v>851</v>
      </c>
      <c r="B455" s="97" t="s">
        <v>1156</v>
      </c>
      <c r="C455" s="97" t="s">
        <v>1156</v>
      </c>
      <c r="D455" s="79" t="s">
        <v>852</v>
      </c>
    </row>
    <row r="456" spans="1:4">
      <c r="A456" s="97" t="s">
        <v>853</v>
      </c>
      <c r="B456" s="97" t="s">
        <v>1156</v>
      </c>
      <c r="C456" s="97" t="s">
        <v>1156</v>
      </c>
      <c r="D456" s="79" t="s">
        <v>854</v>
      </c>
    </row>
    <row r="457" spans="1:4">
      <c r="A457" s="97" t="s">
        <v>855</v>
      </c>
      <c r="B457" s="97" t="s">
        <v>1156</v>
      </c>
      <c r="C457" s="97" t="s">
        <v>1156</v>
      </c>
      <c r="D457" s="79" t="s">
        <v>856</v>
      </c>
    </row>
    <row r="458" spans="1:4">
      <c r="A458" s="97" t="s">
        <v>857</v>
      </c>
      <c r="B458" s="97" t="s">
        <v>1156</v>
      </c>
      <c r="C458" s="97" t="s">
        <v>1156</v>
      </c>
      <c r="D458" s="79" t="s">
        <v>858</v>
      </c>
    </row>
    <row r="459" spans="1:4">
      <c r="A459" s="97" t="s">
        <v>859</v>
      </c>
      <c r="B459" s="97" t="s">
        <v>1156</v>
      </c>
      <c r="C459" s="97" t="s">
        <v>1156</v>
      </c>
      <c r="D459" s="79" t="s">
        <v>860</v>
      </c>
    </row>
    <row r="460" spans="1:4">
      <c r="A460" s="85" t="s">
        <v>1157</v>
      </c>
      <c r="B460" s="97" t="s">
        <v>1156</v>
      </c>
      <c r="C460" s="97" t="s">
        <v>1156</v>
      </c>
      <c r="D460" s="79" t="s">
        <v>1158</v>
      </c>
    </row>
    <row r="461" spans="1:4">
      <c r="A461" s="85" t="s">
        <v>1159</v>
      </c>
      <c r="B461" s="97" t="s">
        <v>1156</v>
      </c>
      <c r="C461" s="97" t="s">
        <v>1156</v>
      </c>
      <c r="D461" s="79" t="s">
        <v>1160</v>
      </c>
    </row>
    <row r="462" spans="1:4">
      <c r="A462" s="97" t="s">
        <v>861</v>
      </c>
      <c r="B462" s="97" t="s">
        <v>1161</v>
      </c>
      <c r="C462" s="97" t="s">
        <v>1162</v>
      </c>
      <c r="D462" s="79" t="s">
        <v>862</v>
      </c>
    </row>
    <row r="463" spans="1:4">
      <c r="A463" s="97" t="s">
        <v>863</v>
      </c>
      <c r="B463" s="97" t="s">
        <v>1161</v>
      </c>
      <c r="C463" s="97" t="s">
        <v>1162</v>
      </c>
      <c r="D463" s="79" t="s">
        <v>864</v>
      </c>
    </row>
    <row r="464" spans="1:4">
      <c r="A464" s="97" t="s">
        <v>865</v>
      </c>
      <c r="B464" s="97" t="s">
        <v>1161</v>
      </c>
      <c r="C464" s="97" t="s">
        <v>1162</v>
      </c>
      <c r="D464" s="80" t="s">
        <v>866</v>
      </c>
    </row>
    <row r="465" spans="1:4">
      <c r="A465" s="97" t="s">
        <v>867</v>
      </c>
      <c r="B465" s="97" t="s">
        <v>1161</v>
      </c>
      <c r="C465" s="97" t="s">
        <v>1162</v>
      </c>
      <c r="D465" s="79" t="s">
        <v>868</v>
      </c>
    </row>
    <row r="466" spans="1:4">
      <c r="A466" s="97" t="s">
        <v>869</v>
      </c>
      <c r="B466" s="97" t="s">
        <v>1161</v>
      </c>
      <c r="C466" s="97" t="s">
        <v>1162</v>
      </c>
      <c r="D466" s="79" t="s">
        <v>870</v>
      </c>
    </row>
    <row r="467" spans="1:4">
      <c r="A467" s="97" t="s">
        <v>871</v>
      </c>
      <c r="B467" s="97" t="s">
        <v>1161</v>
      </c>
      <c r="C467" s="97" t="s">
        <v>1162</v>
      </c>
      <c r="D467" s="79" t="s">
        <v>872</v>
      </c>
    </row>
    <row r="468" spans="1:4">
      <c r="A468" s="97" t="s">
        <v>873</v>
      </c>
      <c r="B468" s="97" t="s">
        <v>1161</v>
      </c>
      <c r="C468" s="97" t="s">
        <v>1162</v>
      </c>
      <c r="D468" s="79" t="s">
        <v>874</v>
      </c>
    </row>
    <row r="469" spans="1:4">
      <c r="A469" s="97" t="s">
        <v>875</v>
      </c>
      <c r="B469" s="97" t="s">
        <v>1161</v>
      </c>
      <c r="C469" s="97" t="s">
        <v>1162</v>
      </c>
      <c r="D469" s="80" t="s">
        <v>876</v>
      </c>
    </row>
    <row r="470" spans="1:4">
      <c r="A470" s="97" t="s">
        <v>305</v>
      </c>
      <c r="B470" s="97" t="s">
        <v>1161</v>
      </c>
      <c r="C470" s="97" t="s">
        <v>1163</v>
      </c>
      <c r="D470" s="71" t="s">
        <v>424</v>
      </c>
    </row>
    <row r="471" spans="1:4">
      <c r="A471" s="97" t="s">
        <v>306</v>
      </c>
      <c r="B471" s="97" t="s">
        <v>1161</v>
      </c>
      <c r="C471" s="97" t="s">
        <v>1163</v>
      </c>
      <c r="D471" s="71" t="s">
        <v>425</v>
      </c>
    </row>
    <row r="472" spans="1:4">
      <c r="A472" s="97" t="s">
        <v>307</v>
      </c>
      <c r="B472" s="97" t="s">
        <v>1161</v>
      </c>
      <c r="C472" s="97" t="s">
        <v>1163</v>
      </c>
      <c r="D472" s="71" t="s">
        <v>426</v>
      </c>
    </row>
    <row r="473" spans="1:4">
      <c r="A473" s="97" t="s">
        <v>308</v>
      </c>
      <c r="B473" s="97" t="s">
        <v>1161</v>
      </c>
      <c r="C473" s="97" t="s">
        <v>1163</v>
      </c>
      <c r="D473" s="71" t="s">
        <v>427</v>
      </c>
    </row>
    <row r="474" spans="1:4">
      <c r="A474" s="97" t="s">
        <v>309</v>
      </c>
      <c r="B474" s="97" t="s">
        <v>1161</v>
      </c>
      <c r="C474" s="97" t="s">
        <v>1163</v>
      </c>
      <c r="D474" s="71" t="s">
        <v>428</v>
      </c>
    </row>
    <row r="475" spans="1:4">
      <c r="A475" s="97" t="s">
        <v>310</v>
      </c>
      <c r="B475" s="97" t="s">
        <v>1161</v>
      </c>
      <c r="C475" s="97" t="s">
        <v>1163</v>
      </c>
      <c r="D475" s="71" t="s">
        <v>429</v>
      </c>
    </row>
    <row r="476" spans="1:4">
      <c r="A476" s="97" t="s">
        <v>311</v>
      </c>
      <c r="B476" s="97" t="s">
        <v>1161</v>
      </c>
      <c r="C476" s="97" t="s">
        <v>1163</v>
      </c>
      <c r="D476" s="71" t="s">
        <v>430</v>
      </c>
    </row>
    <row r="477" spans="1:4">
      <c r="A477" s="86" t="s">
        <v>313</v>
      </c>
      <c r="B477" s="97" t="s">
        <v>1161</v>
      </c>
      <c r="C477" s="86" t="s">
        <v>312</v>
      </c>
      <c r="D477" s="71" t="s">
        <v>431</v>
      </c>
    </row>
    <row r="478" spans="1:4">
      <c r="A478" s="86" t="s">
        <v>314</v>
      </c>
      <c r="B478" s="97" t="s">
        <v>1161</v>
      </c>
      <c r="C478" s="86" t="s">
        <v>312</v>
      </c>
      <c r="D478" s="71" t="s">
        <v>432</v>
      </c>
    </row>
    <row r="479" spans="1:4">
      <c r="A479" s="86" t="s">
        <v>315</v>
      </c>
      <c r="B479" s="97" t="s">
        <v>1161</v>
      </c>
      <c r="C479" s="86" t="s">
        <v>312</v>
      </c>
      <c r="D479" s="71" t="s">
        <v>433</v>
      </c>
    </row>
    <row r="480" spans="1:4">
      <c r="A480" s="86" t="s">
        <v>316</v>
      </c>
      <c r="B480" s="97" t="s">
        <v>1161</v>
      </c>
      <c r="C480" s="86" t="s">
        <v>312</v>
      </c>
      <c r="D480" s="71" t="s">
        <v>434</v>
      </c>
    </row>
    <row r="481" spans="1:4">
      <c r="A481" s="86" t="s">
        <v>317</v>
      </c>
      <c r="B481" s="97" t="s">
        <v>1161</v>
      </c>
      <c r="C481" s="86" t="s">
        <v>312</v>
      </c>
      <c r="D481" s="71" t="s">
        <v>318</v>
      </c>
    </row>
    <row r="482" spans="1:4">
      <c r="A482" s="86" t="s">
        <v>319</v>
      </c>
      <c r="B482" s="97" t="s">
        <v>1161</v>
      </c>
      <c r="C482" s="86" t="s">
        <v>312</v>
      </c>
      <c r="D482" s="71" t="s">
        <v>320</v>
      </c>
    </row>
    <row r="483" spans="1:4">
      <c r="A483" s="86" t="s">
        <v>321</v>
      </c>
      <c r="B483" s="97" t="s">
        <v>1161</v>
      </c>
      <c r="C483" s="86" t="s">
        <v>312</v>
      </c>
      <c r="D483" s="71" t="s">
        <v>322</v>
      </c>
    </row>
    <row r="484" spans="1:4">
      <c r="A484" s="86" t="s">
        <v>323</v>
      </c>
      <c r="B484" s="97" t="s">
        <v>1161</v>
      </c>
      <c r="C484" s="86" t="s">
        <v>312</v>
      </c>
      <c r="D484" s="71" t="s">
        <v>435</v>
      </c>
    </row>
    <row r="485" spans="1:4">
      <c r="A485" s="86" t="s">
        <v>324</v>
      </c>
      <c r="B485" s="97" t="s">
        <v>1161</v>
      </c>
      <c r="C485" s="86" t="s">
        <v>312</v>
      </c>
      <c r="D485" s="75" t="s">
        <v>436</v>
      </c>
    </row>
    <row r="486" spans="1:4">
      <c r="A486" s="86" t="s">
        <v>437</v>
      </c>
      <c r="B486" s="97" t="s">
        <v>1161</v>
      </c>
      <c r="C486" s="86" t="s">
        <v>312</v>
      </c>
      <c r="D486" s="75" t="s">
        <v>438</v>
      </c>
    </row>
    <row r="487" spans="1:4">
      <c r="A487" s="86" t="s">
        <v>325</v>
      </c>
      <c r="B487" s="97" t="s">
        <v>1161</v>
      </c>
      <c r="C487" s="86" t="s">
        <v>312</v>
      </c>
      <c r="D487" s="75" t="s">
        <v>439</v>
      </c>
    </row>
    <row r="488" spans="1:4">
      <c r="A488" s="86" t="s">
        <v>326</v>
      </c>
      <c r="B488" s="97" t="s">
        <v>1161</v>
      </c>
      <c r="C488" s="86" t="s">
        <v>312</v>
      </c>
      <c r="D488" s="75" t="s">
        <v>440</v>
      </c>
    </row>
    <row r="489" spans="1:4">
      <c r="A489" s="86" t="s">
        <v>327</v>
      </c>
      <c r="B489" s="97" t="s">
        <v>1161</v>
      </c>
      <c r="C489" s="86" t="s">
        <v>312</v>
      </c>
      <c r="D489" s="75" t="s">
        <v>441</v>
      </c>
    </row>
    <row r="490" spans="1:4">
      <c r="A490" s="86" t="s">
        <v>328</v>
      </c>
      <c r="B490" s="97" t="s">
        <v>1161</v>
      </c>
      <c r="C490" s="86" t="s">
        <v>312</v>
      </c>
      <c r="D490" s="71" t="s">
        <v>442</v>
      </c>
    </row>
    <row r="491" spans="1:4">
      <c r="A491" s="97" t="s">
        <v>877</v>
      </c>
      <c r="B491" s="97" t="s">
        <v>1161</v>
      </c>
      <c r="C491" s="97" t="s">
        <v>1164</v>
      </c>
      <c r="D491" s="80" t="s">
        <v>878</v>
      </c>
    </row>
    <row r="492" spans="1:4">
      <c r="A492" s="97" t="s">
        <v>879</v>
      </c>
      <c r="B492" s="97" t="s">
        <v>1161</v>
      </c>
      <c r="C492" s="97" t="s">
        <v>1164</v>
      </c>
      <c r="D492" s="80" t="s">
        <v>880</v>
      </c>
    </row>
    <row r="493" spans="1:4">
      <c r="A493" s="97" t="s">
        <v>881</v>
      </c>
      <c r="B493" s="97" t="s">
        <v>1161</v>
      </c>
      <c r="C493" s="97" t="s">
        <v>1164</v>
      </c>
      <c r="D493" s="80" t="s">
        <v>882</v>
      </c>
    </row>
    <row r="494" spans="1:4">
      <c r="A494" s="97" t="s">
        <v>883</v>
      </c>
      <c r="B494" s="97" t="s">
        <v>1161</v>
      </c>
      <c r="C494" s="97" t="s">
        <v>1164</v>
      </c>
      <c r="D494" s="80" t="s">
        <v>884</v>
      </c>
    </row>
    <row r="495" spans="1:4">
      <c r="A495" s="97" t="s">
        <v>885</v>
      </c>
      <c r="B495" s="97" t="s">
        <v>1161</v>
      </c>
      <c r="C495" s="97" t="s">
        <v>1164</v>
      </c>
      <c r="D495" s="71" t="s">
        <v>886</v>
      </c>
    </row>
    <row r="496" spans="1:4">
      <c r="A496" s="97" t="s">
        <v>887</v>
      </c>
      <c r="B496" s="97" t="s">
        <v>1161</v>
      </c>
      <c r="C496" s="97" t="s">
        <v>1164</v>
      </c>
      <c r="D496" s="71" t="s">
        <v>888</v>
      </c>
    </row>
    <row r="497" spans="1:4">
      <c r="A497" s="97" t="s">
        <v>889</v>
      </c>
      <c r="B497" s="97" t="s">
        <v>1161</v>
      </c>
      <c r="C497" s="97" t="s">
        <v>1164</v>
      </c>
      <c r="D497" s="71" t="s">
        <v>890</v>
      </c>
    </row>
    <row r="498" spans="1:4">
      <c r="A498" s="97" t="s">
        <v>329</v>
      </c>
      <c r="B498" s="97" t="s">
        <v>1161</v>
      </c>
      <c r="C498" s="97" t="s">
        <v>1165</v>
      </c>
      <c r="D498" s="71" t="s">
        <v>1166</v>
      </c>
    </row>
    <row r="499" spans="1:4">
      <c r="A499" s="97" t="s">
        <v>330</v>
      </c>
      <c r="B499" s="97" t="s">
        <v>1161</v>
      </c>
      <c r="C499" s="97" t="s">
        <v>1165</v>
      </c>
      <c r="D499" s="71" t="s">
        <v>1167</v>
      </c>
    </row>
    <row r="500" spans="1:4">
      <c r="A500" s="97" t="s">
        <v>331</v>
      </c>
      <c r="B500" s="97" t="s">
        <v>1161</v>
      </c>
      <c r="C500" s="97" t="s">
        <v>1165</v>
      </c>
      <c r="D500" s="71" t="s">
        <v>1168</v>
      </c>
    </row>
    <row r="501" spans="1:4">
      <c r="A501" s="97" t="s">
        <v>332</v>
      </c>
      <c r="B501" s="97" t="s">
        <v>1161</v>
      </c>
      <c r="C501" s="97" t="s">
        <v>1165</v>
      </c>
      <c r="D501" s="71" t="s">
        <v>443</v>
      </c>
    </row>
    <row r="502" spans="1:4">
      <c r="A502" s="97" t="s">
        <v>333</v>
      </c>
      <c r="B502" s="97" t="s">
        <v>1161</v>
      </c>
      <c r="C502" s="97" t="s">
        <v>1165</v>
      </c>
      <c r="D502" s="71" t="s">
        <v>444</v>
      </c>
    </row>
    <row r="503" spans="1:4">
      <c r="A503" s="97" t="s">
        <v>334</v>
      </c>
      <c r="B503" s="97" t="s">
        <v>1161</v>
      </c>
      <c r="C503" s="97" t="s">
        <v>1165</v>
      </c>
      <c r="D503" s="71" t="s">
        <v>1169</v>
      </c>
    </row>
    <row r="504" spans="1:4">
      <c r="A504" s="97" t="s">
        <v>335</v>
      </c>
      <c r="B504" s="97" t="s">
        <v>1161</v>
      </c>
      <c r="C504" s="97" t="s">
        <v>1165</v>
      </c>
      <c r="D504" s="71" t="s">
        <v>1170</v>
      </c>
    </row>
    <row r="505" spans="1:4">
      <c r="A505" s="85" t="s">
        <v>336</v>
      </c>
      <c r="B505" s="97" t="s">
        <v>1161</v>
      </c>
      <c r="C505" s="97" t="s">
        <v>1165</v>
      </c>
      <c r="D505" s="71" t="s">
        <v>1171</v>
      </c>
    </row>
    <row r="506" spans="1:4">
      <c r="A506" s="97" t="s">
        <v>337</v>
      </c>
      <c r="B506" s="97" t="s">
        <v>1161</v>
      </c>
      <c r="C506" s="97" t="s">
        <v>1165</v>
      </c>
      <c r="D506" s="75" t="s">
        <v>445</v>
      </c>
    </row>
    <row r="507" spans="1:4">
      <c r="A507" s="97" t="s">
        <v>338</v>
      </c>
      <c r="B507" s="97" t="s">
        <v>1161</v>
      </c>
      <c r="C507" s="97" t="s">
        <v>1172</v>
      </c>
      <c r="D507" s="71" t="s">
        <v>433</v>
      </c>
    </row>
    <row r="508" spans="1:4">
      <c r="A508" s="97" t="s">
        <v>339</v>
      </c>
      <c r="B508" s="97" t="s">
        <v>1161</v>
      </c>
      <c r="C508" s="97" t="s">
        <v>1172</v>
      </c>
      <c r="D508" s="71" t="s">
        <v>1173</v>
      </c>
    </row>
    <row r="509" spans="1:4">
      <c r="A509" s="97" t="s">
        <v>340</v>
      </c>
      <c r="B509" s="97" t="s">
        <v>1161</v>
      </c>
      <c r="C509" s="97" t="s">
        <v>1172</v>
      </c>
      <c r="D509" s="71" t="s">
        <v>1174</v>
      </c>
    </row>
    <row r="510" spans="1:4">
      <c r="A510" s="97" t="s">
        <v>341</v>
      </c>
      <c r="B510" s="97" t="s">
        <v>1161</v>
      </c>
      <c r="C510" s="97" t="s">
        <v>1172</v>
      </c>
      <c r="D510" s="71" t="s">
        <v>1175</v>
      </c>
    </row>
    <row r="511" spans="1:4">
      <c r="A511" s="97" t="s">
        <v>342</v>
      </c>
      <c r="B511" s="97" t="s">
        <v>1161</v>
      </c>
      <c r="C511" s="97" t="s">
        <v>1172</v>
      </c>
      <c r="D511" s="71" t="s">
        <v>446</v>
      </c>
    </row>
    <row r="512" spans="1:4">
      <c r="A512" s="97" t="s">
        <v>343</v>
      </c>
      <c r="B512" s="97" t="s">
        <v>1161</v>
      </c>
      <c r="C512" s="97" t="s">
        <v>1172</v>
      </c>
      <c r="D512" s="71" t="s">
        <v>1176</v>
      </c>
    </row>
    <row r="513" spans="1:4">
      <c r="A513" s="97" t="s">
        <v>344</v>
      </c>
      <c r="B513" s="97" t="s">
        <v>1161</v>
      </c>
      <c r="C513" s="97" t="s">
        <v>1172</v>
      </c>
      <c r="D513" s="71" t="s">
        <v>1177</v>
      </c>
    </row>
    <row r="514" spans="1:4">
      <c r="A514" s="97" t="s">
        <v>345</v>
      </c>
      <c r="B514" s="97" t="s">
        <v>1161</v>
      </c>
      <c r="C514" s="97" t="s">
        <v>1172</v>
      </c>
      <c r="D514" s="71" t="s">
        <v>1178</v>
      </c>
    </row>
    <row r="515" spans="1:4">
      <c r="A515" s="97" t="s">
        <v>891</v>
      </c>
      <c r="B515" s="97" t="s">
        <v>1161</v>
      </c>
      <c r="C515" s="97" t="s">
        <v>1179</v>
      </c>
      <c r="D515" s="109" t="s">
        <v>892</v>
      </c>
    </row>
    <row r="516" spans="1:4">
      <c r="A516" s="97" t="s">
        <v>893</v>
      </c>
      <c r="B516" s="97" t="s">
        <v>1161</v>
      </c>
      <c r="C516" s="97" t="s">
        <v>1179</v>
      </c>
      <c r="D516" s="109" t="s">
        <v>894</v>
      </c>
    </row>
    <row r="517" spans="1:4">
      <c r="A517" s="97" t="s">
        <v>895</v>
      </c>
      <c r="B517" s="97" t="s">
        <v>1161</v>
      </c>
      <c r="C517" s="97" t="s">
        <v>1180</v>
      </c>
      <c r="D517" s="110" t="s">
        <v>896</v>
      </c>
    </row>
    <row r="518" spans="1:4">
      <c r="A518" s="97" t="s">
        <v>1181</v>
      </c>
      <c r="B518" s="97" t="s">
        <v>1161</v>
      </c>
      <c r="C518" s="97" t="s">
        <v>1182</v>
      </c>
      <c r="D518" s="71" t="s">
        <v>1183</v>
      </c>
    </row>
    <row r="519" spans="1:4">
      <c r="A519" s="97" t="s">
        <v>346</v>
      </c>
      <c r="B519" s="97" t="s">
        <v>1161</v>
      </c>
      <c r="C519" s="97" t="s">
        <v>1182</v>
      </c>
      <c r="D519" s="71" t="s">
        <v>1184</v>
      </c>
    </row>
    <row r="520" spans="1:4">
      <c r="A520" s="97" t="s">
        <v>347</v>
      </c>
      <c r="B520" s="97" t="s">
        <v>1161</v>
      </c>
      <c r="C520" s="97" t="s">
        <v>1182</v>
      </c>
      <c r="D520" s="71" t="s">
        <v>1185</v>
      </c>
    </row>
    <row r="521" spans="1:4">
      <c r="A521" s="97" t="s">
        <v>348</v>
      </c>
      <c r="B521" s="97" t="s">
        <v>1161</v>
      </c>
      <c r="C521" s="97" t="s">
        <v>1182</v>
      </c>
      <c r="D521" s="71" t="s">
        <v>1186</v>
      </c>
    </row>
    <row r="522" spans="1:4">
      <c r="A522" s="97" t="s">
        <v>349</v>
      </c>
      <c r="B522" s="97" t="s">
        <v>1161</v>
      </c>
      <c r="C522" s="97" t="s">
        <v>1182</v>
      </c>
      <c r="D522" s="71" t="s">
        <v>1187</v>
      </c>
    </row>
    <row r="523" spans="1:4">
      <c r="A523" s="97" t="s">
        <v>350</v>
      </c>
      <c r="B523" s="97" t="s">
        <v>1161</v>
      </c>
      <c r="C523" s="97" t="s">
        <v>1182</v>
      </c>
      <c r="D523" s="71" t="s">
        <v>1188</v>
      </c>
    </row>
    <row r="524" spans="1:4">
      <c r="A524" s="97" t="s">
        <v>351</v>
      </c>
      <c r="B524" s="97" t="s">
        <v>1161</v>
      </c>
      <c r="C524" s="97" t="s">
        <v>1182</v>
      </c>
      <c r="D524" s="71" t="s">
        <v>1189</v>
      </c>
    </row>
    <row r="525" spans="1:4">
      <c r="A525" s="97" t="s">
        <v>352</v>
      </c>
      <c r="B525" s="97" t="s">
        <v>1161</v>
      </c>
      <c r="C525" s="97" t="s">
        <v>1182</v>
      </c>
      <c r="D525" s="71" t="s">
        <v>1190</v>
      </c>
    </row>
    <row r="526" spans="1:4">
      <c r="A526" s="97" t="s">
        <v>1191</v>
      </c>
      <c r="B526" s="97" t="s">
        <v>1161</v>
      </c>
      <c r="C526" s="97" t="s">
        <v>1192</v>
      </c>
      <c r="D526" s="71" t="s">
        <v>1193</v>
      </c>
    </row>
    <row r="527" spans="1:4">
      <c r="A527" s="97" t="s">
        <v>353</v>
      </c>
      <c r="B527" s="97" t="s">
        <v>1161</v>
      </c>
      <c r="C527" s="97" t="s">
        <v>1192</v>
      </c>
      <c r="D527" s="71" t="s">
        <v>1194</v>
      </c>
    </row>
    <row r="528" spans="1:4">
      <c r="A528" s="97" t="s">
        <v>354</v>
      </c>
      <c r="B528" s="97" t="s">
        <v>1161</v>
      </c>
      <c r="C528" s="97" t="s">
        <v>1192</v>
      </c>
      <c r="D528" s="71" t="s">
        <v>1195</v>
      </c>
    </row>
    <row r="529" spans="1:4">
      <c r="A529" s="97" t="s">
        <v>355</v>
      </c>
      <c r="B529" s="97" t="s">
        <v>1161</v>
      </c>
      <c r="C529" s="97" t="s">
        <v>1192</v>
      </c>
      <c r="D529" s="71" t="s">
        <v>1196</v>
      </c>
    </row>
    <row r="530" spans="1:4">
      <c r="A530" s="97" t="s">
        <v>356</v>
      </c>
      <c r="B530" s="97" t="s">
        <v>1161</v>
      </c>
      <c r="C530" s="97" t="s">
        <v>1192</v>
      </c>
      <c r="D530" s="71" t="s">
        <v>1197</v>
      </c>
    </row>
    <row r="531" spans="1:4">
      <c r="A531" s="97" t="s">
        <v>357</v>
      </c>
      <c r="B531" s="97" t="s">
        <v>1161</v>
      </c>
      <c r="C531" s="97" t="s">
        <v>1192</v>
      </c>
      <c r="D531" s="71" t="s">
        <v>1198</v>
      </c>
    </row>
    <row r="532" spans="1:4">
      <c r="A532" s="97" t="s">
        <v>358</v>
      </c>
      <c r="B532" s="97" t="s">
        <v>1161</v>
      </c>
      <c r="C532" s="97" t="s">
        <v>1192</v>
      </c>
      <c r="D532" s="71" t="s">
        <v>1199</v>
      </c>
    </row>
    <row r="533" spans="1:4">
      <c r="A533" s="97" t="s">
        <v>359</v>
      </c>
      <c r="B533" s="97" t="s">
        <v>1161</v>
      </c>
      <c r="C533" s="97" t="s">
        <v>1192</v>
      </c>
      <c r="D533" s="71" t="s">
        <v>1200</v>
      </c>
    </row>
    <row r="534" spans="1:4">
      <c r="A534" s="97" t="s">
        <v>360</v>
      </c>
      <c r="B534" s="97" t="s">
        <v>1161</v>
      </c>
      <c r="C534" s="97" t="s">
        <v>1192</v>
      </c>
      <c r="D534" s="71" t="s">
        <v>1201</v>
      </c>
    </row>
    <row r="535" spans="1:4">
      <c r="A535" s="85" t="s">
        <v>1202</v>
      </c>
      <c r="B535" s="97" t="s">
        <v>1161</v>
      </c>
      <c r="C535" s="85" t="s">
        <v>1203</v>
      </c>
      <c r="D535" s="75" t="s">
        <v>1204</v>
      </c>
    </row>
    <row r="536" spans="1:4">
      <c r="A536" s="85" t="s">
        <v>447</v>
      </c>
      <c r="B536" s="97" t="s">
        <v>1161</v>
      </c>
      <c r="C536" s="85" t="s">
        <v>1203</v>
      </c>
      <c r="D536" s="75" t="s">
        <v>1205</v>
      </c>
    </row>
    <row r="537" spans="1:4">
      <c r="A537" s="85" t="s">
        <v>448</v>
      </c>
      <c r="B537" s="97" t="s">
        <v>1161</v>
      </c>
      <c r="C537" s="85" t="s">
        <v>1203</v>
      </c>
      <c r="D537" s="75" t="s">
        <v>1206</v>
      </c>
    </row>
    <row r="538" spans="1:4">
      <c r="A538" s="85" t="s">
        <v>449</v>
      </c>
      <c r="B538" s="97" t="s">
        <v>1161</v>
      </c>
      <c r="C538" s="85" t="s">
        <v>1203</v>
      </c>
      <c r="D538" s="75" t="s">
        <v>1207</v>
      </c>
    </row>
    <row r="539" spans="1:4">
      <c r="A539" s="85" t="s">
        <v>897</v>
      </c>
      <c r="B539" s="97" t="s">
        <v>1161</v>
      </c>
      <c r="C539" s="85" t="s">
        <v>1203</v>
      </c>
      <c r="D539" s="75" t="s">
        <v>1208</v>
      </c>
    </row>
    <row r="540" spans="1:4">
      <c r="A540" s="85" t="s">
        <v>450</v>
      </c>
      <c r="B540" s="97" t="s">
        <v>1161</v>
      </c>
      <c r="C540" s="85" t="s">
        <v>1203</v>
      </c>
      <c r="D540" s="75" t="s">
        <v>1200</v>
      </c>
    </row>
    <row r="541" spans="1:4">
      <c r="A541" s="111" t="s">
        <v>1209</v>
      </c>
      <c r="B541" s="111" t="s">
        <v>1210</v>
      </c>
      <c r="C541" s="111" t="s">
        <v>1210</v>
      </c>
      <c r="D541" s="111" t="s">
        <v>1211</v>
      </c>
    </row>
    <row r="542" spans="1:4">
      <c r="A542" s="111" t="s">
        <v>898</v>
      </c>
      <c r="B542" s="111" t="s">
        <v>1210</v>
      </c>
      <c r="C542" s="111" t="s">
        <v>1210</v>
      </c>
      <c r="D542" s="111" t="s">
        <v>1212</v>
      </c>
    </row>
    <row r="543" spans="1:4">
      <c r="A543" s="111" t="s">
        <v>899</v>
      </c>
      <c r="B543" s="111" t="s">
        <v>1210</v>
      </c>
      <c r="C543" s="111" t="s">
        <v>1210</v>
      </c>
      <c r="D543" s="111" t="s">
        <v>1213</v>
      </c>
    </row>
    <row r="544" spans="1:4">
      <c r="A544" s="111" t="s">
        <v>900</v>
      </c>
      <c r="B544" s="111" t="s">
        <v>1210</v>
      </c>
      <c r="C544" s="111" t="s">
        <v>1210</v>
      </c>
      <c r="D544" s="111" t="s">
        <v>1214</v>
      </c>
    </row>
    <row r="545" spans="1:4">
      <c r="A545" s="111" t="s">
        <v>901</v>
      </c>
      <c r="B545" s="111" t="s">
        <v>1210</v>
      </c>
      <c r="C545" s="111" t="s">
        <v>1210</v>
      </c>
      <c r="D545" s="111" t="s">
        <v>1215</v>
      </c>
    </row>
    <row r="546" spans="1:4">
      <c r="A546" s="111" t="s">
        <v>902</v>
      </c>
      <c r="B546" s="111" t="s">
        <v>1210</v>
      </c>
      <c r="C546" s="111" t="s">
        <v>1210</v>
      </c>
      <c r="D546" s="111" t="s">
        <v>1216</v>
      </c>
    </row>
    <row r="547" spans="1:4">
      <c r="A547" s="111" t="s">
        <v>903</v>
      </c>
      <c r="B547" s="111" t="s">
        <v>1210</v>
      </c>
      <c r="C547" s="111" t="s">
        <v>1210</v>
      </c>
      <c r="D547" s="111" t="s">
        <v>1217</v>
      </c>
    </row>
    <row r="548" spans="1:4">
      <c r="A548" s="111" t="s">
        <v>904</v>
      </c>
      <c r="B548" s="111" t="s">
        <v>1210</v>
      </c>
      <c r="C548" s="111" t="s">
        <v>1210</v>
      </c>
      <c r="D548" s="111" t="s">
        <v>1218</v>
      </c>
    </row>
    <row r="549" spans="1:4">
      <c r="A549" s="111" t="s">
        <v>905</v>
      </c>
      <c r="B549" s="111" t="s">
        <v>1210</v>
      </c>
      <c r="C549" s="111" t="s">
        <v>1210</v>
      </c>
      <c r="D549" s="111" t="s">
        <v>1219</v>
      </c>
    </row>
    <row r="550" spans="1:4">
      <c r="A550" s="111" t="s">
        <v>906</v>
      </c>
      <c r="B550" s="111" t="s">
        <v>1210</v>
      </c>
      <c r="C550" s="111" t="s">
        <v>1210</v>
      </c>
      <c r="D550" s="111" t="s">
        <v>1220</v>
      </c>
    </row>
    <row r="551" spans="1:4">
      <c r="A551" s="111" t="s">
        <v>907</v>
      </c>
      <c r="B551" s="111" t="s">
        <v>1210</v>
      </c>
      <c r="C551" s="111" t="s">
        <v>1210</v>
      </c>
      <c r="D551" s="111" t="s">
        <v>1221</v>
      </c>
    </row>
    <row r="552" spans="1:4">
      <c r="A552" s="111" t="s">
        <v>908</v>
      </c>
      <c r="B552" s="111" t="s">
        <v>1210</v>
      </c>
      <c r="C552" s="111" t="s">
        <v>1210</v>
      </c>
      <c r="D552" s="111" t="s">
        <v>1222</v>
      </c>
    </row>
    <row r="553" spans="1:4">
      <c r="A553" s="111" t="s">
        <v>909</v>
      </c>
      <c r="B553" s="111" t="s">
        <v>1210</v>
      </c>
      <c r="C553" s="111" t="s">
        <v>1210</v>
      </c>
      <c r="D553" s="111" t="s">
        <v>1223</v>
      </c>
    </row>
    <row r="554" spans="1:4">
      <c r="A554" s="111" t="s">
        <v>910</v>
      </c>
      <c r="B554" s="111" t="s">
        <v>1210</v>
      </c>
      <c r="C554" s="111" t="s">
        <v>1210</v>
      </c>
      <c r="D554" s="111" t="s">
        <v>1224</v>
      </c>
    </row>
    <row r="555" spans="1:4">
      <c r="A555" s="111" t="s">
        <v>911</v>
      </c>
      <c r="B555" s="111" t="s">
        <v>1210</v>
      </c>
      <c r="C555" s="111" t="s">
        <v>1210</v>
      </c>
      <c r="D555" s="111" t="s">
        <v>1225</v>
      </c>
    </row>
    <row r="556" spans="1:4">
      <c r="A556" s="81" t="s">
        <v>361</v>
      </c>
      <c r="B556" s="81" t="s">
        <v>1226</v>
      </c>
      <c r="C556" s="81" t="s">
        <v>1226</v>
      </c>
      <c r="D556" s="78" t="s">
        <v>362</v>
      </c>
    </row>
    <row r="557" spans="1:4">
      <c r="A557" s="81" t="s">
        <v>361</v>
      </c>
      <c r="B557" s="81" t="s">
        <v>1226</v>
      </c>
      <c r="C557" s="81" t="s">
        <v>1226</v>
      </c>
      <c r="D557" s="80" t="s">
        <v>1227</v>
      </c>
    </row>
    <row r="558" spans="1:4">
      <c r="A558" s="81" t="s">
        <v>361</v>
      </c>
      <c r="B558" s="81" t="s">
        <v>1226</v>
      </c>
      <c r="C558" s="81" t="s">
        <v>1226</v>
      </c>
      <c r="D558" s="80" t="s">
        <v>363</v>
      </c>
    </row>
    <row r="559" spans="1:4">
      <c r="A559" s="81" t="s">
        <v>361</v>
      </c>
      <c r="B559" s="81" t="s">
        <v>1226</v>
      </c>
      <c r="C559" s="81" t="s">
        <v>1226</v>
      </c>
      <c r="D559" s="74" t="s">
        <v>364</v>
      </c>
    </row>
    <row r="560" spans="1:4">
      <c r="A560" s="81" t="s">
        <v>361</v>
      </c>
      <c r="B560" s="81" t="s">
        <v>1226</v>
      </c>
      <c r="C560" s="81" t="s">
        <v>1226</v>
      </c>
      <c r="D560" s="82" t="s">
        <v>1228</v>
      </c>
    </row>
    <row r="561" spans="1:4">
      <c r="A561" s="81" t="s">
        <v>361</v>
      </c>
      <c r="B561" s="81" t="s">
        <v>1229</v>
      </c>
      <c r="C561" s="81" t="s">
        <v>1229</v>
      </c>
      <c r="D561" s="74" t="s">
        <v>1230</v>
      </c>
    </row>
    <row r="562" spans="1:4">
      <c r="A562" s="81" t="s">
        <v>361</v>
      </c>
      <c r="B562" s="81" t="s">
        <v>1229</v>
      </c>
      <c r="C562" s="81" t="s">
        <v>1229</v>
      </c>
      <c r="D562" s="82" t="s">
        <v>1231</v>
      </c>
    </row>
  </sheetData>
  <phoneticPr fontId="19" type="noConversion"/>
  <hyperlinks>
    <hyperlink ref="A25" r:id="rId1"/>
    <hyperlink ref="A26" r:id="rId2"/>
    <hyperlink ref="A27" r:id="rId3"/>
    <hyperlink ref="A28" r:id="rId4"/>
    <hyperlink ref="A29" r:id="rId5"/>
    <hyperlink ref="A30" r:id="rId6"/>
    <hyperlink ref="A31" r:id="rId7"/>
    <hyperlink ref="A32" r:id="rId8"/>
    <hyperlink ref="A33" r:id="rId9"/>
    <hyperlink ref="A34" r:id="rId10"/>
    <hyperlink ref="A35" r:id="rId11"/>
    <hyperlink ref="A36" r:id="rId12"/>
    <hyperlink ref="A38" r:id="rId13"/>
    <hyperlink ref="A40" r:id="rId14"/>
    <hyperlink ref="A41" r:id="rId15"/>
    <hyperlink ref="A42" r:id="rId16"/>
    <hyperlink ref="A43" r:id="rId17"/>
    <hyperlink ref="A44" r:id="rId18"/>
    <hyperlink ref="A45" r:id="rId19"/>
    <hyperlink ref="A46" r:id="rId20"/>
    <hyperlink ref="A47" r:id="rId21"/>
    <hyperlink ref="A48" r:id="rId22"/>
    <hyperlink ref="A49" r:id="rId23"/>
    <hyperlink ref="A50" r:id="rId24"/>
    <hyperlink ref="A51" r:id="rId25"/>
    <hyperlink ref="A52" r:id="rId26"/>
    <hyperlink ref="A53" r:id="rId27"/>
    <hyperlink ref="A54" r:id="rId28"/>
    <hyperlink ref="A55" r:id="rId29"/>
    <hyperlink ref="A56" r:id="rId30"/>
    <hyperlink ref="A57" r:id="rId31"/>
    <hyperlink ref="A59" r:id="rId32"/>
    <hyperlink ref="A60" r:id="rId33"/>
    <hyperlink ref="A61" r:id="rId34"/>
    <hyperlink ref="A63" r:id="rId35"/>
    <hyperlink ref="A64" r:id="rId36"/>
    <hyperlink ref="A65" r:id="rId37"/>
    <hyperlink ref="A66" r:id="rId38"/>
    <hyperlink ref="A67" r:id="rId39"/>
    <hyperlink ref="A68" r:id="rId40"/>
    <hyperlink ref="A69" r:id="rId41"/>
    <hyperlink ref="A72" r:id="rId42"/>
    <hyperlink ref="A73" r:id="rId43"/>
    <hyperlink ref="A74" r:id="rId44"/>
    <hyperlink ref="A75" r:id="rId45"/>
    <hyperlink ref="A76" r:id="rId46"/>
    <hyperlink ref="A77" r:id="rId47"/>
    <hyperlink ref="A78" r:id="rId48"/>
    <hyperlink ref="A79" r:id="rId49"/>
    <hyperlink ref="A80" r:id="rId50"/>
    <hyperlink ref="A87" r:id="rId51"/>
    <hyperlink ref="A88" r:id="rId52"/>
    <hyperlink ref="A89" r:id="rId53"/>
    <hyperlink ref="A90" r:id="rId54"/>
    <hyperlink ref="A91" r:id="rId55"/>
    <hyperlink ref="A93" r:id="rId56"/>
    <hyperlink ref="A94" r:id="rId57"/>
    <hyperlink ref="A95" r:id="rId58"/>
    <hyperlink ref="A96" r:id="rId59"/>
    <hyperlink ref="A97" r:id="rId60"/>
    <hyperlink ref="A98" r:id="rId61"/>
    <hyperlink ref="A99" r:id="rId62"/>
    <hyperlink ref="A100" r:id="rId63"/>
    <hyperlink ref="A101" r:id="rId64"/>
    <hyperlink ref="A102" r:id="rId65"/>
    <hyperlink ref="A103" r:id="rId66"/>
    <hyperlink ref="A104" r:id="rId67"/>
    <hyperlink ref="A105" r:id="rId68"/>
    <hyperlink ref="A106" r:id="rId69"/>
    <hyperlink ref="A108" r:id="rId70"/>
    <hyperlink ref="A128" r:id="rId71"/>
    <hyperlink ref="A129" r:id="rId72"/>
    <hyperlink ref="A130" r:id="rId73"/>
    <hyperlink ref="A131" r:id="rId74"/>
    <hyperlink ref="A132" r:id="rId75"/>
    <hyperlink ref="A133" r:id="rId76"/>
    <hyperlink ref="A134" r:id="rId77"/>
    <hyperlink ref="A135" r:id="rId78"/>
    <hyperlink ref="A137" r:id="rId79"/>
    <hyperlink ref="A138" r:id="rId80"/>
    <hyperlink ref="A139" r:id="rId81"/>
    <hyperlink ref="A140" r:id="rId82"/>
    <hyperlink ref="A141" r:id="rId83"/>
    <hyperlink ref="A142" r:id="rId84"/>
    <hyperlink ref="A143" r:id="rId85"/>
    <hyperlink ref="A145" r:id="rId86"/>
    <hyperlink ref="A146" r:id="rId87"/>
    <hyperlink ref="A147" r:id="rId88"/>
    <hyperlink ref="A148" r:id="rId89"/>
    <hyperlink ref="A149" r:id="rId90"/>
    <hyperlink ref="A150" r:id="rId91"/>
    <hyperlink ref="A152" r:id="rId92"/>
    <hyperlink ref="A153" r:id="rId93"/>
    <hyperlink ref="A162" r:id="rId94"/>
    <hyperlink ref="A163" r:id="rId95"/>
    <hyperlink ref="A164" r:id="rId96"/>
    <hyperlink ref="A165" r:id="rId97"/>
    <hyperlink ref="A169" r:id="rId98"/>
    <hyperlink ref="A170" r:id="rId99"/>
    <hyperlink ref="A171" r:id="rId100"/>
    <hyperlink ref="A173" r:id="rId101"/>
    <hyperlink ref="A174" r:id="rId102"/>
    <hyperlink ref="A175" r:id="rId103"/>
    <hyperlink ref="A176" r:id="rId104"/>
    <hyperlink ref="A178" r:id="rId105"/>
    <hyperlink ref="A179" r:id="rId106"/>
    <hyperlink ref="A180" r:id="rId107"/>
    <hyperlink ref="A181" r:id="rId108"/>
    <hyperlink ref="A182" r:id="rId109"/>
    <hyperlink ref="A183" r:id="rId110"/>
    <hyperlink ref="A184" r:id="rId111"/>
    <hyperlink ref="A185" r:id="rId112"/>
    <hyperlink ref="A188" r:id="rId113"/>
    <hyperlink ref="A189" r:id="rId114"/>
    <hyperlink ref="A190" r:id="rId115"/>
    <hyperlink ref="A191" r:id="rId116"/>
    <hyperlink ref="A192" r:id="rId117"/>
    <hyperlink ref="A193" r:id="rId118"/>
    <hyperlink ref="A194" r:id="rId119"/>
    <hyperlink ref="A196" r:id="rId120"/>
    <hyperlink ref="A198" r:id="rId121"/>
    <hyperlink ref="A199" r:id="rId122"/>
    <hyperlink ref="A200" r:id="rId123"/>
    <hyperlink ref="A201" r:id="rId124"/>
    <hyperlink ref="A202" r:id="rId125"/>
    <hyperlink ref="A203" r:id="rId126"/>
    <hyperlink ref="A204" r:id="rId127"/>
    <hyperlink ref="A205" r:id="rId128"/>
    <hyperlink ref="A207" r:id="rId129"/>
    <hyperlink ref="A208" r:id="rId130"/>
    <hyperlink ref="A209" r:id="rId131"/>
    <hyperlink ref="A210" r:id="rId132"/>
    <hyperlink ref="A212" r:id="rId133"/>
    <hyperlink ref="A213" r:id="rId134"/>
    <hyperlink ref="A214" r:id="rId135"/>
    <hyperlink ref="A218" r:id="rId136"/>
    <hyperlink ref="A225" r:id="rId137"/>
    <hyperlink ref="A227" r:id="rId138"/>
    <hyperlink ref="A239" r:id="rId139"/>
    <hyperlink ref="A240" r:id="rId140"/>
    <hyperlink ref="A241" r:id="rId141"/>
    <hyperlink ref="A242" r:id="rId142"/>
    <hyperlink ref="A243" r:id="rId143"/>
    <hyperlink ref="A244" r:id="rId144"/>
    <hyperlink ref="A245" r:id="rId145"/>
    <hyperlink ref="A246" r:id="rId146"/>
    <hyperlink ref="A249" r:id="rId147"/>
    <hyperlink ref="A250" r:id="rId148"/>
    <hyperlink ref="A251" r:id="rId149"/>
    <hyperlink ref="A252" r:id="rId150"/>
    <hyperlink ref="A253" r:id="rId151"/>
    <hyperlink ref="A254" r:id="rId152"/>
    <hyperlink ref="A255" r:id="rId153"/>
    <hyperlink ref="A256" r:id="rId154"/>
    <hyperlink ref="A257" r:id="rId155"/>
    <hyperlink ref="A258" r:id="rId156"/>
    <hyperlink ref="A262" r:id="rId157"/>
    <hyperlink ref="A279" r:id="rId158"/>
    <hyperlink ref="A280" r:id="rId159"/>
    <hyperlink ref="A281" r:id="rId160"/>
    <hyperlink ref="A282" r:id="rId161"/>
    <hyperlink ref="A283" r:id="rId162"/>
    <hyperlink ref="A284" r:id="rId163"/>
    <hyperlink ref="A285" r:id="rId164"/>
    <hyperlink ref="A286" r:id="rId165"/>
    <hyperlink ref="A287" r:id="rId166"/>
    <hyperlink ref="A288" r:id="rId167"/>
    <hyperlink ref="A289" r:id="rId168"/>
    <hyperlink ref="A290" r:id="rId169"/>
    <hyperlink ref="A291" r:id="rId170"/>
    <hyperlink ref="A292" r:id="rId171"/>
    <hyperlink ref="A293" r:id="rId172"/>
    <hyperlink ref="A294" r:id="rId173"/>
    <hyperlink ref="A295" r:id="rId174"/>
    <hyperlink ref="A296" r:id="rId175"/>
    <hyperlink ref="A297" r:id="rId176"/>
    <hyperlink ref="A298" r:id="rId177"/>
    <hyperlink ref="A299" r:id="rId178"/>
    <hyperlink ref="A300" r:id="rId179"/>
    <hyperlink ref="A301" r:id="rId180"/>
    <hyperlink ref="A303" r:id="rId181"/>
    <hyperlink ref="A455" r:id="rId182"/>
    <hyperlink ref="A456" r:id="rId183"/>
    <hyperlink ref="A457" r:id="rId184"/>
    <hyperlink ref="A458" r:id="rId185"/>
    <hyperlink ref="A460" r:id="rId186" display="PLC012"/>
    <hyperlink ref="A310" r:id="rId187"/>
    <hyperlink ref="A311" r:id="rId188"/>
    <hyperlink ref="A312" r:id="rId189"/>
    <hyperlink ref="A313" r:id="rId190"/>
    <hyperlink ref="A314" r:id="rId191"/>
    <hyperlink ref="A315" r:id="rId192"/>
    <hyperlink ref="A316" r:id="rId193"/>
    <hyperlink ref="A317" r:id="rId194"/>
    <hyperlink ref="A318" r:id="rId195"/>
    <hyperlink ref="A319" r:id="rId196"/>
    <hyperlink ref="A320" r:id="rId197"/>
    <hyperlink ref="A321" r:id="rId198"/>
    <hyperlink ref="A322" r:id="rId199"/>
    <hyperlink ref="A323" r:id="rId200"/>
    <hyperlink ref="A324" r:id="rId201"/>
    <hyperlink ref="A325" r:id="rId202"/>
    <hyperlink ref="A327" r:id="rId203"/>
    <hyperlink ref="A328" r:id="rId204"/>
    <hyperlink ref="A329" r:id="rId205"/>
    <hyperlink ref="A330" r:id="rId206"/>
    <hyperlink ref="A331" r:id="rId207"/>
    <hyperlink ref="A332" r:id="rId208"/>
    <hyperlink ref="A333" r:id="rId209"/>
    <hyperlink ref="A334" r:id="rId210"/>
    <hyperlink ref="A335" r:id="rId211"/>
    <hyperlink ref="A336" r:id="rId212"/>
    <hyperlink ref="A337" r:id="rId213"/>
    <hyperlink ref="A338" r:id="rId214"/>
    <hyperlink ref="A339" r:id="rId215"/>
    <hyperlink ref="A340" r:id="rId216"/>
    <hyperlink ref="A341" r:id="rId217"/>
    <hyperlink ref="A342" r:id="rId218"/>
    <hyperlink ref="A343" r:id="rId219"/>
    <hyperlink ref="A344" r:id="rId220"/>
    <hyperlink ref="A345" r:id="rId221"/>
    <hyperlink ref="A346" r:id="rId222"/>
    <hyperlink ref="A347" r:id="rId223"/>
    <hyperlink ref="A348" r:id="rId224"/>
    <hyperlink ref="A349" r:id="rId225"/>
    <hyperlink ref="A350" r:id="rId226"/>
    <hyperlink ref="A351" r:id="rId227"/>
    <hyperlink ref="A354" r:id="rId228"/>
    <hyperlink ref="A355" r:id="rId229"/>
    <hyperlink ref="A356" r:id="rId230"/>
    <hyperlink ref="A357" r:id="rId231"/>
    <hyperlink ref="A358" r:id="rId232"/>
    <hyperlink ref="A359" r:id="rId233"/>
    <hyperlink ref="A360" r:id="rId234"/>
    <hyperlink ref="A361" r:id="rId235"/>
    <hyperlink ref="A362" r:id="rId236"/>
    <hyperlink ref="A363" r:id="rId237"/>
    <hyperlink ref="A364" r:id="rId238"/>
    <hyperlink ref="A365" r:id="rId239"/>
    <hyperlink ref="A366" r:id="rId240"/>
    <hyperlink ref="A367" r:id="rId241"/>
    <hyperlink ref="A368" r:id="rId242"/>
    <hyperlink ref="A369" r:id="rId243"/>
    <hyperlink ref="A370" r:id="rId244"/>
    <hyperlink ref="A371" r:id="rId245"/>
    <hyperlink ref="A372" r:id="rId246"/>
    <hyperlink ref="A373" r:id="rId247"/>
    <hyperlink ref="A375" r:id="rId248"/>
    <hyperlink ref="A376" r:id="rId249"/>
    <hyperlink ref="A377" r:id="rId250"/>
    <hyperlink ref="A378" r:id="rId251"/>
    <hyperlink ref="A385" r:id="rId252"/>
    <hyperlink ref="A386" r:id="rId253"/>
    <hyperlink ref="A387" r:id="rId254"/>
    <hyperlink ref="A388" r:id="rId255"/>
    <hyperlink ref="A389" r:id="rId256"/>
    <hyperlink ref="A390" r:id="rId257"/>
    <hyperlink ref="A391" r:id="rId258"/>
    <hyperlink ref="A392" r:id="rId259"/>
    <hyperlink ref="A393" r:id="rId260"/>
    <hyperlink ref="A394" r:id="rId261"/>
    <hyperlink ref="A395" r:id="rId262"/>
    <hyperlink ref="A396" r:id="rId263"/>
    <hyperlink ref="A415" r:id="rId264"/>
    <hyperlink ref="A419" r:id="rId265"/>
    <hyperlink ref="A462" r:id="rId266"/>
    <hyperlink ref="A463" r:id="rId267"/>
    <hyperlink ref="A464" r:id="rId268"/>
    <hyperlink ref="A465" r:id="rId269"/>
    <hyperlink ref="A466" r:id="rId270"/>
    <hyperlink ref="A467" r:id="rId271"/>
    <hyperlink ref="A468" r:id="rId272"/>
    <hyperlink ref="A469" r:id="rId273"/>
    <hyperlink ref="A470" r:id="rId274"/>
    <hyperlink ref="A471" r:id="rId275"/>
    <hyperlink ref="A472" r:id="rId276"/>
    <hyperlink ref="A473" r:id="rId277"/>
    <hyperlink ref="A474" r:id="rId278"/>
    <hyperlink ref="A475" r:id="rId279"/>
    <hyperlink ref="A476" r:id="rId280"/>
    <hyperlink ref="A491" r:id="rId281"/>
    <hyperlink ref="A492" r:id="rId282"/>
    <hyperlink ref="A493" r:id="rId283"/>
    <hyperlink ref="A494" r:id="rId284"/>
    <hyperlink ref="A495" r:id="rId285"/>
    <hyperlink ref="A496" r:id="rId286"/>
    <hyperlink ref="A497" r:id="rId287"/>
    <hyperlink ref="A498" r:id="rId288"/>
    <hyperlink ref="A499" r:id="rId289"/>
    <hyperlink ref="A500" r:id="rId290"/>
    <hyperlink ref="A501" r:id="rId291"/>
    <hyperlink ref="A502" r:id="rId292"/>
    <hyperlink ref="A503" r:id="rId293"/>
    <hyperlink ref="A507" r:id="rId294"/>
    <hyperlink ref="A508" r:id="rId295"/>
    <hyperlink ref="A509" r:id="rId296"/>
    <hyperlink ref="A510" r:id="rId297"/>
    <hyperlink ref="A511" r:id="rId298"/>
    <hyperlink ref="A515" r:id="rId299"/>
    <hyperlink ref="A516" r:id="rId300"/>
    <hyperlink ref="A517" r:id="rId301"/>
    <hyperlink ref="A70" r:id="rId302" display="IAA007_03"/>
    <hyperlink ref="A107" r:id="rId303"/>
    <hyperlink ref="A109:A111" r:id="rId304" display="IAA024_04"/>
    <hyperlink ref="A112" r:id="rId305" display="IAA024_04"/>
    <hyperlink ref="A154" r:id="rId306" display="CTA029"/>
    <hyperlink ref="A177" r:id="rId307" display="PSA004_03"/>
    <hyperlink ref="A195" r:id="rId308" display="PSA026"/>
    <hyperlink ref="A420:A425" r:id="rId309" display="APA091"/>
    <hyperlink ref="A424" r:id="rId310" display="APA091"/>
    <hyperlink ref="A86" r:id="rId311"/>
    <hyperlink ref="A85" r:id="rId312"/>
    <hyperlink ref="A84" r:id="rId313"/>
    <hyperlink ref="A83" r:id="rId314"/>
    <hyperlink ref="A82" r:id="rId315"/>
    <hyperlink ref="A81" r:id="rId316"/>
    <hyperlink ref="A186" r:id="rId317" display="PSA013_02"/>
    <hyperlink ref="A220" r:id="rId318" display="PFA001_11"/>
    <hyperlink ref="A426" r:id="rId319" display="APA091"/>
    <hyperlink ref="A427:A428" r:id="rId320" display="APA091"/>
    <hyperlink ref="A504" r:id="rId321" display="TBD001_01"/>
    <hyperlink ref="A506" r:id="rId322" display="TBD001_01"/>
    <hyperlink ref="A512" r:id="rId323"/>
    <hyperlink ref="A513:A514" r:id="rId324" display="TBD001_08"/>
    <hyperlink ref="A518" r:id="rId325" display="PDA001"/>
    <hyperlink ref="A519:A525" r:id="rId326" display="PDA001"/>
    <hyperlink ref="A526" r:id="rId327" display="PDA001"/>
    <hyperlink ref="A37" r:id="rId328" display="BFA003_08 "/>
    <hyperlink ref="A187" r:id="rId329" display="PSA013_02"/>
    <hyperlink ref="A304" r:id="rId330" display="STA027"/>
    <hyperlink ref="A259" r:id="rId331" display="PFA005_05"/>
    <hyperlink ref="A247" r:id="rId332" display="PFA004_03"/>
    <hyperlink ref="A211" r:id="rId333" display="PFA001_06 "/>
    <hyperlink ref="A215" r:id="rId334" display="PFA001_10"/>
    <hyperlink ref="A216" r:id="rId335" display="PFA001_10"/>
    <hyperlink ref="A217" r:id="rId336" display="PFA001_10"/>
    <hyperlink ref="A219" r:id="rId337" display="PFA001_11"/>
    <hyperlink ref="A221" r:id="rId338" display="PFA001_11"/>
    <hyperlink ref="A222:A223" r:id="rId339" display="PFA001_11"/>
    <hyperlink ref="A224" r:id="rId340" display="PFA001_11"/>
    <hyperlink ref="A226" r:id="rId341" display="PFA002_01"/>
    <hyperlink ref="A228" r:id="rId342" display="PFA002_02"/>
    <hyperlink ref="A229:A237" r:id="rId343" display="PFA002_02"/>
    <hyperlink ref="A305" r:id="rId344" display="STA027"/>
    <hyperlink ref="A306" r:id="rId345" display="STA027"/>
    <hyperlink ref="A429" r:id="rId346" display="APA091"/>
    <hyperlink ref="A533" r:id="rId347" display="PDA001"/>
    <hyperlink ref="A534" r:id="rId348" display="PDA001"/>
    <hyperlink ref="A434" r:id="rId349" display="APA091"/>
    <hyperlink ref="A435" r:id="rId350" display="APA091"/>
    <hyperlink ref="A260" r:id="rId351" display="PFA005_05"/>
    <hyperlink ref="A261" r:id="rId352" display="PFA005_05"/>
    <hyperlink ref="A156" r:id="rId353" display="CTA029"/>
    <hyperlink ref="A157:A158" r:id="rId354" display="CTA029"/>
    <hyperlink ref="A157" r:id="rId355" display="CTA029"/>
    <hyperlink ref="A158:A161" r:id="rId356" display="CTA029"/>
    <hyperlink ref="A237:A238" r:id="rId357" display="PFA002_02"/>
    <hyperlink ref="A374" r:id="rId358" display="APA065_01"/>
    <hyperlink ref="A459" r:id="rId359"/>
    <hyperlink ref="A248" r:id="rId360" display="PFA004_03"/>
    <hyperlink ref="A438" r:id="rId361" display="APA091"/>
    <hyperlink ref="A437" r:id="rId362" display="APA091"/>
    <hyperlink ref="A461" r:id="rId363" display="PLC012"/>
    <hyperlink ref="A197" r:id="rId364" display="PSA036"/>
    <hyperlink ref="A302" r:id="rId365" display="STA024"/>
  </hyperlinks>
  <pageMargins left="0.7" right="0.7" top="0.75" bottom="0.75" header="0.3" footer="0.3"/>
  <drawing r:id="rId36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C1:BBS1"/>
  <sheetViews>
    <sheetView workbookViewId="0">
      <selection sqref="A1:XFD1048576"/>
    </sheetView>
  </sheetViews>
  <sheetFormatPr defaultColWidth="8.6328125" defaultRowHeight="17" outlineLevelCol="1"/>
  <cols>
    <col min="1" max="2" width="8.6328125" style="7"/>
    <col min="3" max="3" width="8.6328125" style="36"/>
    <col min="4" max="1270" width="8.6328125" style="35"/>
    <col min="1271" max="1284" width="8.6328125" style="37"/>
    <col min="1285" max="1286" width="8.6328125" style="38"/>
    <col min="1287" max="1301" width="8.6328125" style="39"/>
    <col min="1302" max="1302" width="8.6328125" style="40"/>
    <col min="1303" max="1331" width="8.6328125" style="39" outlineLevel="1"/>
    <col min="1332" max="1332" width="8.6328125" style="41" outlineLevel="1"/>
    <col min="1333" max="1343" width="8.6328125" style="39"/>
    <col min="1344" max="1344" width="8.6328125" style="39" collapsed="1"/>
    <col min="1345" max="1346" width="8.6328125" style="41"/>
    <col min="1347" max="1358" width="8.6328125" style="39"/>
    <col min="1359" max="1359" width="8.6328125" style="7"/>
    <col min="1360" max="1389" width="8.6328125" style="39"/>
    <col min="1390" max="1390" width="8.6328125" style="41"/>
    <col min="1391" max="1420" width="8.6328125" style="39" outlineLevel="1"/>
    <col min="1421" max="1423" width="8.6328125" style="39"/>
    <col min="1424" max="16384" width="8.6328125" style="7"/>
  </cols>
  <sheetData/>
  <protectedRanges>
    <protectedRange sqref="BBH2:BBS10" name="範圍1_2_12"/>
    <protectedRange sqref="BAO2:BBE19" name="範圍1_2_13"/>
    <protectedRange sqref="BAA2:BAL25" name="範圍1_1_4"/>
    <protectedRange sqref="AYX2:AZX45" name="範圍1_2"/>
    <protectedRange sqref="AYI2:AYT133" name="範圍1_7"/>
    <protectedRange sqref="AXT2:AYE133" name="範圍1_10"/>
    <protectedRange sqref="AXE2:AXP135" name="範圍1_15"/>
    <protectedRange sqref="AWP2:AXA144" name="範圍1_1"/>
    <protectedRange sqref="AWA2:AWL144" name="範圍1_19"/>
    <protectedRange sqref="AVL2:AVW148" name="範圍1_9"/>
    <protectedRange sqref="AUW2:AVH154" name="範圍1_1_1"/>
    <protectedRange sqref="AUH2:AUS159" name="範圍1_13"/>
    <protectedRange sqref="ATS2:AUD159" name="範圍1_1_2"/>
    <protectedRange sqref="ATD2:ATO159" name="範圍1_16"/>
    <protectedRange sqref="ASO2:ASZ159" name="範圍1_1_3"/>
    <protectedRange sqref="ARZ2:ASK159" name="範圍1_29"/>
    <protectedRange sqref="ARK2:ARV160" name="範圍1_1_5"/>
    <protectedRange sqref="AQV2:ARG162" name="範圍1_18"/>
    <protectedRange sqref="AQG2:AQR166" name="範圍1_1_6"/>
    <protectedRange sqref="APR2:AQC170" name="範圍1_22"/>
    <protectedRange sqref="AOO98:APN115 AOA116:APN175 APC2:APN97" name="範圍1_1_7"/>
    <protectedRange sqref="AOO2:AOZ97" name="範圍1_26"/>
    <protectedRange sqref="AOA2:AOL110" name="範圍1_1_8"/>
    <protectedRange sqref="AMX155:ANW188 ANL2:ANW154" name="範圍1_41"/>
    <protectedRange sqref="AMX2:ANI130" name="範圍1_1_9"/>
    <protectedRange sqref="AMI2:AMT189" name="範圍1_36"/>
    <protectedRange sqref="ALT2:AME189" name="範圍1_1_10"/>
    <protectedRange sqref="ALE2:ALP191" name="範圍1_30"/>
    <protectedRange sqref="AKN2:AKY202" name="範圍1_1_12"/>
    <protectedRange sqref="AJY2:AKJ204" name="範圍1_49"/>
    <protectedRange sqref="AJJ2:AJW210" name="範圍1_1_11"/>
    <protectedRange sqref="AJD2:AJI218" name="範圍1_55"/>
    <protectedRange sqref="AIR2:AJC218" name="範圍1_1_13"/>
    <protectedRange sqref="AGM2:AGO240" name="範圍1_1_14"/>
    <protectedRange sqref="ADW161:ADZ261" name="範圍1_1_17"/>
    <protectedRange sqref="ABC241:ACJ258 ACE178:ACJ191 ABQ192:ACJ240 AAO259:AAQ277 AAG278:AAQ289 AAA278:AAE289 AAT259:ACJ289" name="範圍1_1_16"/>
    <protectedRange sqref="XG322:XL340 WS341:XL357 VK358:VS378 UC379:UM405 VV358:XL427 UO379:VS427 TE406:TE427 TG406:UM427 SU406:TC427" name="範圍1_1_18"/>
    <protectedRange sqref="VK2:VV25" name="範圍1_8"/>
    <protectedRange sqref="VK26:VV33" name="範圍1_9_1"/>
    <protectedRange sqref="VK34:VV34" name="範圍1_10_1"/>
    <protectedRange sqref="VK35:VV42" name="範圍1_11"/>
    <protectedRange sqref="VK43:VV46" name="範圍1_12_1"/>
    <protectedRange sqref="VK47:VV47" name="範圍1_13_1"/>
    <protectedRange sqref="VK48:VV50" name="範圍1_14_1"/>
    <protectedRange sqref="VK51:VV55" name="範圍1_15_1"/>
    <protectedRange sqref="VK56:VV61" name="範圍1_16_1"/>
    <protectedRange sqref="VK62:VV135" name="範圍1_17"/>
    <protectedRange sqref="VK136:VV136" name="範圍1_18_1"/>
    <protectedRange sqref="VK137:VV137" name="範圍1_19_1"/>
    <protectedRange sqref="VK138:VV203" name="範圍1_20"/>
    <protectedRange sqref="VK204:VV211" name="範圍1_21"/>
    <protectedRange sqref="VK212:VV213" name="範圍1_22_1"/>
    <protectedRange sqref="VK214:VV215" name="範圍1_23"/>
    <protectedRange sqref="VK216:VV218" name="範圍1_24"/>
    <protectedRange sqref="VK219:VV223" name="範圍1_25"/>
    <protectedRange sqref="VK224:VV226" name="範圍1_26_1"/>
    <protectedRange sqref="VK227:VV229" name="範圍1_28"/>
    <protectedRange sqref="VK230:VV232" name="範圍1_29_1"/>
    <protectedRange sqref="VK233:VV234" name="範圍1_30_1"/>
    <protectedRange sqref="VK235:VV269" name="範圍1_31"/>
    <protectedRange sqref="VK270:VV277" name="範圍1_32"/>
    <protectedRange sqref="VK278:VV289" name="範圍1_34"/>
    <protectedRange sqref="VK290:VV298" name="範圍1_35"/>
    <protectedRange sqref="VK299:VV301" name="範圍1_36_1"/>
    <protectedRange sqref="VK302:VV357" name="範圍1_37"/>
    <protectedRange sqref="UC2:UN30" name="範圍1_8_1"/>
    <protectedRange sqref="UC31:UN40" name="範圍1_9_2"/>
    <protectedRange sqref="UC41:UN41" name="範圍1_10_2"/>
    <protectedRange sqref="UC42:UN49" name="範圍1_11_1"/>
    <protectedRange sqref="UC50:UN53" name="範圍1_12_2"/>
    <protectedRange sqref="UC54:UN54" name="範圍1_13_2"/>
    <protectedRange sqref="UC55:UN57" name="範圍1_14_2"/>
    <protectedRange sqref="UC58:UN62" name="範圍1_15_2"/>
    <protectedRange sqref="UC63:UN68" name="範圍1_16_2"/>
    <protectedRange sqref="UC69:UN71 UC73:UN146" name="範圍1_17_1"/>
    <protectedRange sqref="UC72:UN72" name="範圍1_1_1_2"/>
    <protectedRange sqref="UC147:UN147" name="範圍1_18_2"/>
    <protectedRange sqref="UC148:UN148" name="範圍1_19_2"/>
    <protectedRange sqref="UC149:UN215" name="範圍1_20_1"/>
    <protectedRange sqref="UC216:UN224" name="範圍1_21_1"/>
    <protectedRange sqref="UC225:UN226" name="範圍1_22_2"/>
    <protectedRange sqref="UC227:UN228" name="範圍1_23_1"/>
    <protectedRange sqref="UC229:UN233" name="範圍1_24_1"/>
    <protectedRange sqref="UC234:UN238" name="範圍1_25_1"/>
    <protectedRange sqref="UC239:UN241" name="範圍1_26_2"/>
    <protectedRange sqref="UC242:UN246" name="範圍1_28_1"/>
    <protectedRange sqref="UC247:UN249" name="範圍1_29_2"/>
    <protectedRange sqref="UC250:UN251" name="範圍1_30_2"/>
    <protectedRange sqref="UC252:UN282" name="範圍1_31_1"/>
    <protectedRange sqref="UC283:UN288" name="範圍1_32_1"/>
    <protectedRange sqref="UC289:UN289" name="範圍1_33_1"/>
    <protectedRange sqref="UC290:UN302" name="範圍1_34_1"/>
    <protectedRange sqref="UC303:UN315" name="範圍1_35_1"/>
    <protectedRange sqref="UC316:UN316" name="範圍1_36_2"/>
    <protectedRange sqref="UC317:UN377" name="範圍1_37_1"/>
    <protectedRange sqref="UC1:UK1" name="範圍1_40"/>
    <protectedRange sqref="SU2:TF4" name="範圍1_7_3"/>
    <protectedRange sqref="SU5:TF37" name="範圍1_8_2"/>
    <protectedRange sqref="SU38:TF47" name="範圍1_9_3"/>
    <protectedRange sqref="SU48:TF48" name="範圍1_10_3"/>
    <protectedRange sqref="SU49:TF56" name="範圍1_11_2"/>
    <protectedRange sqref="SU57:TF60" name="範圍1_12"/>
    <protectedRange sqref="SU61:TF61" name="範圍1_13_3"/>
    <protectedRange sqref="SU62:TF64" name="範圍1_14"/>
    <protectedRange sqref="SU65:TF69" name="範圍1_15_3"/>
    <protectedRange sqref="SU70:TF77" name="範圍1_16_3"/>
    <protectedRange sqref="SU78:TF80 SU82:TF157" name="範圍1_17_2"/>
    <protectedRange sqref="SU81:TF81" name="範圍1_1_1_3"/>
    <protectedRange sqref="SU158:TF158" name="範圍1_18_3"/>
    <protectedRange sqref="SU159:TF159" name="範圍1_19_3"/>
    <protectedRange sqref="SU160:TF230" name="範圍1_20_2"/>
    <protectedRange sqref="SU231:TF239" name="範圍1_21_2"/>
    <protectedRange sqref="SU240:TF241" name="範圍1_22_3"/>
    <protectedRange sqref="SU242:TF244" name="範圍1_23_2"/>
    <protectedRange sqref="SU245:TF250" name="範圍1_24_2"/>
    <protectedRange sqref="SU251:TF255" name="範圍1_25_2"/>
    <protectedRange sqref="SU256:TF258" name="範圍1_26_3"/>
    <protectedRange sqref="SU259:TF261" name="範圍1_28_2"/>
    <protectedRange sqref="SU262:TF264" name="範圍1_29_3"/>
    <protectedRange sqref="SU265:TF266" name="範圍1_30_3"/>
    <protectedRange sqref="SU267:TF292" name="範圍1_31_2"/>
    <protectedRange sqref="SU293:TF298" name="範圍1_32_2"/>
    <protectedRange sqref="SU299:TF300" name="範圍1_33_2"/>
    <protectedRange sqref="SU301:TF316" name="範圍1_34_2"/>
    <protectedRange sqref="SU317:TF331" name="範圍1_35_2"/>
    <protectedRange sqref="SU332:TF334" name="範圍1_36_3"/>
    <protectedRange sqref="SU335:TF404" name="範圍1_37_2"/>
    <protectedRange sqref="RM2:RX11" name="範圍1_7_4"/>
    <protectedRange sqref="RM12:RX44" name="範圍1_8_3"/>
    <protectedRange sqref="RM45:RX54" name="範圍1_9_4"/>
    <protectedRange sqref="RM55:RX55" name="範圍1_10_4"/>
    <protectedRange sqref="RM56:RX63" name="範圍1_11_3"/>
    <protectedRange sqref="RM64:RX67" name="範圍1_12_3"/>
    <protectedRange sqref="RM68:RX68" name="範圍1_13_4"/>
    <protectedRange sqref="RM69:RX73" name="範圍1_14_3"/>
    <protectedRange sqref="RM74:RX78" name="範圍1_15_4"/>
    <protectedRange sqref="RM79:RX86" name="範圍1_16_4"/>
    <protectedRange sqref="RM87:RX89 RM91:RX170" name="範圍1_17_3"/>
    <protectedRange sqref="RM90:RX90" name="範圍1_1_1_4"/>
    <protectedRange sqref="RM171:RX171" name="範圍1_18_4"/>
    <protectedRange sqref="RM172:RX172" name="範圍1_19_4"/>
    <protectedRange sqref="RM173:RX247" name="範圍1_20_3"/>
    <protectedRange sqref="RM248:RX256" name="範圍1_21_3"/>
    <protectedRange sqref="RM257:RX258" name="範圍1_22_4"/>
    <protectedRange sqref="RM259:RX259" name="範圍1_23_3"/>
    <protectedRange sqref="RM260:RX265" name="範圍1_24_3"/>
    <protectedRange sqref="RM266:RX269" name="範圍1_25_3"/>
    <protectedRange sqref="RM270:RX271" name="範圍1_26_4"/>
    <protectedRange sqref="RM272:RX272" name="範圍1_27_3"/>
    <protectedRange sqref="RM273:RX276" name="範圍1_28_3"/>
    <protectedRange sqref="RM277:RX277" name="範圍1_29_4"/>
    <protectedRange sqref="RM278:RX279" name="範圍1_30_4"/>
    <protectedRange sqref="RM280:RX305" name="範圍1_31_3"/>
    <protectedRange sqref="RM306:RX315" name="範圍1_32_3"/>
    <protectedRange sqref="RM316:RX316" name="範圍1_33_3"/>
    <protectedRange sqref="RM317:RX335" name="範圍1_34_3"/>
    <protectedRange sqref="RM336:RX350" name="範圍1_35_3"/>
    <protectedRange sqref="RM351:RX353" name="範圍1_36_4"/>
    <protectedRange sqref="RM354:RX426" name="範圍1_37_3"/>
    <protectedRange sqref="QE2:QP18" name="範圍1_7_5"/>
    <protectedRange sqref="QE19:QP51" name="範圍1_8_4"/>
    <protectedRange sqref="QE52:QP61" name="範圍1_9_5"/>
    <protectedRange sqref="QE62:QP62" name="範圍1_10_5"/>
    <protectedRange sqref="QE63:QP70" name="範圍1_11_4"/>
    <protectedRange sqref="QE71:QP76" name="範圍1_12_4"/>
    <protectedRange sqref="QE77:QP77" name="範圍1_13_5"/>
    <protectedRange sqref="QE78:QP82" name="範圍1_14_4"/>
    <protectedRange sqref="QE83:QP87" name="範圍1_15_5"/>
    <protectedRange sqref="QE88:QP95" name="範圍1_16_5"/>
    <protectedRange sqref="QE96:QP96 QE98:QP181" name="範圍1_17_4"/>
    <protectedRange sqref="QE97:QP97" name="範圍1_1_1_5"/>
    <protectedRange sqref="QE182:QP182" name="範圍1_18_5"/>
    <protectedRange sqref="QE183:QP183" name="範圍1_19_5"/>
    <protectedRange sqref="QE184:QP262" name="範圍1_20_4"/>
    <protectedRange sqref="QE263:QP269" name="範圍1_21_4"/>
    <protectedRange sqref="QE270:QP272" name="範圍1_22_5"/>
    <protectedRange sqref="QE273:QP274" name="範圍1_23_4"/>
    <protectedRange sqref="QE275:QP278" name="範圍1_24_4"/>
    <protectedRange sqref="QE279:QP282" name="範圍1_25_4"/>
    <protectedRange sqref="QE283:QP284" name="範圍1_26_5"/>
    <protectedRange sqref="QE285:QP287" name="範圍1_28_4"/>
    <protectedRange sqref="QE288:QP289" name="範圍1_29_5"/>
    <protectedRange sqref="QE290:QP321" name="範圍1_31_4"/>
    <protectedRange sqref="QE322:QP331" name="範圍1_32_4"/>
    <protectedRange sqref="QE332:QP333" name="範圍1_33_4"/>
    <protectedRange sqref="QE334:QP354" name="範圍1_34_4"/>
    <protectedRange sqref="QE355:QP369" name="範圍1_35_4"/>
    <protectedRange sqref="QE370:QP372" name="範圍1_36_5"/>
    <protectedRange sqref="QE373:QP453" name="範圍1_37_4"/>
    <protectedRange sqref="QE1:QM1" name="範圍1_44"/>
    <protectedRange sqref="OY134:PG136 OY54:PG54 OY58:PG58 OY60:PG80 OY143:PG143 OY147:PG147 OY149:PG158 OY161:PG165 OY167:PG168 OY172:PG172 OY187:PG189 OY191:PG194 OY196:PG196 OY198:PG200 OY217:PG217 OY220:PG220 OY222:PG224 OY227:PG230 OY233:PG234 OY237:PG238 OY241:PG244 OY246:PG257 OY264:PG268 OY274:PG274 OY407:PG407 OY2:PG11 PH406:PJ408 OY170:PG170 OY259:PG261 OY82:PG132 OY176:PG185 PH527:PJ537 OY527:PG529 OY13:PG50 OY203:PG214 OY467:PJ526 OY397:PJ405 OY409:PJ416 OY282:PG285 PH2:PJ132 PH417:PJ466 OY419:PG466 PH134:PJ396 OY288:PG395" name="範圍1_38"/>
    <protectedRange sqref="OY133:PJ133" name="範圍1_1_2_1"/>
    <protectedRange sqref="OY12:PG12" name="範圍1_3_1"/>
    <protectedRange sqref="OY51:PG53" name="範圍1_4_1"/>
    <protectedRange sqref="OY55:PG56" name="範圍1_5_1_1"/>
    <protectedRange sqref="OY57:PG57" name="範圍1_6_1_1"/>
    <protectedRange sqref="OY59:PG59" name="範圍1_7_1_1"/>
    <protectedRange sqref="OY81:PG81" name="範圍1_8_1_1"/>
    <protectedRange sqref="OY173:PG175 OY186:PG186 OY190:PG190 OY195:PG195 OY197:PG197 OY201:PG202 OY215:PG216 OY218:PG219 OY221:PG221 OY225:PG226 OY231:PG232 OY235:PG236 OY239:PG240 OY245:PG245 OY258:PG258 OY269:PG273 OY275:PG281 OY286:PG287" name="範圍1_9_1_1"/>
    <protectedRange sqref="OY137:PG139" name="範圍1_17_1_1"/>
    <protectedRange sqref="OY140:PG142" name="範圍1_18_1_1"/>
    <protectedRange sqref="OY144:PG146" name="範圍1_19_1_1"/>
    <protectedRange sqref="OY148:PG148" name="範圍1_20_1_1"/>
    <protectedRange sqref="OY159:PG160" name="範圍1_21_1_1"/>
    <protectedRange sqref="OY166:PG166" name="範圍1_22_1_1"/>
    <protectedRange sqref="OY169:PG169" name="範圍1_23_1_1"/>
    <protectedRange sqref="OY171:PG171" name="範圍1_24_1_1"/>
    <protectedRange sqref="OY262:PG263" name="範圍1_25_1_1"/>
    <protectedRange sqref="OY396:PG396" name="範圍1_26_1_1"/>
    <protectedRange sqref="OY406:PG406" name="範圍1_27_1"/>
    <protectedRange sqref="OY408:PG408" name="範圍1_28_1_1"/>
    <protectedRange sqref="OY417:PG418" name="範圍1_29_1_1"/>
    <protectedRange sqref="OY530:PG537" name="範圍1_30_1_1"/>
    <protectedRange sqref="OY1:PG1" name="範圍1"/>
    <protectedRange sqref="NQ2:OB150 NQ152:OB613" name="範圍1_3"/>
    <protectedRange sqref="NQ151:OB151" name="範圍1_1_15"/>
    <protectedRange sqref="NQ1:NY1" name="範圍1_4"/>
    <protectedRange sqref="MI2:MS641" name="範圍1_1_19"/>
    <protectedRange sqref="MI1:MQ1" name="範圍1_27"/>
    <protectedRange sqref="LB2:LK641" name="範圍1_1_20"/>
    <protectedRange sqref="LB1:LJ1" name="範圍1_39"/>
    <protectedRange sqref="JS2:KD1565" name="範圍1_1_21"/>
    <protectedRange sqref="JS1:KA1" name="範圍1_42"/>
    <protectedRange sqref="IJ2:IU1584" name="範圍1_1_22"/>
    <protectedRange sqref="IJ1:IR1" name="範圍1_5"/>
    <protectedRange sqref="HC2:HL1603" name="範圍1_1_23"/>
    <protectedRange sqref="HC1:HK1" name="範圍1_6"/>
    <protectedRange sqref="FV2:GE1624" name="範圍1_1_24"/>
    <protectedRange sqref="FV1:GD1" name="範圍1_33"/>
    <protectedRange sqref="EO2:EX1645" name="範圍1_1_25"/>
    <protectedRange sqref="EO1:EW1" name="範圍1_43"/>
    <protectedRange sqref="DH2:DQ1666" name="範圍1_1_26"/>
    <protectedRange sqref="DH1:DP1" name="範圍1_45"/>
    <protectedRange sqref="AB1074 AB1681 C1659:AF1677 AL1659:CE1677 AL2:AL1687 Y2:AA1687 AH2:AJ1687 AD2:AD1687 V2:W1687 AF2:AF1687 AO2:CE1687" name="範圍1_1_27"/>
    <protectedRange sqref="AD1 AR1:CD1" name="範圍1_46"/>
  </protectedRange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CG1810"/>
  <sheetViews>
    <sheetView workbookViewId="0">
      <selection sqref="A1:BM2"/>
    </sheetView>
  </sheetViews>
  <sheetFormatPr defaultColWidth="8.6328125" defaultRowHeight="17" outlineLevelCol="1"/>
  <cols>
    <col min="1" max="1" width="9.6328125" style="7" bestFit="1" customWidth="1"/>
    <col min="2" max="2" width="10.453125" style="7" customWidth="1"/>
    <col min="3" max="3" width="17" style="36" customWidth="1"/>
    <col min="4" max="5" width="33.90625" style="35" customWidth="1"/>
    <col min="6" max="6" width="12.6328125" style="35" customWidth="1"/>
    <col min="7" max="7" width="13.453125" style="35" customWidth="1"/>
    <col min="8" max="8" width="7.90625" style="35" customWidth="1"/>
    <col min="9" max="9" width="10.453125" style="37" customWidth="1"/>
    <col min="10" max="10" width="7.90625" style="37" customWidth="1"/>
    <col min="11" max="11" width="6.90625" style="38" customWidth="1"/>
    <col min="12" max="12" width="9" style="38" customWidth="1"/>
    <col min="13" max="13" width="8.90625" style="39" customWidth="1"/>
    <col min="14" max="14" width="11.08984375" style="39" customWidth="1"/>
    <col min="15" max="15" width="10.453125" style="40" customWidth="1"/>
    <col min="16" max="18" width="8.08984375" style="39" customWidth="1" outlineLevel="1"/>
    <col min="19" max="19" width="5.08984375" style="39" customWidth="1" outlineLevel="1"/>
    <col min="20" max="20" width="7.36328125" style="39" customWidth="1" outlineLevel="1"/>
    <col min="21" max="23" width="5" style="39" customWidth="1" outlineLevel="1"/>
    <col min="24" max="24" width="25.6328125" style="41" customWidth="1" outlineLevel="1"/>
    <col min="25" max="25" width="13.90625" style="39" customWidth="1"/>
    <col min="26" max="26" width="10" style="39" customWidth="1" collapsed="1"/>
    <col min="27" max="27" width="6.90625" style="41" customWidth="1"/>
    <col min="28" max="28" width="11.08984375" style="41" customWidth="1"/>
    <col min="29" max="29" width="9.36328125" style="39" customWidth="1"/>
    <col min="30" max="30" width="14.453125" style="39" customWidth="1"/>
    <col min="31" max="31" width="2.6328125" style="7" customWidth="1"/>
    <col min="32" max="33" width="10.453125" style="39" customWidth="1"/>
    <col min="34" max="35" width="9.90625" style="39" customWidth="1"/>
    <col min="36" max="36" width="35.453125" style="39" customWidth="1"/>
    <col min="37" max="39" width="9.90625" style="39" customWidth="1"/>
    <col min="40" max="40" width="35.453125" style="39" customWidth="1"/>
    <col min="41" max="41" width="9.90625" style="39" customWidth="1"/>
    <col min="42" max="42" width="9.6328125" style="41" customWidth="1"/>
    <col min="43" max="82" width="8.90625" style="39" customWidth="1" outlineLevel="1"/>
    <col min="83" max="85" width="10.453125" style="39" customWidth="1"/>
    <col min="86" max="86" width="30.453125" style="7" customWidth="1"/>
    <col min="87" max="1051" width="9" style="7" customWidth="1"/>
    <col min="1052" max="16384" width="8.6328125" style="7"/>
  </cols>
  <sheetData>
    <row r="1" spans="1:85" s="18" customFormat="1" ht="52">
      <c r="A1" s="8" t="s">
        <v>1234</v>
      </c>
      <c r="B1" s="8" t="s">
        <v>1233</v>
      </c>
      <c r="C1" s="8" t="s">
        <v>8</v>
      </c>
      <c r="D1" s="8" t="s">
        <v>18</v>
      </c>
      <c r="E1" s="8" t="s">
        <v>80</v>
      </c>
      <c r="F1" s="8" t="s">
        <v>7</v>
      </c>
      <c r="G1" s="8" t="s">
        <v>19</v>
      </c>
      <c r="H1" s="9" t="s">
        <v>20</v>
      </c>
      <c r="I1" s="9" t="s">
        <v>21</v>
      </c>
      <c r="J1" s="9" t="s">
        <v>22</v>
      </c>
      <c r="K1" s="9" t="s">
        <v>23</v>
      </c>
      <c r="L1" s="2" t="s">
        <v>24</v>
      </c>
      <c r="M1" s="2" t="s">
        <v>25</v>
      </c>
      <c r="N1" s="2" t="s">
        <v>26</v>
      </c>
      <c r="O1" s="3" t="s">
        <v>27</v>
      </c>
      <c r="P1" s="10" t="s">
        <v>15</v>
      </c>
      <c r="Q1" s="11" t="s">
        <v>28</v>
      </c>
      <c r="R1" s="12" t="s">
        <v>29</v>
      </c>
      <c r="S1" s="12" t="s">
        <v>30</v>
      </c>
      <c r="T1" s="12" t="s">
        <v>31</v>
      </c>
      <c r="U1" s="12" t="s">
        <v>12</v>
      </c>
      <c r="V1" s="12" t="s">
        <v>32</v>
      </c>
      <c r="W1" s="12" t="s">
        <v>33</v>
      </c>
      <c r="X1" s="13" t="s">
        <v>13</v>
      </c>
      <c r="Y1" s="14" t="s">
        <v>34</v>
      </c>
      <c r="Z1" s="14" t="s">
        <v>35</v>
      </c>
      <c r="AA1" s="15" t="s">
        <v>36</v>
      </c>
      <c r="AB1" s="15" t="s">
        <v>37</v>
      </c>
      <c r="AC1" s="16" t="s">
        <v>38</v>
      </c>
      <c r="AD1" s="17" t="s">
        <v>39</v>
      </c>
      <c r="AF1" s="19" t="s">
        <v>40</v>
      </c>
      <c r="AG1" s="19" t="s">
        <v>41</v>
      </c>
      <c r="AH1" s="19" t="s">
        <v>42</v>
      </c>
      <c r="AI1" s="19" t="s">
        <v>43</v>
      </c>
      <c r="AJ1" s="19" t="s">
        <v>44</v>
      </c>
      <c r="AK1" s="19" t="s">
        <v>45</v>
      </c>
      <c r="AL1" s="19" t="s">
        <v>46</v>
      </c>
      <c r="AM1" s="19" t="s">
        <v>47</v>
      </c>
      <c r="AN1" s="19" t="s">
        <v>48</v>
      </c>
      <c r="AO1" s="20" t="s">
        <v>49</v>
      </c>
      <c r="AP1" s="21" t="s">
        <v>50</v>
      </c>
      <c r="AQ1" s="22" t="s">
        <v>51</v>
      </c>
      <c r="AR1" s="23" t="s">
        <v>16</v>
      </c>
      <c r="AS1" s="23" t="s">
        <v>52</v>
      </c>
      <c r="AT1" s="23" t="s">
        <v>53</v>
      </c>
      <c r="AU1" s="23" t="s">
        <v>54</v>
      </c>
      <c r="AV1" s="23" t="s">
        <v>55</v>
      </c>
      <c r="AW1" s="23" t="s">
        <v>56</v>
      </c>
      <c r="AX1" s="23" t="s">
        <v>57</v>
      </c>
      <c r="AY1" s="23" t="s">
        <v>58</v>
      </c>
      <c r="AZ1" s="23" t="s">
        <v>59</v>
      </c>
      <c r="BA1" s="23" t="s">
        <v>60</v>
      </c>
      <c r="BB1" s="23" t="s">
        <v>61</v>
      </c>
      <c r="BC1" s="23" t="s">
        <v>62</v>
      </c>
      <c r="BD1" s="23" t="s">
        <v>63</v>
      </c>
      <c r="BE1" s="23" t="s">
        <v>64</v>
      </c>
      <c r="BF1" s="23" t="s">
        <v>65</v>
      </c>
      <c r="BG1" s="23" t="s">
        <v>66</v>
      </c>
      <c r="BH1" s="23" t="s">
        <v>67</v>
      </c>
      <c r="BI1" s="23" t="s">
        <v>68</v>
      </c>
      <c r="BJ1" s="23" t="s">
        <v>69</v>
      </c>
      <c r="BK1" s="119" t="s">
        <v>1235</v>
      </c>
      <c r="BL1" s="119" t="s">
        <v>1236</v>
      </c>
      <c r="BM1" s="119" t="s">
        <v>1237</v>
      </c>
      <c r="BN1" s="119" t="s">
        <v>1238</v>
      </c>
      <c r="BO1" s="119" t="s">
        <v>1239</v>
      </c>
      <c r="BP1" s="119" t="s">
        <v>1240</v>
      </c>
      <c r="BQ1" s="119" t="s">
        <v>1241</v>
      </c>
      <c r="BR1" s="119" t="s">
        <v>1242</v>
      </c>
      <c r="BS1" s="119" t="s">
        <v>1243</v>
      </c>
      <c r="BT1" s="119" t="s">
        <v>1244</v>
      </c>
      <c r="BU1" s="119" t="s">
        <v>1245</v>
      </c>
      <c r="BV1" s="119" t="s">
        <v>1246</v>
      </c>
      <c r="BW1" s="119" t="s">
        <v>1247</v>
      </c>
      <c r="BX1" s="119" t="s">
        <v>1248</v>
      </c>
      <c r="BY1" s="119" t="s">
        <v>1249</v>
      </c>
      <c r="BZ1" s="119" t="s">
        <v>1250</v>
      </c>
      <c r="CA1" s="119" t="s">
        <v>1251</v>
      </c>
      <c r="CB1" s="119" t="s">
        <v>1252</v>
      </c>
      <c r="CC1" s="119" t="s">
        <v>1253</v>
      </c>
      <c r="CD1" s="119" t="s">
        <v>1254</v>
      </c>
      <c r="CE1" s="24" t="s">
        <v>70</v>
      </c>
      <c r="CF1" s="24" t="s">
        <v>71</v>
      </c>
      <c r="CG1" s="24" t="s">
        <v>72</v>
      </c>
    </row>
    <row r="2" spans="1:85" s="34" customFormat="1">
      <c r="A2" s="25" t="s">
        <v>6</v>
      </c>
      <c r="B2" s="26" t="s">
        <v>73</v>
      </c>
      <c r="C2" s="27" t="s">
        <v>1</v>
      </c>
      <c r="D2" s="28" t="s">
        <v>2</v>
      </c>
      <c r="E2" s="28"/>
      <c r="F2" s="29" t="s">
        <v>0</v>
      </c>
      <c r="G2" s="29" t="s">
        <v>0</v>
      </c>
      <c r="H2" s="30" t="s">
        <v>3</v>
      </c>
      <c r="I2" s="30" t="s">
        <v>9</v>
      </c>
      <c r="J2" s="31" t="s">
        <v>4</v>
      </c>
      <c r="K2" s="1" t="s">
        <v>5</v>
      </c>
      <c r="L2" s="4">
        <f>M2+N2</f>
        <v>1390</v>
      </c>
      <c r="M2" s="5">
        <v>695</v>
      </c>
      <c r="N2" s="5">
        <v>695</v>
      </c>
      <c r="O2" s="6">
        <v>0</v>
      </c>
      <c r="P2" s="1" t="s">
        <v>74</v>
      </c>
      <c r="Q2" s="1" t="s">
        <v>17</v>
      </c>
      <c r="R2" s="1" t="s">
        <v>75</v>
      </c>
      <c r="S2" s="1" t="s">
        <v>10</v>
      </c>
      <c r="T2" s="1" t="s">
        <v>10</v>
      </c>
      <c r="U2" s="1" t="s">
        <v>11</v>
      </c>
      <c r="V2" s="1" t="s">
        <v>11</v>
      </c>
      <c r="W2" s="29"/>
      <c r="X2" s="32" t="s">
        <v>14</v>
      </c>
      <c r="Y2" s="1" t="s">
        <v>76</v>
      </c>
      <c r="Z2" s="1">
        <f t="shared" ref="Z2" si="0">SUMIF(Y2,"Y",M2)</f>
        <v>695</v>
      </c>
      <c r="AA2" s="33"/>
      <c r="AB2" s="33"/>
      <c r="AC2" s="1"/>
      <c r="AD2" s="1">
        <f t="shared" ref="AD2" si="1">Z2*AC2</f>
        <v>0</v>
      </c>
      <c r="AF2" s="1"/>
      <c r="AG2" s="1">
        <f t="shared" ref="AG2" si="2">SUMIF(AF2,"Y",O2)*AC2</f>
        <v>0</v>
      </c>
      <c r="AH2" s="1"/>
      <c r="AI2" s="1">
        <f t="shared" ref="AI2" si="3">(M2-AG2)*COUNTIF(AQ2:AZ2,"L")</f>
        <v>695</v>
      </c>
      <c r="AJ2" s="1"/>
      <c r="AK2" s="1"/>
      <c r="AL2" s="1">
        <f>IFERROR(COUNTIF(AQ2:AZ2,"S")/(COUNTIF(AQ2:AZ2,"V")+COUNTIF(AQ2:AZ2,"S")),0)</f>
        <v>0.5</v>
      </c>
      <c r="AM2" s="1">
        <f t="shared" ref="AM2" si="4">(AD2-AG2-AI2)*AL2</f>
        <v>-347.5</v>
      </c>
      <c r="AN2" s="1"/>
      <c r="AO2" s="1">
        <f>COUNTIF(AQ2:AZ2,"V")</f>
        <v>1</v>
      </c>
      <c r="AP2" s="1">
        <f>AD2-AG2-AI2-AM2</f>
        <v>-347.5</v>
      </c>
      <c r="AQ2" s="1" t="s">
        <v>77</v>
      </c>
      <c r="AR2" s="1" t="s">
        <v>78</v>
      </c>
      <c r="AS2" s="1" t="s">
        <v>79</v>
      </c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</row>
    <row r="3" spans="1:85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</row>
    <row r="4" spans="1:85"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</row>
    <row r="5" spans="1:85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</row>
    <row r="6" spans="1:85"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</row>
    <row r="7" spans="1:85"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</row>
    <row r="8" spans="1:8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</row>
    <row r="9" spans="1:85"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</row>
    <row r="10" spans="1:8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</row>
    <row r="11" spans="1:8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</row>
    <row r="12" spans="1:8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</row>
    <row r="13" spans="1:8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</row>
    <row r="14" spans="1:8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</row>
    <row r="15" spans="1:8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</row>
    <row r="16" spans="1:8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</row>
    <row r="17" spans="3:8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</row>
    <row r="18" spans="3:85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</row>
    <row r="19" spans="3:8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</row>
    <row r="20" spans="3:85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</row>
    <row r="21" spans="3:85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</row>
    <row r="22" spans="3:85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</row>
    <row r="23" spans="3:8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</row>
    <row r="24" spans="3:8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</row>
    <row r="25" spans="3:8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</row>
    <row r="26" spans="3:8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</row>
    <row r="27" spans="3:8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</row>
    <row r="28" spans="3:8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</row>
    <row r="29" spans="3:8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</row>
    <row r="30" spans="3:8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</row>
    <row r="31" spans="3:8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</row>
    <row r="32" spans="3:8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</row>
    <row r="33" spans="3:8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</row>
    <row r="34" spans="3:85"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</row>
    <row r="35" spans="3:8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</row>
    <row r="36" spans="3:85"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</row>
    <row r="37" spans="3:85"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</row>
    <row r="38" spans="3:85"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</row>
    <row r="39" spans="3:85"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</row>
    <row r="40" spans="3:85"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</row>
    <row r="41" spans="3:85"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</row>
    <row r="42" spans="3:85"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</row>
    <row r="43" spans="3:85"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</row>
    <row r="44" spans="3:85"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</row>
    <row r="45" spans="3:8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</row>
    <row r="46" spans="3:8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</row>
    <row r="47" spans="3:8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</row>
    <row r="48" spans="3:8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</row>
    <row r="49" spans="3:8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</row>
    <row r="50" spans="3:85"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</row>
    <row r="51" spans="3:85"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</row>
    <row r="52" spans="3:85"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</row>
    <row r="53" spans="3:85"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</row>
    <row r="54" spans="3:85"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</row>
    <row r="55" spans="3:85"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</row>
    <row r="56" spans="3:85"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</row>
    <row r="57" spans="3:85"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</row>
    <row r="58" spans="3:85"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</row>
    <row r="59" spans="3:85"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</row>
    <row r="60" spans="3:85"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</row>
    <row r="61" spans="3:85"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</row>
    <row r="62" spans="3:85"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</row>
    <row r="63" spans="3:85"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</row>
    <row r="64" spans="3:85"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</row>
    <row r="65" spans="3:85"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</row>
    <row r="66" spans="3:85"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</row>
    <row r="67" spans="3:85"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</row>
    <row r="68" spans="3:85"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</row>
    <row r="69" spans="3:85"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</row>
    <row r="70" spans="3:85"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</row>
    <row r="71" spans="3:85"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</row>
    <row r="72" spans="3:85"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</row>
    <row r="73" spans="3:85"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</row>
    <row r="74" spans="3:85"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</row>
    <row r="75" spans="3:85"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</row>
    <row r="76" spans="3:85"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</row>
    <row r="77" spans="3:85"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</row>
    <row r="78" spans="3:85"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</row>
    <row r="79" spans="3:85"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</row>
    <row r="80" spans="3:85"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</row>
    <row r="81" spans="3:85"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</row>
    <row r="82" spans="3:85"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</row>
    <row r="83" spans="3:85"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</row>
    <row r="84" spans="3:85"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</row>
    <row r="85" spans="3:85"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</row>
    <row r="86" spans="3:85"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</row>
    <row r="87" spans="3:85"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</row>
    <row r="88" spans="3:85"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</row>
    <row r="89" spans="3:85"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</row>
    <row r="90" spans="3:85"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</row>
    <row r="91" spans="3:85"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</row>
    <row r="92" spans="3:85"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</row>
    <row r="93" spans="3:85"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</row>
    <row r="94" spans="3:85"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</row>
    <row r="95" spans="3:85"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</row>
    <row r="96" spans="3:85"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</row>
    <row r="97" spans="3:85"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</row>
    <row r="98" spans="3:85"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</row>
    <row r="99" spans="3:85"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</row>
    <row r="100" spans="3:85"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7"/>
      <c r="CD100" s="7"/>
      <c r="CE100" s="7"/>
      <c r="CF100" s="7"/>
      <c r="CG100" s="7"/>
    </row>
    <row r="101" spans="3:85"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7"/>
      <c r="CD101" s="7"/>
      <c r="CE101" s="7"/>
      <c r="CF101" s="7"/>
      <c r="CG101" s="7"/>
    </row>
    <row r="102" spans="3:85"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7"/>
      <c r="CD102" s="7"/>
      <c r="CE102" s="7"/>
      <c r="CF102" s="7"/>
      <c r="CG102" s="7"/>
    </row>
    <row r="103" spans="3:85"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7"/>
      <c r="CD103" s="7"/>
      <c r="CE103" s="7"/>
      <c r="CF103" s="7"/>
      <c r="CG103" s="7"/>
    </row>
    <row r="104" spans="3:85"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</row>
    <row r="105" spans="3:85"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7"/>
      <c r="CD105" s="7"/>
      <c r="CE105" s="7"/>
      <c r="CF105" s="7"/>
      <c r="CG105" s="7"/>
    </row>
    <row r="106" spans="3:85"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7"/>
      <c r="CD106" s="7"/>
      <c r="CE106" s="7"/>
      <c r="CF106" s="7"/>
      <c r="CG106" s="7"/>
    </row>
    <row r="107" spans="3:85"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7"/>
      <c r="CD107" s="7"/>
      <c r="CE107" s="7"/>
      <c r="CF107" s="7"/>
      <c r="CG107" s="7"/>
    </row>
    <row r="108" spans="3:85"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7"/>
      <c r="CD108" s="7"/>
      <c r="CE108" s="7"/>
      <c r="CF108" s="7"/>
      <c r="CG108" s="7"/>
    </row>
    <row r="109" spans="3:85"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7"/>
      <c r="CD109" s="7"/>
      <c r="CE109" s="7"/>
      <c r="CF109" s="7"/>
      <c r="CG109" s="7"/>
    </row>
    <row r="110" spans="3:85"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7"/>
      <c r="CD110" s="7"/>
      <c r="CE110" s="7"/>
      <c r="CF110" s="7"/>
      <c r="CG110" s="7"/>
    </row>
    <row r="111" spans="3:85"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7"/>
      <c r="CD111" s="7"/>
      <c r="CE111" s="7"/>
      <c r="CF111" s="7"/>
      <c r="CG111" s="7"/>
    </row>
    <row r="112" spans="3:85"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7"/>
      <c r="CD112" s="7"/>
      <c r="CE112" s="7"/>
      <c r="CF112" s="7"/>
      <c r="CG112" s="7"/>
    </row>
    <row r="113" spans="3:85"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7"/>
      <c r="CD113" s="7"/>
      <c r="CE113" s="7"/>
      <c r="CF113" s="7"/>
      <c r="CG113" s="7"/>
    </row>
    <row r="114" spans="3:85"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7"/>
      <c r="CD114" s="7"/>
      <c r="CE114" s="7"/>
      <c r="CF114" s="7"/>
      <c r="CG114" s="7"/>
    </row>
    <row r="115" spans="3:85"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7"/>
      <c r="CD115" s="7"/>
      <c r="CE115" s="7"/>
      <c r="CF115" s="7"/>
      <c r="CG115" s="7"/>
    </row>
    <row r="116" spans="3:85"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7"/>
      <c r="CD116" s="7"/>
      <c r="CE116" s="7"/>
      <c r="CF116" s="7"/>
      <c r="CG116" s="7"/>
    </row>
    <row r="117" spans="3:85"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7"/>
      <c r="CD117" s="7"/>
      <c r="CE117" s="7"/>
      <c r="CF117" s="7"/>
      <c r="CG117" s="7"/>
    </row>
    <row r="118" spans="3:85"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7"/>
      <c r="CD118" s="7"/>
      <c r="CE118" s="7"/>
      <c r="CF118" s="7"/>
      <c r="CG118" s="7"/>
    </row>
    <row r="119" spans="3:85"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7"/>
      <c r="CD119" s="7"/>
      <c r="CE119" s="7"/>
      <c r="CF119" s="7"/>
      <c r="CG119" s="7"/>
    </row>
    <row r="120" spans="3:85"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7"/>
      <c r="CD120" s="7"/>
      <c r="CE120" s="7"/>
      <c r="CF120" s="7"/>
      <c r="CG120" s="7"/>
    </row>
    <row r="121" spans="3:85"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7"/>
      <c r="CD121" s="7"/>
      <c r="CE121" s="7"/>
      <c r="CF121" s="7"/>
      <c r="CG121" s="7"/>
    </row>
    <row r="122" spans="3:85"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7"/>
      <c r="CD122" s="7"/>
      <c r="CE122" s="7"/>
      <c r="CF122" s="7"/>
      <c r="CG122" s="7"/>
    </row>
    <row r="123" spans="3:85"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</row>
    <row r="124" spans="3:85"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7"/>
      <c r="CD124" s="7"/>
      <c r="CE124" s="7"/>
      <c r="CF124" s="7"/>
      <c r="CG124" s="7"/>
    </row>
    <row r="125" spans="3:85"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7"/>
      <c r="CD125" s="7"/>
      <c r="CE125" s="7"/>
      <c r="CF125" s="7"/>
      <c r="CG125" s="7"/>
    </row>
    <row r="126" spans="3:85"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7"/>
      <c r="CD126" s="7"/>
      <c r="CE126" s="7"/>
      <c r="CF126" s="7"/>
      <c r="CG126" s="7"/>
    </row>
    <row r="127" spans="3:85"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7"/>
      <c r="CD127" s="7"/>
      <c r="CE127" s="7"/>
      <c r="CF127" s="7"/>
      <c r="CG127" s="7"/>
    </row>
    <row r="128" spans="3:85"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7"/>
      <c r="CD128" s="7"/>
      <c r="CE128" s="7"/>
      <c r="CF128" s="7"/>
      <c r="CG128" s="7"/>
    </row>
    <row r="129" spans="3:85"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7"/>
      <c r="CD129" s="7"/>
      <c r="CE129" s="7"/>
      <c r="CF129" s="7"/>
      <c r="CG129" s="7"/>
    </row>
    <row r="130" spans="3:8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7"/>
      <c r="CD130" s="7"/>
      <c r="CE130" s="7"/>
      <c r="CF130" s="7"/>
      <c r="CG130" s="7"/>
    </row>
    <row r="131" spans="3:8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7"/>
      <c r="CD131" s="7"/>
      <c r="CE131" s="7"/>
      <c r="CF131" s="7"/>
      <c r="CG131" s="7"/>
    </row>
    <row r="132" spans="3:8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7"/>
      <c r="CD132" s="7"/>
      <c r="CE132" s="7"/>
      <c r="CF132" s="7"/>
      <c r="CG132" s="7"/>
    </row>
    <row r="133" spans="3:8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7"/>
      <c r="CD133" s="7"/>
      <c r="CE133" s="7"/>
      <c r="CF133" s="7"/>
      <c r="CG133" s="7"/>
    </row>
    <row r="134" spans="3:8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7"/>
      <c r="CD134" s="7"/>
      <c r="CE134" s="7"/>
      <c r="CF134" s="7"/>
      <c r="CG134" s="7"/>
    </row>
    <row r="135" spans="3:8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7"/>
      <c r="CD135" s="7"/>
      <c r="CE135" s="7"/>
      <c r="CF135" s="7"/>
      <c r="CG135" s="7"/>
    </row>
    <row r="136" spans="3:8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7"/>
      <c r="CD136" s="7"/>
      <c r="CE136" s="7"/>
      <c r="CF136" s="7"/>
      <c r="CG136" s="7"/>
    </row>
    <row r="137" spans="3:8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7"/>
      <c r="CD137" s="7"/>
      <c r="CE137" s="7"/>
      <c r="CF137" s="7"/>
      <c r="CG137" s="7"/>
    </row>
    <row r="138" spans="3:8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7"/>
      <c r="CD138" s="7"/>
      <c r="CE138" s="7"/>
      <c r="CF138" s="7"/>
      <c r="CG138" s="7"/>
    </row>
    <row r="139" spans="3:8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7"/>
      <c r="CD139" s="7"/>
      <c r="CE139" s="7"/>
      <c r="CF139" s="7"/>
      <c r="CG139" s="7"/>
    </row>
    <row r="140" spans="3:8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7"/>
      <c r="CD140" s="7"/>
      <c r="CE140" s="7"/>
      <c r="CF140" s="7"/>
      <c r="CG140" s="7"/>
    </row>
    <row r="141" spans="3:8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7"/>
      <c r="CD141" s="7"/>
      <c r="CE141" s="7"/>
      <c r="CF141" s="7"/>
      <c r="CG141" s="7"/>
    </row>
    <row r="142" spans="3:8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7"/>
      <c r="CD142" s="7"/>
      <c r="CE142" s="7"/>
      <c r="CF142" s="7"/>
      <c r="CG142" s="7"/>
    </row>
    <row r="143" spans="3:8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7"/>
      <c r="CD143" s="7"/>
      <c r="CE143" s="7"/>
      <c r="CF143" s="7"/>
      <c r="CG143" s="7"/>
    </row>
    <row r="144" spans="3:8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7"/>
      <c r="CD144" s="7"/>
      <c r="CE144" s="7"/>
      <c r="CF144" s="7"/>
      <c r="CG144" s="7"/>
    </row>
    <row r="145" spans="3:8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7"/>
      <c r="CD145" s="7"/>
      <c r="CE145" s="7"/>
      <c r="CF145" s="7"/>
      <c r="CG145" s="7"/>
    </row>
    <row r="146" spans="3:8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7"/>
      <c r="CD146" s="7"/>
      <c r="CE146" s="7"/>
      <c r="CF146" s="7"/>
      <c r="CG146" s="7"/>
    </row>
    <row r="147" spans="3:8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7"/>
      <c r="CD147" s="7"/>
      <c r="CE147" s="7"/>
      <c r="CF147" s="7"/>
      <c r="CG147" s="7"/>
    </row>
    <row r="148" spans="3:8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7"/>
      <c r="CD148" s="7"/>
      <c r="CE148" s="7"/>
      <c r="CF148" s="7"/>
      <c r="CG148" s="7"/>
    </row>
    <row r="149" spans="3:8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7"/>
      <c r="CD149" s="7"/>
      <c r="CE149" s="7"/>
      <c r="CF149" s="7"/>
      <c r="CG149" s="7"/>
    </row>
    <row r="150" spans="3:8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7"/>
      <c r="CD150" s="7"/>
      <c r="CE150" s="7"/>
      <c r="CF150" s="7"/>
      <c r="CG150" s="7"/>
    </row>
    <row r="151" spans="3:8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7"/>
      <c r="CD151" s="7"/>
      <c r="CE151" s="7"/>
      <c r="CF151" s="7"/>
      <c r="CG151" s="7"/>
    </row>
    <row r="152" spans="3:8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7"/>
      <c r="BX152" s="7"/>
      <c r="BY152" s="7"/>
      <c r="BZ152" s="7"/>
      <c r="CA152" s="7"/>
      <c r="CB152" s="7"/>
      <c r="CC152" s="7"/>
      <c r="CD152" s="7"/>
      <c r="CE152" s="7"/>
      <c r="CF152" s="7"/>
      <c r="CG152" s="7"/>
    </row>
    <row r="153" spans="3:8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BS153" s="7"/>
      <c r="BT153" s="7"/>
      <c r="BU153" s="7"/>
      <c r="BV153" s="7"/>
      <c r="BW153" s="7"/>
      <c r="BX153" s="7"/>
      <c r="BY153" s="7"/>
      <c r="BZ153" s="7"/>
      <c r="CA153" s="7"/>
      <c r="CB153" s="7"/>
      <c r="CC153" s="7"/>
      <c r="CD153" s="7"/>
      <c r="CE153" s="7"/>
      <c r="CF153" s="7"/>
      <c r="CG153" s="7"/>
    </row>
    <row r="154" spans="3:8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BS154" s="7"/>
      <c r="BT154" s="7"/>
      <c r="BU154" s="7"/>
      <c r="BV154" s="7"/>
      <c r="BW154" s="7"/>
      <c r="BX154" s="7"/>
      <c r="BY154" s="7"/>
      <c r="BZ154" s="7"/>
      <c r="CA154" s="7"/>
      <c r="CB154" s="7"/>
      <c r="CC154" s="7"/>
      <c r="CD154" s="7"/>
      <c r="CE154" s="7"/>
      <c r="CF154" s="7"/>
      <c r="CG154" s="7"/>
    </row>
    <row r="155" spans="3:8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7"/>
      <c r="BV155" s="7"/>
      <c r="BW155" s="7"/>
      <c r="BX155" s="7"/>
      <c r="BY155" s="7"/>
      <c r="BZ155" s="7"/>
      <c r="CA155" s="7"/>
      <c r="CB155" s="7"/>
      <c r="CC155" s="7"/>
      <c r="CD155" s="7"/>
      <c r="CE155" s="7"/>
      <c r="CF155" s="7"/>
      <c r="CG155" s="7"/>
    </row>
    <row r="156" spans="3:8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7"/>
      <c r="BV156" s="7"/>
      <c r="BW156" s="7"/>
      <c r="BX156" s="7"/>
      <c r="BY156" s="7"/>
      <c r="BZ156" s="7"/>
      <c r="CA156" s="7"/>
      <c r="CB156" s="7"/>
      <c r="CC156" s="7"/>
      <c r="CD156" s="7"/>
      <c r="CE156" s="7"/>
      <c r="CF156" s="7"/>
      <c r="CG156" s="7"/>
    </row>
    <row r="157" spans="3:8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7"/>
      <c r="BV157" s="7"/>
      <c r="BW157" s="7"/>
      <c r="BX157" s="7"/>
      <c r="BY157" s="7"/>
      <c r="BZ157" s="7"/>
      <c r="CA157" s="7"/>
      <c r="CB157" s="7"/>
      <c r="CC157" s="7"/>
      <c r="CD157" s="7"/>
      <c r="CE157" s="7"/>
      <c r="CF157" s="7"/>
      <c r="CG157" s="7"/>
    </row>
    <row r="158" spans="3:8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7"/>
      <c r="BV158" s="7"/>
      <c r="BW158" s="7"/>
      <c r="BX158" s="7"/>
      <c r="BY158" s="7"/>
      <c r="BZ158" s="7"/>
      <c r="CA158" s="7"/>
      <c r="CB158" s="7"/>
      <c r="CC158" s="7"/>
      <c r="CD158" s="7"/>
      <c r="CE158" s="7"/>
      <c r="CF158" s="7"/>
      <c r="CG158" s="7"/>
    </row>
    <row r="159" spans="3:8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</row>
    <row r="160" spans="3:8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7"/>
      <c r="BV160" s="7"/>
      <c r="BW160" s="7"/>
      <c r="BX160" s="7"/>
      <c r="BY160" s="7"/>
      <c r="BZ160" s="7"/>
      <c r="CA160" s="7"/>
      <c r="CB160" s="7"/>
      <c r="CC160" s="7"/>
      <c r="CD160" s="7"/>
      <c r="CE160" s="7"/>
      <c r="CF160" s="7"/>
      <c r="CG160" s="7"/>
    </row>
    <row r="161" spans="3:8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7"/>
      <c r="BV161" s="7"/>
      <c r="BW161" s="7"/>
      <c r="BX161" s="7"/>
      <c r="BY161" s="7"/>
      <c r="BZ161" s="7"/>
      <c r="CA161" s="7"/>
      <c r="CB161" s="7"/>
      <c r="CC161" s="7"/>
      <c r="CD161" s="7"/>
      <c r="CE161" s="7"/>
      <c r="CF161" s="7"/>
      <c r="CG161" s="7"/>
    </row>
    <row r="162" spans="3:8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BS162" s="7"/>
      <c r="BT162" s="7"/>
      <c r="BU162" s="7"/>
      <c r="BV162" s="7"/>
      <c r="BW162" s="7"/>
      <c r="BX162" s="7"/>
      <c r="BY162" s="7"/>
      <c r="BZ162" s="7"/>
      <c r="CA162" s="7"/>
      <c r="CB162" s="7"/>
      <c r="CC162" s="7"/>
      <c r="CD162" s="7"/>
      <c r="CE162" s="7"/>
      <c r="CF162" s="7"/>
      <c r="CG162" s="7"/>
    </row>
    <row r="163" spans="3:8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/>
      <c r="BV163" s="7"/>
      <c r="BW163" s="7"/>
      <c r="BX163" s="7"/>
      <c r="BY163" s="7"/>
      <c r="BZ163" s="7"/>
      <c r="CA163" s="7"/>
      <c r="CB163" s="7"/>
      <c r="CC163" s="7"/>
      <c r="CD163" s="7"/>
      <c r="CE163" s="7"/>
      <c r="CF163" s="7"/>
      <c r="CG163" s="7"/>
    </row>
    <row r="164" spans="3:8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BS164" s="7"/>
      <c r="BT164" s="7"/>
      <c r="BU164" s="7"/>
      <c r="BV164" s="7"/>
      <c r="BW164" s="7"/>
      <c r="BX164" s="7"/>
      <c r="BY164" s="7"/>
      <c r="BZ164" s="7"/>
      <c r="CA164" s="7"/>
      <c r="CB164" s="7"/>
      <c r="CC164" s="7"/>
      <c r="CD164" s="7"/>
      <c r="CE164" s="7"/>
      <c r="CF164" s="7"/>
      <c r="CG164" s="7"/>
    </row>
    <row r="165" spans="3:8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BS165" s="7"/>
      <c r="BT165" s="7"/>
      <c r="BU165" s="7"/>
      <c r="BV165" s="7"/>
      <c r="BW165" s="7"/>
      <c r="BX165" s="7"/>
      <c r="BY165" s="7"/>
      <c r="BZ165" s="7"/>
      <c r="CA165" s="7"/>
      <c r="CB165" s="7"/>
      <c r="CC165" s="7"/>
      <c r="CD165" s="7"/>
      <c r="CE165" s="7"/>
      <c r="CF165" s="7"/>
      <c r="CG165" s="7"/>
    </row>
    <row r="166" spans="3:8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7"/>
      <c r="BV166" s="7"/>
      <c r="BW166" s="7"/>
      <c r="BX166" s="7"/>
      <c r="BY166" s="7"/>
      <c r="BZ166" s="7"/>
      <c r="CA166" s="7"/>
      <c r="CB166" s="7"/>
      <c r="CC166" s="7"/>
      <c r="CD166" s="7"/>
      <c r="CE166" s="7"/>
      <c r="CF166" s="7"/>
      <c r="CG166" s="7"/>
    </row>
    <row r="167" spans="3:8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7"/>
      <c r="BV167" s="7"/>
      <c r="BW167" s="7"/>
      <c r="BX167" s="7"/>
      <c r="BY167" s="7"/>
      <c r="BZ167" s="7"/>
      <c r="CA167" s="7"/>
      <c r="CB167" s="7"/>
      <c r="CC167" s="7"/>
      <c r="CD167" s="7"/>
      <c r="CE167" s="7"/>
      <c r="CF167" s="7"/>
      <c r="CG167" s="7"/>
    </row>
    <row r="168" spans="3:8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7"/>
      <c r="BV168" s="7"/>
      <c r="BW168" s="7"/>
      <c r="BX168" s="7"/>
      <c r="BY168" s="7"/>
      <c r="BZ168" s="7"/>
      <c r="CA168" s="7"/>
      <c r="CB168" s="7"/>
      <c r="CC168" s="7"/>
      <c r="CD168" s="7"/>
      <c r="CE168" s="7"/>
      <c r="CF168" s="7"/>
      <c r="CG168" s="7"/>
    </row>
    <row r="169" spans="3:85"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7"/>
      <c r="BV169" s="7"/>
      <c r="BW169" s="7"/>
      <c r="BX169" s="7"/>
      <c r="BY169" s="7"/>
      <c r="BZ169" s="7"/>
      <c r="CA169" s="7"/>
      <c r="CB169" s="7"/>
      <c r="CC169" s="7"/>
      <c r="CD169" s="7"/>
      <c r="CE169" s="7"/>
      <c r="CF169" s="7"/>
      <c r="CG169" s="7"/>
    </row>
    <row r="170" spans="3:85"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7"/>
      <c r="BV170" s="7"/>
      <c r="BW170" s="7"/>
      <c r="BX170" s="7"/>
      <c r="BY170" s="7"/>
      <c r="BZ170" s="7"/>
      <c r="CA170" s="7"/>
      <c r="CB170" s="7"/>
      <c r="CC170" s="7"/>
      <c r="CD170" s="7"/>
      <c r="CE170" s="7"/>
      <c r="CF170" s="7"/>
      <c r="CG170" s="7"/>
    </row>
    <row r="171" spans="3:85"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7"/>
      <c r="BV171" s="7"/>
      <c r="BW171" s="7"/>
      <c r="BX171" s="7"/>
      <c r="BY171" s="7"/>
      <c r="BZ171" s="7"/>
      <c r="CA171" s="7"/>
      <c r="CB171" s="7"/>
      <c r="CC171" s="7"/>
      <c r="CD171" s="7"/>
      <c r="CE171" s="7"/>
      <c r="CF171" s="7"/>
      <c r="CG171" s="7"/>
    </row>
    <row r="172" spans="3:85"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7"/>
      <c r="BV172" s="7"/>
      <c r="BW172" s="7"/>
      <c r="BX172" s="7"/>
      <c r="BY172" s="7"/>
      <c r="BZ172" s="7"/>
      <c r="CA172" s="7"/>
      <c r="CB172" s="7"/>
      <c r="CC172" s="7"/>
      <c r="CD172" s="7"/>
      <c r="CE172" s="7"/>
      <c r="CF172" s="7"/>
      <c r="CG172" s="7"/>
    </row>
    <row r="173" spans="3:85"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/>
      <c r="BV173" s="7"/>
      <c r="BW173" s="7"/>
      <c r="BX173" s="7"/>
      <c r="BY173" s="7"/>
      <c r="BZ173" s="7"/>
      <c r="CA173" s="7"/>
      <c r="CB173" s="7"/>
      <c r="CC173" s="7"/>
      <c r="CD173" s="7"/>
      <c r="CE173" s="7"/>
      <c r="CF173" s="7"/>
      <c r="CG173" s="7"/>
    </row>
    <row r="174" spans="3:85"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/>
      <c r="BV174" s="7"/>
      <c r="BW174" s="7"/>
      <c r="BX174" s="7"/>
      <c r="BY174" s="7"/>
      <c r="BZ174" s="7"/>
      <c r="CA174" s="7"/>
      <c r="CB174" s="7"/>
      <c r="CC174" s="7"/>
      <c r="CD174" s="7"/>
      <c r="CE174" s="7"/>
      <c r="CF174" s="7"/>
      <c r="CG174" s="7"/>
    </row>
    <row r="175" spans="3:85"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7"/>
      <c r="CA175" s="7"/>
      <c r="CB175" s="7"/>
      <c r="CC175" s="7"/>
      <c r="CD175" s="7"/>
      <c r="CE175" s="7"/>
      <c r="CF175" s="7"/>
      <c r="CG175" s="7"/>
    </row>
    <row r="176" spans="3:85"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7"/>
      <c r="BV176" s="7"/>
      <c r="BW176" s="7"/>
      <c r="BX176" s="7"/>
      <c r="BY176" s="7"/>
      <c r="BZ176" s="7"/>
      <c r="CA176" s="7"/>
      <c r="CB176" s="7"/>
      <c r="CC176" s="7"/>
      <c r="CD176" s="7"/>
      <c r="CE176" s="7"/>
      <c r="CF176" s="7"/>
      <c r="CG176" s="7"/>
    </row>
    <row r="177" spans="3:85"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7"/>
      <c r="BV177" s="7"/>
      <c r="BW177" s="7"/>
      <c r="BX177" s="7"/>
      <c r="BY177" s="7"/>
      <c r="BZ177" s="7"/>
      <c r="CA177" s="7"/>
      <c r="CB177" s="7"/>
      <c r="CC177" s="7"/>
      <c r="CD177" s="7"/>
      <c r="CE177" s="7"/>
      <c r="CF177" s="7"/>
      <c r="CG177" s="7"/>
    </row>
    <row r="178" spans="3:85"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7"/>
      <c r="BV178" s="7"/>
      <c r="BW178" s="7"/>
      <c r="BX178" s="7"/>
      <c r="BY178" s="7"/>
      <c r="BZ178" s="7"/>
      <c r="CA178" s="7"/>
      <c r="CB178" s="7"/>
      <c r="CC178" s="7"/>
      <c r="CD178" s="7"/>
      <c r="CE178" s="7"/>
      <c r="CF178" s="7"/>
      <c r="CG178" s="7"/>
    </row>
    <row r="179" spans="3:85"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7"/>
      <c r="BV179" s="7"/>
      <c r="BW179" s="7"/>
      <c r="BX179" s="7"/>
      <c r="BY179" s="7"/>
      <c r="BZ179" s="7"/>
      <c r="CA179" s="7"/>
      <c r="CB179" s="7"/>
      <c r="CC179" s="7"/>
      <c r="CD179" s="7"/>
      <c r="CE179" s="7"/>
      <c r="CF179" s="7"/>
      <c r="CG179" s="7"/>
    </row>
    <row r="180" spans="3:85"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7"/>
      <c r="BV180" s="7"/>
      <c r="BW180" s="7"/>
      <c r="BX180" s="7"/>
      <c r="BY180" s="7"/>
      <c r="BZ180" s="7"/>
      <c r="CA180" s="7"/>
      <c r="CB180" s="7"/>
      <c r="CC180" s="7"/>
      <c r="CD180" s="7"/>
      <c r="CE180" s="7"/>
      <c r="CF180" s="7"/>
      <c r="CG180" s="7"/>
    </row>
    <row r="181" spans="3:85"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/>
      <c r="BV181" s="7"/>
      <c r="BW181" s="7"/>
      <c r="BX181" s="7"/>
      <c r="BY181" s="7"/>
      <c r="BZ181" s="7"/>
      <c r="CA181" s="7"/>
      <c r="CB181" s="7"/>
      <c r="CC181" s="7"/>
      <c r="CD181" s="7"/>
      <c r="CE181" s="7"/>
      <c r="CF181" s="7"/>
      <c r="CG181" s="7"/>
    </row>
    <row r="182" spans="3:85"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7"/>
      <c r="BV182" s="7"/>
      <c r="BW182" s="7"/>
      <c r="BX182" s="7"/>
      <c r="BY182" s="7"/>
      <c r="BZ182" s="7"/>
      <c r="CA182" s="7"/>
      <c r="CB182" s="7"/>
      <c r="CC182" s="7"/>
      <c r="CD182" s="7"/>
      <c r="CE182" s="7"/>
      <c r="CF182" s="7"/>
      <c r="CG182" s="7"/>
    </row>
    <row r="183" spans="3:85"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7"/>
      <c r="BV183" s="7"/>
      <c r="BW183" s="7"/>
      <c r="BX183" s="7"/>
      <c r="BY183" s="7"/>
      <c r="BZ183" s="7"/>
      <c r="CA183" s="7"/>
      <c r="CB183" s="7"/>
      <c r="CC183" s="7"/>
      <c r="CD183" s="7"/>
      <c r="CE183" s="7"/>
      <c r="CF183" s="7"/>
      <c r="CG183" s="7"/>
    </row>
    <row r="184" spans="3:85"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7"/>
      <c r="BV184" s="7"/>
      <c r="BW184" s="7"/>
      <c r="BX184" s="7"/>
      <c r="BY184" s="7"/>
      <c r="BZ184" s="7"/>
      <c r="CA184" s="7"/>
      <c r="CB184" s="7"/>
      <c r="CC184" s="7"/>
      <c r="CD184" s="7"/>
      <c r="CE184" s="7"/>
      <c r="CF184" s="7"/>
      <c r="CG184" s="7"/>
    </row>
    <row r="185" spans="3:85"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/>
      <c r="BV185" s="7"/>
      <c r="BW185" s="7"/>
      <c r="BX185" s="7"/>
      <c r="BY185" s="7"/>
      <c r="BZ185" s="7"/>
      <c r="CA185" s="7"/>
      <c r="CB185" s="7"/>
      <c r="CC185" s="7"/>
      <c r="CD185" s="7"/>
      <c r="CE185" s="7"/>
      <c r="CF185" s="7"/>
      <c r="CG185" s="7"/>
    </row>
    <row r="186" spans="3:85"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7"/>
      <c r="BV186" s="7"/>
      <c r="BW186" s="7"/>
      <c r="BX186" s="7"/>
      <c r="BY186" s="7"/>
      <c r="BZ186" s="7"/>
      <c r="CA186" s="7"/>
      <c r="CB186" s="7"/>
      <c r="CC186" s="7"/>
      <c r="CD186" s="7"/>
      <c r="CE186" s="7"/>
      <c r="CF186" s="7"/>
      <c r="CG186" s="7"/>
    </row>
    <row r="187" spans="3:85"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BS187" s="7"/>
      <c r="BT187" s="7"/>
      <c r="BU187" s="7"/>
      <c r="BV187" s="7"/>
      <c r="BW187" s="7"/>
      <c r="BX187" s="7"/>
      <c r="BY187" s="7"/>
      <c r="BZ187" s="7"/>
      <c r="CA187" s="7"/>
      <c r="CB187" s="7"/>
      <c r="CC187" s="7"/>
      <c r="CD187" s="7"/>
      <c r="CE187" s="7"/>
      <c r="CF187" s="7"/>
      <c r="CG187" s="7"/>
    </row>
    <row r="188" spans="3:85"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7"/>
      <c r="BV188" s="7"/>
      <c r="BW188" s="7"/>
      <c r="BX188" s="7"/>
      <c r="BY188" s="7"/>
      <c r="BZ188" s="7"/>
      <c r="CA188" s="7"/>
      <c r="CB188" s="7"/>
      <c r="CC188" s="7"/>
      <c r="CD188" s="7"/>
      <c r="CE188" s="7"/>
      <c r="CF188" s="7"/>
      <c r="CG188" s="7"/>
    </row>
    <row r="189" spans="3:85"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7"/>
      <c r="BV189" s="7"/>
      <c r="BW189" s="7"/>
      <c r="BX189" s="7"/>
      <c r="BY189" s="7"/>
      <c r="BZ189" s="7"/>
      <c r="CA189" s="7"/>
      <c r="CB189" s="7"/>
      <c r="CC189" s="7"/>
      <c r="CD189" s="7"/>
      <c r="CE189" s="7"/>
      <c r="CF189" s="7"/>
      <c r="CG189" s="7"/>
    </row>
    <row r="190" spans="3:85"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7"/>
      <c r="BV190" s="7"/>
      <c r="BW190" s="7"/>
      <c r="BX190" s="7"/>
      <c r="BY190" s="7"/>
      <c r="BZ190" s="7"/>
      <c r="CA190" s="7"/>
      <c r="CB190" s="7"/>
      <c r="CC190" s="7"/>
      <c r="CD190" s="7"/>
      <c r="CE190" s="7"/>
      <c r="CF190" s="7"/>
      <c r="CG190" s="7"/>
    </row>
    <row r="191" spans="3:85"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7"/>
      <c r="BV191" s="7"/>
      <c r="BW191" s="7"/>
      <c r="BX191" s="7"/>
      <c r="BY191" s="7"/>
      <c r="BZ191" s="7"/>
      <c r="CA191" s="7"/>
      <c r="CB191" s="7"/>
      <c r="CC191" s="7"/>
      <c r="CD191" s="7"/>
      <c r="CE191" s="7"/>
      <c r="CF191" s="7"/>
      <c r="CG191" s="7"/>
    </row>
    <row r="192" spans="3:85"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7"/>
      <c r="BV192" s="7"/>
      <c r="BW192" s="7"/>
      <c r="BX192" s="7"/>
      <c r="BY192" s="7"/>
      <c r="BZ192" s="7"/>
      <c r="CA192" s="7"/>
      <c r="CB192" s="7"/>
      <c r="CC192" s="7"/>
      <c r="CD192" s="7"/>
      <c r="CE192" s="7"/>
      <c r="CF192" s="7"/>
      <c r="CG192" s="7"/>
    </row>
    <row r="193" spans="3:85"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7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</row>
    <row r="194" spans="3:85"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7"/>
      <c r="BV194" s="7"/>
      <c r="BW194" s="7"/>
      <c r="BX194" s="7"/>
      <c r="BY194" s="7"/>
      <c r="BZ194" s="7"/>
      <c r="CA194" s="7"/>
      <c r="CB194" s="7"/>
      <c r="CC194" s="7"/>
      <c r="CD194" s="7"/>
      <c r="CE194" s="7"/>
      <c r="CF194" s="7"/>
      <c r="CG194" s="7"/>
    </row>
    <row r="195" spans="3:85"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7"/>
      <c r="BV195" s="7"/>
      <c r="BW195" s="7"/>
      <c r="BX195" s="7"/>
      <c r="BY195" s="7"/>
      <c r="BZ195" s="7"/>
      <c r="CA195" s="7"/>
      <c r="CB195" s="7"/>
      <c r="CC195" s="7"/>
      <c r="CD195" s="7"/>
      <c r="CE195" s="7"/>
      <c r="CF195" s="7"/>
      <c r="CG195" s="7"/>
    </row>
    <row r="196" spans="3:85"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7"/>
      <c r="BV196" s="7"/>
      <c r="BW196" s="7"/>
      <c r="BX196" s="7"/>
      <c r="BY196" s="7"/>
      <c r="BZ196" s="7"/>
      <c r="CA196" s="7"/>
      <c r="CB196" s="7"/>
      <c r="CC196" s="7"/>
      <c r="CD196" s="7"/>
      <c r="CE196" s="7"/>
      <c r="CF196" s="7"/>
      <c r="CG196" s="7"/>
    </row>
    <row r="197" spans="3:85"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7"/>
      <c r="BV197" s="7"/>
      <c r="BW197" s="7"/>
      <c r="BX197" s="7"/>
      <c r="BY197" s="7"/>
      <c r="BZ197" s="7"/>
      <c r="CA197" s="7"/>
      <c r="CB197" s="7"/>
      <c r="CC197" s="7"/>
      <c r="CD197" s="7"/>
      <c r="CE197" s="7"/>
      <c r="CF197" s="7"/>
      <c r="CG197" s="7"/>
    </row>
    <row r="198" spans="3:85"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7"/>
      <c r="BV198" s="7"/>
      <c r="BW198" s="7"/>
      <c r="BX198" s="7"/>
      <c r="BY198" s="7"/>
      <c r="BZ198" s="7"/>
      <c r="CA198" s="7"/>
      <c r="CB198" s="7"/>
      <c r="CC198" s="7"/>
      <c r="CD198" s="7"/>
      <c r="CE198" s="7"/>
      <c r="CF198" s="7"/>
      <c r="CG198" s="7"/>
    </row>
    <row r="199" spans="3:85"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7"/>
      <c r="BV199" s="7"/>
      <c r="BW199" s="7"/>
      <c r="BX199" s="7"/>
      <c r="BY199" s="7"/>
      <c r="BZ199" s="7"/>
      <c r="CA199" s="7"/>
      <c r="CB199" s="7"/>
      <c r="CC199" s="7"/>
      <c r="CD199" s="7"/>
      <c r="CE199" s="7"/>
      <c r="CF199" s="7"/>
      <c r="CG199" s="7"/>
    </row>
    <row r="200" spans="3:85"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7"/>
      <c r="BV200" s="7"/>
      <c r="BW200" s="7"/>
      <c r="BX200" s="7"/>
      <c r="BY200" s="7"/>
      <c r="BZ200" s="7"/>
      <c r="CA200" s="7"/>
      <c r="CB200" s="7"/>
      <c r="CC200" s="7"/>
      <c r="CD200" s="7"/>
      <c r="CE200" s="7"/>
      <c r="CF200" s="7"/>
      <c r="CG200" s="7"/>
    </row>
    <row r="201" spans="3:85"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7"/>
      <c r="BV201" s="7"/>
      <c r="BW201" s="7"/>
      <c r="BX201" s="7"/>
      <c r="BY201" s="7"/>
      <c r="BZ201" s="7"/>
      <c r="CA201" s="7"/>
      <c r="CB201" s="7"/>
      <c r="CC201" s="7"/>
      <c r="CD201" s="7"/>
      <c r="CE201" s="7"/>
      <c r="CF201" s="7"/>
      <c r="CG201" s="7"/>
    </row>
    <row r="202" spans="3:85"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7"/>
      <c r="BV202" s="7"/>
      <c r="BW202" s="7"/>
      <c r="BX202" s="7"/>
      <c r="BY202" s="7"/>
      <c r="BZ202" s="7"/>
      <c r="CA202" s="7"/>
      <c r="CB202" s="7"/>
      <c r="CC202" s="7"/>
      <c r="CD202" s="7"/>
      <c r="CE202" s="7"/>
      <c r="CF202" s="7"/>
      <c r="CG202" s="7"/>
    </row>
    <row r="203" spans="3:85"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7"/>
      <c r="BV203" s="7"/>
      <c r="BW203" s="7"/>
      <c r="BX203" s="7"/>
      <c r="BY203" s="7"/>
      <c r="BZ203" s="7"/>
      <c r="CA203" s="7"/>
      <c r="CB203" s="7"/>
      <c r="CC203" s="7"/>
      <c r="CD203" s="7"/>
      <c r="CE203" s="7"/>
      <c r="CF203" s="7"/>
      <c r="CG203" s="7"/>
    </row>
    <row r="204" spans="3:85"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7"/>
      <c r="BV204" s="7"/>
      <c r="BW204" s="7"/>
      <c r="BX204" s="7"/>
      <c r="BY204" s="7"/>
      <c r="BZ204" s="7"/>
      <c r="CA204" s="7"/>
      <c r="CB204" s="7"/>
      <c r="CC204" s="7"/>
      <c r="CD204" s="7"/>
      <c r="CE204" s="7"/>
      <c r="CF204" s="7"/>
      <c r="CG204" s="7"/>
    </row>
    <row r="205" spans="3:85"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7"/>
      <c r="BV205" s="7"/>
      <c r="BW205" s="7"/>
      <c r="BX205" s="7"/>
      <c r="BY205" s="7"/>
      <c r="BZ205" s="7"/>
      <c r="CA205" s="7"/>
      <c r="CB205" s="7"/>
      <c r="CC205" s="7"/>
      <c r="CD205" s="7"/>
      <c r="CE205" s="7"/>
      <c r="CF205" s="7"/>
      <c r="CG205" s="7"/>
    </row>
    <row r="206" spans="3:85"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7"/>
      <c r="BV206" s="7"/>
      <c r="BW206" s="7"/>
      <c r="BX206" s="7"/>
      <c r="BY206" s="7"/>
      <c r="BZ206" s="7"/>
      <c r="CA206" s="7"/>
      <c r="CB206" s="7"/>
      <c r="CC206" s="7"/>
      <c r="CD206" s="7"/>
      <c r="CE206" s="7"/>
      <c r="CF206" s="7"/>
      <c r="CG206" s="7"/>
    </row>
    <row r="207" spans="3:85"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7"/>
      <c r="BV207" s="7"/>
      <c r="BW207" s="7"/>
      <c r="BX207" s="7"/>
      <c r="BY207" s="7"/>
      <c r="BZ207" s="7"/>
      <c r="CA207" s="7"/>
      <c r="CB207" s="7"/>
      <c r="CC207" s="7"/>
      <c r="CD207" s="7"/>
      <c r="CE207" s="7"/>
      <c r="CF207" s="7"/>
      <c r="CG207" s="7"/>
    </row>
    <row r="208" spans="3:85"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7"/>
      <c r="BV208" s="7"/>
      <c r="BW208" s="7"/>
      <c r="BX208" s="7"/>
      <c r="BY208" s="7"/>
      <c r="BZ208" s="7"/>
      <c r="CA208" s="7"/>
      <c r="CB208" s="7"/>
      <c r="CC208" s="7"/>
      <c r="CD208" s="7"/>
      <c r="CE208" s="7"/>
      <c r="CF208" s="7"/>
      <c r="CG208" s="7"/>
    </row>
    <row r="209" spans="3:85"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7"/>
      <c r="BV209" s="7"/>
      <c r="BW209" s="7"/>
      <c r="BX209" s="7"/>
      <c r="BY209" s="7"/>
      <c r="BZ209" s="7"/>
      <c r="CA209" s="7"/>
      <c r="CB209" s="7"/>
      <c r="CC209" s="7"/>
      <c r="CD209" s="7"/>
      <c r="CE209" s="7"/>
      <c r="CF209" s="7"/>
      <c r="CG209" s="7"/>
    </row>
    <row r="210" spans="3:85"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7"/>
      <c r="BV210" s="7"/>
      <c r="BW210" s="7"/>
      <c r="BX210" s="7"/>
      <c r="BY210" s="7"/>
      <c r="BZ210" s="7"/>
      <c r="CA210" s="7"/>
      <c r="CB210" s="7"/>
      <c r="CC210" s="7"/>
      <c r="CD210" s="7"/>
      <c r="CE210" s="7"/>
      <c r="CF210" s="7"/>
      <c r="CG210" s="7"/>
    </row>
    <row r="211" spans="3:85"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7"/>
      <c r="BV211" s="7"/>
      <c r="BW211" s="7"/>
      <c r="BX211" s="7"/>
      <c r="BY211" s="7"/>
      <c r="BZ211" s="7"/>
      <c r="CA211" s="7"/>
      <c r="CB211" s="7"/>
      <c r="CC211" s="7"/>
      <c r="CD211" s="7"/>
      <c r="CE211" s="7"/>
      <c r="CF211" s="7"/>
      <c r="CG211" s="7"/>
    </row>
    <row r="212" spans="3:85"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7"/>
      <c r="BV212" s="7"/>
      <c r="BW212" s="7"/>
      <c r="BX212" s="7"/>
      <c r="BY212" s="7"/>
      <c r="BZ212" s="7"/>
      <c r="CA212" s="7"/>
      <c r="CB212" s="7"/>
      <c r="CC212" s="7"/>
      <c r="CD212" s="7"/>
      <c r="CE212" s="7"/>
      <c r="CF212" s="7"/>
      <c r="CG212" s="7"/>
    </row>
    <row r="213" spans="3:85"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7"/>
      <c r="BV213" s="7"/>
      <c r="BW213" s="7"/>
      <c r="BX213" s="7"/>
      <c r="BY213" s="7"/>
      <c r="BZ213" s="7"/>
      <c r="CA213" s="7"/>
      <c r="CB213" s="7"/>
      <c r="CC213" s="7"/>
      <c r="CD213" s="7"/>
      <c r="CE213" s="7"/>
      <c r="CF213" s="7"/>
      <c r="CG213" s="7"/>
    </row>
    <row r="214" spans="3:85"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7"/>
      <c r="BV214" s="7"/>
      <c r="BW214" s="7"/>
      <c r="BX214" s="7"/>
      <c r="BY214" s="7"/>
      <c r="BZ214" s="7"/>
      <c r="CA214" s="7"/>
      <c r="CB214" s="7"/>
      <c r="CC214" s="7"/>
      <c r="CD214" s="7"/>
      <c r="CE214" s="7"/>
      <c r="CF214" s="7"/>
      <c r="CG214" s="7"/>
    </row>
    <row r="215" spans="3:85"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7"/>
      <c r="BV215" s="7"/>
      <c r="BW215" s="7"/>
      <c r="BX215" s="7"/>
      <c r="BY215" s="7"/>
      <c r="BZ215" s="7"/>
      <c r="CA215" s="7"/>
      <c r="CB215" s="7"/>
      <c r="CC215" s="7"/>
      <c r="CD215" s="7"/>
      <c r="CE215" s="7"/>
      <c r="CF215" s="7"/>
      <c r="CG215" s="7"/>
    </row>
    <row r="216" spans="3:85"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7"/>
      <c r="BV216" s="7"/>
      <c r="BW216" s="7"/>
      <c r="BX216" s="7"/>
      <c r="BY216" s="7"/>
      <c r="BZ216" s="7"/>
      <c r="CA216" s="7"/>
      <c r="CB216" s="7"/>
      <c r="CC216" s="7"/>
      <c r="CD216" s="7"/>
      <c r="CE216" s="7"/>
      <c r="CF216" s="7"/>
      <c r="CG216" s="7"/>
    </row>
    <row r="217" spans="3:85"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7"/>
      <c r="BV217" s="7"/>
      <c r="BW217" s="7"/>
      <c r="BX217" s="7"/>
      <c r="BY217" s="7"/>
      <c r="BZ217" s="7"/>
      <c r="CA217" s="7"/>
      <c r="CB217" s="7"/>
      <c r="CC217" s="7"/>
      <c r="CD217" s="7"/>
      <c r="CE217" s="7"/>
      <c r="CF217" s="7"/>
      <c r="CG217" s="7"/>
    </row>
    <row r="218" spans="3:85"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BS218" s="7"/>
      <c r="BT218" s="7"/>
      <c r="BU218" s="7"/>
      <c r="BV218" s="7"/>
      <c r="BW218" s="7"/>
      <c r="BX218" s="7"/>
      <c r="BY218" s="7"/>
      <c r="BZ218" s="7"/>
      <c r="CA218" s="7"/>
      <c r="CB218" s="7"/>
      <c r="CC218" s="7"/>
      <c r="CD218" s="7"/>
      <c r="CE218" s="7"/>
      <c r="CF218" s="7"/>
      <c r="CG218" s="7"/>
    </row>
    <row r="219" spans="3:85"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BS219" s="7"/>
      <c r="BT219" s="7"/>
      <c r="BU219" s="7"/>
      <c r="BV219" s="7"/>
      <c r="BW219" s="7"/>
      <c r="BX219" s="7"/>
      <c r="BY219" s="7"/>
      <c r="BZ219" s="7"/>
      <c r="CA219" s="7"/>
      <c r="CB219" s="7"/>
      <c r="CC219" s="7"/>
      <c r="CD219" s="7"/>
      <c r="CE219" s="7"/>
      <c r="CF219" s="7"/>
      <c r="CG219" s="7"/>
    </row>
    <row r="220" spans="3:85"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BS220" s="7"/>
      <c r="BT220" s="7"/>
      <c r="BU220" s="7"/>
      <c r="BV220" s="7"/>
      <c r="BW220" s="7"/>
      <c r="BX220" s="7"/>
      <c r="BY220" s="7"/>
      <c r="BZ220" s="7"/>
      <c r="CA220" s="7"/>
      <c r="CB220" s="7"/>
      <c r="CC220" s="7"/>
      <c r="CD220" s="7"/>
      <c r="CE220" s="7"/>
      <c r="CF220" s="7"/>
      <c r="CG220" s="7"/>
    </row>
    <row r="221" spans="3:85"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BS221" s="7"/>
      <c r="BT221" s="7"/>
      <c r="BU221" s="7"/>
      <c r="BV221" s="7"/>
      <c r="BW221" s="7"/>
      <c r="BX221" s="7"/>
      <c r="BY221" s="7"/>
      <c r="BZ221" s="7"/>
      <c r="CA221" s="7"/>
      <c r="CB221" s="7"/>
      <c r="CC221" s="7"/>
      <c r="CD221" s="7"/>
      <c r="CE221" s="7"/>
      <c r="CF221" s="7"/>
      <c r="CG221" s="7"/>
    </row>
    <row r="222" spans="3:85"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/>
      <c r="BV222" s="7"/>
      <c r="BW222" s="7"/>
      <c r="BX222" s="7"/>
      <c r="BY222" s="7"/>
      <c r="BZ222" s="7"/>
      <c r="CA222" s="7"/>
      <c r="CB222" s="7"/>
      <c r="CC222" s="7"/>
      <c r="CD222" s="7"/>
      <c r="CE222" s="7"/>
      <c r="CF222" s="7"/>
      <c r="CG222" s="7"/>
    </row>
    <row r="223" spans="3:85"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BS223" s="7"/>
      <c r="BT223" s="7"/>
      <c r="BU223" s="7"/>
      <c r="BV223" s="7"/>
      <c r="BW223" s="7"/>
      <c r="BX223" s="7"/>
      <c r="BY223" s="7"/>
      <c r="BZ223" s="7"/>
      <c r="CA223" s="7"/>
      <c r="CB223" s="7"/>
      <c r="CC223" s="7"/>
      <c r="CD223" s="7"/>
      <c r="CE223" s="7"/>
      <c r="CF223" s="7"/>
      <c r="CG223" s="7"/>
    </row>
    <row r="224" spans="3:85"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BS224" s="7"/>
      <c r="BT224" s="7"/>
      <c r="BU224" s="7"/>
      <c r="BV224" s="7"/>
      <c r="BW224" s="7"/>
      <c r="BX224" s="7"/>
      <c r="BY224" s="7"/>
      <c r="BZ224" s="7"/>
      <c r="CA224" s="7"/>
      <c r="CB224" s="7"/>
      <c r="CC224" s="7"/>
      <c r="CD224" s="7"/>
      <c r="CE224" s="7"/>
      <c r="CF224" s="7"/>
      <c r="CG224" s="7"/>
    </row>
    <row r="225" spans="3:85"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</row>
    <row r="226" spans="3:85"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7"/>
      <c r="BV226" s="7"/>
      <c r="BW226" s="7"/>
      <c r="BX226" s="7"/>
      <c r="BY226" s="7"/>
      <c r="BZ226" s="7"/>
      <c r="CA226" s="7"/>
      <c r="CB226" s="7"/>
      <c r="CC226" s="7"/>
      <c r="CD226" s="7"/>
      <c r="CE226" s="7"/>
      <c r="CF226" s="7"/>
      <c r="CG226" s="7"/>
    </row>
    <row r="227" spans="3:85"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7"/>
      <c r="BV227" s="7"/>
      <c r="BW227" s="7"/>
      <c r="BX227" s="7"/>
      <c r="BY227" s="7"/>
      <c r="BZ227" s="7"/>
      <c r="CA227" s="7"/>
      <c r="CB227" s="7"/>
      <c r="CC227" s="7"/>
      <c r="CD227" s="7"/>
      <c r="CE227" s="7"/>
      <c r="CF227" s="7"/>
      <c r="CG227" s="7"/>
    </row>
    <row r="228" spans="3:85"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7"/>
      <c r="BV228" s="7"/>
      <c r="BW228" s="7"/>
      <c r="BX228" s="7"/>
      <c r="BY228" s="7"/>
      <c r="BZ228" s="7"/>
      <c r="CA228" s="7"/>
      <c r="CB228" s="7"/>
      <c r="CC228" s="7"/>
      <c r="CD228" s="7"/>
      <c r="CE228" s="7"/>
      <c r="CF228" s="7"/>
      <c r="CG228" s="7"/>
    </row>
    <row r="229" spans="3:85"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7"/>
      <c r="BV229" s="7"/>
      <c r="BW229" s="7"/>
      <c r="BX229" s="7"/>
      <c r="BY229" s="7"/>
      <c r="BZ229" s="7"/>
      <c r="CA229" s="7"/>
      <c r="CB229" s="7"/>
      <c r="CC229" s="7"/>
      <c r="CD229" s="7"/>
      <c r="CE229" s="7"/>
      <c r="CF229" s="7"/>
      <c r="CG229" s="7"/>
    </row>
    <row r="230" spans="3:85"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7"/>
      <c r="BV230" s="7"/>
      <c r="BW230" s="7"/>
      <c r="BX230" s="7"/>
      <c r="BY230" s="7"/>
      <c r="BZ230" s="7"/>
      <c r="CA230" s="7"/>
      <c r="CB230" s="7"/>
      <c r="CC230" s="7"/>
      <c r="CD230" s="7"/>
      <c r="CE230" s="7"/>
      <c r="CF230" s="7"/>
      <c r="CG230" s="7"/>
    </row>
    <row r="231" spans="3:85"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7"/>
      <c r="BV231" s="7"/>
      <c r="BW231" s="7"/>
      <c r="BX231" s="7"/>
      <c r="BY231" s="7"/>
      <c r="BZ231" s="7"/>
      <c r="CA231" s="7"/>
      <c r="CB231" s="7"/>
      <c r="CC231" s="7"/>
      <c r="CD231" s="7"/>
      <c r="CE231" s="7"/>
      <c r="CF231" s="7"/>
      <c r="CG231" s="7"/>
    </row>
    <row r="232" spans="3:85"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7"/>
      <c r="BV232" s="7"/>
      <c r="BW232" s="7"/>
      <c r="BX232" s="7"/>
      <c r="BY232" s="7"/>
      <c r="BZ232" s="7"/>
      <c r="CA232" s="7"/>
      <c r="CB232" s="7"/>
      <c r="CC232" s="7"/>
      <c r="CD232" s="7"/>
      <c r="CE232" s="7"/>
      <c r="CF232" s="7"/>
      <c r="CG232" s="7"/>
    </row>
    <row r="233" spans="3:85"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7"/>
      <c r="BV233" s="7"/>
      <c r="BW233" s="7"/>
      <c r="BX233" s="7"/>
      <c r="BY233" s="7"/>
      <c r="BZ233" s="7"/>
      <c r="CA233" s="7"/>
      <c r="CB233" s="7"/>
      <c r="CC233" s="7"/>
      <c r="CD233" s="7"/>
      <c r="CE233" s="7"/>
      <c r="CF233" s="7"/>
      <c r="CG233" s="7"/>
    </row>
    <row r="234" spans="3:85"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/>
      <c r="BV234" s="7"/>
      <c r="BW234" s="7"/>
      <c r="BX234" s="7"/>
      <c r="BY234" s="7"/>
      <c r="BZ234" s="7"/>
      <c r="CA234" s="7"/>
      <c r="CB234" s="7"/>
      <c r="CC234" s="7"/>
      <c r="CD234" s="7"/>
      <c r="CE234" s="7"/>
      <c r="CF234" s="7"/>
      <c r="CG234" s="7"/>
    </row>
    <row r="235" spans="3:85"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7"/>
      <c r="BV235" s="7"/>
      <c r="BW235" s="7"/>
      <c r="BX235" s="7"/>
      <c r="BY235" s="7"/>
      <c r="BZ235" s="7"/>
      <c r="CA235" s="7"/>
      <c r="CB235" s="7"/>
      <c r="CC235" s="7"/>
      <c r="CD235" s="7"/>
      <c r="CE235" s="7"/>
      <c r="CF235" s="7"/>
      <c r="CG235" s="7"/>
    </row>
    <row r="236" spans="3:85"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7"/>
      <c r="BV236" s="7"/>
      <c r="BW236" s="7"/>
      <c r="BX236" s="7"/>
      <c r="BY236" s="7"/>
      <c r="BZ236" s="7"/>
      <c r="CA236" s="7"/>
      <c r="CB236" s="7"/>
      <c r="CC236" s="7"/>
      <c r="CD236" s="7"/>
      <c r="CE236" s="7"/>
      <c r="CF236" s="7"/>
      <c r="CG236" s="7"/>
    </row>
    <row r="237" spans="3:85"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7"/>
      <c r="BV237" s="7"/>
      <c r="BW237" s="7"/>
      <c r="BX237" s="7"/>
      <c r="BY237" s="7"/>
      <c r="BZ237" s="7"/>
      <c r="CA237" s="7"/>
      <c r="CB237" s="7"/>
      <c r="CC237" s="7"/>
      <c r="CD237" s="7"/>
      <c r="CE237" s="7"/>
      <c r="CF237" s="7"/>
      <c r="CG237" s="7"/>
    </row>
    <row r="238" spans="3:85"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7"/>
      <c r="BV238" s="7"/>
      <c r="BW238" s="7"/>
      <c r="BX238" s="7"/>
      <c r="BY238" s="7"/>
      <c r="BZ238" s="7"/>
      <c r="CA238" s="7"/>
      <c r="CB238" s="7"/>
      <c r="CC238" s="7"/>
      <c r="CD238" s="7"/>
      <c r="CE238" s="7"/>
      <c r="CF238" s="7"/>
      <c r="CG238" s="7"/>
    </row>
    <row r="239" spans="3:85"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7"/>
      <c r="BV239" s="7"/>
      <c r="BW239" s="7"/>
      <c r="BX239" s="7"/>
      <c r="BY239" s="7"/>
      <c r="BZ239" s="7"/>
      <c r="CA239" s="7"/>
      <c r="CB239" s="7"/>
      <c r="CC239" s="7"/>
      <c r="CD239" s="7"/>
      <c r="CE239" s="7"/>
      <c r="CF239" s="7"/>
      <c r="CG239" s="7"/>
    </row>
    <row r="240" spans="3:85"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7"/>
      <c r="BV240" s="7"/>
      <c r="BW240" s="7"/>
      <c r="BX240" s="7"/>
      <c r="BY240" s="7"/>
      <c r="BZ240" s="7"/>
      <c r="CA240" s="7"/>
      <c r="CB240" s="7"/>
      <c r="CC240" s="7"/>
      <c r="CD240" s="7"/>
      <c r="CE240" s="7"/>
      <c r="CF240" s="7"/>
      <c r="CG240" s="7"/>
    </row>
    <row r="241" spans="3:85"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7"/>
      <c r="BV241" s="7"/>
      <c r="BW241" s="7"/>
      <c r="BX241" s="7"/>
      <c r="BY241" s="7"/>
      <c r="BZ241" s="7"/>
      <c r="CA241" s="7"/>
      <c r="CB241" s="7"/>
      <c r="CC241" s="7"/>
      <c r="CD241" s="7"/>
      <c r="CE241" s="7"/>
      <c r="CF241" s="7"/>
      <c r="CG241" s="7"/>
    </row>
    <row r="242" spans="3:85"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7"/>
      <c r="BV242" s="7"/>
      <c r="BW242" s="7"/>
      <c r="BX242" s="7"/>
      <c r="BY242" s="7"/>
      <c r="BZ242" s="7"/>
      <c r="CA242" s="7"/>
      <c r="CB242" s="7"/>
      <c r="CC242" s="7"/>
      <c r="CD242" s="7"/>
      <c r="CE242" s="7"/>
      <c r="CF242" s="7"/>
      <c r="CG242" s="7"/>
    </row>
    <row r="243" spans="3:85"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7"/>
      <c r="BV243" s="7"/>
      <c r="BW243" s="7"/>
      <c r="BX243" s="7"/>
      <c r="BY243" s="7"/>
      <c r="BZ243" s="7"/>
      <c r="CA243" s="7"/>
      <c r="CB243" s="7"/>
      <c r="CC243" s="7"/>
      <c r="CD243" s="7"/>
      <c r="CE243" s="7"/>
      <c r="CF243" s="7"/>
      <c r="CG243" s="7"/>
    </row>
    <row r="244" spans="3:85"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7"/>
      <c r="BV244" s="7"/>
      <c r="BW244" s="7"/>
      <c r="BX244" s="7"/>
      <c r="BY244" s="7"/>
      <c r="BZ244" s="7"/>
      <c r="CA244" s="7"/>
      <c r="CB244" s="7"/>
      <c r="CC244" s="7"/>
      <c r="CD244" s="7"/>
      <c r="CE244" s="7"/>
      <c r="CF244" s="7"/>
      <c r="CG244" s="7"/>
    </row>
    <row r="245" spans="3:85"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7"/>
      <c r="BV245" s="7"/>
      <c r="BW245" s="7"/>
      <c r="BX245" s="7"/>
      <c r="BY245" s="7"/>
      <c r="BZ245" s="7"/>
      <c r="CA245" s="7"/>
      <c r="CB245" s="7"/>
      <c r="CC245" s="7"/>
      <c r="CD245" s="7"/>
      <c r="CE245" s="7"/>
      <c r="CF245" s="7"/>
      <c r="CG245" s="7"/>
    </row>
    <row r="246" spans="3:85"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7"/>
      <c r="BV246" s="7"/>
      <c r="BW246" s="7"/>
      <c r="BX246" s="7"/>
      <c r="BY246" s="7"/>
      <c r="BZ246" s="7"/>
      <c r="CA246" s="7"/>
      <c r="CB246" s="7"/>
      <c r="CC246" s="7"/>
      <c r="CD246" s="7"/>
      <c r="CE246" s="7"/>
      <c r="CF246" s="7"/>
      <c r="CG246" s="7"/>
    </row>
    <row r="247" spans="3:85"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7"/>
      <c r="BV247" s="7"/>
      <c r="BW247" s="7"/>
      <c r="BX247" s="7"/>
      <c r="BY247" s="7"/>
      <c r="BZ247" s="7"/>
      <c r="CA247" s="7"/>
      <c r="CB247" s="7"/>
      <c r="CC247" s="7"/>
      <c r="CD247" s="7"/>
      <c r="CE247" s="7"/>
      <c r="CF247" s="7"/>
      <c r="CG247" s="7"/>
    </row>
    <row r="248" spans="3:85"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7"/>
      <c r="BV248" s="7"/>
      <c r="BW248" s="7"/>
      <c r="BX248" s="7"/>
      <c r="BY248" s="7"/>
      <c r="BZ248" s="7"/>
      <c r="CA248" s="7"/>
      <c r="CB248" s="7"/>
      <c r="CC248" s="7"/>
      <c r="CD248" s="7"/>
      <c r="CE248" s="7"/>
      <c r="CF248" s="7"/>
      <c r="CG248" s="7"/>
    </row>
    <row r="249" spans="3:85"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7"/>
      <c r="BV249" s="7"/>
      <c r="BW249" s="7"/>
      <c r="BX249" s="7"/>
      <c r="BY249" s="7"/>
      <c r="BZ249" s="7"/>
      <c r="CA249" s="7"/>
      <c r="CB249" s="7"/>
      <c r="CC249" s="7"/>
      <c r="CD249" s="7"/>
      <c r="CE249" s="7"/>
      <c r="CF249" s="7"/>
      <c r="CG249" s="7"/>
    </row>
    <row r="250" spans="3:85"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/>
      <c r="BV250" s="7"/>
      <c r="BW250" s="7"/>
      <c r="BX250" s="7"/>
      <c r="BY250" s="7"/>
      <c r="BZ250" s="7"/>
      <c r="CA250" s="7"/>
      <c r="CB250" s="7"/>
      <c r="CC250" s="7"/>
      <c r="CD250" s="7"/>
      <c r="CE250" s="7"/>
      <c r="CF250" s="7"/>
      <c r="CG250" s="7"/>
    </row>
    <row r="251" spans="3:85"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7"/>
      <c r="BV251" s="7"/>
      <c r="BW251" s="7"/>
      <c r="BX251" s="7"/>
      <c r="BY251" s="7"/>
      <c r="BZ251" s="7"/>
      <c r="CA251" s="7"/>
      <c r="CB251" s="7"/>
      <c r="CC251" s="7"/>
      <c r="CD251" s="7"/>
      <c r="CE251" s="7"/>
      <c r="CF251" s="7"/>
      <c r="CG251" s="7"/>
    </row>
    <row r="252" spans="3:85"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7"/>
      <c r="BV252" s="7"/>
      <c r="BW252" s="7"/>
      <c r="BX252" s="7"/>
      <c r="BY252" s="7"/>
      <c r="BZ252" s="7"/>
      <c r="CA252" s="7"/>
      <c r="CB252" s="7"/>
      <c r="CC252" s="7"/>
      <c r="CD252" s="7"/>
      <c r="CE252" s="7"/>
      <c r="CF252" s="7"/>
      <c r="CG252" s="7"/>
    </row>
    <row r="253" spans="3:85"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7"/>
      <c r="BV253" s="7"/>
      <c r="BW253" s="7"/>
      <c r="BX253" s="7"/>
      <c r="BY253" s="7"/>
      <c r="BZ253" s="7"/>
      <c r="CA253" s="7"/>
      <c r="CB253" s="7"/>
      <c r="CC253" s="7"/>
      <c r="CD253" s="7"/>
      <c r="CE253" s="7"/>
      <c r="CF253" s="7"/>
      <c r="CG253" s="7"/>
    </row>
    <row r="254" spans="3:85"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7"/>
      <c r="BV254" s="7"/>
      <c r="BW254" s="7"/>
      <c r="BX254" s="7"/>
      <c r="BY254" s="7"/>
      <c r="BZ254" s="7"/>
      <c r="CA254" s="7"/>
      <c r="CB254" s="7"/>
      <c r="CC254" s="7"/>
      <c r="CD254" s="7"/>
      <c r="CE254" s="7"/>
      <c r="CF254" s="7"/>
      <c r="CG254" s="7"/>
    </row>
    <row r="255" spans="3:85"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7"/>
      <c r="BV255" s="7"/>
      <c r="BW255" s="7"/>
      <c r="BX255" s="7"/>
      <c r="BY255" s="7"/>
      <c r="BZ255" s="7"/>
      <c r="CA255" s="7"/>
      <c r="CB255" s="7"/>
      <c r="CC255" s="7"/>
      <c r="CD255" s="7"/>
      <c r="CE255" s="7"/>
      <c r="CF255" s="7"/>
      <c r="CG255" s="7"/>
    </row>
    <row r="256" spans="3:85"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7"/>
      <c r="BV256" s="7"/>
      <c r="BW256" s="7"/>
      <c r="BX256" s="7"/>
      <c r="BY256" s="7"/>
      <c r="BZ256" s="7"/>
      <c r="CA256" s="7"/>
      <c r="CB256" s="7"/>
      <c r="CC256" s="7"/>
      <c r="CD256" s="7"/>
      <c r="CE256" s="7"/>
      <c r="CF256" s="7"/>
      <c r="CG256" s="7"/>
    </row>
    <row r="257" spans="3:85"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7"/>
      <c r="BV257" s="7"/>
      <c r="BW257" s="7"/>
      <c r="BX257" s="7"/>
      <c r="BY257" s="7"/>
      <c r="BZ257" s="7"/>
      <c r="CA257" s="7"/>
      <c r="CB257" s="7"/>
      <c r="CC257" s="7"/>
      <c r="CD257" s="7"/>
      <c r="CE257" s="7"/>
      <c r="CF257" s="7"/>
      <c r="CG257" s="7"/>
    </row>
    <row r="258" spans="3:85"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7"/>
      <c r="BV258" s="7"/>
      <c r="BW258" s="7"/>
      <c r="BX258" s="7"/>
      <c r="BY258" s="7"/>
      <c r="BZ258" s="7"/>
      <c r="CA258" s="7"/>
      <c r="CB258" s="7"/>
      <c r="CC258" s="7"/>
      <c r="CD258" s="7"/>
      <c r="CE258" s="7"/>
      <c r="CF258" s="7"/>
      <c r="CG258" s="7"/>
    </row>
    <row r="259" spans="3:85"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7"/>
      <c r="BV259" s="7"/>
      <c r="BW259" s="7"/>
      <c r="BX259" s="7"/>
      <c r="BY259" s="7"/>
      <c r="BZ259" s="7"/>
      <c r="CA259" s="7"/>
      <c r="CB259" s="7"/>
      <c r="CC259" s="7"/>
      <c r="CD259" s="7"/>
      <c r="CE259" s="7"/>
      <c r="CF259" s="7"/>
      <c r="CG259" s="7"/>
    </row>
    <row r="260" spans="3:85"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7"/>
      <c r="BV260" s="7"/>
      <c r="BW260" s="7"/>
      <c r="BX260" s="7"/>
      <c r="BY260" s="7"/>
      <c r="BZ260" s="7"/>
      <c r="CA260" s="7"/>
      <c r="CB260" s="7"/>
      <c r="CC260" s="7"/>
      <c r="CD260" s="7"/>
      <c r="CE260" s="7"/>
      <c r="CF260" s="7"/>
      <c r="CG260" s="7"/>
    </row>
    <row r="261" spans="3:85"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7"/>
      <c r="BV261" s="7"/>
      <c r="BW261" s="7"/>
      <c r="BX261" s="7"/>
      <c r="BY261" s="7"/>
      <c r="BZ261" s="7"/>
      <c r="CA261" s="7"/>
      <c r="CB261" s="7"/>
      <c r="CC261" s="7"/>
      <c r="CD261" s="7"/>
      <c r="CE261" s="7"/>
      <c r="CF261" s="7"/>
      <c r="CG261" s="7"/>
    </row>
    <row r="262" spans="3:85"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7"/>
      <c r="BV262" s="7"/>
      <c r="BW262" s="7"/>
      <c r="BX262" s="7"/>
      <c r="BY262" s="7"/>
      <c r="BZ262" s="7"/>
      <c r="CA262" s="7"/>
      <c r="CB262" s="7"/>
      <c r="CC262" s="7"/>
      <c r="CD262" s="7"/>
      <c r="CE262" s="7"/>
      <c r="CF262" s="7"/>
      <c r="CG262" s="7"/>
    </row>
    <row r="263" spans="3:85"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BT263" s="7"/>
      <c r="BU263" s="7"/>
      <c r="BV263" s="7"/>
      <c r="BW263" s="7"/>
      <c r="BX263" s="7"/>
      <c r="BY263" s="7"/>
      <c r="BZ263" s="7"/>
      <c r="CA263" s="7"/>
      <c r="CB263" s="7"/>
      <c r="CC263" s="7"/>
      <c r="CD263" s="7"/>
      <c r="CE263" s="7"/>
      <c r="CF263" s="7"/>
      <c r="CG263" s="7"/>
    </row>
    <row r="264" spans="3:85"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BT264" s="7"/>
      <c r="BU264" s="7"/>
      <c r="BV264" s="7"/>
      <c r="BW264" s="7"/>
      <c r="BX264" s="7"/>
      <c r="BY264" s="7"/>
      <c r="BZ264" s="7"/>
      <c r="CA264" s="7"/>
      <c r="CB264" s="7"/>
      <c r="CC264" s="7"/>
      <c r="CD264" s="7"/>
      <c r="CE264" s="7"/>
      <c r="CF264" s="7"/>
      <c r="CG264" s="7"/>
    </row>
    <row r="265" spans="3:85"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BT265" s="7"/>
      <c r="BU265" s="7"/>
      <c r="BV265" s="7"/>
      <c r="BW265" s="7"/>
      <c r="BX265" s="7"/>
      <c r="BY265" s="7"/>
      <c r="BZ265" s="7"/>
      <c r="CA265" s="7"/>
      <c r="CB265" s="7"/>
      <c r="CC265" s="7"/>
      <c r="CD265" s="7"/>
      <c r="CE265" s="7"/>
      <c r="CF265" s="7"/>
      <c r="CG265" s="7"/>
    </row>
    <row r="266" spans="3:85"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BT266" s="7"/>
      <c r="BU266" s="7"/>
      <c r="BV266" s="7"/>
      <c r="BW266" s="7"/>
      <c r="BX266" s="7"/>
      <c r="BY266" s="7"/>
      <c r="BZ266" s="7"/>
      <c r="CA266" s="7"/>
      <c r="CB266" s="7"/>
      <c r="CC266" s="7"/>
      <c r="CD266" s="7"/>
      <c r="CE266" s="7"/>
      <c r="CF266" s="7"/>
      <c r="CG266" s="7"/>
    </row>
    <row r="267" spans="3:85"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BT267" s="7"/>
      <c r="BU267" s="7"/>
      <c r="BV267" s="7"/>
      <c r="BW267" s="7"/>
      <c r="BX267" s="7"/>
      <c r="BY267" s="7"/>
      <c r="BZ267" s="7"/>
      <c r="CA267" s="7"/>
      <c r="CB267" s="7"/>
      <c r="CC267" s="7"/>
      <c r="CD267" s="7"/>
      <c r="CE267" s="7"/>
      <c r="CF267" s="7"/>
      <c r="CG267" s="7"/>
    </row>
    <row r="268" spans="3:85"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BT268" s="7"/>
      <c r="BU268" s="7"/>
      <c r="BV268" s="7"/>
      <c r="BW268" s="7"/>
      <c r="BX268" s="7"/>
      <c r="BY268" s="7"/>
      <c r="BZ268" s="7"/>
      <c r="CA268" s="7"/>
      <c r="CB268" s="7"/>
      <c r="CC268" s="7"/>
      <c r="CD268" s="7"/>
      <c r="CE268" s="7"/>
      <c r="CF268" s="7"/>
      <c r="CG268" s="7"/>
    </row>
    <row r="269" spans="3:85"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BT269" s="7"/>
      <c r="BU269" s="7"/>
      <c r="BV269" s="7"/>
      <c r="BW269" s="7"/>
      <c r="BX269" s="7"/>
      <c r="BY269" s="7"/>
      <c r="BZ269" s="7"/>
      <c r="CA269" s="7"/>
      <c r="CB269" s="7"/>
      <c r="CC269" s="7"/>
      <c r="CD269" s="7"/>
      <c r="CE269" s="7"/>
      <c r="CF269" s="7"/>
      <c r="CG269" s="7"/>
    </row>
    <row r="270" spans="3:85"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BT270" s="7"/>
      <c r="BU270" s="7"/>
      <c r="BV270" s="7"/>
      <c r="BW270" s="7"/>
      <c r="BX270" s="7"/>
      <c r="BY270" s="7"/>
      <c r="BZ270" s="7"/>
      <c r="CA270" s="7"/>
      <c r="CB270" s="7"/>
      <c r="CC270" s="7"/>
      <c r="CD270" s="7"/>
      <c r="CE270" s="7"/>
      <c r="CF270" s="7"/>
      <c r="CG270" s="7"/>
    </row>
    <row r="271" spans="3:85"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BT271" s="7"/>
      <c r="BU271" s="7"/>
      <c r="BV271" s="7"/>
      <c r="BW271" s="7"/>
      <c r="BX271" s="7"/>
      <c r="BY271" s="7"/>
      <c r="BZ271" s="7"/>
      <c r="CA271" s="7"/>
      <c r="CB271" s="7"/>
      <c r="CC271" s="7"/>
      <c r="CD271" s="7"/>
      <c r="CE271" s="7"/>
      <c r="CF271" s="7"/>
      <c r="CG271" s="7"/>
    </row>
    <row r="272" spans="3:85"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BT272" s="7"/>
      <c r="BU272" s="7"/>
      <c r="BV272" s="7"/>
      <c r="BW272" s="7"/>
      <c r="BX272" s="7"/>
      <c r="BY272" s="7"/>
      <c r="BZ272" s="7"/>
      <c r="CA272" s="7"/>
      <c r="CB272" s="7"/>
      <c r="CC272" s="7"/>
      <c r="CD272" s="7"/>
      <c r="CE272" s="7"/>
      <c r="CF272" s="7"/>
      <c r="CG272" s="7"/>
    </row>
    <row r="273" spans="3:85"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BT273" s="7"/>
      <c r="BU273" s="7"/>
      <c r="BV273" s="7"/>
      <c r="BW273" s="7"/>
      <c r="BX273" s="7"/>
      <c r="BY273" s="7"/>
      <c r="BZ273" s="7"/>
      <c r="CA273" s="7"/>
      <c r="CB273" s="7"/>
      <c r="CC273" s="7"/>
      <c r="CD273" s="7"/>
      <c r="CE273" s="7"/>
      <c r="CF273" s="7"/>
      <c r="CG273" s="7"/>
    </row>
    <row r="274" spans="3:85"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BT274" s="7"/>
      <c r="BU274" s="7"/>
      <c r="BV274" s="7"/>
      <c r="BW274" s="7"/>
      <c r="BX274" s="7"/>
      <c r="BY274" s="7"/>
      <c r="BZ274" s="7"/>
      <c r="CA274" s="7"/>
      <c r="CB274" s="7"/>
      <c r="CC274" s="7"/>
      <c r="CD274" s="7"/>
      <c r="CE274" s="7"/>
      <c r="CF274" s="7"/>
      <c r="CG274" s="7"/>
    </row>
    <row r="275" spans="3:85"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BT275" s="7"/>
      <c r="BU275" s="7"/>
      <c r="BV275" s="7"/>
      <c r="BW275" s="7"/>
      <c r="BX275" s="7"/>
      <c r="BY275" s="7"/>
      <c r="BZ275" s="7"/>
      <c r="CA275" s="7"/>
      <c r="CB275" s="7"/>
      <c r="CC275" s="7"/>
      <c r="CD275" s="7"/>
      <c r="CE275" s="7"/>
      <c r="CF275" s="7"/>
      <c r="CG275" s="7"/>
    </row>
    <row r="276" spans="3:85"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BT276" s="7"/>
      <c r="BU276" s="7"/>
      <c r="BV276" s="7"/>
      <c r="BW276" s="7"/>
      <c r="BX276" s="7"/>
      <c r="BY276" s="7"/>
      <c r="BZ276" s="7"/>
      <c r="CA276" s="7"/>
      <c r="CB276" s="7"/>
      <c r="CC276" s="7"/>
      <c r="CD276" s="7"/>
      <c r="CE276" s="7"/>
      <c r="CF276" s="7"/>
      <c r="CG276" s="7"/>
    </row>
    <row r="277" spans="3:85"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BT277" s="7"/>
      <c r="BU277" s="7"/>
      <c r="BV277" s="7"/>
      <c r="BW277" s="7"/>
      <c r="BX277" s="7"/>
      <c r="BY277" s="7"/>
      <c r="BZ277" s="7"/>
      <c r="CA277" s="7"/>
      <c r="CB277" s="7"/>
      <c r="CC277" s="7"/>
      <c r="CD277" s="7"/>
      <c r="CE277" s="7"/>
      <c r="CF277" s="7"/>
      <c r="CG277" s="7"/>
    </row>
    <row r="278" spans="3:85"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BT278" s="7"/>
      <c r="BU278" s="7"/>
      <c r="BV278" s="7"/>
      <c r="BW278" s="7"/>
      <c r="BX278" s="7"/>
      <c r="BY278" s="7"/>
      <c r="BZ278" s="7"/>
      <c r="CA278" s="7"/>
      <c r="CB278" s="7"/>
      <c r="CC278" s="7"/>
      <c r="CD278" s="7"/>
      <c r="CE278" s="7"/>
      <c r="CF278" s="7"/>
      <c r="CG278" s="7"/>
    </row>
    <row r="279" spans="3:85"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/>
      <c r="BV279" s="7"/>
      <c r="BW279" s="7"/>
      <c r="BX279" s="7"/>
      <c r="BY279" s="7"/>
      <c r="BZ279" s="7"/>
      <c r="CA279" s="7"/>
      <c r="CB279" s="7"/>
      <c r="CC279" s="7"/>
      <c r="CD279" s="7"/>
      <c r="CE279" s="7"/>
      <c r="CF279" s="7"/>
      <c r="CG279" s="7"/>
    </row>
    <row r="280" spans="3:85"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BT280" s="7"/>
      <c r="BU280" s="7"/>
      <c r="BV280" s="7"/>
      <c r="BW280" s="7"/>
      <c r="BX280" s="7"/>
      <c r="BY280" s="7"/>
      <c r="BZ280" s="7"/>
      <c r="CA280" s="7"/>
      <c r="CB280" s="7"/>
      <c r="CC280" s="7"/>
      <c r="CD280" s="7"/>
      <c r="CE280" s="7"/>
      <c r="CF280" s="7"/>
      <c r="CG280" s="7"/>
    </row>
    <row r="281" spans="3:85"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BT281" s="7"/>
      <c r="BU281" s="7"/>
      <c r="BV281" s="7"/>
      <c r="BW281" s="7"/>
      <c r="BX281" s="7"/>
      <c r="BY281" s="7"/>
      <c r="BZ281" s="7"/>
      <c r="CA281" s="7"/>
      <c r="CB281" s="7"/>
      <c r="CC281" s="7"/>
      <c r="CD281" s="7"/>
      <c r="CE281" s="7"/>
      <c r="CF281" s="7"/>
      <c r="CG281" s="7"/>
    </row>
    <row r="282" spans="3:85"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BT282" s="7"/>
      <c r="BU282" s="7"/>
      <c r="BV282" s="7"/>
      <c r="BW282" s="7"/>
      <c r="BX282" s="7"/>
      <c r="BY282" s="7"/>
      <c r="BZ282" s="7"/>
      <c r="CA282" s="7"/>
      <c r="CB282" s="7"/>
      <c r="CC282" s="7"/>
      <c r="CD282" s="7"/>
      <c r="CE282" s="7"/>
      <c r="CF282" s="7"/>
      <c r="CG282" s="7"/>
    </row>
    <row r="283" spans="3:85"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BT283" s="7"/>
      <c r="BU283" s="7"/>
      <c r="BV283" s="7"/>
      <c r="BW283" s="7"/>
      <c r="BX283" s="7"/>
      <c r="BY283" s="7"/>
      <c r="BZ283" s="7"/>
      <c r="CA283" s="7"/>
      <c r="CB283" s="7"/>
      <c r="CC283" s="7"/>
      <c r="CD283" s="7"/>
      <c r="CE283" s="7"/>
      <c r="CF283" s="7"/>
      <c r="CG283" s="7"/>
    </row>
    <row r="284" spans="3:85"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BT284" s="7"/>
      <c r="BU284" s="7"/>
      <c r="BV284" s="7"/>
      <c r="BW284" s="7"/>
      <c r="BX284" s="7"/>
      <c r="BY284" s="7"/>
      <c r="BZ284" s="7"/>
      <c r="CA284" s="7"/>
      <c r="CB284" s="7"/>
      <c r="CC284" s="7"/>
      <c r="CD284" s="7"/>
      <c r="CE284" s="7"/>
      <c r="CF284" s="7"/>
      <c r="CG284" s="7"/>
    </row>
    <row r="285" spans="3:85"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BT285" s="7"/>
      <c r="BU285" s="7"/>
      <c r="BV285" s="7"/>
      <c r="BW285" s="7"/>
      <c r="BX285" s="7"/>
      <c r="BY285" s="7"/>
      <c r="BZ285" s="7"/>
      <c r="CA285" s="7"/>
      <c r="CB285" s="7"/>
      <c r="CC285" s="7"/>
      <c r="CD285" s="7"/>
      <c r="CE285" s="7"/>
      <c r="CF285" s="7"/>
      <c r="CG285" s="7"/>
    </row>
    <row r="286" spans="3:85"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BT286" s="7"/>
      <c r="BU286" s="7"/>
      <c r="BV286" s="7"/>
      <c r="BW286" s="7"/>
      <c r="BX286" s="7"/>
      <c r="BY286" s="7"/>
      <c r="BZ286" s="7"/>
      <c r="CA286" s="7"/>
      <c r="CB286" s="7"/>
      <c r="CC286" s="7"/>
      <c r="CD286" s="7"/>
      <c r="CE286" s="7"/>
      <c r="CF286" s="7"/>
      <c r="CG286" s="7"/>
    </row>
    <row r="287" spans="3:85"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BT287" s="7"/>
      <c r="BU287" s="7"/>
      <c r="BV287" s="7"/>
      <c r="BW287" s="7"/>
      <c r="BX287" s="7"/>
      <c r="BY287" s="7"/>
      <c r="BZ287" s="7"/>
      <c r="CA287" s="7"/>
      <c r="CB287" s="7"/>
      <c r="CC287" s="7"/>
      <c r="CD287" s="7"/>
      <c r="CE287" s="7"/>
      <c r="CF287" s="7"/>
      <c r="CG287" s="7"/>
    </row>
    <row r="288" spans="3:85"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BT288" s="7"/>
      <c r="BU288" s="7"/>
      <c r="BV288" s="7"/>
      <c r="BW288" s="7"/>
      <c r="BX288" s="7"/>
      <c r="BY288" s="7"/>
      <c r="BZ288" s="7"/>
      <c r="CA288" s="7"/>
      <c r="CB288" s="7"/>
      <c r="CC288" s="7"/>
      <c r="CD288" s="7"/>
      <c r="CE288" s="7"/>
      <c r="CF288" s="7"/>
      <c r="CG288" s="7"/>
    </row>
    <row r="289" spans="3:85"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BT289" s="7"/>
      <c r="BU289" s="7"/>
      <c r="BV289" s="7"/>
      <c r="BW289" s="7"/>
      <c r="BX289" s="7"/>
      <c r="BY289" s="7"/>
      <c r="BZ289" s="7"/>
      <c r="CA289" s="7"/>
      <c r="CB289" s="7"/>
      <c r="CC289" s="7"/>
      <c r="CD289" s="7"/>
      <c r="CE289" s="7"/>
      <c r="CF289" s="7"/>
      <c r="CG289" s="7"/>
    </row>
    <row r="290" spans="3:85"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BT290" s="7"/>
      <c r="BU290" s="7"/>
      <c r="BV290" s="7"/>
      <c r="BW290" s="7"/>
      <c r="BX290" s="7"/>
      <c r="BY290" s="7"/>
      <c r="BZ290" s="7"/>
      <c r="CA290" s="7"/>
      <c r="CB290" s="7"/>
      <c r="CC290" s="7"/>
      <c r="CD290" s="7"/>
      <c r="CE290" s="7"/>
      <c r="CF290" s="7"/>
      <c r="CG290" s="7"/>
    </row>
    <row r="291" spans="3:85"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BT291" s="7"/>
      <c r="BU291" s="7"/>
      <c r="BV291" s="7"/>
      <c r="BW291" s="7"/>
      <c r="BX291" s="7"/>
      <c r="BY291" s="7"/>
      <c r="BZ291" s="7"/>
      <c r="CA291" s="7"/>
      <c r="CB291" s="7"/>
      <c r="CC291" s="7"/>
      <c r="CD291" s="7"/>
      <c r="CE291" s="7"/>
      <c r="CF291" s="7"/>
      <c r="CG291" s="7"/>
    </row>
    <row r="292" spans="3:85"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BT292" s="7"/>
      <c r="BU292" s="7"/>
      <c r="BV292" s="7"/>
      <c r="BW292" s="7"/>
      <c r="BX292" s="7"/>
      <c r="BY292" s="7"/>
      <c r="BZ292" s="7"/>
      <c r="CA292" s="7"/>
      <c r="CB292" s="7"/>
      <c r="CC292" s="7"/>
      <c r="CD292" s="7"/>
      <c r="CE292" s="7"/>
      <c r="CF292" s="7"/>
      <c r="CG292" s="7"/>
    </row>
    <row r="293" spans="3:85"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BT293" s="7"/>
      <c r="BU293" s="7"/>
      <c r="BV293" s="7"/>
      <c r="BW293" s="7"/>
      <c r="BX293" s="7"/>
      <c r="BY293" s="7"/>
      <c r="BZ293" s="7"/>
      <c r="CA293" s="7"/>
      <c r="CB293" s="7"/>
      <c r="CC293" s="7"/>
      <c r="CD293" s="7"/>
      <c r="CE293" s="7"/>
      <c r="CF293" s="7"/>
      <c r="CG293" s="7"/>
    </row>
    <row r="294" spans="3:85"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BT294" s="7"/>
      <c r="BU294" s="7"/>
      <c r="BV294" s="7"/>
      <c r="BW294" s="7"/>
      <c r="BX294" s="7"/>
      <c r="BY294" s="7"/>
      <c r="BZ294" s="7"/>
      <c r="CA294" s="7"/>
      <c r="CB294" s="7"/>
      <c r="CC294" s="7"/>
      <c r="CD294" s="7"/>
      <c r="CE294" s="7"/>
      <c r="CF294" s="7"/>
      <c r="CG294" s="7"/>
    </row>
    <row r="295" spans="3:85"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BT295" s="7"/>
      <c r="BU295" s="7"/>
      <c r="BV295" s="7"/>
      <c r="BW295" s="7"/>
      <c r="BX295" s="7"/>
      <c r="BY295" s="7"/>
      <c r="BZ295" s="7"/>
      <c r="CA295" s="7"/>
      <c r="CB295" s="7"/>
      <c r="CC295" s="7"/>
      <c r="CD295" s="7"/>
      <c r="CE295" s="7"/>
      <c r="CF295" s="7"/>
      <c r="CG295" s="7"/>
    </row>
    <row r="296" spans="3:85"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BT296" s="7"/>
      <c r="BU296" s="7"/>
      <c r="BV296" s="7"/>
      <c r="BW296" s="7"/>
      <c r="BX296" s="7"/>
      <c r="BY296" s="7"/>
      <c r="BZ296" s="7"/>
      <c r="CA296" s="7"/>
      <c r="CB296" s="7"/>
      <c r="CC296" s="7"/>
      <c r="CD296" s="7"/>
      <c r="CE296" s="7"/>
      <c r="CF296" s="7"/>
      <c r="CG296" s="7"/>
    </row>
    <row r="297" spans="3:85"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BT297" s="7"/>
      <c r="BU297" s="7"/>
      <c r="BV297" s="7"/>
      <c r="BW297" s="7"/>
      <c r="BX297" s="7"/>
      <c r="BY297" s="7"/>
      <c r="BZ297" s="7"/>
      <c r="CA297" s="7"/>
      <c r="CB297" s="7"/>
      <c r="CC297" s="7"/>
      <c r="CD297" s="7"/>
      <c r="CE297" s="7"/>
      <c r="CF297" s="7"/>
      <c r="CG297" s="7"/>
    </row>
    <row r="298" spans="3:85"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BT298" s="7"/>
      <c r="BU298" s="7"/>
      <c r="BV298" s="7"/>
      <c r="BW298" s="7"/>
      <c r="BX298" s="7"/>
      <c r="BY298" s="7"/>
      <c r="BZ298" s="7"/>
      <c r="CA298" s="7"/>
      <c r="CB298" s="7"/>
      <c r="CC298" s="7"/>
      <c r="CD298" s="7"/>
      <c r="CE298" s="7"/>
      <c r="CF298" s="7"/>
      <c r="CG298" s="7"/>
    </row>
    <row r="299" spans="3:85"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BT299" s="7"/>
      <c r="BU299" s="7"/>
      <c r="BV299" s="7"/>
      <c r="BW299" s="7"/>
      <c r="BX299" s="7"/>
      <c r="BY299" s="7"/>
      <c r="BZ299" s="7"/>
      <c r="CA299" s="7"/>
      <c r="CB299" s="7"/>
      <c r="CC299" s="7"/>
      <c r="CD299" s="7"/>
      <c r="CE299" s="7"/>
      <c r="CF299" s="7"/>
      <c r="CG299" s="7"/>
    </row>
    <row r="300" spans="3:85"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BT300" s="7"/>
      <c r="BU300" s="7"/>
      <c r="BV300" s="7"/>
      <c r="BW300" s="7"/>
      <c r="BX300" s="7"/>
      <c r="BY300" s="7"/>
      <c r="BZ300" s="7"/>
      <c r="CA300" s="7"/>
      <c r="CB300" s="7"/>
      <c r="CC300" s="7"/>
      <c r="CD300" s="7"/>
      <c r="CE300" s="7"/>
      <c r="CF300" s="7"/>
      <c r="CG300" s="7"/>
    </row>
    <row r="301" spans="3:85"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BT301" s="7"/>
      <c r="BU301" s="7"/>
      <c r="BV301" s="7"/>
      <c r="BW301" s="7"/>
      <c r="BX301" s="7"/>
      <c r="BY301" s="7"/>
      <c r="BZ301" s="7"/>
      <c r="CA301" s="7"/>
      <c r="CB301" s="7"/>
      <c r="CC301" s="7"/>
      <c r="CD301" s="7"/>
      <c r="CE301" s="7"/>
      <c r="CF301" s="7"/>
      <c r="CG301" s="7"/>
    </row>
    <row r="302" spans="3:85"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BT302" s="7"/>
      <c r="BU302" s="7"/>
      <c r="BV302" s="7"/>
      <c r="BW302" s="7"/>
      <c r="BX302" s="7"/>
      <c r="BY302" s="7"/>
      <c r="BZ302" s="7"/>
      <c r="CA302" s="7"/>
      <c r="CB302" s="7"/>
      <c r="CC302" s="7"/>
      <c r="CD302" s="7"/>
      <c r="CE302" s="7"/>
      <c r="CF302" s="7"/>
      <c r="CG302" s="7"/>
    </row>
    <row r="303" spans="3:85"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BT303" s="7"/>
      <c r="BU303" s="7"/>
      <c r="BV303" s="7"/>
      <c r="BW303" s="7"/>
      <c r="BX303" s="7"/>
      <c r="BY303" s="7"/>
      <c r="BZ303" s="7"/>
      <c r="CA303" s="7"/>
      <c r="CB303" s="7"/>
      <c r="CC303" s="7"/>
      <c r="CD303" s="7"/>
      <c r="CE303" s="7"/>
      <c r="CF303" s="7"/>
      <c r="CG303" s="7"/>
    </row>
    <row r="304" spans="3:85"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BT304" s="7"/>
      <c r="BU304" s="7"/>
      <c r="BV304" s="7"/>
      <c r="BW304" s="7"/>
      <c r="BX304" s="7"/>
      <c r="BY304" s="7"/>
      <c r="BZ304" s="7"/>
      <c r="CA304" s="7"/>
      <c r="CB304" s="7"/>
      <c r="CC304" s="7"/>
      <c r="CD304" s="7"/>
      <c r="CE304" s="7"/>
      <c r="CF304" s="7"/>
      <c r="CG304" s="7"/>
    </row>
    <row r="305" spans="3:85"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BT305" s="7"/>
      <c r="BU305" s="7"/>
      <c r="BV305" s="7"/>
      <c r="BW305" s="7"/>
      <c r="BX305" s="7"/>
      <c r="BY305" s="7"/>
      <c r="BZ305" s="7"/>
      <c r="CA305" s="7"/>
      <c r="CB305" s="7"/>
      <c r="CC305" s="7"/>
      <c r="CD305" s="7"/>
      <c r="CE305" s="7"/>
      <c r="CF305" s="7"/>
      <c r="CG305" s="7"/>
    </row>
    <row r="306" spans="3:85"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BT306" s="7"/>
      <c r="BU306" s="7"/>
      <c r="BV306" s="7"/>
      <c r="BW306" s="7"/>
      <c r="BX306" s="7"/>
      <c r="BY306" s="7"/>
      <c r="BZ306" s="7"/>
      <c r="CA306" s="7"/>
      <c r="CB306" s="7"/>
      <c r="CC306" s="7"/>
      <c r="CD306" s="7"/>
      <c r="CE306" s="7"/>
      <c r="CF306" s="7"/>
      <c r="CG306" s="7"/>
    </row>
    <row r="307" spans="3:85"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BT307" s="7"/>
      <c r="BU307" s="7"/>
      <c r="BV307" s="7"/>
      <c r="BW307" s="7"/>
      <c r="BX307" s="7"/>
      <c r="BY307" s="7"/>
      <c r="BZ307" s="7"/>
      <c r="CA307" s="7"/>
      <c r="CB307" s="7"/>
      <c r="CC307" s="7"/>
      <c r="CD307" s="7"/>
      <c r="CE307" s="7"/>
      <c r="CF307" s="7"/>
      <c r="CG307" s="7"/>
    </row>
    <row r="308" spans="3:85"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BT308" s="7"/>
      <c r="BU308" s="7"/>
      <c r="BV308" s="7"/>
      <c r="BW308" s="7"/>
      <c r="BX308" s="7"/>
      <c r="BY308" s="7"/>
      <c r="BZ308" s="7"/>
      <c r="CA308" s="7"/>
      <c r="CB308" s="7"/>
      <c r="CC308" s="7"/>
      <c r="CD308" s="7"/>
      <c r="CE308" s="7"/>
      <c r="CF308" s="7"/>
      <c r="CG308" s="7"/>
    </row>
    <row r="309" spans="3:85"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BT309" s="7"/>
      <c r="BU309" s="7"/>
      <c r="BV309" s="7"/>
      <c r="BW309" s="7"/>
      <c r="BX309" s="7"/>
      <c r="BY309" s="7"/>
      <c r="BZ309" s="7"/>
      <c r="CA309" s="7"/>
      <c r="CB309" s="7"/>
      <c r="CC309" s="7"/>
      <c r="CD309" s="7"/>
      <c r="CE309" s="7"/>
      <c r="CF309" s="7"/>
      <c r="CG309" s="7"/>
    </row>
    <row r="310" spans="3:85"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BT310" s="7"/>
      <c r="BU310" s="7"/>
      <c r="BV310" s="7"/>
      <c r="BW310" s="7"/>
      <c r="BX310" s="7"/>
      <c r="BY310" s="7"/>
      <c r="BZ310" s="7"/>
      <c r="CA310" s="7"/>
      <c r="CB310" s="7"/>
      <c r="CC310" s="7"/>
      <c r="CD310" s="7"/>
      <c r="CE310" s="7"/>
      <c r="CF310" s="7"/>
      <c r="CG310" s="7"/>
    </row>
    <row r="311" spans="3:85"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BT311" s="7"/>
      <c r="BU311" s="7"/>
      <c r="BV311" s="7"/>
      <c r="BW311" s="7"/>
      <c r="BX311" s="7"/>
      <c r="BY311" s="7"/>
      <c r="BZ311" s="7"/>
      <c r="CA311" s="7"/>
      <c r="CB311" s="7"/>
      <c r="CC311" s="7"/>
      <c r="CD311" s="7"/>
      <c r="CE311" s="7"/>
      <c r="CF311" s="7"/>
      <c r="CG311" s="7"/>
    </row>
    <row r="312" spans="3:85"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BT312" s="7"/>
      <c r="BU312" s="7"/>
      <c r="BV312" s="7"/>
      <c r="BW312" s="7"/>
      <c r="BX312" s="7"/>
      <c r="BY312" s="7"/>
      <c r="BZ312" s="7"/>
      <c r="CA312" s="7"/>
      <c r="CB312" s="7"/>
      <c r="CC312" s="7"/>
      <c r="CD312" s="7"/>
      <c r="CE312" s="7"/>
      <c r="CF312" s="7"/>
      <c r="CG312" s="7"/>
    </row>
    <row r="313" spans="3:85"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BT313" s="7"/>
      <c r="BU313" s="7"/>
      <c r="BV313" s="7"/>
      <c r="BW313" s="7"/>
      <c r="BX313" s="7"/>
      <c r="BY313" s="7"/>
      <c r="BZ313" s="7"/>
      <c r="CA313" s="7"/>
      <c r="CB313" s="7"/>
      <c r="CC313" s="7"/>
      <c r="CD313" s="7"/>
      <c r="CE313" s="7"/>
      <c r="CF313" s="7"/>
      <c r="CG313" s="7"/>
    </row>
    <row r="314" spans="3:85"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BT314" s="7"/>
      <c r="BU314" s="7"/>
      <c r="BV314" s="7"/>
      <c r="BW314" s="7"/>
      <c r="BX314" s="7"/>
      <c r="BY314" s="7"/>
      <c r="BZ314" s="7"/>
      <c r="CA314" s="7"/>
      <c r="CB314" s="7"/>
      <c r="CC314" s="7"/>
      <c r="CD314" s="7"/>
      <c r="CE314" s="7"/>
      <c r="CF314" s="7"/>
      <c r="CG314" s="7"/>
    </row>
    <row r="315" spans="3:85"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BT315" s="7"/>
      <c r="BU315" s="7"/>
      <c r="BV315" s="7"/>
      <c r="BW315" s="7"/>
      <c r="BX315" s="7"/>
      <c r="BY315" s="7"/>
      <c r="BZ315" s="7"/>
      <c r="CA315" s="7"/>
      <c r="CB315" s="7"/>
      <c r="CC315" s="7"/>
      <c r="CD315" s="7"/>
      <c r="CE315" s="7"/>
      <c r="CF315" s="7"/>
      <c r="CG315" s="7"/>
    </row>
    <row r="316" spans="3:85"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BT316" s="7"/>
      <c r="BU316" s="7"/>
      <c r="BV316" s="7"/>
      <c r="BW316" s="7"/>
      <c r="BX316" s="7"/>
      <c r="BY316" s="7"/>
      <c r="BZ316" s="7"/>
      <c r="CA316" s="7"/>
      <c r="CB316" s="7"/>
      <c r="CC316" s="7"/>
      <c r="CD316" s="7"/>
      <c r="CE316" s="7"/>
      <c r="CF316" s="7"/>
      <c r="CG316" s="7"/>
    </row>
    <row r="317" spans="3:85"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BT317" s="7"/>
      <c r="BU317" s="7"/>
      <c r="BV317" s="7"/>
      <c r="BW317" s="7"/>
      <c r="BX317" s="7"/>
      <c r="BY317" s="7"/>
      <c r="BZ317" s="7"/>
      <c r="CA317" s="7"/>
      <c r="CB317" s="7"/>
      <c r="CC317" s="7"/>
      <c r="CD317" s="7"/>
      <c r="CE317" s="7"/>
      <c r="CF317" s="7"/>
      <c r="CG317" s="7"/>
    </row>
    <row r="318" spans="3:85"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BT318" s="7"/>
      <c r="BU318" s="7"/>
      <c r="BV318" s="7"/>
      <c r="BW318" s="7"/>
      <c r="BX318" s="7"/>
      <c r="BY318" s="7"/>
      <c r="BZ318" s="7"/>
      <c r="CA318" s="7"/>
      <c r="CB318" s="7"/>
      <c r="CC318" s="7"/>
      <c r="CD318" s="7"/>
      <c r="CE318" s="7"/>
      <c r="CF318" s="7"/>
      <c r="CG318" s="7"/>
    </row>
    <row r="319" spans="3:85"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BT319" s="7"/>
      <c r="BU319" s="7"/>
      <c r="BV319" s="7"/>
      <c r="BW319" s="7"/>
      <c r="BX319" s="7"/>
      <c r="BY319" s="7"/>
      <c r="BZ319" s="7"/>
      <c r="CA319" s="7"/>
      <c r="CB319" s="7"/>
      <c r="CC319" s="7"/>
      <c r="CD319" s="7"/>
      <c r="CE319" s="7"/>
      <c r="CF319" s="7"/>
      <c r="CG319" s="7"/>
    </row>
    <row r="320" spans="3:85"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BT320" s="7"/>
      <c r="BU320" s="7"/>
      <c r="BV320" s="7"/>
      <c r="BW320" s="7"/>
      <c r="BX320" s="7"/>
      <c r="BY320" s="7"/>
      <c r="BZ320" s="7"/>
      <c r="CA320" s="7"/>
      <c r="CB320" s="7"/>
      <c r="CC320" s="7"/>
      <c r="CD320" s="7"/>
      <c r="CE320" s="7"/>
      <c r="CF320" s="7"/>
      <c r="CG320" s="7"/>
    </row>
    <row r="321" spans="3:85"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BT321" s="7"/>
      <c r="BU321" s="7"/>
      <c r="BV321" s="7"/>
      <c r="BW321" s="7"/>
      <c r="BX321" s="7"/>
      <c r="BY321" s="7"/>
      <c r="BZ321" s="7"/>
      <c r="CA321" s="7"/>
      <c r="CB321" s="7"/>
      <c r="CC321" s="7"/>
      <c r="CD321" s="7"/>
      <c r="CE321" s="7"/>
      <c r="CF321" s="7"/>
      <c r="CG321" s="7"/>
    </row>
    <row r="322" spans="3:85"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BT322" s="7"/>
      <c r="BU322" s="7"/>
      <c r="BV322" s="7"/>
      <c r="BW322" s="7"/>
      <c r="BX322" s="7"/>
      <c r="BY322" s="7"/>
      <c r="BZ322" s="7"/>
      <c r="CA322" s="7"/>
      <c r="CB322" s="7"/>
      <c r="CC322" s="7"/>
      <c r="CD322" s="7"/>
      <c r="CE322" s="7"/>
      <c r="CF322" s="7"/>
      <c r="CG322" s="7"/>
    </row>
    <row r="323" spans="3:85"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BT323" s="7"/>
      <c r="BU323" s="7"/>
      <c r="BV323" s="7"/>
      <c r="BW323" s="7"/>
      <c r="BX323" s="7"/>
      <c r="BY323" s="7"/>
      <c r="BZ323" s="7"/>
      <c r="CA323" s="7"/>
      <c r="CB323" s="7"/>
      <c r="CC323" s="7"/>
      <c r="CD323" s="7"/>
      <c r="CE323" s="7"/>
      <c r="CF323" s="7"/>
      <c r="CG323" s="7"/>
    </row>
    <row r="324" spans="3:85"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BT324" s="7"/>
      <c r="BU324" s="7"/>
      <c r="BV324" s="7"/>
      <c r="BW324" s="7"/>
      <c r="BX324" s="7"/>
      <c r="BY324" s="7"/>
      <c r="BZ324" s="7"/>
      <c r="CA324" s="7"/>
      <c r="CB324" s="7"/>
      <c r="CC324" s="7"/>
      <c r="CD324" s="7"/>
      <c r="CE324" s="7"/>
      <c r="CF324" s="7"/>
      <c r="CG324" s="7"/>
    </row>
    <row r="325" spans="3:85"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BT325" s="7"/>
      <c r="BU325" s="7"/>
      <c r="BV325" s="7"/>
      <c r="BW325" s="7"/>
      <c r="BX325" s="7"/>
      <c r="BY325" s="7"/>
      <c r="BZ325" s="7"/>
      <c r="CA325" s="7"/>
      <c r="CB325" s="7"/>
      <c r="CC325" s="7"/>
      <c r="CD325" s="7"/>
      <c r="CE325" s="7"/>
      <c r="CF325" s="7"/>
      <c r="CG325" s="7"/>
    </row>
    <row r="326" spans="3:85"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BT326" s="7"/>
      <c r="BU326" s="7"/>
      <c r="BV326" s="7"/>
      <c r="BW326" s="7"/>
      <c r="BX326" s="7"/>
      <c r="BY326" s="7"/>
      <c r="BZ326" s="7"/>
      <c r="CA326" s="7"/>
      <c r="CB326" s="7"/>
      <c r="CC326" s="7"/>
      <c r="CD326" s="7"/>
      <c r="CE326" s="7"/>
      <c r="CF326" s="7"/>
      <c r="CG326" s="7"/>
    </row>
    <row r="327" spans="3:85"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BT327" s="7"/>
      <c r="BU327" s="7"/>
      <c r="BV327" s="7"/>
      <c r="BW327" s="7"/>
      <c r="BX327" s="7"/>
      <c r="BY327" s="7"/>
      <c r="BZ327" s="7"/>
      <c r="CA327" s="7"/>
      <c r="CB327" s="7"/>
      <c r="CC327" s="7"/>
      <c r="CD327" s="7"/>
      <c r="CE327" s="7"/>
      <c r="CF327" s="7"/>
      <c r="CG327" s="7"/>
    </row>
    <row r="328" spans="3:85"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BT328" s="7"/>
      <c r="BU328" s="7"/>
      <c r="BV328" s="7"/>
      <c r="BW328" s="7"/>
      <c r="BX328" s="7"/>
      <c r="BY328" s="7"/>
      <c r="BZ328" s="7"/>
      <c r="CA328" s="7"/>
      <c r="CB328" s="7"/>
      <c r="CC328" s="7"/>
      <c r="CD328" s="7"/>
      <c r="CE328" s="7"/>
      <c r="CF328" s="7"/>
      <c r="CG328" s="7"/>
    </row>
    <row r="329" spans="3:85"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BT329" s="7"/>
      <c r="BU329" s="7"/>
      <c r="BV329" s="7"/>
      <c r="BW329" s="7"/>
      <c r="BX329" s="7"/>
      <c r="BY329" s="7"/>
      <c r="BZ329" s="7"/>
      <c r="CA329" s="7"/>
      <c r="CB329" s="7"/>
      <c r="CC329" s="7"/>
      <c r="CD329" s="7"/>
      <c r="CE329" s="7"/>
      <c r="CF329" s="7"/>
      <c r="CG329" s="7"/>
    </row>
    <row r="330" spans="3:85"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BT330" s="7"/>
      <c r="BU330" s="7"/>
      <c r="BV330" s="7"/>
      <c r="BW330" s="7"/>
      <c r="BX330" s="7"/>
      <c r="BY330" s="7"/>
      <c r="BZ330" s="7"/>
      <c r="CA330" s="7"/>
      <c r="CB330" s="7"/>
      <c r="CC330" s="7"/>
      <c r="CD330" s="7"/>
      <c r="CE330" s="7"/>
      <c r="CF330" s="7"/>
      <c r="CG330" s="7"/>
    </row>
    <row r="331" spans="3:85"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BT331" s="7"/>
      <c r="BU331" s="7"/>
      <c r="BV331" s="7"/>
      <c r="BW331" s="7"/>
      <c r="BX331" s="7"/>
      <c r="BY331" s="7"/>
      <c r="BZ331" s="7"/>
      <c r="CA331" s="7"/>
      <c r="CB331" s="7"/>
      <c r="CC331" s="7"/>
      <c r="CD331" s="7"/>
      <c r="CE331" s="7"/>
      <c r="CF331" s="7"/>
      <c r="CG331" s="7"/>
    </row>
    <row r="332" spans="3:85"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BT332" s="7"/>
      <c r="BU332" s="7"/>
      <c r="BV332" s="7"/>
      <c r="BW332" s="7"/>
      <c r="BX332" s="7"/>
      <c r="BY332" s="7"/>
      <c r="BZ332" s="7"/>
      <c r="CA332" s="7"/>
      <c r="CB332" s="7"/>
      <c r="CC332" s="7"/>
      <c r="CD332" s="7"/>
      <c r="CE332" s="7"/>
      <c r="CF332" s="7"/>
      <c r="CG332" s="7"/>
    </row>
    <row r="333" spans="3:85"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BT333" s="7"/>
      <c r="BU333" s="7"/>
      <c r="BV333" s="7"/>
      <c r="BW333" s="7"/>
      <c r="BX333" s="7"/>
      <c r="BY333" s="7"/>
      <c r="BZ333" s="7"/>
      <c r="CA333" s="7"/>
      <c r="CB333" s="7"/>
      <c r="CC333" s="7"/>
      <c r="CD333" s="7"/>
      <c r="CE333" s="7"/>
      <c r="CF333" s="7"/>
      <c r="CG333" s="7"/>
    </row>
    <row r="334" spans="3:85"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BT334" s="7"/>
      <c r="BU334" s="7"/>
      <c r="BV334" s="7"/>
      <c r="BW334" s="7"/>
      <c r="BX334" s="7"/>
      <c r="BY334" s="7"/>
      <c r="BZ334" s="7"/>
      <c r="CA334" s="7"/>
      <c r="CB334" s="7"/>
      <c r="CC334" s="7"/>
      <c r="CD334" s="7"/>
      <c r="CE334" s="7"/>
      <c r="CF334" s="7"/>
      <c r="CG334" s="7"/>
    </row>
    <row r="335" spans="3:85"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BT335" s="7"/>
      <c r="BU335" s="7"/>
      <c r="BV335" s="7"/>
      <c r="BW335" s="7"/>
      <c r="BX335" s="7"/>
      <c r="BY335" s="7"/>
      <c r="BZ335" s="7"/>
      <c r="CA335" s="7"/>
      <c r="CB335" s="7"/>
      <c r="CC335" s="7"/>
      <c r="CD335" s="7"/>
      <c r="CE335" s="7"/>
      <c r="CF335" s="7"/>
      <c r="CG335" s="7"/>
    </row>
    <row r="336" spans="3:85"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BT336" s="7"/>
      <c r="BU336" s="7"/>
      <c r="BV336" s="7"/>
      <c r="BW336" s="7"/>
      <c r="BX336" s="7"/>
      <c r="BY336" s="7"/>
      <c r="BZ336" s="7"/>
      <c r="CA336" s="7"/>
      <c r="CB336" s="7"/>
      <c r="CC336" s="7"/>
      <c r="CD336" s="7"/>
      <c r="CE336" s="7"/>
      <c r="CF336" s="7"/>
      <c r="CG336" s="7"/>
    </row>
    <row r="337" spans="3:85"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BT337" s="7"/>
      <c r="BU337" s="7"/>
      <c r="BV337" s="7"/>
      <c r="BW337" s="7"/>
      <c r="BX337" s="7"/>
      <c r="BY337" s="7"/>
      <c r="BZ337" s="7"/>
      <c r="CA337" s="7"/>
      <c r="CB337" s="7"/>
      <c r="CC337" s="7"/>
      <c r="CD337" s="7"/>
      <c r="CE337" s="7"/>
      <c r="CF337" s="7"/>
      <c r="CG337" s="7"/>
    </row>
    <row r="338" spans="3:85"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BT338" s="7"/>
      <c r="BU338" s="7"/>
      <c r="BV338" s="7"/>
      <c r="BW338" s="7"/>
      <c r="BX338" s="7"/>
      <c r="BY338" s="7"/>
      <c r="BZ338" s="7"/>
      <c r="CA338" s="7"/>
      <c r="CB338" s="7"/>
      <c r="CC338" s="7"/>
      <c r="CD338" s="7"/>
      <c r="CE338" s="7"/>
      <c r="CF338" s="7"/>
      <c r="CG338" s="7"/>
    </row>
    <row r="339" spans="3:85"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BT339" s="7"/>
      <c r="BU339" s="7"/>
      <c r="BV339" s="7"/>
      <c r="BW339" s="7"/>
      <c r="BX339" s="7"/>
      <c r="BY339" s="7"/>
      <c r="BZ339" s="7"/>
      <c r="CA339" s="7"/>
      <c r="CB339" s="7"/>
      <c r="CC339" s="7"/>
      <c r="CD339" s="7"/>
      <c r="CE339" s="7"/>
      <c r="CF339" s="7"/>
      <c r="CG339" s="7"/>
    </row>
    <row r="340" spans="3:85"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BT340" s="7"/>
      <c r="BU340" s="7"/>
      <c r="BV340" s="7"/>
      <c r="BW340" s="7"/>
      <c r="BX340" s="7"/>
      <c r="BY340" s="7"/>
      <c r="BZ340" s="7"/>
      <c r="CA340" s="7"/>
      <c r="CB340" s="7"/>
      <c r="CC340" s="7"/>
      <c r="CD340" s="7"/>
      <c r="CE340" s="7"/>
      <c r="CF340" s="7"/>
      <c r="CG340" s="7"/>
    </row>
    <row r="341" spans="3:85"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BT341" s="7"/>
      <c r="BU341" s="7"/>
      <c r="BV341" s="7"/>
      <c r="BW341" s="7"/>
      <c r="BX341" s="7"/>
      <c r="BY341" s="7"/>
      <c r="BZ341" s="7"/>
      <c r="CA341" s="7"/>
      <c r="CB341" s="7"/>
      <c r="CC341" s="7"/>
      <c r="CD341" s="7"/>
      <c r="CE341" s="7"/>
      <c r="CF341" s="7"/>
      <c r="CG341" s="7"/>
    </row>
    <row r="342" spans="3:85"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BT342" s="7"/>
      <c r="BU342" s="7"/>
      <c r="BV342" s="7"/>
      <c r="BW342" s="7"/>
      <c r="BX342" s="7"/>
      <c r="BY342" s="7"/>
      <c r="BZ342" s="7"/>
      <c r="CA342" s="7"/>
      <c r="CB342" s="7"/>
      <c r="CC342" s="7"/>
      <c r="CD342" s="7"/>
      <c r="CE342" s="7"/>
      <c r="CF342" s="7"/>
      <c r="CG342" s="7"/>
    </row>
    <row r="343" spans="3:85"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BT343" s="7"/>
      <c r="BU343" s="7"/>
      <c r="BV343" s="7"/>
      <c r="BW343" s="7"/>
      <c r="BX343" s="7"/>
      <c r="BY343" s="7"/>
      <c r="BZ343" s="7"/>
      <c r="CA343" s="7"/>
      <c r="CB343" s="7"/>
      <c r="CC343" s="7"/>
      <c r="CD343" s="7"/>
      <c r="CE343" s="7"/>
      <c r="CF343" s="7"/>
      <c r="CG343" s="7"/>
    </row>
    <row r="344" spans="3:85"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BT344" s="7"/>
      <c r="BU344" s="7"/>
      <c r="BV344" s="7"/>
      <c r="BW344" s="7"/>
      <c r="BX344" s="7"/>
      <c r="BY344" s="7"/>
      <c r="BZ344" s="7"/>
      <c r="CA344" s="7"/>
      <c r="CB344" s="7"/>
      <c r="CC344" s="7"/>
      <c r="CD344" s="7"/>
      <c r="CE344" s="7"/>
      <c r="CF344" s="7"/>
      <c r="CG344" s="7"/>
    </row>
    <row r="345" spans="3:85"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BT345" s="7"/>
      <c r="BU345" s="7"/>
      <c r="BV345" s="7"/>
      <c r="BW345" s="7"/>
      <c r="BX345" s="7"/>
      <c r="BY345" s="7"/>
      <c r="BZ345" s="7"/>
      <c r="CA345" s="7"/>
      <c r="CB345" s="7"/>
      <c r="CC345" s="7"/>
      <c r="CD345" s="7"/>
      <c r="CE345" s="7"/>
      <c r="CF345" s="7"/>
      <c r="CG345" s="7"/>
    </row>
    <row r="346" spans="3:85"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BT346" s="7"/>
      <c r="BU346" s="7"/>
      <c r="BV346" s="7"/>
      <c r="BW346" s="7"/>
      <c r="BX346" s="7"/>
      <c r="BY346" s="7"/>
      <c r="BZ346" s="7"/>
      <c r="CA346" s="7"/>
      <c r="CB346" s="7"/>
      <c r="CC346" s="7"/>
      <c r="CD346" s="7"/>
      <c r="CE346" s="7"/>
      <c r="CF346" s="7"/>
      <c r="CG346" s="7"/>
    </row>
    <row r="347" spans="3:85"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BT347" s="7"/>
      <c r="BU347" s="7"/>
      <c r="BV347" s="7"/>
      <c r="BW347" s="7"/>
      <c r="BX347" s="7"/>
      <c r="BY347" s="7"/>
      <c r="BZ347" s="7"/>
      <c r="CA347" s="7"/>
      <c r="CB347" s="7"/>
      <c r="CC347" s="7"/>
      <c r="CD347" s="7"/>
      <c r="CE347" s="7"/>
      <c r="CF347" s="7"/>
      <c r="CG347" s="7"/>
    </row>
    <row r="348" spans="3:85"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BT348" s="7"/>
      <c r="BU348" s="7"/>
      <c r="BV348" s="7"/>
      <c r="BW348" s="7"/>
      <c r="BX348" s="7"/>
      <c r="BY348" s="7"/>
      <c r="BZ348" s="7"/>
      <c r="CA348" s="7"/>
      <c r="CB348" s="7"/>
      <c r="CC348" s="7"/>
      <c r="CD348" s="7"/>
      <c r="CE348" s="7"/>
      <c r="CF348" s="7"/>
      <c r="CG348" s="7"/>
    </row>
    <row r="349" spans="3:85"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BT349" s="7"/>
      <c r="BU349" s="7"/>
      <c r="BV349" s="7"/>
      <c r="BW349" s="7"/>
      <c r="BX349" s="7"/>
      <c r="BY349" s="7"/>
      <c r="BZ349" s="7"/>
      <c r="CA349" s="7"/>
      <c r="CB349" s="7"/>
      <c r="CC349" s="7"/>
      <c r="CD349" s="7"/>
      <c r="CE349" s="7"/>
      <c r="CF349" s="7"/>
      <c r="CG349" s="7"/>
    </row>
    <row r="350" spans="3:85"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BT350" s="7"/>
      <c r="BU350" s="7"/>
      <c r="BV350" s="7"/>
      <c r="BW350" s="7"/>
      <c r="BX350" s="7"/>
      <c r="BY350" s="7"/>
      <c r="BZ350" s="7"/>
      <c r="CA350" s="7"/>
      <c r="CB350" s="7"/>
      <c r="CC350" s="7"/>
      <c r="CD350" s="7"/>
      <c r="CE350" s="7"/>
      <c r="CF350" s="7"/>
      <c r="CG350" s="7"/>
    </row>
    <row r="351" spans="3:85"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BT351" s="7"/>
      <c r="BU351" s="7"/>
      <c r="BV351" s="7"/>
      <c r="BW351" s="7"/>
      <c r="BX351" s="7"/>
      <c r="BY351" s="7"/>
      <c r="BZ351" s="7"/>
      <c r="CA351" s="7"/>
      <c r="CB351" s="7"/>
      <c r="CC351" s="7"/>
      <c r="CD351" s="7"/>
      <c r="CE351" s="7"/>
      <c r="CF351" s="7"/>
      <c r="CG351" s="7"/>
    </row>
    <row r="352" spans="3:85"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BT352" s="7"/>
      <c r="BU352" s="7"/>
      <c r="BV352" s="7"/>
      <c r="BW352" s="7"/>
      <c r="BX352" s="7"/>
      <c r="BY352" s="7"/>
      <c r="BZ352" s="7"/>
      <c r="CA352" s="7"/>
      <c r="CB352" s="7"/>
      <c r="CC352" s="7"/>
      <c r="CD352" s="7"/>
      <c r="CE352" s="7"/>
      <c r="CF352" s="7"/>
      <c r="CG352" s="7"/>
    </row>
    <row r="353" spans="3:85"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BT353" s="7"/>
      <c r="BU353" s="7"/>
      <c r="BV353" s="7"/>
      <c r="BW353" s="7"/>
      <c r="BX353" s="7"/>
      <c r="BY353" s="7"/>
      <c r="BZ353" s="7"/>
      <c r="CA353" s="7"/>
      <c r="CB353" s="7"/>
      <c r="CC353" s="7"/>
      <c r="CD353" s="7"/>
      <c r="CE353" s="7"/>
      <c r="CF353" s="7"/>
      <c r="CG353" s="7"/>
    </row>
    <row r="354" spans="3:85"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BT354" s="7"/>
      <c r="BU354" s="7"/>
      <c r="BV354" s="7"/>
      <c r="BW354" s="7"/>
      <c r="BX354" s="7"/>
      <c r="BY354" s="7"/>
      <c r="BZ354" s="7"/>
      <c r="CA354" s="7"/>
      <c r="CB354" s="7"/>
      <c r="CC354" s="7"/>
      <c r="CD354" s="7"/>
      <c r="CE354" s="7"/>
      <c r="CF354" s="7"/>
      <c r="CG354" s="7"/>
    </row>
    <row r="355" spans="3:85"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BT355" s="7"/>
      <c r="BU355" s="7"/>
      <c r="BV355" s="7"/>
      <c r="BW355" s="7"/>
      <c r="BX355" s="7"/>
      <c r="BY355" s="7"/>
      <c r="BZ355" s="7"/>
      <c r="CA355" s="7"/>
      <c r="CB355" s="7"/>
      <c r="CC355" s="7"/>
      <c r="CD355" s="7"/>
      <c r="CE355" s="7"/>
      <c r="CF355" s="7"/>
      <c r="CG355" s="7"/>
    </row>
    <row r="356" spans="3:85"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BT356" s="7"/>
      <c r="BU356" s="7"/>
      <c r="BV356" s="7"/>
      <c r="BW356" s="7"/>
      <c r="BX356" s="7"/>
      <c r="BY356" s="7"/>
      <c r="BZ356" s="7"/>
      <c r="CA356" s="7"/>
      <c r="CB356" s="7"/>
      <c r="CC356" s="7"/>
      <c r="CD356" s="7"/>
      <c r="CE356" s="7"/>
      <c r="CF356" s="7"/>
      <c r="CG356" s="7"/>
    </row>
    <row r="357" spans="3:85"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BT357" s="7"/>
      <c r="BU357" s="7"/>
      <c r="BV357" s="7"/>
      <c r="BW357" s="7"/>
      <c r="BX357" s="7"/>
      <c r="BY357" s="7"/>
      <c r="BZ357" s="7"/>
      <c r="CA357" s="7"/>
      <c r="CB357" s="7"/>
      <c r="CC357" s="7"/>
      <c r="CD357" s="7"/>
      <c r="CE357" s="7"/>
      <c r="CF357" s="7"/>
      <c r="CG357" s="7"/>
    </row>
    <row r="358" spans="3:85"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BT358" s="7"/>
      <c r="BU358" s="7"/>
      <c r="BV358" s="7"/>
      <c r="BW358" s="7"/>
      <c r="BX358" s="7"/>
      <c r="BY358" s="7"/>
      <c r="BZ358" s="7"/>
      <c r="CA358" s="7"/>
      <c r="CB358" s="7"/>
      <c r="CC358" s="7"/>
      <c r="CD358" s="7"/>
      <c r="CE358" s="7"/>
      <c r="CF358" s="7"/>
      <c r="CG358" s="7"/>
    </row>
    <row r="359" spans="3:85"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BT359" s="7"/>
      <c r="BU359" s="7"/>
      <c r="BV359" s="7"/>
      <c r="BW359" s="7"/>
      <c r="BX359" s="7"/>
      <c r="BY359" s="7"/>
      <c r="BZ359" s="7"/>
      <c r="CA359" s="7"/>
      <c r="CB359" s="7"/>
      <c r="CC359" s="7"/>
      <c r="CD359" s="7"/>
      <c r="CE359" s="7"/>
      <c r="CF359" s="7"/>
      <c r="CG359" s="7"/>
    </row>
    <row r="360" spans="3:85"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BT360" s="7"/>
      <c r="BU360" s="7"/>
      <c r="BV360" s="7"/>
      <c r="BW360" s="7"/>
      <c r="BX360" s="7"/>
      <c r="BY360" s="7"/>
      <c r="BZ360" s="7"/>
      <c r="CA360" s="7"/>
      <c r="CB360" s="7"/>
      <c r="CC360" s="7"/>
      <c r="CD360" s="7"/>
      <c r="CE360" s="7"/>
      <c r="CF360" s="7"/>
      <c r="CG360" s="7"/>
    </row>
    <row r="361" spans="3:85"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BT361" s="7"/>
      <c r="BU361" s="7"/>
      <c r="BV361" s="7"/>
      <c r="BW361" s="7"/>
      <c r="BX361" s="7"/>
      <c r="BY361" s="7"/>
      <c r="BZ361" s="7"/>
      <c r="CA361" s="7"/>
      <c r="CB361" s="7"/>
      <c r="CC361" s="7"/>
      <c r="CD361" s="7"/>
      <c r="CE361" s="7"/>
      <c r="CF361" s="7"/>
      <c r="CG361" s="7"/>
    </row>
    <row r="362" spans="3:85"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BT362" s="7"/>
      <c r="BU362" s="7"/>
      <c r="BV362" s="7"/>
      <c r="BW362" s="7"/>
      <c r="BX362" s="7"/>
      <c r="BY362" s="7"/>
      <c r="BZ362" s="7"/>
      <c r="CA362" s="7"/>
      <c r="CB362" s="7"/>
      <c r="CC362" s="7"/>
      <c r="CD362" s="7"/>
      <c r="CE362" s="7"/>
      <c r="CF362" s="7"/>
      <c r="CG362" s="7"/>
    </row>
    <row r="363" spans="3:85"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BT363" s="7"/>
      <c r="BU363" s="7"/>
      <c r="BV363" s="7"/>
      <c r="BW363" s="7"/>
      <c r="BX363" s="7"/>
      <c r="BY363" s="7"/>
      <c r="BZ363" s="7"/>
      <c r="CA363" s="7"/>
      <c r="CB363" s="7"/>
      <c r="CC363" s="7"/>
      <c r="CD363" s="7"/>
      <c r="CE363" s="7"/>
      <c r="CF363" s="7"/>
      <c r="CG363" s="7"/>
    </row>
    <row r="364" spans="3:85"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BT364" s="7"/>
      <c r="BU364" s="7"/>
      <c r="BV364" s="7"/>
      <c r="BW364" s="7"/>
      <c r="BX364" s="7"/>
      <c r="BY364" s="7"/>
      <c r="BZ364" s="7"/>
      <c r="CA364" s="7"/>
      <c r="CB364" s="7"/>
      <c r="CC364" s="7"/>
      <c r="CD364" s="7"/>
      <c r="CE364" s="7"/>
      <c r="CF364" s="7"/>
      <c r="CG364" s="7"/>
    </row>
    <row r="365" spans="3:85"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BT365" s="7"/>
      <c r="BU365" s="7"/>
      <c r="BV365" s="7"/>
      <c r="BW365" s="7"/>
      <c r="BX365" s="7"/>
      <c r="BY365" s="7"/>
      <c r="BZ365" s="7"/>
      <c r="CA365" s="7"/>
      <c r="CB365" s="7"/>
      <c r="CC365" s="7"/>
      <c r="CD365" s="7"/>
      <c r="CE365" s="7"/>
      <c r="CF365" s="7"/>
      <c r="CG365" s="7"/>
    </row>
    <row r="366" spans="3:85"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BT366" s="7"/>
      <c r="BU366" s="7"/>
      <c r="BV366" s="7"/>
      <c r="BW366" s="7"/>
      <c r="BX366" s="7"/>
      <c r="BY366" s="7"/>
      <c r="BZ366" s="7"/>
      <c r="CA366" s="7"/>
      <c r="CB366" s="7"/>
      <c r="CC366" s="7"/>
      <c r="CD366" s="7"/>
      <c r="CE366" s="7"/>
      <c r="CF366" s="7"/>
      <c r="CG366" s="7"/>
    </row>
    <row r="367" spans="3:85"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BT367" s="7"/>
      <c r="BU367" s="7"/>
      <c r="BV367" s="7"/>
      <c r="BW367" s="7"/>
      <c r="BX367" s="7"/>
      <c r="BY367" s="7"/>
      <c r="BZ367" s="7"/>
      <c r="CA367" s="7"/>
      <c r="CB367" s="7"/>
      <c r="CC367" s="7"/>
      <c r="CD367" s="7"/>
      <c r="CE367" s="7"/>
      <c r="CF367" s="7"/>
      <c r="CG367" s="7"/>
    </row>
    <row r="368" spans="3:85"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BT368" s="7"/>
      <c r="BU368" s="7"/>
      <c r="BV368" s="7"/>
      <c r="BW368" s="7"/>
      <c r="BX368" s="7"/>
      <c r="BY368" s="7"/>
      <c r="BZ368" s="7"/>
      <c r="CA368" s="7"/>
      <c r="CB368" s="7"/>
      <c r="CC368" s="7"/>
      <c r="CD368" s="7"/>
      <c r="CE368" s="7"/>
      <c r="CF368" s="7"/>
      <c r="CG368" s="7"/>
    </row>
    <row r="369" spans="3:85"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BT369" s="7"/>
      <c r="BU369" s="7"/>
      <c r="BV369" s="7"/>
      <c r="BW369" s="7"/>
      <c r="BX369" s="7"/>
      <c r="BY369" s="7"/>
      <c r="BZ369" s="7"/>
      <c r="CA369" s="7"/>
      <c r="CB369" s="7"/>
      <c r="CC369" s="7"/>
      <c r="CD369" s="7"/>
      <c r="CE369" s="7"/>
      <c r="CF369" s="7"/>
      <c r="CG369" s="7"/>
    </row>
    <row r="370" spans="3:85"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BT370" s="7"/>
      <c r="BU370" s="7"/>
      <c r="BV370" s="7"/>
      <c r="BW370" s="7"/>
      <c r="BX370" s="7"/>
      <c r="BY370" s="7"/>
      <c r="BZ370" s="7"/>
      <c r="CA370" s="7"/>
      <c r="CB370" s="7"/>
      <c r="CC370" s="7"/>
      <c r="CD370" s="7"/>
      <c r="CE370" s="7"/>
      <c r="CF370" s="7"/>
      <c r="CG370" s="7"/>
    </row>
    <row r="371" spans="3:85"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BT371" s="7"/>
      <c r="BU371" s="7"/>
      <c r="BV371" s="7"/>
      <c r="BW371" s="7"/>
      <c r="BX371" s="7"/>
      <c r="BY371" s="7"/>
      <c r="BZ371" s="7"/>
      <c r="CA371" s="7"/>
      <c r="CB371" s="7"/>
      <c r="CC371" s="7"/>
      <c r="CD371" s="7"/>
      <c r="CE371" s="7"/>
      <c r="CF371" s="7"/>
      <c r="CG371" s="7"/>
    </row>
    <row r="372" spans="3:85"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BT372" s="7"/>
      <c r="BU372" s="7"/>
      <c r="BV372" s="7"/>
      <c r="BW372" s="7"/>
      <c r="BX372" s="7"/>
      <c r="BY372" s="7"/>
      <c r="BZ372" s="7"/>
      <c r="CA372" s="7"/>
      <c r="CB372" s="7"/>
      <c r="CC372" s="7"/>
      <c r="CD372" s="7"/>
      <c r="CE372" s="7"/>
      <c r="CF372" s="7"/>
      <c r="CG372" s="7"/>
    </row>
    <row r="373" spans="3:85"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BT373" s="7"/>
      <c r="BU373" s="7"/>
      <c r="BV373" s="7"/>
      <c r="BW373" s="7"/>
      <c r="BX373" s="7"/>
      <c r="BY373" s="7"/>
      <c r="BZ373" s="7"/>
      <c r="CA373" s="7"/>
      <c r="CB373" s="7"/>
      <c r="CC373" s="7"/>
      <c r="CD373" s="7"/>
      <c r="CE373" s="7"/>
      <c r="CF373" s="7"/>
      <c r="CG373" s="7"/>
    </row>
    <row r="374" spans="3:85"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BT374" s="7"/>
      <c r="BU374" s="7"/>
      <c r="BV374" s="7"/>
      <c r="BW374" s="7"/>
      <c r="BX374" s="7"/>
      <c r="BY374" s="7"/>
      <c r="BZ374" s="7"/>
      <c r="CA374" s="7"/>
      <c r="CB374" s="7"/>
      <c r="CC374" s="7"/>
      <c r="CD374" s="7"/>
      <c r="CE374" s="7"/>
      <c r="CF374" s="7"/>
      <c r="CG374" s="7"/>
    </row>
    <row r="375" spans="3:85"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BT375" s="7"/>
      <c r="BU375" s="7"/>
      <c r="BV375" s="7"/>
      <c r="BW375" s="7"/>
      <c r="BX375" s="7"/>
      <c r="BY375" s="7"/>
      <c r="BZ375" s="7"/>
      <c r="CA375" s="7"/>
      <c r="CB375" s="7"/>
      <c r="CC375" s="7"/>
      <c r="CD375" s="7"/>
      <c r="CE375" s="7"/>
      <c r="CF375" s="7"/>
      <c r="CG375" s="7"/>
    </row>
    <row r="376" spans="3:85"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BT376" s="7"/>
      <c r="BU376" s="7"/>
      <c r="BV376" s="7"/>
      <c r="BW376" s="7"/>
      <c r="BX376" s="7"/>
      <c r="BY376" s="7"/>
      <c r="BZ376" s="7"/>
      <c r="CA376" s="7"/>
      <c r="CB376" s="7"/>
      <c r="CC376" s="7"/>
      <c r="CD376" s="7"/>
      <c r="CE376" s="7"/>
      <c r="CF376" s="7"/>
      <c r="CG376" s="7"/>
    </row>
    <row r="377" spans="3:85"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BT377" s="7"/>
      <c r="BU377" s="7"/>
      <c r="BV377" s="7"/>
      <c r="BW377" s="7"/>
      <c r="BX377" s="7"/>
      <c r="BY377" s="7"/>
      <c r="BZ377" s="7"/>
      <c r="CA377" s="7"/>
      <c r="CB377" s="7"/>
      <c r="CC377" s="7"/>
      <c r="CD377" s="7"/>
      <c r="CE377" s="7"/>
      <c r="CF377" s="7"/>
      <c r="CG377" s="7"/>
    </row>
    <row r="378" spans="3:85"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BT378" s="7"/>
      <c r="BU378" s="7"/>
      <c r="BV378" s="7"/>
      <c r="BW378" s="7"/>
      <c r="BX378" s="7"/>
      <c r="BY378" s="7"/>
      <c r="BZ378" s="7"/>
      <c r="CA378" s="7"/>
      <c r="CB378" s="7"/>
      <c r="CC378" s="7"/>
      <c r="CD378" s="7"/>
      <c r="CE378" s="7"/>
      <c r="CF378" s="7"/>
      <c r="CG378" s="7"/>
    </row>
    <row r="379" spans="3:85"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BT379" s="7"/>
      <c r="BU379" s="7"/>
      <c r="BV379" s="7"/>
      <c r="BW379" s="7"/>
      <c r="BX379" s="7"/>
      <c r="BY379" s="7"/>
      <c r="BZ379" s="7"/>
      <c r="CA379" s="7"/>
      <c r="CB379" s="7"/>
      <c r="CC379" s="7"/>
      <c r="CD379" s="7"/>
      <c r="CE379" s="7"/>
      <c r="CF379" s="7"/>
      <c r="CG379" s="7"/>
    </row>
    <row r="380" spans="3:85"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BT380" s="7"/>
      <c r="BU380" s="7"/>
      <c r="BV380" s="7"/>
      <c r="BW380" s="7"/>
      <c r="BX380" s="7"/>
      <c r="BY380" s="7"/>
      <c r="BZ380" s="7"/>
      <c r="CA380" s="7"/>
      <c r="CB380" s="7"/>
      <c r="CC380" s="7"/>
      <c r="CD380" s="7"/>
      <c r="CE380" s="7"/>
      <c r="CF380" s="7"/>
      <c r="CG380" s="7"/>
    </row>
    <row r="381" spans="3:85"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BT381" s="7"/>
      <c r="BU381" s="7"/>
      <c r="BV381" s="7"/>
      <c r="BW381" s="7"/>
      <c r="BX381" s="7"/>
      <c r="BY381" s="7"/>
      <c r="BZ381" s="7"/>
      <c r="CA381" s="7"/>
      <c r="CB381" s="7"/>
      <c r="CC381" s="7"/>
      <c r="CD381" s="7"/>
      <c r="CE381" s="7"/>
      <c r="CF381" s="7"/>
      <c r="CG381" s="7"/>
    </row>
    <row r="382" spans="3:85"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BT382" s="7"/>
      <c r="BU382" s="7"/>
      <c r="BV382" s="7"/>
      <c r="BW382" s="7"/>
      <c r="BX382" s="7"/>
      <c r="BY382" s="7"/>
      <c r="BZ382" s="7"/>
      <c r="CA382" s="7"/>
      <c r="CB382" s="7"/>
      <c r="CC382" s="7"/>
      <c r="CD382" s="7"/>
      <c r="CE382" s="7"/>
      <c r="CF382" s="7"/>
      <c r="CG382" s="7"/>
    </row>
    <row r="383" spans="3:85"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BT383" s="7"/>
      <c r="BU383" s="7"/>
      <c r="BV383" s="7"/>
      <c r="BW383" s="7"/>
      <c r="BX383" s="7"/>
      <c r="BY383" s="7"/>
      <c r="BZ383" s="7"/>
      <c r="CA383" s="7"/>
      <c r="CB383" s="7"/>
      <c r="CC383" s="7"/>
      <c r="CD383" s="7"/>
      <c r="CE383" s="7"/>
      <c r="CF383" s="7"/>
      <c r="CG383" s="7"/>
    </row>
    <row r="384" spans="3:85"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BT384" s="7"/>
      <c r="BU384" s="7"/>
      <c r="BV384" s="7"/>
      <c r="BW384" s="7"/>
      <c r="BX384" s="7"/>
      <c r="BY384" s="7"/>
      <c r="BZ384" s="7"/>
      <c r="CA384" s="7"/>
      <c r="CB384" s="7"/>
      <c r="CC384" s="7"/>
      <c r="CD384" s="7"/>
      <c r="CE384" s="7"/>
      <c r="CF384" s="7"/>
      <c r="CG384" s="7"/>
    </row>
    <row r="385" spans="3:85"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BT385" s="7"/>
      <c r="BU385" s="7"/>
      <c r="BV385" s="7"/>
      <c r="BW385" s="7"/>
      <c r="BX385" s="7"/>
      <c r="BY385" s="7"/>
      <c r="BZ385" s="7"/>
      <c r="CA385" s="7"/>
      <c r="CB385" s="7"/>
      <c r="CC385" s="7"/>
      <c r="CD385" s="7"/>
      <c r="CE385" s="7"/>
      <c r="CF385" s="7"/>
      <c r="CG385" s="7"/>
    </row>
    <row r="386" spans="3:85"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BT386" s="7"/>
      <c r="BU386" s="7"/>
      <c r="BV386" s="7"/>
      <c r="BW386" s="7"/>
      <c r="BX386" s="7"/>
      <c r="BY386" s="7"/>
      <c r="BZ386" s="7"/>
      <c r="CA386" s="7"/>
      <c r="CB386" s="7"/>
      <c r="CC386" s="7"/>
      <c r="CD386" s="7"/>
      <c r="CE386" s="7"/>
      <c r="CF386" s="7"/>
      <c r="CG386" s="7"/>
    </row>
    <row r="387" spans="3:85"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BT387" s="7"/>
      <c r="BU387" s="7"/>
      <c r="BV387" s="7"/>
      <c r="BW387" s="7"/>
      <c r="BX387" s="7"/>
      <c r="BY387" s="7"/>
      <c r="BZ387" s="7"/>
      <c r="CA387" s="7"/>
      <c r="CB387" s="7"/>
      <c r="CC387" s="7"/>
      <c r="CD387" s="7"/>
      <c r="CE387" s="7"/>
      <c r="CF387" s="7"/>
      <c r="CG387" s="7"/>
    </row>
    <row r="388" spans="3:85"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BT388" s="7"/>
      <c r="BU388" s="7"/>
      <c r="BV388" s="7"/>
      <c r="BW388" s="7"/>
      <c r="BX388" s="7"/>
      <c r="BY388" s="7"/>
      <c r="BZ388" s="7"/>
      <c r="CA388" s="7"/>
      <c r="CB388" s="7"/>
      <c r="CC388" s="7"/>
      <c r="CD388" s="7"/>
      <c r="CE388" s="7"/>
      <c r="CF388" s="7"/>
      <c r="CG388" s="7"/>
    </row>
    <row r="389" spans="3:85"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BT389" s="7"/>
      <c r="BU389" s="7"/>
      <c r="BV389" s="7"/>
      <c r="BW389" s="7"/>
      <c r="BX389" s="7"/>
      <c r="BY389" s="7"/>
      <c r="BZ389" s="7"/>
      <c r="CA389" s="7"/>
      <c r="CB389" s="7"/>
      <c r="CC389" s="7"/>
      <c r="CD389" s="7"/>
      <c r="CE389" s="7"/>
      <c r="CF389" s="7"/>
      <c r="CG389" s="7"/>
    </row>
    <row r="390" spans="3:85"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BT390" s="7"/>
      <c r="BU390" s="7"/>
      <c r="BV390" s="7"/>
      <c r="BW390" s="7"/>
      <c r="BX390" s="7"/>
      <c r="BY390" s="7"/>
      <c r="BZ390" s="7"/>
      <c r="CA390" s="7"/>
      <c r="CB390" s="7"/>
      <c r="CC390" s="7"/>
      <c r="CD390" s="7"/>
      <c r="CE390" s="7"/>
      <c r="CF390" s="7"/>
      <c r="CG390" s="7"/>
    </row>
    <row r="391" spans="3:85"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BT391" s="7"/>
      <c r="BU391" s="7"/>
      <c r="BV391" s="7"/>
      <c r="BW391" s="7"/>
      <c r="BX391" s="7"/>
      <c r="BY391" s="7"/>
      <c r="BZ391" s="7"/>
      <c r="CA391" s="7"/>
      <c r="CB391" s="7"/>
      <c r="CC391" s="7"/>
      <c r="CD391" s="7"/>
      <c r="CE391" s="7"/>
      <c r="CF391" s="7"/>
      <c r="CG391" s="7"/>
    </row>
    <row r="392" spans="3:85"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BT392" s="7"/>
      <c r="BU392" s="7"/>
      <c r="BV392" s="7"/>
      <c r="BW392" s="7"/>
      <c r="BX392" s="7"/>
      <c r="BY392" s="7"/>
      <c r="BZ392" s="7"/>
      <c r="CA392" s="7"/>
      <c r="CB392" s="7"/>
      <c r="CC392" s="7"/>
      <c r="CD392" s="7"/>
      <c r="CE392" s="7"/>
      <c r="CF392" s="7"/>
      <c r="CG392" s="7"/>
    </row>
    <row r="393" spans="3:85"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BT393" s="7"/>
      <c r="BU393" s="7"/>
      <c r="BV393" s="7"/>
      <c r="BW393" s="7"/>
      <c r="BX393" s="7"/>
      <c r="BY393" s="7"/>
      <c r="BZ393" s="7"/>
      <c r="CA393" s="7"/>
      <c r="CB393" s="7"/>
      <c r="CC393" s="7"/>
      <c r="CD393" s="7"/>
      <c r="CE393" s="7"/>
      <c r="CF393" s="7"/>
      <c r="CG393" s="7"/>
    </row>
    <row r="394" spans="3:85"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BT394" s="7"/>
      <c r="BU394" s="7"/>
      <c r="BV394" s="7"/>
      <c r="BW394" s="7"/>
      <c r="BX394" s="7"/>
      <c r="BY394" s="7"/>
      <c r="BZ394" s="7"/>
      <c r="CA394" s="7"/>
      <c r="CB394" s="7"/>
      <c r="CC394" s="7"/>
      <c r="CD394" s="7"/>
      <c r="CE394" s="7"/>
      <c r="CF394" s="7"/>
      <c r="CG394" s="7"/>
    </row>
    <row r="395" spans="3:85"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BT395" s="7"/>
      <c r="BU395" s="7"/>
      <c r="BV395" s="7"/>
      <c r="BW395" s="7"/>
      <c r="BX395" s="7"/>
      <c r="BY395" s="7"/>
      <c r="BZ395" s="7"/>
      <c r="CA395" s="7"/>
      <c r="CB395" s="7"/>
      <c r="CC395" s="7"/>
      <c r="CD395" s="7"/>
      <c r="CE395" s="7"/>
      <c r="CF395" s="7"/>
      <c r="CG395" s="7"/>
    </row>
    <row r="396" spans="3:85"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BT396" s="7"/>
      <c r="BU396" s="7"/>
      <c r="BV396" s="7"/>
      <c r="BW396" s="7"/>
      <c r="BX396" s="7"/>
      <c r="BY396" s="7"/>
      <c r="BZ396" s="7"/>
      <c r="CA396" s="7"/>
      <c r="CB396" s="7"/>
      <c r="CC396" s="7"/>
      <c r="CD396" s="7"/>
      <c r="CE396" s="7"/>
      <c r="CF396" s="7"/>
      <c r="CG396" s="7"/>
    </row>
    <row r="397" spans="3:85"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BT397" s="7"/>
      <c r="BU397" s="7"/>
      <c r="BV397" s="7"/>
      <c r="BW397" s="7"/>
      <c r="BX397" s="7"/>
      <c r="BY397" s="7"/>
      <c r="BZ397" s="7"/>
      <c r="CA397" s="7"/>
      <c r="CB397" s="7"/>
      <c r="CC397" s="7"/>
      <c r="CD397" s="7"/>
      <c r="CE397" s="7"/>
      <c r="CF397" s="7"/>
      <c r="CG397" s="7"/>
    </row>
    <row r="398" spans="3:85"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BT398" s="7"/>
      <c r="BU398" s="7"/>
      <c r="BV398" s="7"/>
      <c r="BW398" s="7"/>
      <c r="BX398" s="7"/>
      <c r="BY398" s="7"/>
      <c r="BZ398" s="7"/>
      <c r="CA398" s="7"/>
      <c r="CB398" s="7"/>
      <c r="CC398" s="7"/>
      <c r="CD398" s="7"/>
      <c r="CE398" s="7"/>
      <c r="CF398" s="7"/>
      <c r="CG398" s="7"/>
    </row>
    <row r="399" spans="3:85"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BT399" s="7"/>
      <c r="BU399" s="7"/>
      <c r="BV399" s="7"/>
      <c r="BW399" s="7"/>
      <c r="BX399" s="7"/>
      <c r="BY399" s="7"/>
      <c r="BZ399" s="7"/>
      <c r="CA399" s="7"/>
      <c r="CB399" s="7"/>
      <c r="CC399" s="7"/>
      <c r="CD399" s="7"/>
      <c r="CE399" s="7"/>
      <c r="CF399" s="7"/>
      <c r="CG399" s="7"/>
    </row>
    <row r="400" spans="3:85"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BT400" s="7"/>
      <c r="BU400" s="7"/>
      <c r="BV400" s="7"/>
      <c r="BW400" s="7"/>
      <c r="BX400" s="7"/>
      <c r="BY400" s="7"/>
      <c r="BZ400" s="7"/>
      <c r="CA400" s="7"/>
      <c r="CB400" s="7"/>
      <c r="CC400" s="7"/>
      <c r="CD400" s="7"/>
      <c r="CE400" s="7"/>
      <c r="CF400" s="7"/>
      <c r="CG400" s="7"/>
    </row>
    <row r="401" spans="3:85"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BT401" s="7"/>
      <c r="BU401" s="7"/>
      <c r="BV401" s="7"/>
      <c r="BW401" s="7"/>
      <c r="BX401" s="7"/>
      <c r="BY401" s="7"/>
      <c r="BZ401" s="7"/>
      <c r="CA401" s="7"/>
      <c r="CB401" s="7"/>
      <c r="CC401" s="7"/>
      <c r="CD401" s="7"/>
      <c r="CE401" s="7"/>
      <c r="CF401" s="7"/>
      <c r="CG401" s="7"/>
    </row>
    <row r="402" spans="3:85"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BT402" s="7"/>
      <c r="BU402" s="7"/>
      <c r="BV402" s="7"/>
      <c r="BW402" s="7"/>
      <c r="BX402" s="7"/>
      <c r="BY402" s="7"/>
      <c r="BZ402" s="7"/>
      <c r="CA402" s="7"/>
      <c r="CB402" s="7"/>
      <c r="CC402" s="7"/>
      <c r="CD402" s="7"/>
      <c r="CE402" s="7"/>
      <c r="CF402" s="7"/>
      <c r="CG402" s="7"/>
    </row>
    <row r="403" spans="3:85"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BT403" s="7"/>
      <c r="BU403" s="7"/>
      <c r="BV403" s="7"/>
      <c r="BW403" s="7"/>
      <c r="BX403" s="7"/>
      <c r="BY403" s="7"/>
      <c r="BZ403" s="7"/>
      <c r="CA403" s="7"/>
      <c r="CB403" s="7"/>
      <c r="CC403" s="7"/>
      <c r="CD403" s="7"/>
      <c r="CE403" s="7"/>
      <c r="CF403" s="7"/>
      <c r="CG403" s="7"/>
    </row>
    <row r="404" spans="3:85"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BT404" s="7"/>
      <c r="BU404" s="7"/>
      <c r="BV404" s="7"/>
      <c r="BW404" s="7"/>
      <c r="BX404" s="7"/>
      <c r="BY404" s="7"/>
      <c r="BZ404" s="7"/>
      <c r="CA404" s="7"/>
      <c r="CB404" s="7"/>
      <c r="CC404" s="7"/>
      <c r="CD404" s="7"/>
      <c r="CE404" s="7"/>
      <c r="CF404" s="7"/>
      <c r="CG404" s="7"/>
    </row>
    <row r="405" spans="3:85"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BT405" s="7"/>
      <c r="BU405" s="7"/>
      <c r="BV405" s="7"/>
      <c r="BW405" s="7"/>
      <c r="BX405" s="7"/>
      <c r="BY405" s="7"/>
      <c r="BZ405" s="7"/>
      <c r="CA405" s="7"/>
      <c r="CB405" s="7"/>
      <c r="CC405" s="7"/>
      <c r="CD405" s="7"/>
      <c r="CE405" s="7"/>
      <c r="CF405" s="7"/>
      <c r="CG405" s="7"/>
    </row>
    <row r="406" spans="3:85"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BT406" s="7"/>
      <c r="BU406" s="7"/>
      <c r="BV406" s="7"/>
      <c r="BW406" s="7"/>
      <c r="BX406" s="7"/>
      <c r="BY406" s="7"/>
      <c r="BZ406" s="7"/>
      <c r="CA406" s="7"/>
      <c r="CB406" s="7"/>
      <c r="CC406" s="7"/>
      <c r="CD406" s="7"/>
      <c r="CE406" s="7"/>
      <c r="CF406" s="7"/>
      <c r="CG406" s="7"/>
    </row>
    <row r="407" spans="3:85"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BT407" s="7"/>
      <c r="BU407" s="7"/>
      <c r="BV407" s="7"/>
      <c r="BW407" s="7"/>
      <c r="BX407" s="7"/>
      <c r="BY407" s="7"/>
      <c r="BZ407" s="7"/>
      <c r="CA407" s="7"/>
      <c r="CB407" s="7"/>
      <c r="CC407" s="7"/>
      <c r="CD407" s="7"/>
      <c r="CE407" s="7"/>
      <c r="CF407" s="7"/>
      <c r="CG407" s="7"/>
    </row>
    <row r="408" spans="3:85"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BT408" s="7"/>
      <c r="BU408" s="7"/>
      <c r="BV408" s="7"/>
      <c r="BW408" s="7"/>
      <c r="BX408" s="7"/>
      <c r="BY408" s="7"/>
      <c r="BZ408" s="7"/>
      <c r="CA408" s="7"/>
      <c r="CB408" s="7"/>
      <c r="CC408" s="7"/>
      <c r="CD408" s="7"/>
      <c r="CE408" s="7"/>
      <c r="CF408" s="7"/>
      <c r="CG408" s="7"/>
    </row>
    <row r="409" spans="3:85"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BT409" s="7"/>
      <c r="BU409" s="7"/>
      <c r="BV409" s="7"/>
      <c r="BW409" s="7"/>
      <c r="BX409" s="7"/>
      <c r="BY409" s="7"/>
      <c r="BZ409" s="7"/>
      <c r="CA409" s="7"/>
      <c r="CB409" s="7"/>
      <c r="CC409" s="7"/>
      <c r="CD409" s="7"/>
      <c r="CE409" s="7"/>
      <c r="CF409" s="7"/>
      <c r="CG409" s="7"/>
    </row>
    <row r="410" spans="3:85"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BT410" s="7"/>
      <c r="BU410" s="7"/>
      <c r="BV410" s="7"/>
      <c r="BW410" s="7"/>
      <c r="BX410" s="7"/>
      <c r="BY410" s="7"/>
      <c r="BZ410" s="7"/>
      <c r="CA410" s="7"/>
      <c r="CB410" s="7"/>
      <c r="CC410" s="7"/>
      <c r="CD410" s="7"/>
      <c r="CE410" s="7"/>
      <c r="CF410" s="7"/>
      <c r="CG410" s="7"/>
    </row>
    <row r="411" spans="3:85"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BT411" s="7"/>
      <c r="BU411" s="7"/>
      <c r="BV411" s="7"/>
      <c r="BW411" s="7"/>
      <c r="BX411" s="7"/>
      <c r="BY411" s="7"/>
      <c r="BZ411" s="7"/>
      <c r="CA411" s="7"/>
      <c r="CB411" s="7"/>
      <c r="CC411" s="7"/>
      <c r="CD411" s="7"/>
      <c r="CE411" s="7"/>
      <c r="CF411" s="7"/>
      <c r="CG411" s="7"/>
    </row>
    <row r="412" spans="3:85"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BT412" s="7"/>
      <c r="BU412" s="7"/>
      <c r="BV412" s="7"/>
      <c r="BW412" s="7"/>
      <c r="BX412" s="7"/>
      <c r="BY412" s="7"/>
      <c r="BZ412" s="7"/>
      <c r="CA412" s="7"/>
      <c r="CB412" s="7"/>
      <c r="CC412" s="7"/>
      <c r="CD412" s="7"/>
      <c r="CE412" s="7"/>
      <c r="CF412" s="7"/>
      <c r="CG412" s="7"/>
    </row>
    <row r="413" spans="3:85"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BT413" s="7"/>
      <c r="BU413" s="7"/>
      <c r="BV413" s="7"/>
      <c r="BW413" s="7"/>
      <c r="BX413" s="7"/>
      <c r="BY413" s="7"/>
      <c r="BZ413" s="7"/>
      <c r="CA413" s="7"/>
      <c r="CB413" s="7"/>
      <c r="CC413" s="7"/>
      <c r="CD413" s="7"/>
      <c r="CE413" s="7"/>
      <c r="CF413" s="7"/>
      <c r="CG413" s="7"/>
    </row>
    <row r="414" spans="3:85"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BT414" s="7"/>
      <c r="BU414" s="7"/>
      <c r="BV414" s="7"/>
      <c r="BW414" s="7"/>
      <c r="BX414" s="7"/>
      <c r="BY414" s="7"/>
      <c r="BZ414" s="7"/>
      <c r="CA414" s="7"/>
      <c r="CB414" s="7"/>
      <c r="CC414" s="7"/>
      <c r="CD414" s="7"/>
      <c r="CE414" s="7"/>
      <c r="CF414" s="7"/>
      <c r="CG414" s="7"/>
    </row>
    <row r="415" spans="3:85"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BT415" s="7"/>
      <c r="BU415" s="7"/>
      <c r="BV415" s="7"/>
      <c r="BW415" s="7"/>
      <c r="BX415" s="7"/>
      <c r="BY415" s="7"/>
      <c r="BZ415" s="7"/>
      <c r="CA415" s="7"/>
      <c r="CB415" s="7"/>
      <c r="CC415" s="7"/>
      <c r="CD415" s="7"/>
      <c r="CE415" s="7"/>
      <c r="CF415" s="7"/>
      <c r="CG415" s="7"/>
    </row>
    <row r="416" spans="3:85"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BT416" s="7"/>
      <c r="BU416" s="7"/>
      <c r="BV416" s="7"/>
      <c r="BW416" s="7"/>
      <c r="BX416" s="7"/>
      <c r="BY416" s="7"/>
      <c r="BZ416" s="7"/>
      <c r="CA416" s="7"/>
      <c r="CB416" s="7"/>
      <c r="CC416" s="7"/>
      <c r="CD416" s="7"/>
      <c r="CE416" s="7"/>
      <c r="CF416" s="7"/>
      <c r="CG416" s="7"/>
    </row>
    <row r="417" spans="3:85"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BT417" s="7"/>
      <c r="BU417" s="7"/>
      <c r="BV417" s="7"/>
      <c r="BW417" s="7"/>
      <c r="BX417" s="7"/>
      <c r="BY417" s="7"/>
      <c r="BZ417" s="7"/>
      <c r="CA417" s="7"/>
      <c r="CB417" s="7"/>
      <c r="CC417" s="7"/>
      <c r="CD417" s="7"/>
      <c r="CE417" s="7"/>
      <c r="CF417" s="7"/>
      <c r="CG417" s="7"/>
    </row>
    <row r="418" spans="3:85"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BT418" s="7"/>
      <c r="BU418" s="7"/>
      <c r="BV418" s="7"/>
      <c r="BW418" s="7"/>
      <c r="BX418" s="7"/>
      <c r="BY418" s="7"/>
      <c r="BZ418" s="7"/>
      <c r="CA418" s="7"/>
      <c r="CB418" s="7"/>
      <c r="CC418" s="7"/>
      <c r="CD418" s="7"/>
      <c r="CE418" s="7"/>
      <c r="CF418" s="7"/>
      <c r="CG418" s="7"/>
    </row>
    <row r="419" spans="3:85"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BT419" s="7"/>
      <c r="BU419" s="7"/>
      <c r="BV419" s="7"/>
      <c r="BW419" s="7"/>
      <c r="BX419" s="7"/>
      <c r="BY419" s="7"/>
      <c r="BZ419" s="7"/>
      <c r="CA419" s="7"/>
      <c r="CB419" s="7"/>
      <c r="CC419" s="7"/>
      <c r="CD419" s="7"/>
      <c r="CE419" s="7"/>
      <c r="CF419" s="7"/>
      <c r="CG419" s="7"/>
    </row>
    <row r="420" spans="3:85"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BT420" s="7"/>
      <c r="BU420" s="7"/>
      <c r="BV420" s="7"/>
      <c r="BW420" s="7"/>
      <c r="BX420" s="7"/>
      <c r="BY420" s="7"/>
      <c r="BZ420" s="7"/>
      <c r="CA420" s="7"/>
      <c r="CB420" s="7"/>
      <c r="CC420" s="7"/>
      <c r="CD420" s="7"/>
      <c r="CE420" s="7"/>
      <c r="CF420" s="7"/>
      <c r="CG420" s="7"/>
    </row>
    <row r="421" spans="3:85"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BT421" s="7"/>
      <c r="BU421" s="7"/>
      <c r="BV421" s="7"/>
      <c r="BW421" s="7"/>
      <c r="BX421" s="7"/>
      <c r="BY421" s="7"/>
      <c r="BZ421" s="7"/>
      <c r="CA421" s="7"/>
      <c r="CB421" s="7"/>
      <c r="CC421" s="7"/>
      <c r="CD421" s="7"/>
      <c r="CE421" s="7"/>
      <c r="CF421" s="7"/>
      <c r="CG421" s="7"/>
    </row>
    <row r="422" spans="3:85"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BT422" s="7"/>
      <c r="BU422" s="7"/>
      <c r="BV422" s="7"/>
      <c r="BW422" s="7"/>
      <c r="BX422" s="7"/>
      <c r="BY422" s="7"/>
      <c r="BZ422" s="7"/>
      <c r="CA422" s="7"/>
      <c r="CB422" s="7"/>
      <c r="CC422" s="7"/>
      <c r="CD422" s="7"/>
      <c r="CE422" s="7"/>
      <c r="CF422" s="7"/>
      <c r="CG422" s="7"/>
    </row>
    <row r="423" spans="3:85"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BT423" s="7"/>
      <c r="BU423" s="7"/>
      <c r="BV423" s="7"/>
      <c r="BW423" s="7"/>
      <c r="BX423" s="7"/>
      <c r="BY423" s="7"/>
      <c r="BZ423" s="7"/>
      <c r="CA423" s="7"/>
      <c r="CB423" s="7"/>
      <c r="CC423" s="7"/>
      <c r="CD423" s="7"/>
      <c r="CE423" s="7"/>
      <c r="CF423" s="7"/>
      <c r="CG423" s="7"/>
    </row>
    <row r="424" spans="3:85"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BT424" s="7"/>
      <c r="BU424" s="7"/>
      <c r="BV424" s="7"/>
      <c r="BW424" s="7"/>
      <c r="BX424" s="7"/>
      <c r="BY424" s="7"/>
      <c r="BZ424" s="7"/>
      <c r="CA424" s="7"/>
      <c r="CB424" s="7"/>
      <c r="CC424" s="7"/>
      <c r="CD424" s="7"/>
      <c r="CE424" s="7"/>
      <c r="CF424" s="7"/>
      <c r="CG424" s="7"/>
    </row>
    <row r="425" spans="3:85"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BT425" s="7"/>
      <c r="BU425" s="7"/>
      <c r="BV425" s="7"/>
      <c r="BW425" s="7"/>
      <c r="BX425" s="7"/>
      <c r="BY425" s="7"/>
      <c r="BZ425" s="7"/>
      <c r="CA425" s="7"/>
      <c r="CB425" s="7"/>
      <c r="CC425" s="7"/>
      <c r="CD425" s="7"/>
      <c r="CE425" s="7"/>
      <c r="CF425" s="7"/>
      <c r="CG425" s="7"/>
    </row>
    <row r="426" spans="3:85"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BT426" s="7"/>
      <c r="BU426" s="7"/>
      <c r="BV426" s="7"/>
      <c r="BW426" s="7"/>
      <c r="BX426" s="7"/>
      <c r="BY426" s="7"/>
      <c r="BZ426" s="7"/>
      <c r="CA426" s="7"/>
      <c r="CB426" s="7"/>
      <c r="CC426" s="7"/>
      <c r="CD426" s="7"/>
      <c r="CE426" s="7"/>
      <c r="CF426" s="7"/>
      <c r="CG426" s="7"/>
    </row>
    <row r="427" spans="3:85"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BT427" s="7"/>
      <c r="BU427" s="7"/>
      <c r="BV427" s="7"/>
      <c r="BW427" s="7"/>
      <c r="BX427" s="7"/>
      <c r="BY427" s="7"/>
      <c r="BZ427" s="7"/>
      <c r="CA427" s="7"/>
      <c r="CB427" s="7"/>
      <c r="CC427" s="7"/>
      <c r="CD427" s="7"/>
      <c r="CE427" s="7"/>
      <c r="CF427" s="7"/>
      <c r="CG427" s="7"/>
    </row>
    <row r="428" spans="3:85"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BT428" s="7"/>
      <c r="BU428" s="7"/>
      <c r="BV428" s="7"/>
      <c r="BW428" s="7"/>
      <c r="BX428" s="7"/>
      <c r="BY428" s="7"/>
      <c r="BZ428" s="7"/>
      <c r="CA428" s="7"/>
      <c r="CB428" s="7"/>
      <c r="CC428" s="7"/>
      <c r="CD428" s="7"/>
      <c r="CE428" s="7"/>
      <c r="CF428" s="7"/>
      <c r="CG428" s="7"/>
    </row>
    <row r="429" spans="3:85"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BT429" s="7"/>
      <c r="BU429" s="7"/>
      <c r="BV429" s="7"/>
      <c r="BW429" s="7"/>
      <c r="BX429" s="7"/>
      <c r="BY429" s="7"/>
      <c r="BZ429" s="7"/>
      <c r="CA429" s="7"/>
      <c r="CB429" s="7"/>
      <c r="CC429" s="7"/>
      <c r="CD429" s="7"/>
      <c r="CE429" s="7"/>
      <c r="CF429" s="7"/>
      <c r="CG429" s="7"/>
    </row>
    <row r="430" spans="3:85"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BT430" s="7"/>
      <c r="BU430" s="7"/>
      <c r="BV430" s="7"/>
      <c r="BW430" s="7"/>
      <c r="BX430" s="7"/>
      <c r="BY430" s="7"/>
      <c r="BZ430" s="7"/>
      <c r="CA430" s="7"/>
      <c r="CB430" s="7"/>
      <c r="CC430" s="7"/>
      <c r="CD430" s="7"/>
      <c r="CE430" s="7"/>
      <c r="CF430" s="7"/>
      <c r="CG430" s="7"/>
    </row>
    <row r="431" spans="3:85"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BT431" s="7"/>
      <c r="BU431" s="7"/>
      <c r="BV431" s="7"/>
      <c r="BW431" s="7"/>
      <c r="BX431" s="7"/>
      <c r="BY431" s="7"/>
      <c r="BZ431" s="7"/>
      <c r="CA431" s="7"/>
      <c r="CB431" s="7"/>
      <c r="CC431" s="7"/>
      <c r="CD431" s="7"/>
      <c r="CE431" s="7"/>
      <c r="CF431" s="7"/>
      <c r="CG431" s="7"/>
    </row>
    <row r="432" spans="3:85"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BT432" s="7"/>
      <c r="BU432" s="7"/>
      <c r="BV432" s="7"/>
      <c r="BW432" s="7"/>
      <c r="BX432" s="7"/>
      <c r="BY432" s="7"/>
      <c r="BZ432" s="7"/>
      <c r="CA432" s="7"/>
      <c r="CB432" s="7"/>
      <c r="CC432" s="7"/>
      <c r="CD432" s="7"/>
      <c r="CE432" s="7"/>
      <c r="CF432" s="7"/>
      <c r="CG432" s="7"/>
    </row>
    <row r="433" spans="3:85"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BT433" s="7"/>
      <c r="BU433" s="7"/>
      <c r="BV433" s="7"/>
      <c r="BW433" s="7"/>
      <c r="BX433" s="7"/>
      <c r="BY433" s="7"/>
      <c r="BZ433" s="7"/>
      <c r="CA433" s="7"/>
      <c r="CB433" s="7"/>
      <c r="CC433" s="7"/>
      <c r="CD433" s="7"/>
      <c r="CE433" s="7"/>
      <c r="CF433" s="7"/>
      <c r="CG433" s="7"/>
    </row>
    <row r="434" spans="3:85"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BT434" s="7"/>
      <c r="BU434" s="7"/>
      <c r="BV434" s="7"/>
      <c r="BW434" s="7"/>
      <c r="BX434" s="7"/>
      <c r="BY434" s="7"/>
      <c r="BZ434" s="7"/>
      <c r="CA434" s="7"/>
      <c r="CB434" s="7"/>
      <c r="CC434" s="7"/>
      <c r="CD434" s="7"/>
      <c r="CE434" s="7"/>
      <c r="CF434" s="7"/>
      <c r="CG434" s="7"/>
    </row>
    <row r="435" spans="3:85"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BT435" s="7"/>
      <c r="BU435" s="7"/>
      <c r="BV435" s="7"/>
      <c r="BW435" s="7"/>
      <c r="BX435" s="7"/>
      <c r="BY435" s="7"/>
      <c r="BZ435" s="7"/>
      <c r="CA435" s="7"/>
      <c r="CB435" s="7"/>
      <c r="CC435" s="7"/>
      <c r="CD435" s="7"/>
      <c r="CE435" s="7"/>
      <c r="CF435" s="7"/>
      <c r="CG435" s="7"/>
    </row>
    <row r="436" spans="3:85"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BT436" s="7"/>
      <c r="BU436" s="7"/>
      <c r="BV436" s="7"/>
      <c r="BW436" s="7"/>
      <c r="BX436" s="7"/>
      <c r="BY436" s="7"/>
      <c r="BZ436" s="7"/>
      <c r="CA436" s="7"/>
      <c r="CB436" s="7"/>
      <c r="CC436" s="7"/>
      <c r="CD436" s="7"/>
      <c r="CE436" s="7"/>
      <c r="CF436" s="7"/>
      <c r="CG436" s="7"/>
    </row>
    <row r="437" spans="3:85"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BT437" s="7"/>
      <c r="BU437" s="7"/>
      <c r="BV437" s="7"/>
      <c r="BW437" s="7"/>
      <c r="BX437" s="7"/>
      <c r="BY437" s="7"/>
      <c r="BZ437" s="7"/>
      <c r="CA437" s="7"/>
      <c r="CB437" s="7"/>
      <c r="CC437" s="7"/>
      <c r="CD437" s="7"/>
      <c r="CE437" s="7"/>
      <c r="CF437" s="7"/>
      <c r="CG437" s="7"/>
    </row>
    <row r="438" spans="3:85"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BT438" s="7"/>
      <c r="BU438" s="7"/>
      <c r="BV438" s="7"/>
      <c r="BW438" s="7"/>
      <c r="BX438" s="7"/>
      <c r="BY438" s="7"/>
      <c r="BZ438" s="7"/>
      <c r="CA438" s="7"/>
      <c r="CB438" s="7"/>
      <c r="CC438" s="7"/>
      <c r="CD438" s="7"/>
      <c r="CE438" s="7"/>
      <c r="CF438" s="7"/>
      <c r="CG438" s="7"/>
    </row>
    <row r="439" spans="3:85"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BT439" s="7"/>
      <c r="BU439" s="7"/>
      <c r="BV439" s="7"/>
      <c r="BW439" s="7"/>
      <c r="BX439" s="7"/>
      <c r="BY439" s="7"/>
      <c r="BZ439" s="7"/>
      <c r="CA439" s="7"/>
      <c r="CB439" s="7"/>
      <c r="CC439" s="7"/>
      <c r="CD439" s="7"/>
      <c r="CE439" s="7"/>
      <c r="CF439" s="7"/>
      <c r="CG439" s="7"/>
    </row>
    <row r="440" spans="3:85"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BT440" s="7"/>
      <c r="BU440" s="7"/>
      <c r="BV440" s="7"/>
      <c r="BW440" s="7"/>
      <c r="BX440" s="7"/>
      <c r="BY440" s="7"/>
      <c r="BZ440" s="7"/>
      <c r="CA440" s="7"/>
      <c r="CB440" s="7"/>
      <c r="CC440" s="7"/>
      <c r="CD440" s="7"/>
      <c r="CE440" s="7"/>
      <c r="CF440" s="7"/>
      <c r="CG440" s="7"/>
    </row>
    <row r="441" spans="3:85"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BT441" s="7"/>
      <c r="BU441" s="7"/>
      <c r="BV441" s="7"/>
      <c r="BW441" s="7"/>
      <c r="BX441" s="7"/>
      <c r="BY441" s="7"/>
      <c r="BZ441" s="7"/>
      <c r="CA441" s="7"/>
      <c r="CB441" s="7"/>
      <c r="CC441" s="7"/>
      <c r="CD441" s="7"/>
      <c r="CE441" s="7"/>
      <c r="CF441" s="7"/>
      <c r="CG441" s="7"/>
    </row>
    <row r="442" spans="3:85"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BT442" s="7"/>
      <c r="BU442" s="7"/>
      <c r="BV442" s="7"/>
      <c r="BW442" s="7"/>
      <c r="BX442" s="7"/>
      <c r="BY442" s="7"/>
      <c r="BZ442" s="7"/>
      <c r="CA442" s="7"/>
      <c r="CB442" s="7"/>
      <c r="CC442" s="7"/>
      <c r="CD442" s="7"/>
      <c r="CE442" s="7"/>
      <c r="CF442" s="7"/>
      <c r="CG442" s="7"/>
    </row>
    <row r="443" spans="3:85"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BT443" s="7"/>
      <c r="BU443" s="7"/>
      <c r="BV443" s="7"/>
      <c r="BW443" s="7"/>
      <c r="BX443" s="7"/>
      <c r="BY443" s="7"/>
      <c r="BZ443" s="7"/>
      <c r="CA443" s="7"/>
      <c r="CB443" s="7"/>
      <c r="CC443" s="7"/>
      <c r="CD443" s="7"/>
      <c r="CE443" s="7"/>
      <c r="CF443" s="7"/>
      <c r="CG443" s="7"/>
    </row>
    <row r="444" spans="3:85"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BT444" s="7"/>
      <c r="BU444" s="7"/>
      <c r="BV444" s="7"/>
      <c r="BW444" s="7"/>
      <c r="BX444" s="7"/>
      <c r="BY444" s="7"/>
      <c r="BZ444" s="7"/>
      <c r="CA444" s="7"/>
      <c r="CB444" s="7"/>
      <c r="CC444" s="7"/>
      <c r="CD444" s="7"/>
      <c r="CE444" s="7"/>
      <c r="CF444" s="7"/>
      <c r="CG444" s="7"/>
    </row>
    <row r="445" spans="3:85"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BT445" s="7"/>
      <c r="BU445" s="7"/>
      <c r="BV445" s="7"/>
      <c r="BW445" s="7"/>
      <c r="BX445" s="7"/>
      <c r="BY445" s="7"/>
      <c r="BZ445" s="7"/>
      <c r="CA445" s="7"/>
      <c r="CB445" s="7"/>
      <c r="CC445" s="7"/>
      <c r="CD445" s="7"/>
      <c r="CE445" s="7"/>
      <c r="CF445" s="7"/>
      <c r="CG445" s="7"/>
    </row>
    <row r="446" spans="3:85"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BT446" s="7"/>
      <c r="BU446" s="7"/>
      <c r="BV446" s="7"/>
      <c r="BW446" s="7"/>
      <c r="BX446" s="7"/>
      <c r="BY446" s="7"/>
      <c r="BZ446" s="7"/>
      <c r="CA446" s="7"/>
      <c r="CB446" s="7"/>
      <c r="CC446" s="7"/>
      <c r="CD446" s="7"/>
      <c r="CE446" s="7"/>
      <c r="CF446" s="7"/>
      <c r="CG446" s="7"/>
    </row>
    <row r="447" spans="3:85"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BT447" s="7"/>
      <c r="BU447" s="7"/>
      <c r="BV447" s="7"/>
      <c r="BW447" s="7"/>
      <c r="BX447" s="7"/>
      <c r="BY447" s="7"/>
      <c r="BZ447" s="7"/>
      <c r="CA447" s="7"/>
      <c r="CB447" s="7"/>
      <c r="CC447" s="7"/>
      <c r="CD447" s="7"/>
      <c r="CE447" s="7"/>
      <c r="CF447" s="7"/>
      <c r="CG447" s="7"/>
    </row>
    <row r="448" spans="3:85"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BT448" s="7"/>
      <c r="BU448" s="7"/>
      <c r="BV448" s="7"/>
      <c r="BW448" s="7"/>
      <c r="BX448" s="7"/>
      <c r="BY448" s="7"/>
      <c r="BZ448" s="7"/>
      <c r="CA448" s="7"/>
      <c r="CB448" s="7"/>
      <c r="CC448" s="7"/>
      <c r="CD448" s="7"/>
      <c r="CE448" s="7"/>
      <c r="CF448" s="7"/>
      <c r="CG448" s="7"/>
    </row>
    <row r="449" spans="3:85"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BT449" s="7"/>
      <c r="BU449" s="7"/>
      <c r="BV449" s="7"/>
      <c r="BW449" s="7"/>
      <c r="BX449" s="7"/>
      <c r="BY449" s="7"/>
      <c r="BZ449" s="7"/>
      <c r="CA449" s="7"/>
      <c r="CB449" s="7"/>
      <c r="CC449" s="7"/>
      <c r="CD449" s="7"/>
      <c r="CE449" s="7"/>
      <c r="CF449" s="7"/>
      <c r="CG449" s="7"/>
    </row>
    <row r="450" spans="3:85"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BT450" s="7"/>
      <c r="BU450" s="7"/>
      <c r="BV450" s="7"/>
      <c r="BW450" s="7"/>
      <c r="BX450" s="7"/>
      <c r="BY450" s="7"/>
      <c r="BZ450" s="7"/>
      <c r="CA450" s="7"/>
      <c r="CB450" s="7"/>
      <c r="CC450" s="7"/>
      <c r="CD450" s="7"/>
      <c r="CE450" s="7"/>
      <c r="CF450" s="7"/>
      <c r="CG450" s="7"/>
    </row>
    <row r="451" spans="3:85"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BT451" s="7"/>
      <c r="BU451" s="7"/>
      <c r="BV451" s="7"/>
      <c r="BW451" s="7"/>
      <c r="BX451" s="7"/>
      <c r="BY451" s="7"/>
      <c r="BZ451" s="7"/>
      <c r="CA451" s="7"/>
      <c r="CB451" s="7"/>
      <c r="CC451" s="7"/>
      <c r="CD451" s="7"/>
      <c r="CE451" s="7"/>
      <c r="CF451" s="7"/>
      <c r="CG451" s="7"/>
    </row>
    <row r="452" spans="3:85"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BT452" s="7"/>
      <c r="BU452" s="7"/>
      <c r="BV452" s="7"/>
      <c r="BW452" s="7"/>
      <c r="BX452" s="7"/>
      <c r="BY452" s="7"/>
      <c r="BZ452" s="7"/>
      <c r="CA452" s="7"/>
      <c r="CB452" s="7"/>
      <c r="CC452" s="7"/>
      <c r="CD452" s="7"/>
      <c r="CE452" s="7"/>
      <c r="CF452" s="7"/>
      <c r="CG452" s="7"/>
    </row>
    <row r="453" spans="3:85"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BT453" s="7"/>
      <c r="BU453" s="7"/>
      <c r="BV453" s="7"/>
      <c r="BW453" s="7"/>
      <c r="BX453" s="7"/>
      <c r="BY453" s="7"/>
      <c r="BZ453" s="7"/>
      <c r="CA453" s="7"/>
      <c r="CB453" s="7"/>
      <c r="CC453" s="7"/>
      <c r="CD453" s="7"/>
      <c r="CE453" s="7"/>
      <c r="CF453" s="7"/>
      <c r="CG453" s="7"/>
    </row>
    <row r="454" spans="3:85"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BT454" s="7"/>
      <c r="BU454" s="7"/>
      <c r="BV454" s="7"/>
      <c r="BW454" s="7"/>
      <c r="BX454" s="7"/>
      <c r="BY454" s="7"/>
      <c r="BZ454" s="7"/>
      <c r="CA454" s="7"/>
      <c r="CB454" s="7"/>
      <c r="CC454" s="7"/>
      <c r="CD454" s="7"/>
      <c r="CE454" s="7"/>
      <c r="CF454" s="7"/>
      <c r="CG454" s="7"/>
    </row>
    <row r="455" spans="3:85"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BT455" s="7"/>
      <c r="BU455" s="7"/>
      <c r="BV455" s="7"/>
      <c r="BW455" s="7"/>
      <c r="BX455" s="7"/>
      <c r="BY455" s="7"/>
      <c r="BZ455" s="7"/>
      <c r="CA455" s="7"/>
      <c r="CB455" s="7"/>
      <c r="CC455" s="7"/>
      <c r="CD455" s="7"/>
      <c r="CE455" s="7"/>
      <c r="CF455" s="7"/>
      <c r="CG455" s="7"/>
    </row>
    <row r="456" spans="3:85"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BT456" s="7"/>
      <c r="BU456" s="7"/>
      <c r="BV456" s="7"/>
      <c r="BW456" s="7"/>
      <c r="BX456" s="7"/>
      <c r="BY456" s="7"/>
      <c r="BZ456" s="7"/>
      <c r="CA456" s="7"/>
      <c r="CB456" s="7"/>
      <c r="CC456" s="7"/>
      <c r="CD456" s="7"/>
      <c r="CE456" s="7"/>
      <c r="CF456" s="7"/>
      <c r="CG456" s="7"/>
    </row>
    <row r="457" spans="3:85"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BT457" s="7"/>
      <c r="BU457" s="7"/>
      <c r="BV457" s="7"/>
      <c r="BW457" s="7"/>
      <c r="BX457" s="7"/>
      <c r="BY457" s="7"/>
      <c r="BZ457" s="7"/>
      <c r="CA457" s="7"/>
      <c r="CB457" s="7"/>
      <c r="CC457" s="7"/>
      <c r="CD457" s="7"/>
      <c r="CE457" s="7"/>
      <c r="CF457" s="7"/>
      <c r="CG457" s="7"/>
    </row>
    <row r="458" spans="3:85"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BT458" s="7"/>
      <c r="BU458" s="7"/>
      <c r="BV458" s="7"/>
      <c r="BW458" s="7"/>
      <c r="BX458" s="7"/>
      <c r="BY458" s="7"/>
      <c r="BZ458" s="7"/>
      <c r="CA458" s="7"/>
      <c r="CB458" s="7"/>
      <c r="CC458" s="7"/>
      <c r="CD458" s="7"/>
      <c r="CE458" s="7"/>
      <c r="CF458" s="7"/>
      <c r="CG458" s="7"/>
    </row>
    <row r="459" spans="3:85"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BT459" s="7"/>
      <c r="BU459" s="7"/>
      <c r="BV459" s="7"/>
      <c r="BW459" s="7"/>
      <c r="BX459" s="7"/>
      <c r="BY459" s="7"/>
      <c r="BZ459" s="7"/>
      <c r="CA459" s="7"/>
      <c r="CB459" s="7"/>
      <c r="CC459" s="7"/>
      <c r="CD459" s="7"/>
      <c r="CE459" s="7"/>
      <c r="CF459" s="7"/>
      <c r="CG459" s="7"/>
    </row>
    <row r="460" spans="3:85"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BT460" s="7"/>
      <c r="BU460" s="7"/>
      <c r="BV460" s="7"/>
      <c r="BW460" s="7"/>
      <c r="BX460" s="7"/>
      <c r="BY460" s="7"/>
      <c r="BZ460" s="7"/>
      <c r="CA460" s="7"/>
      <c r="CB460" s="7"/>
      <c r="CC460" s="7"/>
      <c r="CD460" s="7"/>
      <c r="CE460" s="7"/>
      <c r="CF460" s="7"/>
      <c r="CG460" s="7"/>
    </row>
    <row r="461" spans="3:85"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BT461" s="7"/>
      <c r="BU461" s="7"/>
      <c r="BV461" s="7"/>
      <c r="BW461" s="7"/>
      <c r="BX461" s="7"/>
      <c r="BY461" s="7"/>
      <c r="BZ461" s="7"/>
      <c r="CA461" s="7"/>
      <c r="CB461" s="7"/>
      <c r="CC461" s="7"/>
      <c r="CD461" s="7"/>
      <c r="CE461" s="7"/>
      <c r="CF461" s="7"/>
      <c r="CG461" s="7"/>
    </row>
    <row r="462" spans="3:85"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BT462" s="7"/>
      <c r="BU462" s="7"/>
      <c r="BV462" s="7"/>
      <c r="BW462" s="7"/>
      <c r="BX462" s="7"/>
      <c r="BY462" s="7"/>
      <c r="BZ462" s="7"/>
      <c r="CA462" s="7"/>
      <c r="CB462" s="7"/>
      <c r="CC462" s="7"/>
      <c r="CD462" s="7"/>
      <c r="CE462" s="7"/>
      <c r="CF462" s="7"/>
      <c r="CG462" s="7"/>
    </row>
    <row r="463" spans="3:85"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BT463" s="7"/>
      <c r="BU463" s="7"/>
      <c r="BV463" s="7"/>
      <c r="BW463" s="7"/>
      <c r="BX463" s="7"/>
      <c r="BY463" s="7"/>
      <c r="BZ463" s="7"/>
      <c r="CA463" s="7"/>
      <c r="CB463" s="7"/>
      <c r="CC463" s="7"/>
      <c r="CD463" s="7"/>
      <c r="CE463" s="7"/>
      <c r="CF463" s="7"/>
      <c r="CG463" s="7"/>
    </row>
    <row r="464" spans="3:85"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BT464" s="7"/>
      <c r="BU464" s="7"/>
      <c r="BV464" s="7"/>
      <c r="BW464" s="7"/>
      <c r="BX464" s="7"/>
      <c r="BY464" s="7"/>
      <c r="BZ464" s="7"/>
      <c r="CA464" s="7"/>
      <c r="CB464" s="7"/>
      <c r="CC464" s="7"/>
      <c r="CD464" s="7"/>
      <c r="CE464" s="7"/>
      <c r="CF464" s="7"/>
      <c r="CG464" s="7"/>
    </row>
    <row r="465" spans="3:85"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BT465" s="7"/>
      <c r="BU465" s="7"/>
      <c r="BV465" s="7"/>
      <c r="BW465" s="7"/>
      <c r="BX465" s="7"/>
      <c r="BY465" s="7"/>
      <c r="BZ465" s="7"/>
      <c r="CA465" s="7"/>
      <c r="CB465" s="7"/>
      <c r="CC465" s="7"/>
      <c r="CD465" s="7"/>
      <c r="CE465" s="7"/>
      <c r="CF465" s="7"/>
      <c r="CG465" s="7"/>
    </row>
    <row r="466" spans="3:85"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BT466" s="7"/>
      <c r="BU466" s="7"/>
      <c r="BV466" s="7"/>
      <c r="BW466" s="7"/>
      <c r="BX466" s="7"/>
      <c r="BY466" s="7"/>
      <c r="BZ466" s="7"/>
      <c r="CA466" s="7"/>
      <c r="CB466" s="7"/>
      <c r="CC466" s="7"/>
      <c r="CD466" s="7"/>
      <c r="CE466" s="7"/>
      <c r="CF466" s="7"/>
      <c r="CG466" s="7"/>
    </row>
    <row r="467" spans="3:85"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BT467" s="7"/>
      <c r="BU467" s="7"/>
      <c r="BV467" s="7"/>
      <c r="BW467" s="7"/>
      <c r="BX467" s="7"/>
      <c r="BY467" s="7"/>
      <c r="BZ467" s="7"/>
      <c r="CA467" s="7"/>
      <c r="CB467" s="7"/>
      <c r="CC467" s="7"/>
      <c r="CD467" s="7"/>
      <c r="CE467" s="7"/>
      <c r="CF467" s="7"/>
      <c r="CG467" s="7"/>
    </row>
    <row r="468" spans="3:85"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BT468" s="7"/>
      <c r="BU468" s="7"/>
      <c r="BV468" s="7"/>
      <c r="BW468" s="7"/>
      <c r="BX468" s="7"/>
      <c r="BY468" s="7"/>
      <c r="BZ468" s="7"/>
      <c r="CA468" s="7"/>
      <c r="CB468" s="7"/>
      <c r="CC468" s="7"/>
      <c r="CD468" s="7"/>
      <c r="CE468" s="7"/>
      <c r="CF468" s="7"/>
      <c r="CG468" s="7"/>
    </row>
    <row r="469" spans="3:85"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BT469" s="7"/>
      <c r="BU469" s="7"/>
      <c r="BV469" s="7"/>
      <c r="BW469" s="7"/>
      <c r="BX469" s="7"/>
      <c r="BY469" s="7"/>
      <c r="BZ469" s="7"/>
      <c r="CA469" s="7"/>
      <c r="CB469" s="7"/>
      <c r="CC469" s="7"/>
      <c r="CD469" s="7"/>
      <c r="CE469" s="7"/>
      <c r="CF469" s="7"/>
      <c r="CG469" s="7"/>
    </row>
    <row r="470" spans="3:85"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BT470" s="7"/>
      <c r="BU470" s="7"/>
      <c r="BV470" s="7"/>
      <c r="BW470" s="7"/>
      <c r="BX470" s="7"/>
      <c r="BY470" s="7"/>
      <c r="BZ470" s="7"/>
      <c r="CA470" s="7"/>
      <c r="CB470" s="7"/>
      <c r="CC470" s="7"/>
      <c r="CD470" s="7"/>
      <c r="CE470" s="7"/>
      <c r="CF470" s="7"/>
      <c r="CG470" s="7"/>
    </row>
    <row r="471" spans="3:85"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BT471" s="7"/>
      <c r="BU471" s="7"/>
      <c r="BV471" s="7"/>
      <c r="BW471" s="7"/>
      <c r="BX471" s="7"/>
      <c r="BY471" s="7"/>
      <c r="BZ471" s="7"/>
      <c r="CA471" s="7"/>
      <c r="CB471" s="7"/>
      <c r="CC471" s="7"/>
      <c r="CD471" s="7"/>
      <c r="CE471" s="7"/>
      <c r="CF471" s="7"/>
      <c r="CG471" s="7"/>
    </row>
    <row r="472" spans="3:85"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BT472" s="7"/>
      <c r="BU472" s="7"/>
      <c r="BV472" s="7"/>
      <c r="BW472" s="7"/>
      <c r="BX472" s="7"/>
      <c r="BY472" s="7"/>
      <c r="BZ472" s="7"/>
      <c r="CA472" s="7"/>
      <c r="CB472" s="7"/>
      <c r="CC472" s="7"/>
      <c r="CD472" s="7"/>
      <c r="CE472" s="7"/>
      <c r="CF472" s="7"/>
      <c r="CG472" s="7"/>
    </row>
    <row r="473" spans="3:85"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BT473" s="7"/>
      <c r="BU473" s="7"/>
      <c r="BV473" s="7"/>
      <c r="BW473" s="7"/>
      <c r="BX473" s="7"/>
      <c r="BY473" s="7"/>
      <c r="BZ473" s="7"/>
      <c r="CA473" s="7"/>
      <c r="CB473" s="7"/>
      <c r="CC473" s="7"/>
      <c r="CD473" s="7"/>
      <c r="CE473" s="7"/>
      <c r="CF473" s="7"/>
      <c r="CG473" s="7"/>
    </row>
    <row r="474" spans="3:85"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BT474" s="7"/>
      <c r="BU474" s="7"/>
      <c r="BV474" s="7"/>
      <c r="BW474" s="7"/>
      <c r="BX474" s="7"/>
      <c r="BY474" s="7"/>
      <c r="BZ474" s="7"/>
      <c r="CA474" s="7"/>
      <c r="CB474" s="7"/>
      <c r="CC474" s="7"/>
      <c r="CD474" s="7"/>
      <c r="CE474" s="7"/>
      <c r="CF474" s="7"/>
      <c r="CG474" s="7"/>
    </row>
    <row r="475" spans="3:85"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BT475" s="7"/>
      <c r="BU475" s="7"/>
      <c r="BV475" s="7"/>
      <c r="BW475" s="7"/>
      <c r="BX475" s="7"/>
      <c r="BY475" s="7"/>
      <c r="BZ475" s="7"/>
      <c r="CA475" s="7"/>
      <c r="CB475" s="7"/>
      <c r="CC475" s="7"/>
      <c r="CD475" s="7"/>
      <c r="CE475" s="7"/>
      <c r="CF475" s="7"/>
      <c r="CG475" s="7"/>
    </row>
    <row r="476" spans="3:85"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BT476" s="7"/>
      <c r="BU476" s="7"/>
      <c r="BV476" s="7"/>
      <c r="BW476" s="7"/>
      <c r="BX476" s="7"/>
      <c r="BY476" s="7"/>
      <c r="BZ476" s="7"/>
      <c r="CA476" s="7"/>
      <c r="CB476" s="7"/>
      <c r="CC476" s="7"/>
      <c r="CD476" s="7"/>
      <c r="CE476" s="7"/>
      <c r="CF476" s="7"/>
      <c r="CG476" s="7"/>
    </row>
    <row r="477" spans="3:85"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BT477" s="7"/>
      <c r="BU477" s="7"/>
      <c r="BV477" s="7"/>
      <c r="BW477" s="7"/>
      <c r="BX477" s="7"/>
      <c r="BY477" s="7"/>
      <c r="BZ477" s="7"/>
      <c r="CA477" s="7"/>
      <c r="CB477" s="7"/>
      <c r="CC477" s="7"/>
      <c r="CD477" s="7"/>
      <c r="CE477" s="7"/>
      <c r="CF477" s="7"/>
      <c r="CG477" s="7"/>
    </row>
    <row r="478" spans="3:85"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BT478" s="7"/>
      <c r="BU478" s="7"/>
      <c r="BV478" s="7"/>
      <c r="BW478" s="7"/>
      <c r="BX478" s="7"/>
      <c r="BY478" s="7"/>
      <c r="BZ478" s="7"/>
      <c r="CA478" s="7"/>
      <c r="CB478" s="7"/>
      <c r="CC478" s="7"/>
      <c r="CD478" s="7"/>
      <c r="CE478" s="7"/>
      <c r="CF478" s="7"/>
      <c r="CG478" s="7"/>
    </row>
    <row r="479" spans="3:85"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BT479" s="7"/>
      <c r="BU479" s="7"/>
      <c r="BV479" s="7"/>
      <c r="BW479" s="7"/>
      <c r="BX479" s="7"/>
      <c r="BY479" s="7"/>
      <c r="BZ479" s="7"/>
      <c r="CA479" s="7"/>
      <c r="CB479" s="7"/>
      <c r="CC479" s="7"/>
      <c r="CD479" s="7"/>
      <c r="CE479" s="7"/>
      <c r="CF479" s="7"/>
      <c r="CG479" s="7"/>
    </row>
    <row r="480" spans="3:85"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BT480" s="7"/>
      <c r="BU480" s="7"/>
      <c r="BV480" s="7"/>
      <c r="BW480" s="7"/>
      <c r="BX480" s="7"/>
      <c r="BY480" s="7"/>
      <c r="BZ480" s="7"/>
      <c r="CA480" s="7"/>
      <c r="CB480" s="7"/>
      <c r="CC480" s="7"/>
      <c r="CD480" s="7"/>
      <c r="CE480" s="7"/>
      <c r="CF480" s="7"/>
      <c r="CG480" s="7"/>
    </row>
    <row r="481" spans="3:85"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BT481" s="7"/>
      <c r="BU481" s="7"/>
      <c r="BV481" s="7"/>
      <c r="BW481" s="7"/>
      <c r="BX481" s="7"/>
      <c r="BY481" s="7"/>
      <c r="BZ481" s="7"/>
      <c r="CA481" s="7"/>
      <c r="CB481" s="7"/>
      <c r="CC481" s="7"/>
      <c r="CD481" s="7"/>
      <c r="CE481" s="7"/>
      <c r="CF481" s="7"/>
      <c r="CG481" s="7"/>
    </row>
    <row r="482" spans="3:85"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BT482" s="7"/>
      <c r="BU482" s="7"/>
      <c r="BV482" s="7"/>
      <c r="BW482" s="7"/>
      <c r="BX482" s="7"/>
      <c r="BY482" s="7"/>
      <c r="BZ482" s="7"/>
      <c r="CA482" s="7"/>
      <c r="CB482" s="7"/>
      <c r="CC482" s="7"/>
      <c r="CD482" s="7"/>
      <c r="CE482" s="7"/>
      <c r="CF482" s="7"/>
      <c r="CG482" s="7"/>
    </row>
    <row r="483" spans="3:85"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BT483" s="7"/>
      <c r="BU483" s="7"/>
      <c r="BV483" s="7"/>
      <c r="BW483" s="7"/>
      <c r="BX483" s="7"/>
      <c r="BY483" s="7"/>
      <c r="BZ483" s="7"/>
      <c r="CA483" s="7"/>
      <c r="CB483" s="7"/>
      <c r="CC483" s="7"/>
      <c r="CD483" s="7"/>
      <c r="CE483" s="7"/>
      <c r="CF483" s="7"/>
      <c r="CG483" s="7"/>
    </row>
    <row r="484" spans="3:85"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BT484" s="7"/>
      <c r="BU484" s="7"/>
      <c r="BV484" s="7"/>
      <c r="BW484" s="7"/>
      <c r="BX484" s="7"/>
      <c r="BY484" s="7"/>
      <c r="BZ484" s="7"/>
      <c r="CA484" s="7"/>
      <c r="CB484" s="7"/>
      <c r="CC484" s="7"/>
      <c r="CD484" s="7"/>
      <c r="CE484" s="7"/>
      <c r="CF484" s="7"/>
      <c r="CG484" s="7"/>
    </row>
    <row r="485" spans="3:85"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BT485" s="7"/>
      <c r="BU485" s="7"/>
      <c r="BV485" s="7"/>
      <c r="BW485" s="7"/>
      <c r="BX485" s="7"/>
      <c r="BY485" s="7"/>
      <c r="BZ485" s="7"/>
      <c r="CA485" s="7"/>
      <c r="CB485" s="7"/>
      <c r="CC485" s="7"/>
      <c r="CD485" s="7"/>
      <c r="CE485" s="7"/>
      <c r="CF485" s="7"/>
      <c r="CG485" s="7"/>
    </row>
    <row r="486" spans="3:85"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BT486" s="7"/>
      <c r="BU486" s="7"/>
      <c r="BV486" s="7"/>
      <c r="BW486" s="7"/>
      <c r="BX486" s="7"/>
      <c r="BY486" s="7"/>
      <c r="BZ486" s="7"/>
      <c r="CA486" s="7"/>
      <c r="CB486" s="7"/>
      <c r="CC486" s="7"/>
      <c r="CD486" s="7"/>
      <c r="CE486" s="7"/>
      <c r="CF486" s="7"/>
      <c r="CG486" s="7"/>
    </row>
    <row r="487" spans="3:85"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BT487" s="7"/>
      <c r="BU487" s="7"/>
      <c r="BV487" s="7"/>
      <c r="BW487" s="7"/>
      <c r="BX487" s="7"/>
      <c r="BY487" s="7"/>
      <c r="BZ487" s="7"/>
      <c r="CA487" s="7"/>
      <c r="CB487" s="7"/>
      <c r="CC487" s="7"/>
      <c r="CD487" s="7"/>
      <c r="CE487" s="7"/>
      <c r="CF487" s="7"/>
      <c r="CG487" s="7"/>
    </row>
    <row r="488" spans="3:85"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BT488" s="7"/>
      <c r="BU488" s="7"/>
      <c r="BV488" s="7"/>
      <c r="BW488" s="7"/>
      <c r="BX488" s="7"/>
      <c r="BY488" s="7"/>
      <c r="BZ488" s="7"/>
      <c r="CA488" s="7"/>
      <c r="CB488" s="7"/>
      <c r="CC488" s="7"/>
      <c r="CD488" s="7"/>
      <c r="CE488" s="7"/>
      <c r="CF488" s="7"/>
      <c r="CG488" s="7"/>
    </row>
    <row r="489" spans="3:85"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BP489" s="7"/>
      <c r="BQ489" s="7"/>
      <c r="BR489" s="7"/>
      <c r="BS489" s="7"/>
      <c r="BT489" s="7"/>
      <c r="BU489" s="7"/>
      <c r="BV489" s="7"/>
      <c r="BW489" s="7"/>
      <c r="BX489" s="7"/>
      <c r="BY489" s="7"/>
      <c r="BZ489" s="7"/>
      <c r="CA489" s="7"/>
      <c r="CB489" s="7"/>
      <c r="CC489" s="7"/>
      <c r="CD489" s="7"/>
      <c r="CE489" s="7"/>
      <c r="CF489" s="7"/>
      <c r="CG489" s="7"/>
    </row>
    <row r="490" spans="3:85"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BP490" s="7"/>
      <c r="BQ490" s="7"/>
      <c r="BR490" s="7"/>
      <c r="BS490" s="7"/>
      <c r="BT490" s="7"/>
      <c r="BU490" s="7"/>
      <c r="BV490" s="7"/>
      <c r="BW490" s="7"/>
      <c r="BX490" s="7"/>
      <c r="BY490" s="7"/>
      <c r="BZ490" s="7"/>
      <c r="CA490" s="7"/>
      <c r="CB490" s="7"/>
      <c r="CC490" s="7"/>
      <c r="CD490" s="7"/>
      <c r="CE490" s="7"/>
      <c r="CF490" s="7"/>
      <c r="CG490" s="7"/>
    </row>
    <row r="491" spans="3:85"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BP491" s="7"/>
      <c r="BQ491" s="7"/>
      <c r="BR491" s="7"/>
      <c r="BS491" s="7"/>
      <c r="BT491" s="7"/>
      <c r="BU491" s="7"/>
      <c r="BV491" s="7"/>
      <c r="BW491" s="7"/>
      <c r="BX491" s="7"/>
      <c r="BY491" s="7"/>
      <c r="BZ491" s="7"/>
      <c r="CA491" s="7"/>
      <c r="CB491" s="7"/>
      <c r="CC491" s="7"/>
      <c r="CD491" s="7"/>
      <c r="CE491" s="7"/>
      <c r="CF491" s="7"/>
      <c r="CG491" s="7"/>
    </row>
    <row r="492" spans="3:85"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BP492" s="7"/>
      <c r="BQ492" s="7"/>
      <c r="BR492" s="7"/>
      <c r="BS492" s="7"/>
      <c r="BT492" s="7"/>
      <c r="BU492" s="7"/>
      <c r="BV492" s="7"/>
      <c r="BW492" s="7"/>
      <c r="BX492" s="7"/>
      <c r="BY492" s="7"/>
      <c r="BZ492" s="7"/>
      <c r="CA492" s="7"/>
      <c r="CB492" s="7"/>
      <c r="CC492" s="7"/>
      <c r="CD492" s="7"/>
      <c r="CE492" s="7"/>
      <c r="CF492" s="7"/>
      <c r="CG492" s="7"/>
    </row>
    <row r="493" spans="3:85"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BP493" s="7"/>
      <c r="BQ493" s="7"/>
      <c r="BR493" s="7"/>
      <c r="BS493" s="7"/>
      <c r="BT493" s="7"/>
      <c r="BU493" s="7"/>
      <c r="BV493" s="7"/>
      <c r="BW493" s="7"/>
      <c r="BX493" s="7"/>
      <c r="BY493" s="7"/>
      <c r="BZ493" s="7"/>
      <c r="CA493" s="7"/>
      <c r="CB493" s="7"/>
      <c r="CC493" s="7"/>
      <c r="CD493" s="7"/>
      <c r="CE493" s="7"/>
      <c r="CF493" s="7"/>
      <c r="CG493" s="7"/>
    </row>
    <row r="494" spans="3:85"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BP494" s="7"/>
      <c r="BQ494" s="7"/>
      <c r="BR494" s="7"/>
      <c r="BS494" s="7"/>
      <c r="BT494" s="7"/>
      <c r="BU494" s="7"/>
      <c r="BV494" s="7"/>
      <c r="BW494" s="7"/>
      <c r="BX494" s="7"/>
      <c r="BY494" s="7"/>
      <c r="BZ494" s="7"/>
      <c r="CA494" s="7"/>
      <c r="CB494" s="7"/>
      <c r="CC494" s="7"/>
      <c r="CD494" s="7"/>
      <c r="CE494" s="7"/>
      <c r="CF494" s="7"/>
      <c r="CG494" s="7"/>
    </row>
    <row r="495" spans="3:85"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BP495" s="7"/>
      <c r="BQ495" s="7"/>
      <c r="BR495" s="7"/>
      <c r="BS495" s="7"/>
      <c r="BT495" s="7"/>
      <c r="BU495" s="7"/>
      <c r="BV495" s="7"/>
      <c r="BW495" s="7"/>
      <c r="BX495" s="7"/>
      <c r="BY495" s="7"/>
      <c r="BZ495" s="7"/>
      <c r="CA495" s="7"/>
      <c r="CB495" s="7"/>
      <c r="CC495" s="7"/>
      <c r="CD495" s="7"/>
      <c r="CE495" s="7"/>
      <c r="CF495" s="7"/>
      <c r="CG495" s="7"/>
    </row>
    <row r="496" spans="3:85"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BP496" s="7"/>
      <c r="BQ496" s="7"/>
      <c r="BR496" s="7"/>
      <c r="BS496" s="7"/>
      <c r="BT496" s="7"/>
      <c r="BU496" s="7"/>
      <c r="BV496" s="7"/>
      <c r="BW496" s="7"/>
      <c r="BX496" s="7"/>
      <c r="BY496" s="7"/>
      <c r="BZ496" s="7"/>
      <c r="CA496" s="7"/>
      <c r="CB496" s="7"/>
      <c r="CC496" s="7"/>
      <c r="CD496" s="7"/>
      <c r="CE496" s="7"/>
      <c r="CF496" s="7"/>
      <c r="CG496" s="7"/>
    </row>
    <row r="497" spans="3:85"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BP497" s="7"/>
      <c r="BQ497" s="7"/>
      <c r="BR497" s="7"/>
      <c r="BS497" s="7"/>
      <c r="BT497" s="7"/>
      <c r="BU497" s="7"/>
      <c r="BV497" s="7"/>
      <c r="BW497" s="7"/>
      <c r="BX497" s="7"/>
      <c r="BY497" s="7"/>
      <c r="BZ497" s="7"/>
      <c r="CA497" s="7"/>
      <c r="CB497" s="7"/>
      <c r="CC497" s="7"/>
      <c r="CD497" s="7"/>
      <c r="CE497" s="7"/>
      <c r="CF497" s="7"/>
      <c r="CG497" s="7"/>
    </row>
    <row r="498" spans="3:85"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BP498" s="7"/>
      <c r="BQ498" s="7"/>
      <c r="BR498" s="7"/>
      <c r="BS498" s="7"/>
      <c r="BT498" s="7"/>
      <c r="BU498" s="7"/>
      <c r="BV498" s="7"/>
      <c r="BW498" s="7"/>
      <c r="BX498" s="7"/>
      <c r="BY498" s="7"/>
      <c r="BZ498" s="7"/>
      <c r="CA498" s="7"/>
      <c r="CB498" s="7"/>
      <c r="CC498" s="7"/>
      <c r="CD498" s="7"/>
      <c r="CE498" s="7"/>
      <c r="CF498" s="7"/>
      <c r="CG498" s="7"/>
    </row>
    <row r="499" spans="3:85"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BP499" s="7"/>
      <c r="BQ499" s="7"/>
      <c r="BR499" s="7"/>
      <c r="BS499" s="7"/>
      <c r="BT499" s="7"/>
      <c r="BU499" s="7"/>
      <c r="BV499" s="7"/>
      <c r="BW499" s="7"/>
      <c r="BX499" s="7"/>
      <c r="BY499" s="7"/>
      <c r="BZ499" s="7"/>
      <c r="CA499" s="7"/>
      <c r="CB499" s="7"/>
      <c r="CC499" s="7"/>
      <c r="CD499" s="7"/>
      <c r="CE499" s="7"/>
      <c r="CF499" s="7"/>
      <c r="CG499" s="7"/>
    </row>
    <row r="500" spans="3:85"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BP500" s="7"/>
      <c r="BQ500" s="7"/>
      <c r="BR500" s="7"/>
      <c r="BS500" s="7"/>
      <c r="BT500" s="7"/>
      <c r="BU500" s="7"/>
      <c r="BV500" s="7"/>
      <c r="BW500" s="7"/>
      <c r="BX500" s="7"/>
      <c r="BY500" s="7"/>
      <c r="BZ500" s="7"/>
      <c r="CA500" s="7"/>
      <c r="CB500" s="7"/>
      <c r="CC500" s="7"/>
      <c r="CD500" s="7"/>
      <c r="CE500" s="7"/>
      <c r="CF500" s="7"/>
      <c r="CG500" s="7"/>
    </row>
    <row r="501" spans="3:85"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BP501" s="7"/>
      <c r="BQ501" s="7"/>
      <c r="BR501" s="7"/>
      <c r="BS501" s="7"/>
      <c r="BT501" s="7"/>
      <c r="BU501" s="7"/>
      <c r="BV501" s="7"/>
      <c r="BW501" s="7"/>
      <c r="BX501" s="7"/>
      <c r="BY501" s="7"/>
      <c r="BZ501" s="7"/>
      <c r="CA501" s="7"/>
      <c r="CB501" s="7"/>
      <c r="CC501" s="7"/>
      <c r="CD501" s="7"/>
      <c r="CE501" s="7"/>
      <c r="CF501" s="7"/>
      <c r="CG501" s="7"/>
    </row>
    <row r="502" spans="3:85"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BP502" s="7"/>
      <c r="BQ502" s="7"/>
      <c r="BR502" s="7"/>
      <c r="BS502" s="7"/>
      <c r="BT502" s="7"/>
      <c r="BU502" s="7"/>
      <c r="BV502" s="7"/>
      <c r="BW502" s="7"/>
      <c r="BX502" s="7"/>
      <c r="BY502" s="7"/>
      <c r="BZ502" s="7"/>
      <c r="CA502" s="7"/>
      <c r="CB502" s="7"/>
      <c r="CC502" s="7"/>
      <c r="CD502" s="7"/>
      <c r="CE502" s="7"/>
      <c r="CF502" s="7"/>
      <c r="CG502" s="7"/>
    </row>
    <row r="503" spans="3:85"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BP503" s="7"/>
      <c r="BQ503" s="7"/>
      <c r="BR503" s="7"/>
      <c r="BS503" s="7"/>
      <c r="BT503" s="7"/>
      <c r="BU503" s="7"/>
      <c r="BV503" s="7"/>
      <c r="BW503" s="7"/>
      <c r="BX503" s="7"/>
      <c r="BY503" s="7"/>
      <c r="BZ503" s="7"/>
      <c r="CA503" s="7"/>
      <c r="CB503" s="7"/>
      <c r="CC503" s="7"/>
      <c r="CD503" s="7"/>
      <c r="CE503" s="7"/>
      <c r="CF503" s="7"/>
      <c r="CG503" s="7"/>
    </row>
    <row r="504" spans="3:85"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BP504" s="7"/>
      <c r="BQ504" s="7"/>
      <c r="BR504" s="7"/>
      <c r="BS504" s="7"/>
      <c r="BT504" s="7"/>
      <c r="BU504" s="7"/>
      <c r="BV504" s="7"/>
      <c r="BW504" s="7"/>
      <c r="BX504" s="7"/>
      <c r="BY504" s="7"/>
      <c r="BZ504" s="7"/>
      <c r="CA504" s="7"/>
      <c r="CB504" s="7"/>
      <c r="CC504" s="7"/>
      <c r="CD504" s="7"/>
      <c r="CE504" s="7"/>
      <c r="CF504" s="7"/>
      <c r="CG504" s="7"/>
    </row>
    <row r="505" spans="3:85"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BP505" s="7"/>
      <c r="BQ505" s="7"/>
      <c r="BR505" s="7"/>
      <c r="BS505" s="7"/>
      <c r="BT505" s="7"/>
      <c r="BU505" s="7"/>
      <c r="BV505" s="7"/>
      <c r="BW505" s="7"/>
      <c r="BX505" s="7"/>
      <c r="BY505" s="7"/>
      <c r="BZ505" s="7"/>
      <c r="CA505" s="7"/>
      <c r="CB505" s="7"/>
      <c r="CC505" s="7"/>
      <c r="CD505" s="7"/>
      <c r="CE505" s="7"/>
      <c r="CF505" s="7"/>
      <c r="CG505" s="7"/>
    </row>
    <row r="506" spans="3:85"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BP506" s="7"/>
      <c r="BQ506" s="7"/>
      <c r="BR506" s="7"/>
      <c r="BS506" s="7"/>
      <c r="BT506" s="7"/>
      <c r="BU506" s="7"/>
      <c r="BV506" s="7"/>
      <c r="BW506" s="7"/>
      <c r="BX506" s="7"/>
      <c r="BY506" s="7"/>
      <c r="BZ506" s="7"/>
      <c r="CA506" s="7"/>
      <c r="CB506" s="7"/>
      <c r="CC506" s="7"/>
      <c r="CD506" s="7"/>
      <c r="CE506" s="7"/>
      <c r="CF506" s="7"/>
      <c r="CG506" s="7"/>
    </row>
    <row r="507" spans="3:85"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BP507" s="7"/>
      <c r="BQ507" s="7"/>
      <c r="BR507" s="7"/>
      <c r="BS507" s="7"/>
      <c r="BT507" s="7"/>
      <c r="BU507" s="7"/>
      <c r="BV507" s="7"/>
      <c r="BW507" s="7"/>
      <c r="BX507" s="7"/>
      <c r="BY507" s="7"/>
      <c r="BZ507" s="7"/>
      <c r="CA507" s="7"/>
      <c r="CB507" s="7"/>
      <c r="CC507" s="7"/>
      <c r="CD507" s="7"/>
      <c r="CE507" s="7"/>
      <c r="CF507" s="7"/>
      <c r="CG507" s="7"/>
    </row>
    <row r="508" spans="3:85"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BP508" s="7"/>
      <c r="BQ508" s="7"/>
      <c r="BR508" s="7"/>
      <c r="BS508" s="7"/>
      <c r="BT508" s="7"/>
      <c r="BU508" s="7"/>
      <c r="BV508" s="7"/>
      <c r="BW508" s="7"/>
      <c r="BX508" s="7"/>
      <c r="BY508" s="7"/>
      <c r="BZ508" s="7"/>
      <c r="CA508" s="7"/>
      <c r="CB508" s="7"/>
      <c r="CC508" s="7"/>
      <c r="CD508" s="7"/>
      <c r="CE508" s="7"/>
      <c r="CF508" s="7"/>
      <c r="CG508" s="7"/>
    </row>
    <row r="509" spans="3:85"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BP509" s="7"/>
      <c r="BQ509" s="7"/>
      <c r="BR509" s="7"/>
      <c r="BS509" s="7"/>
      <c r="BT509" s="7"/>
      <c r="BU509" s="7"/>
      <c r="BV509" s="7"/>
      <c r="BW509" s="7"/>
      <c r="BX509" s="7"/>
      <c r="BY509" s="7"/>
      <c r="BZ509" s="7"/>
      <c r="CA509" s="7"/>
      <c r="CB509" s="7"/>
      <c r="CC509" s="7"/>
      <c r="CD509" s="7"/>
      <c r="CE509" s="7"/>
      <c r="CF509" s="7"/>
      <c r="CG509" s="7"/>
    </row>
    <row r="510" spans="3:85"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BP510" s="7"/>
      <c r="BQ510" s="7"/>
      <c r="BR510" s="7"/>
      <c r="BS510" s="7"/>
      <c r="BT510" s="7"/>
      <c r="BU510" s="7"/>
      <c r="BV510" s="7"/>
      <c r="BW510" s="7"/>
      <c r="BX510" s="7"/>
      <c r="BY510" s="7"/>
      <c r="BZ510" s="7"/>
      <c r="CA510" s="7"/>
      <c r="CB510" s="7"/>
      <c r="CC510" s="7"/>
      <c r="CD510" s="7"/>
      <c r="CE510" s="7"/>
      <c r="CF510" s="7"/>
      <c r="CG510" s="7"/>
    </row>
    <row r="511" spans="3:85"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BP511" s="7"/>
      <c r="BQ511" s="7"/>
      <c r="BR511" s="7"/>
      <c r="BS511" s="7"/>
      <c r="BT511" s="7"/>
      <c r="BU511" s="7"/>
      <c r="BV511" s="7"/>
      <c r="BW511" s="7"/>
      <c r="BX511" s="7"/>
      <c r="BY511" s="7"/>
      <c r="BZ511" s="7"/>
      <c r="CA511" s="7"/>
      <c r="CB511" s="7"/>
      <c r="CC511" s="7"/>
      <c r="CD511" s="7"/>
      <c r="CE511" s="7"/>
      <c r="CF511" s="7"/>
      <c r="CG511" s="7"/>
    </row>
    <row r="512" spans="3:85"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BP512" s="7"/>
      <c r="BQ512" s="7"/>
      <c r="BR512" s="7"/>
      <c r="BS512" s="7"/>
      <c r="BT512" s="7"/>
      <c r="BU512" s="7"/>
      <c r="BV512" s="7"/>
      <c r="BW512" s="7"/>
      <c r="BX512" s="7"/>
      <c r="BY512" s="7"/>
      <c r="BZ512" s="7"/>
      <c r="CA512" s="7"/>
      <c r="CB512" s="7"/>
      <c r="CC512" s="7"/>
      <c r="CD512" s="7"/>
      <c r="CE512" s="7"/>
      <c r="CF512" s="7"/>
      <c r="CG512" s="7"/>
    </row>
    <row r="513" spans="3:85"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BP513" s="7"/>
      <c r="BQ513" s="7"/>
      <c r="BR513" s="7"/>
      <c r="BS513" s="7"/>
      <c r="BT513" s="7"/>
      <c r="BU513" s="7"/>
      <c r="BV513" s="7"/>
      <c r="BW513" s="7"/>
      <c r="BX513" s="7"/>
      <c r="BY513" s="7"/>
      <c r="BZ513" s="7"/>
      <c r="CA513" s="7"/>
      <c r="CB513" s="7"/>
      <c r="CC513" s="7"/>
      <c r="CD513" s="7"/>
      <c r="CE513" s="7"/>
      <c r="CF513" s="7"/>
      <c r="CG513" s="7"/>
    </row>
    <row r="514" spans="3:85"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BP514" s="7"/>
      <c r="BQ514" s="7"/>
      <c r="BR514" s="7"/>
      <c r="BS514" s="7"/>
      <c r="BT514" s="7"/>
      <c r="BU514" s="7"/>
      <c r="BV514" s="7"/>
      <c r="BW514" s="7"/>
      <c r="BX514" s="7"/>
      <c r="BY514" s="7"/>
      <c r="BZ514" s="7"/>
      <c r="CA514" s="7"/>
      <c r="CB514" s="7"/>
      <c r="CC514" s="7"/>
      <c r="CD514" s="7"/>
      <c r="CE514" s="7"/>
      <c r="CF514" s="7"/>
      <c r="CG514" s="7"/>
    </row>
    <row r="515" spans="3:85"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BP515" s="7"/>
      <c r="BQ515" s="7"/>
      <c r="BR515" s="7"/>
      <c r="BS515" s="7"/>
      <c r="BT515" s="7"/>
      <c r="BU515" s="7"/>
      <c r="BV515" s="7"/>
      <c r="BW515" s="7"/>
      <c r="BX515" s="7"/>
      <c r="BY515" s="7"/>
      <c r="BZ515" s="7"/>
      <c r="CA515" s="7"/>
      <c r="CB515" s="7"/>
      <c r="CC515" s="7"/>
      <c r="CD515" s="7"/>
      <c r="CE515" s="7"/>
      <c r="CF515" s="7"/>
      <c r="CG515" s="7"/>
    </row>
    <row r="516" spans="3:85"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BP516" s="7"/>
      <c r="BQ516" s="7"/>
      <c r="BR516" s="7"/>
      <c r="BS516" s="7"/>
      <c r="BT516" s="7"/>
      <c r="BU516" s="7"/>
      <c r="BV516" s="7"/>
      <c r="BW516" s="7"/>
      <c r="BX516" s="7"/>
      <c r="BY516" s="7"/>
      <c r="BZ516" s="7"/>
      <c r="CA516" s="7"/>
      <c r="CB516" s="7"/>
      <c r="CC516" s="7"/>
      <c r="CD516" s="7"/>
      <c r="CE516" s="7"/>
      <c r="CF516" s="7"/>
      <c r="CG516" s="7"/>
    </row>
    <row r="517" spans="3:85"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BP517" s="7"/>
      <c r="BQ517" s="7"/>
      <c r="BR517" s="7"/>
      <c r="BS517" s="7"/>
      <c r="BT517" s="7"/>
      <c r="BU517" s="7"/>
      <c r="BV517" s="7"/>
      <c r="BW517" s="7"/>
      <c r="BX517" s="7"/>
      <c r="BY517" s="7"/>
      <c r="BZ517" s="7"/>
      <c r="CA517" s="7"/>
      <c r="CB517" s="7"/>
      <c r="CC517" s="7"/>
      <c r="CD517" s="7"/>
      <c r="CE517" s="7"/>
      <c r="CF517" s="7"/>
      <c r="CG517" s="7"/>
    </row>
    <row r="518" spans="3:85"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BP518" s="7"/>
      <c r="BQ518" s="7"/>
      <c r="BR518" s="7"/>
      <c r="BS518" s="7"/>
      <c r="BT518" s="7"/>
      <c r="BU518" s="7"/>
      <c r="BV518" s="7"/>
      <c r="BW518" s="7"/>
      <c r="BX518" s="7"/>
      <c r="BY518" s="7"/>
      <c r="BZ518" s="7"/>
      <c r="CA518" s="7"/>
      <c r="CB518" s="7"/>
      <c r="CC518" s="7"/>
      <c r="CD518" s="7"/>
      <c r="CE518" s="7"/>
      <c r="CF518" s="7"/>
      <c r="CG518" s="7"/>
    </row>
    <row r="519" spans="3:85"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BP519" s="7"/>
      <c r="BQ519" s="7"/>
      <c r="BR519" s="7"/>
      <c r="BS519" s="7"/>
      <c r="BT519" s="7"/>
      <c r="BU519" s="7"/>
      <c r="BV519" s="7"/>
      <c r="BW519" s="7"/>
      <c r="BX519" s="7"/>
      <c r="BY519" s="7"/>
      <c r="BZ519" s="7"/>
      <c r="CA519" s="7"/>
      <c r="CB519" s="7"/>
      <c r="CC519" s="7"/>
      <c r="CD519" s="7"/>
      <c r="CE519" s="7"/>
      <c r="CF519" s="7"/>
      <c r="CG519" s="7"/>
    </row>
    <row r="520" spans="3:85"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BP520" s="7"/>
      <c r="BQ520" s="7"/>
      <c r="BR520" s="7"/>
      <c r="BS520" s="7"/>
      <c r="BT520" s="7"/>
      <c r="BU520" s="7"/>
      <c r="BV520" s="7"/>
      <c r="BW520" s="7"/>
      <c r="BX520" s="7"/>
      <c r="BY520" s="7"/>
      <c r="BZ520" s="7"/>
      <c r="CA520" s="7"/>
      <c r="CB520" s="7"/>
      <c r="CC520" s="7"/>
      <c r="CD520" s="7"/>
      <c r="CE520" s="7"/>
      <c r="CF520" s="7"/>
      <c r="CG520" s="7"/>
    </row>
    <row r="521" spans="3:85"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BP521" s="7"/>
      <c r="BQ521" s="7"/>
      <c r="BR521" s="7"/>
      <c r="BS521" s="7"/>
      <c r="BT521" s="7"/>
      <c r="BU521" s="7"/>
      <c r="BV521" s="7"/>
      <c r="BW521" s="7"/>
      <c r="BX521" s="7"/>
      <c r="BY521" s="7"/>
      <c r="BZ521" s="7"/>
      <c r="CA521" s="7"/>
      <c r="CB521" s="7"/>
      <c r="CC521" s="7"/>
      <c r="CD521" s="7"/>
      <c r="CE521" s="7"/>
      <c r="CF521" s="7"/>
      <c r="CG521" s="7"/>
    </row>
    <row r="522" spans="3:85"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BP522" s="7"/>
      <c r="BQ522" s="7"/>
      <c r="BR522" s="7"/>
      <c r="BS522" s="7"/>
      <c r="BT522" s="7"/>
      <c r="BU522" s="7"/>
      <c r="BV522" s="7"/>
      <c r="BW522" s="7"/>
      <c r="BX522" s="7"/>
      <c r="BY522" s="7"/>
      <c r="BZ522" s="7"/>
      <c r="CA522" s="7"/>
      <c r="CB522" s="7"/>
      <c r="CC522" s="7"/>
      <c r="CD522" s="7"/>
      <c r="CE522" s="7"/>
      <c r="CF522" s="7"/>
      <c r="CG522" s="7"/>
    </row>
    <row r="523" spans="3:85"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BP523" s="7"/>
      <c r="BQ523" s="7"/>
      <c r="BR523" s="7"/>
      <c r="BS523" s="7"/>
      <c r="BT523" s="7"/>
      <c r="BU523" s="7"/>
      <c r="BV523" s="7"/>
      <c r="BW523" s="7"/>
      <c r="BX523" s="7"/>
      <c r="BY523" s="7"/>
      <c r="BZ523" s="7"/>
      <c r="CA523" s="7"/>
      <c r="CB523" s="7"/>
      <c r="CC523" s="7"/>
      <c r="CD523" s="7"/>
      <c r="CE523" s="7"/>
      <c r="CF523" s="7"/>
      <c r="CG523" s="7"/>
    </row>
    <row r="524" spans="3:85"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BP524" s="7"/>
      <c r="BQ524" s="7"/>
      <c r="BR524" s="7"/>
      <c r="BS524" s="7"/>
      <c r="BT524" s="7"/>
      <c r="BU524" s="7"/>
      <c r="BV524" s="7"/>
      <c r="BW524" s="7"/>
      <c r="BX524" s="7"/>
      <c r="BY524" s="7"/>
      <c r="BZ524" s="7"/>
      <c r="CA524" s="7"/>
      <c r="CB524" s="7"/>
      <c r="CC524" s="7"/>
      <c r="CD524" s="7"/>
      <c r="CE524" s="7"/>
      <c r="CF524" s="7"/>
      <c r="CG524" s="7"/>
    </row>
    <row r="525" spans="3:85"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BP525" s="7"/>
      <c r="BQ525" s="7"/>
      <c r="BR525" s="7"/>
      <c r="BS525" s="7"/>
      <c r="BT525" s="7"/>
      <c r="BU525" s="7"/>
      <c r="BV525" s="7"/>
      <c r="BW525" s="7"/>
      <c r="BX525" s="7"/>
      <c r="BY525" s="7"/>
      <c r="BZ525" s="7"/>
      <c r="CA525" s="7"/>
      <c r="CB525" s="7"/>
      <c r="CC525" s="7"/>
      <c r="CD525" s="7"/>
      <c r="CE525" s="7"/>
      <c r="CF525" s="7"/>
      <c r="CG525" s="7"/>
    </row>
    <row r="526" spans="3:85"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BP526" s="7"/>
      <c r="BQ526" s="7"/>
      <c r="BR526" s="7"/>
      <c r="BS526" s="7"/>
      <c r="BT526" s="7"/>
      <c r="BU526" s="7"/>
      <c r="BV526" s="7"/>
      <c r="BW526" s="7"/>
      <c r="BX526" s="7"/>
      <c r="BY526" s="7"/>
      <c r="BZ526" s="7"/>
      <c r="CA526" s="7"/>
      <c r="CB526" s="7"/>
      <c r="CC526" s="7"/>
      <c r="CD526" s="7"/>
      <c r="CE526" s="7"/>
      <c r="CF526" s="7"/>
      <c r="CG526" s="7"/>
    </row>
    <row r="527" spans="3:85"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BP527" s="7"/>
      <c r="BQ527" s="7"/>
      <c r="BR527" s="7"/>
      <c r="BS527" s="7"/>
      <c r="BT527" s="7"/>
      <c r="BU527" s="7"/>
      <c r="BV527" s="7"/>
      <c r="BW527" s="7"/>
      <c r="BX527" s="7"/>
      <c r="BY527" s="7"/>
      <c r="BZ527" s="7"/>
      <c r="CA527" s="7"/>
      <c r="CB527" s="7"/>
      <c r="CC527" s="7"/>
      <c r="CD527" s="7"/>
      <c r="CE527" s="7"/>
      <c r="CF527" s="7"/>
      <c r="CG527" s="7"/>
    </row>
    <row r="528" spans="3:85"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BP528" s="7"/>
      <c r="BQ528" s="7"/>
      <c r="BR528" s="7"/>
      <c r="BS528" s="7"/>
      <c r="BT528" s="7"/>
      <c r="BU528" s="7"/>
      <c r="BV528" s="7"/>
      <c r="BW528" s="7"/>
      <c r="BX528" s="7"/>
      <c r="BY528" s="7"/>
      <c r="BZ528" s="7"/>
      <c r="CA528" s="7"/>
      <c r="CB528" s="7"/>
      <c r="CC528" s="7"/>
      <c r="CD528" s="7"/>
      <c r="CE528" s="7"/>
      <c r="CF528" s="7"/>
      <c r="CG528" s="7"/>
    </row>
    <row r="529" spans="3:85"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BP529" s="7"/>
      <c r="BQ529" s="7"/>
      <c r="BR529" s="7"/>
      <c r="BS529" s="7"/>
      <c r="BT529" s="7"/>
      <c r="BU529" s="7"/>
      <c r="BV529" s="7"/>
      <c r="BW529" s="7"/>
      <c r="BX529" s="7"/>
      <c r="BY529" s="7"/>
      <c r="BZ529" s="7"/>
      <c r="CA529" s="7"/>
      <c r="CB529" s="7"/>
      <c r="CC529" s="7"/>
      <c r="CD529" s="7"/>
      <c r="CE529" s="7"/>
      <c r="CF529" s="7"/>
      <c r="CG529" s="7"/>
    </row>
    <row r="530" spans="3:85"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BP530" s="7"/>
      <c r="BQ530" s="7"/>
      <c r="BR530" s="7"/>
      <c r="BS530" s="7"/>
      <c r="BT530" s="7"/>
      <c r="BU530" s="7"/>
      <c r="BV530" s="7"/>
      <c r="BW530" s="7"/>
      <c r="BX530" s="7"/>
      <c r="BY530" s="7"/>
      <c r="BZ530" s="7"/>
      <c r="CA530" s="7"/>
      <c r="CB530" s="7"/>
      <c r="CC530" s="7"/>
      <c r="CD530" s="7"/>
      <c r="CE530" s="7"/>
      <c r="CF530" s="7"/>
      <c r="CG530" s="7"/>
    </row>
    <row r="531" spans="3:85"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BP531" s="7"/>
      <c r="BQ531" s="7"/>
      <c r="BR531" s="7"/>
      <c r="BS531" s="7"/>
      <c r="BT531" s="7"/>
      <c r="BU531" s="7"/>
      <c r="BV531" s="7"/>
      <c r="BW531" s="7"/>
      <c r="BX531" s="7"/>
      <c r="BY531" s="7"/>
      <c r="BZ531" s="7"/>
      <c r="CA531" s="7"/>
      <c r="CB531" s="7"/>
      <c r="CC531" s="7"/>
      <c r="CD531" s="7"/>
      <c r="CE531" s="7"/>
      <c r="CF531" s="7"/>
      <c r="CG531" s="7"/>
    </row>
    <row r="532" spans="3:85"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BP532" s="7"/>
      <c r="BQ532" s="7"/>
      <c r="BR532" s="7"/>
      <c r="BS532" s="7"/>
      <c r="BT532" s="7"/>
      <c r="BU532" s="7"/>
      <c r="BV532" s="7"/>
      <c r="BW532" s="7"/>
      <c r="BX532" s="7"/>
      <c r="BY532" s="7"/>
      <c r="BZ532" s="7"/>
      <c r="CA532" s="7"/>
      <c r="CB532" s="7"/>
      <c r="CC532" s="7"/>
      <c r="CD532" s="7"/>
      <c r="CE532" s="7"/>
      <c r="CF532" s="7"/>
      <c r="CG532" s="7"/>
    </row>
    <row r="533" spans="3:85"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BP533" s="7"/>
      <c r="BQ533" s="7"/>
      <c r="BR533" s="7"/>
      <c r="BS533" s="7"/>
      <c r="BT533" s="7"/>
      <c r="BU533" s="7"/>
      <c r="BV533" s="7"/>
      <c r="BW533" s="7"/>
      <c r="BX533" s="7"/>
      <c r="BY533" s="7"/>
      <c r="BZ533" s="7"/>
      <c r="CA533" s="7"/>
      <c r="CB533" s="7"/>
      <c r="CC533" s="7"/>
      <c r="CD533" s="7"/>
      <c r="CE533" s="7"/>
      <c r="CF533" s="7"/>
      <c r="CG533" s="7"/>
    </row>
    <row r="534" spans="3:85"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BP534" s="7"/>
      <c r="BQ534" s="7"/>
      <c r="BR534" s="7"/>
      <c r="BS534" s="7"/>
      <c r="BT534" s="7"/>
      <c r="BU534" s="7"/>
      <c r="BV534" s="7"/>
      <c r="BW534" s="7"/>
      <c r="BX534" s="7"/>
      <c r="BY534" s="7"/>
      <c r="BZ534" s="7"/>
      <c r="CA534" s="7"/>
      <c r="CB534" s="7"/>
      <c r="CC534" s="7"/>
      <c r="CD534" s="7"/>
      <c r="CE534" s="7"/>
      <c r="CF534" s="7"/>
      <c r="CG534" s="7"/>
    </row>
    <row r="535" spans="3:85"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BP535" s="7"/>
      <c r="BQ535" s="7"/>
      <c r="BR535" s="7"/>
      <c r="BS535" s="7"/>
      <c r="BT535" s="7"/>
      <c r="BU535" s="7"/>
      <c r="BV535" s="7"/>
      <c r="BW535" s="7"/>
      <c r="BX535" s="7"/>
      <c r="BY535" s="7"/>
      <c r="BZ535" s="7"/>
      <c r="CA535" s="7"/>
      <c r="CB535" s="7"/>
      <c r="CC535" s="7"/>
      <c r="CD535" s="7"/>
      <c r="CE535" s="7"/>
      <c r="CF535" s="7"/>
      <c r="CG535" s="7"/>
    </row>
    <row r="536" spans="3:85"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BP536" s="7"/>
      <c r="BQ536" s="7"/>
      <c r="BR536" s="7"/>
      <c r="BS536" s="7"/>
      <c r="BT536" s="7"/>
      <c r="BU536" s="7"/>
      <c r="BV536" s="7"/>
      <c r="BW536" s="7"/>
      <c r="BX536" s="7"/>
      <c r="BY536" s="7"/>
      <c r="BZ536" s="7"/>
      <c r="CA536" s="7"/>
      <c r="CB536" s="7"/>
      <c r="CC536" s="7"/>
      <c r="CD536" s="7"/>
      <c r="CE536" s="7"/>
      <c r="CF536" s="7"/>
      <c r="CG536" s="7"/>
    </row>
    <row r="537" spans="3:85"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BP537" s="7"/>
      <c r="BQ537" s="7"/>
      <c r="BR537" s="7"/>
      <c r="BS537" s="7"/>
      <c r="BT537" s="7"/>
      <c r="BU537" s="7"/>
      <c r="BV537" s="7"/>
      <c r="BW537" s="7"/>
      <c r="BX537" s="7"/>
      <c r="BY537" s="7"/>
      <c r="BZ537" s="7"/>
      <c r="CA537" s="7"/>
      <c r="CB537" s="7"/>
      <c r="CC537" s="7"/>
      <c r="CD537" s="7"/>
      <c r="CE537" s="7"/>
      <c r="CF537" s="7"/>
      <c r="CG537" s="7"/>
    </row>
    <row r="538" spans="3:85"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BP538" s="7"/>
      <c r="BQ538" s="7"/>
      <c r="BR538" s="7"/>
      <c r="BS538" s="7"/>
      <c r="BT538" s="7"/>
      <c r="BU538" s="7"/>
      <c r="BV538" s="7"/>
      <c r="BW538" s="7"/>
      <c r="BX538" s="7"/>
      <c r="BY538" s="7"/>
      <c r="BZ538" s="7"/>
      <c r="CA538" s="7"/>
      <c r="CB538" s="7"/>
      <c r="CC538" s="7"/>
      <c r="CD538" s="7"/>
      <c r="CE538" s="7"/>
      <c r="CF538" s="7"/>
      <c r="CG538" s="7"/>
    </row>
    <row r="539" spans="3:85"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BP539" s="7"/>
      <c r="BQ539" s="7"/>
      <c r="BR539" s="7"/>
      <c r="BS539" s="7"/>
      <c r="BT539" s="7"/>
      <c r="BU539" s="7"/>
      <c r="BV539" s="7"/>
      <c r="BW539" s="7"/>
      <c r="BX539" s="7"/>
      <c r="BY539" s="7"/>
      <c r="BZ539" s="7"/>
      <c r="CA539" s="7"/>
      <c r="CB539" s="7"/>
      <c r="CC539" s="7"/>
      <c r="CD539" s="7"/>
      <c r="CE539" s="7"/>
      <c r="CF539" s="7"/>
      <c r="CG539" s="7"/>
    </row>
    <row r="540" spans="3:85"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BP540" s="7"/>
      <c r="BQ540" s="7"/>
      <c r="BR540" s="7"/>
      <c r="BS540" s="7"/>
      <c r="BT540" s="7"/>
      <c r="BU540" s="7"/>
      <c r="BV540" s="7"/>
      <c r="BW540" s="7"/>
      <c r="BX540" s="7"/>
      <c r="BY540" s="7"/>
      <c r="BZ540" s="7"/>
      <c r="CA540" s="7"/>
      <c r="CB540" s="7"/>
      <c r="CC540" s="7"/>
      <c r="CD540" s="7"/>
      <c r="CE540" s="7"/>
      <c r="CF540" s="7"/>
      <c r="CG540" s="7"/>
    </row>
    <row r="541" spans="3:85"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BP541" s="7"/>
      <c r="BQ541" s="7"/>
      <c r="BR541" s="7"/>
      <c r="BS541" s="7"/>
      <c r="BT541" s="7"/>
      <c r="BU541" s="7"/>
      <c r="BV541" s="7"/>
      <c r="BW541" s="7"/>
      <c r="BX541" s="7"/>
      <c r="BY541" s="7"/>
      <c r="BZ541" s="7"/>
      <c r="CA541" s="7"/>
      <c r="CB541" s="7"/>
      <c r="CC541" s="7"/>
      <c r="CD541" s="7"/>
      <c r="CE541" s="7"/>
      <c r="CF541" s="7"/>
      <c r="CG541" s="7"/>
    </row>
    <row r="542" spans="3:85"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BP542" s="7"/>
      <c r="BQ542" s="7"/>
      <c r="BR542" s="7"/>
      <c r="BS542" s="7"/>
      <c r="BT542" s="7"/>
      <c r="BU542" s="7"/>
      <c r="BV542" s="7"/>
      <c r="BW542" s="7"/>
      <c r="BX542" s="7"/>
      <c r="BY542" s="7"/>
      <c r="BZ542" s="7"/>
      <c r="CA542" s="7"/>
      <c r="CB542" s="7"/>
      <c r="CC542" s="7"/>
      <c r="CD542" s="7"/>
      <c r="CE542" s="7"/>
      <c r="CF542" s="7"/>
      <c r="CG542" s="7"/>
    </row>
    <row r="543" spans="3:85"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BP543" s="7"/>
      <c r="BQ543" s="7"/>
      <c r="BR543" s="7"/>
      <c r="BS543" s="7"/>
      <c r="BT543" s="7"/>
      <c r="BU543" s="7"/>
      <c r="BV543" s="7"/>
      <c r="BW543" s="7"/>
      <c r="BX543" s="7"/>
      <c r="BY543" s="7"/>
      <c r="BZ543" s="7"/>
      <c r="CA543" s="7"/>
      <c r="CB543" s="7"/>
      <c r="CC543" s="7"/>
      <c r="CD543" s="7"/>
      <c r="CE543" s="7"/>
      <c r="CF543" s="7"/>
      <c r="CG543" s="7"/>
    </row>
    <row r="544" spans="3:85"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BP544" s="7"/>
      <c r="BQ544" s="7"/>
      <c r="BR544" s="7"/>
      <c r="BS544" s="7"/>
      <c r="BT544" s="7"/>
      <c r="BU544" s="7"/>
      <c r="BV544" s="7"/>
      <c r="BW544" s="7"/>
      <c r="BX544" s="7"/>
      <c r="BY544" s="7"/>
      <c r="BZ544" s="7"/>
      <c r="CA544" s="7"/>
      <c r="CB544" s="7"/>
      <c r="CC544" s="7"/>
      <c r="CD544" s="7"/>
      <c r="CE544" s="7"/>
      <c r="CF544" s="7"/>
      <c r="CG544" s="7"/>
    </row>
    <row r="545" spans="3:85"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BP545" s="7"/>
      <c r="BQ545" s="7"/>
      <c r="BR545" s="7"/>
      <c r="BS545" s="7"/>
      <c r="BT545" s="7"/>
      <c r="BU545" s="7"/>
      <c r="BV545" s="7"/>
      <c r="BW545" s="7"/>
      <c r="BX545" s="7"/>
      <c r="BY545" s="7"/>
      <c r="BZ545" s="7"/>
      <c r="CA545" s="7"/>
      <c r="CB545" s="7"/>
      <c r="CC545" s="7"/>
      <c r="CD545" s="7"/>
      <c r="CE545" s="7"/>
      <c r="CF545" s="7"/>
      <c r="CG545" s="7"/>
    </row>
    <row r="546" spans="3:85"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BP546" s="7"/>
      <c r="BQ546" s="7"/>
      <c r="BR546" s="7"/>
      <c r="BS546" s="7"/>
      <c r="BT546" s="7"/>
      <c r="BU546" s="7"/>
      <c r="BV546" s="7"/>
      <c r="BW546" s="7"/>
      <c r="BX546" s="7"/>
      <c r="BY546" s="7"/>
      <c r="BZ546" s="7"/>
      <c r="CA546" s="7"/>
      <c r="CB546" s="7"/>
      <c r="CC546" s="7"/>
      <c r="CD546" s="7"/>
      <c r="CE546" s="7"/>
      <c r="CF546" s="7"/>
      <c r="CG546" s="7"/>
    </row>
    <row r="547" spans="3:85"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BP547" s="7"/>
      <c r="BQ547" s="7"/>
      <c r="BR547" s="7"/>
      <c r="BS547" s="7"/>
      <c r="BT547" s="7"/>
      <c r="BU547" s="7"/>
      <c r="BV547" s="7"/>
      <c r="BW547" s="7"/>
      <c r="BX547" s="7"/>
      <c r="BY547" s="7"/>
      <c r="BZ547" s="7"/>
      <c r="CA547" s="7"/>
      <c r="CB547" s="7"/>
      <c r="CC547" s="7"/>
      <c r="CD547" s="7"/>
      <c r="CE547" s="7"/>
      <c r="CF547" s="7"/>
      <c r="CG547" s="7"/>
    </row>
    <row r="548" spans="3:85"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BP548" s="7"/>
      <c r="BQ548" s="7"/>
      <c r="BR548" s="7"/>
      <c r="BS548" s="7"/>
      <c r="BT548" s="7"/>
      <c r="BU548" s="7"/>
      <c r="BV548" s="7"/>
      <c r="BW548" s="7"/>
      <c r="BX548" s="7"/>
      <c r="BY548" s="7"/>
      <c r="BZ548" s="7"/>
      <c r="CA548" s="7"/>
      <c r="CB548" s="7"/>
      <c r="CC548" s="7"/>
      <c r="CD548" s="7"/>
      <c r="CE548" s="7"/>
      <c r="CF548" s="7"/>
      <c r="CG548" s="7"/>
    </row>
    <row r="549" spans="3:85"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BP549" s="7"/>
      <c r="BQ549" s="7"/>
      <c r="BR549" s="7"/>
      <c r="BS549" s="7"/>
      <c r="BT549" s="7"/>
      <c r="BU549" s="7"/>
      <c r="BV549" s="7"/>
      <c r="BW549" s="7"/>
      <c r="BX549" s="7"/>
      <c r="BY549" s="7"/>
      <c r="BZ549" s="7"/>
      <c r="CA549" s="7"/>
      <c r="CB549" s="7"/>
      <c r="CC549" s="7"/>
      <c r="CD549" s="7"/>
      <c r="CE549" s="7"/>
      <c r="CF549" s="7"/>
      <c r="CG549" s="7"/>
    </row>
    <row r="550" spans="3:85"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BP550" s="7"/>
      <c r="BQ550" s="7"/>
      <c r="BR550" s="7"/>
      <c r="BS550" s="7"/>
      <c r="BT550" s="7"/>
      <c r="BU550" s="7"/>
      <c r="BV550" s="7"/>
      <c r="BW550" s="7"/>
      <c r="BX550" s="7"/>
      <c r="BY550" s="7"/>
      <c r="BZ550" s="7"/>
      <c r="CA550" s="7"/>
      <c r="CB550" s="7"/>
      <c r="CC550" s="7"/>
      <c r="CD550" s="7"/>
      <c r="CE550" s="7"/>
      <c r="CF550" s="7"/>
      <c r="CG550" s="7"/>
    </row>
    <row r="551" spans="3:85"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BP551" s="7"/>
      <c r="BQ551" s="7"/>
      <c r="BR551" s="7"/>
      <c r="BS551" s="7"/>
      <c r="BT551" s="7"/>
      <c r="BU551" s="7"/>
      <c r="BV551" s="7"/>
      <c r="BW551" s="7"/>
      <c r="BX551" s="7"/>
      <c r="BY551" s="7"/>
      <c r="BZ551" s="7"/>
      <c r="CA551" s="7"/>
      <c r="CB551" s="7"/>
      <c r="CC551" s="7"/>
      <c r="CD551" s="7"/>
      <c r="CE551" s="7"/>
      <c r="CF551" s="7"/>
      <c r="CG551" s="7"/>
    </row>
    <row r="552" spans="3:85"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BP552" s="7"/>
      <c r="BQ552" s="7"/>
      <c r="BR552" s="7"/>
      <c r="BS552" s="7"/>
      <c r="BT552" s="7"/>
      <c r="BU552" s="7"/>
      <c r="BV552" s="7"/>
      <c r="BW552" s="7"/>
      <c r="BX552" s="7"/>
      <c r="BY552" s="7"/>
      <c r="BZ552" s="7"/>
      <c r="CA552" s="7"/>
      <c r="CB552" s="7"/>
      <c r="CC552" s="7"/>
      <c r="CD552" s="7"/>
      <c r="CE552" s="7"/>
      <c r="CF552" s="7"/>
      <c r="CG552" s="7"/>
    </row>
    <row r="553" spans="3:85"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BP553" s="7"/>
      <c r="BQ553" s="7"/>
      <c r="BR553" s="7"/>
      <c r="BS553" s="7"/>
      <c r="BT553" s="7"/>
      <c r="BU553" s="7"/>
      <c r="BV553" s="7"/>
      <c r="BW553" s="7"/>
      <c r="BX553" s="7"/>
      <c r="BY553" s="7"/>
      <c r="BZ553" s="7"/>
      <c r="CA553" s="7"/>
      <c r="CB553" s="7"/>
      <c r="CC553" s="7"/>
      <c r="CD553" s="7"/>
      <c r="CE553" s="7"/>
      <c r="CF553" s="7"/>
      <c r="CG553" s="7"/>
    </row>
    <row r="554" spans="3:85"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BP554" s="7"/>
      <c r="BQ554" s="7"/>
      <c r="BR554" s="7"/>
      <c r="BS554" s="7"/>
      <c r="BT554" s="7"/>
      <c r="BU554" s="7"/>
      <c r="BV554" s="7"/>
      <c r="BW554" s="7"/>
      <c r="BX554" s="7"/>
      <c r="BY554" s="7"/>
      <c r="BZ554" s="7"/>
      <c r="CA554" s="7"/>
      <c r="CB554" s="7"/>
      <c r="CC554" s="7"/>
      <c r="CD554" s="7"/>
      <c r="CE554" s="7"/>
      <c r="CF554" s="7"/>
      <c r="CG554" s="7"/>
    </row>
    <row r="555" spans="3:85"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BP555" s="7"/>
      <c r="BQ555" s="7"/>
      <c r="BR555" s="7"/>
      <c r="BS555" s="7"/>
      <c r="BT555" s="7"/>
      <c r="BU555" s="7"/>
      <c r="BV555" s="7"/>
      <c r="BW555" s="7"/>
      <c r="BX555" s="7"/>
      <c r="BY555" s="7"/>
      <c r="BZ555" s="7"/>
      <c r="CA555" s="7"/>
      <c r="CB555" s="7"/>
      <c r="CC555" s="7"/>
      <c r="CD555" s="7"/>
      <c r="CE555" s="7"/>
      <c r="CF555" s="7"/>
      <c r="CG555" s="7"/>
    </row>
    <row r="556" spans="3:85"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BP556" s="7"/>
      <c r="BQ556" s="7"/>
      <c r="BR556" s="7"/>
      <c r="BS556" s="7"/>
      <c r="BT556" s="7"/>
      <c r="BU556" s="7"/>
      <c r="BV556" s="7"/>
      <c r="BW556" s="7"/>
      <c r="BX556" s="7"/>
      <c r="BY556" s="7"/>
      <c r="BZ556" s="7"/>
      <c r="CA556" s="7"/>
      <c r="CB556" s="7"/>
      <c r="CC556" s="7"/>
      <c r="CD556" s="7"/>
      <c r="CE556" s="7"/>
      <c r="CF556" s="7"/>
      <c r="CG556" s="7"/>
    </row>
    <row r="557" spans="3:85"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BP557" s="7"/>
      <c r="BQ557" s="7"/>
      <c r="BR557" s="7"/>
      <c r="BS557" s="7"/>
      <c r="BT557" s="7"/>
      <c r="BU557" s="7"/>
      <c r="BV557" s="7"/>
      <c r="BW557" s="7"/>
      <c r="BX557" s="7"/>
      <c r="BY557" s="7"/>
      <c r="BZ557" s="7"/>
      <c r="CA557" s="7"/>
      <c r="CB557" s="7"/>
      <c r="CC557" s="7"/>
      <c r="CD557" s="7"/>
      <c r="CE557" s="7"/>
      <c r="CF557" s="7"/>
      <c r="CG557" s="7"/>
    </row>
    <row r="558" spans="3:85"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BP558" s="7"/>
      <c r="BQ558" s="7"/>
      <c r="BR558" s="7"/>
      <c r="BS558" s="7"/>
      <c r="BT558" s="7"/>
      <c r="BU558" s="7"/>
      <c r="BV558" s="7"/>
      <c r="BW558" s="7"/>
      <c r="BX558" s="7"/>
      <c r="BY558" s="7"/>
      <c r="BZ558" s="7"/>
      <c r="CA558" s="7"/>
      <c r="CB558" s="7"/>
      <c r="CC558" s="7"/>
      <c r="CD558" s="7"/>
      <c r="CE558" s="7"/>
      <c r="CF558" s="7"/>
      <c r="CG558" s="7"/>
    </row>
    <row r="559" spans="3:85"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BP559" s="7"/>
      <c r="BQ559" s="7"/>
      <c r="BR559" s="7"/>
      <c r="BS559" s="7"/>
      <c r="BT559" s="7"/>
      <c r="BU559" s="7"/>
      <c r="BV559" s="7"/>
      <c r="BW559" s="7"/>
      <c r="BX559" s="7"/>
      <c r="BY559" s="7"/>
      <c r="BZ559" s="7"/>
      <c r="CA559" s="7"/>
      <c r="CB559" s="7"/>
      <c r="CC559" s="7"/>
      <c r="CD559" s="7"/>
      <c r="CE559" s="7"/>
      <c r="CF559" s="7"/>
      <c r="CG559" s="7"/>
    </row>
    <row r="560" spans="3:85"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BP560" s="7"/>
      <c r="BQ560" s="7"/>
      <c r="BR560" s="7"/>
      <c r="BS560" s="7"/>
      <c r="BT560" s="7"/>
      <c r="BU560" s="7"/>
      <c r="BV560" s="7"/>
      <c r="BW560" s="7"/>
      <c r="BX560" s="7"/>
      <c r="BY560" s="7"/>
      <c r="BZ560" s="7"/>
      <c r="CA560" s="7"/>
      <c r="CB560" s="7"/>
      <c r="CC560" s="7"/>
      <c r="CD560" s="7"/>
      <c r="CE560" s="7"/>
      <c r="CF560" s="7"/>
      <c r="CG560" s="7"/>
    </row>
    <row r="561" spans="3:85"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BP561" s="7"/>
      <c r="BQ561" s="7"/>
      <c r="BR561" s="7"/>
      <c r="BS561" s="7"/>
      <c r="BT561" s="7"/>
      <c r="BU561" s="7"/>
      <c r="BV561" s="7"/>
      <c r="BW561" s="7"/>
      <c r="BX561" s="7"/>
      <c r="BY561" s="7"/>
      <c r="BZ561" s="7"/>
      <c r="CA561" s="7"/>
      <c r="CB561" s="7"/>
      <c r="CC561" s="7"/>
      <c r="CD561" s="7"/>
      <c r="CE561" s="7"/>
      <c r="CF561" s="7"/>
      <c r="CG561" s="7"/>
    </row>
    <row r="562" spans="3:85"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BP562" s="7"/>
      <c r="BQ562" s="7"/>
      <c r="BR562" s="7"/>
      <c r="BS562" s="7"/>
      <c r="BT562" s="7"/>
      <c r="BU562" s="7"/>
      <c r="BV562" s="7"/>
      <c r="BW562" s="7"/>
      <c r="BX562" s="7"/>
      <c r="BY562" s="7"/>
      <c r="BZ562" s="7"/>
      <c r="CA562" s="7"/>
      <c r="CB562" s="7"/>
      <c r="CC562" s="7"/>
      <c r="CD562" s="7"/>
      <c r="CE562" s="7"/>
      <c r="CF562" s="7"/>
      <c r="CG562" s="7"/>
    </row>
    <row r="563" spans="3:85"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BP563" s="7"/>
      <c r="BQ563" s="7"/>
      <c r="BR563" s="7"/>
      <c r="BS563" s="7"/>
      <c r="BT563" s="7"/>
      <c r="BU563" s="7"/>
      <c r="BV563" s="7"/>
      <c r="BW563" s="7"/>
      <c r="BX563" s="7"/>
      <c r="BY563" s="7"/>
      <c r="BZ563" s="7"/>
      <c r="CA563" s="7"/>
      <c r="CB563" s="7"/>
      <c r="CC563" s="7"/>
      <c r="CD563" s="7"/>
      <c r="CE563" s="7"/>
      <c r="CF563" s="7"/>
      <c r="CG563" s="7"/>
    </row>
    <row r="564" spans="3:85"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BP564" s="7"/>
      <c r="BQ564" s="7"/>
      <c r="BR564" s="7"/>
      <c r="BS564" s="7"/>
      <c r="BT564" s="7"/>
      <c r="BU564" s="7"/>
      <c r="BV564" s="7"/>
      <c r="BW564" s="7"/>
      <c r="BX564" s="7"/>
      <c r="BY564" s="7"/>
      <c r="BZ564" s="7"/>
      <c r="CA564" s="7"/>
      <c r="CB564" s="7"/>
      <c r="CC564" s="7"/>
      <c r="CD564" s="7"/>
      <c r="CE564" s="7"/>
      <c r="CF564" s="7"/>
      <c r="CG564" s="7"/>
    </row>
    <row r="565" spans="3:85"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BP565" s="7"/>
      <c r="BQ565" s="7"/>
      <c r="BR565" s="7"/>
      <c r="BS565" s="7"/>
      <c r="BT565" s="7"/>
      <c r="BU565" s="7"/>
      <c r="BV565" s="7"/>
      <c r="BW565" s="7"/>
      <c r="BX565" s="7"/>
      <c r="BY565" s="7"/>
      <c r="BZ565" s="7"/>
      <c r="CA565" s="7"/>
      <c r="CB565" s="7"/>
      <c r="CC565" s="7"/>
      <c r="CD565" s="7"/>
      <c r="CE565" s="7"/>
      <c r="CF565" s="7"/>
      <c r="CG565" s="7"/>
    </row>
    <row r="566" spans="3:85"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BP566" s="7"/>
      <c r="BQ566" s="7"/>
      <c r="BR566" s="7"/>
      <c r="BS566" s="7"/>
      <c r="BT566" s="7"/>
      <c r="BU566" s="7"/>
      <c r="BV566" s="7"/>
      <c r="BW566" s="7"/>
      <c r="BX566" s="7"/>
      <c r="BY566" s="7"/>
      <c r="BZ566" s="7"/>
      <c r="CA566" s="7"/>
      <c r="CB566" s="7"/>
      <c r="CC566" s="7"/>
      <c r="CD566" s="7"/>
      <c r="CE566" s="7"/>
      <c r="CF566" s="7"/>
      <c r="CG566" s="7"/>
    </row>
    <row r="567" spans="3:85"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BP567" s="7"/>
      <c r="BQ567" s="7"/>
      <c r="BR567" s="7"/>
      <c r="BS567" s="7"/>
      <c r="BT567" s="7"/>
      <c r="BU567" s="7"/>
      <c r="BV567" s="7"/>
      <c r="BW567" s="7"/>
      <c r="BX567" s="7"/>
      <c r="BY567" s="7"/>
      <c r="BZ567" s="7"/>
      <c r="CA567" s="7"/>
      <c r="CB567" s="7"/>
      <c r="CC567" s="7"/>
      <c r="CD567" s="7"/>
      <c r="CE567" s="7"/>
      <c r="CF567" s="7"/>
      <c r="CG567" s="7"/>
    </row>
    <row r="568" spans="3:85"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BP568" s="7"/>
      <c r="BQ568" s="7"/>
      <c r="BR568" s="7"/>
      <c r="BS568" s="7"/>
      <c r="BT568" s="7"/>
      <c r="BU568" s="7"/>
      <c r="BV568" s="7"/>
      <c r="BW568" s="7"/>
      <c r="BX568" s="7"/>
      <c r="BY568" s="7"/>
      <c r="BZ568" s="7"/>
      <c r="CA568" s="7"/>
      <c r="CB568" s="7"/>
      <c r="CC568" s="7"/>
      <c r="CD568" s="7"/>
      <c r="CE568" s="7"/>
      <c r="CF568" s="7"/>
      <c r="CG568" s="7"/>
    </row>
    <row r="569" spans="3:85"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BP569" s="7"/>
      <c r="BQ569" s="7"/>
      <c r="BR569" s="7"/>
      <c r="BS569" s="7"/>
      <c r="BT569" s="7"/>
      <c r="BU569" s="7"/>
      <c r="BV569" s="7"/>
      <c r="BW569" s="7"/>
      <c r="BX569" s="7"/>
      <c r="BY569" s="7"/>
      <c r="BZ569" s="7"/>
      <c r="CA569" s="7"/>
      <c r="CB569" s="7"/>
      <c r="CC569" s="7"/>
      <c r="CD569" s="7"/>
      <c r="CE569" s="7"/>
      <c r="CF569" s="7"/>
      <c r="CG569" s="7"/>
    </row>
    <row r="570" spans="3:85"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BP570" s="7"/>
      <c r="BQ570" s="7"/>
      <c r="BR570" s="7"/>
      <c r="BS570" s="7"/>
      <c r="BT570" s="7"/>
      <c r="BU570" s="7"/>
      <c r="BV570" s="7"/>
      <c r="BW570" s="7"/>
      <c r="BX570" s="7"/>
      <c r="BY570" s="7"/>
      <c r="BZ570" s="7"/>
      <c r="CA570" s="7"/>
      <c r="CB570" s="7"/>
      <c r="CC570" s="7"/>
      <c r="CD570" s="7"/>
      <c r="CE570" s="7"/>
      <c r="CF570" s="7"/>
      <c r="CG570" s="7"/>
    </row>
    <row r="571" spans="3:85"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BP571" s="7"/>
      <c r="BQ571" s="7"/>
      <c r="BR571" s="7"/>
      <c r="BS571" s="7"/>
      <c r="BT571" s="7"/>
      <c r="BU571" s="7"/>
      <c r="BV571" s="7"/>
      <c r="BW571" s="7"/>
      <c r="BX571" s="7"/>
      <c r="BY571" s="7"/>
      <c r="BZ571" s="7"/>
      <c r="CA571" s="7"/>
      <c r="CB571" s="7"/>
      <c r="CC571" s="7"/>
      <c r="CD571" s="7"/>
      <c r="CE571" s="7"/>
      <c r="CF571" s="7"/>
      <c r="CG571" s="7"/>
    </row>
    <row r="572" spans="3:85"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BP572" s="7"/>
      <c r="BQ572" s="7"/>
      <c r="BR572" s="7"/>
      <c r="BS572" s="7"/>
      <c r="BT572" s="7"/>
      <c r="BU572" s="7"/>
      <c r="BV572" s="7"/>
      <c r="BW572" s="7"/>
      <c r="BX572" s="7"/>
      <c r="BY572" s="7"/>
      <c r="BZ572" s="7"/>
      <c r="CA572" s="7"/>
      <c r="CB572" s="7"/>
      <c r="CC572" s="7"/>
      <c r="CD572" s="7"/>
      <c r="CE572" s="7"/>
      <c r="CF572" s="7"/>
      <c r="CG572" s="7"/>
    </row>
    <row r="573" spans="3:85"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BP573" s="7"/>
      <c r="BQ573" s="7"/>
      <c r="BR573" s="7"/>
      <c r="BS573" s="7"/>
      <c r="BT573" s="7"/>
      <c r="BU573" s="7"/>
      <c r="BV573" s="7"/>
      <c r="BW573" s="7"/>
      <c r="BX573" s="7"/>
      <c r="BY573" s="7"/>
      <c r="BZ573" s="7"/>
      <c r="CA573" s="7"/>
      <c r="CB573" s="7"/>
      <c r="CC573" s="7"/>
      <c r="CD573" s="7"/>
      <c r="CE573" s="7"/>
      <c r="CF573" s="7"/>
      <c r="CG573" s="7"/>
    </row>
    <row r="574" spans="3:85"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BP574" s="7"/>
      <c r="BQ574" s="7"/>
      <c r="BR574" s="7"/>
      <c r="BS574" s="7"/>
      <c r="BT574" s="7"/>
      <c r="BU574" s="7"/>
      <c r="BV574" s="7"/>
      <c r="BW574" s="7"/>
      <c r="BX574" s="7"/>
      <c r="BY574" s="7"/>
      <c r="BZ574" s="7"/>
      <c r="CA574" s="7"/>
      <c r="CB574" s="7"/>
      <c r="CC574" s="7"/>
      <c r="CD574" s="7"/>
      <c r="CE574" s="7"/>
      <c r="CF574" s="7"/>
      <c r="CG574" s="7"/>
    </row>
    <row r="575" spans="3:85"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BP575" s="7"/>
      <c r="BQ575" s="7"/>
      <c r="BR575" s="7"/>
      <c r="BS575" s="7"/>
      <c r="BT575" s="7"/>
      <c r="BU575" s="7"/>
      <c r="BV575" s="7"/>
      <c r="BW575" s="7"/>
      <c r="BX575" s="7"/>
      <c r="BY575" s="7"/>
      <c r="BZ575" s="7"/>
      <c r="CA575" s="7"/>
      <c r="CB575" s="7"/>
      <c r="CC575" s="7"/>
      <c r="CD575" s="7"/>
      <c r="CE575" s="7"/>
      <c r="CF575" s="7"/>
      <c r="CG575" s="7"/>
    </row>
    <row r="576" spans="3:85"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BP576" s="7"/>
      <c r="BQ576" s="7"/>
      <c r="BR576" s="7"/>
      <c r="BS576" s="7"/>
      <c r="BT576" s="7"/>
      <c r="BU576" s="7"/>
      <c r="BV576" s="7"/>
      <c r="BW576" s="7"/>
      <c r="BX576" s="7"/>
      <c r="BY576" s="7"/>
      <c r="BZ576" s="7"/>
      <c r="CA576" s="7"/>
      <c r="CB576" s="7"/>
      <c r="CC576" s="7"/>
      <c r="CD576" s="7"/>
      <c r="CE576" s="7"/>
      <c r="CF576" s="7"/>
      <c r="CG576" s="7"/>
    </row>
    <row r="577" spans="3:85"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BP577" s="7"/>
      <c r="BQ577" s="7"/>
      <c r="BR577" s="7"/>
      <c r="BS577" s="7"/>
      <c r="BT577" s="7"/>
      <c r="BU577" s="7"/>
      <c r="BV577" s="7"/>
      <c r="BW577" s="7"/>
      <c r="BX577" s="7"/>
      <c r="BY577" s="7"/>
      <c r="BZ577" s="7"/>
      <c r="CA577" s="7"/>
      <c r="CB577" s="7"/>
      <c r="CC577" s="7"/>
      <c r="CD577" s="7"/>
      <c r="CE577" s="7"/>
      <c r="CF577" s="7"/>
      <c r="CG577" s="7"/>
    </row>
    <row r="578" spans="3:85"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BP578" s="7"/>
      <c r="BQ578" s="7"/>
      <c r="BR578" s="7"/>
      <c r="BS578" s="7"/>
      <c r="BT578" s="7"/>
      <c r="BU578" s="7"/>
      <c r="BV578" s="7"/>
      <c r="BW578" s="7"/>
      <c r="BX578" s="7"/>
      <c r="BY578" s="7"/>
      <c r="BZ578" s="7"/>
      <c r="CA578" s="7"/>
      <c r="CB578" s="7"/>
      <c r="CC578" s="7"/>
      <c r="CD578" s="7"/>
      <c r="CE578" s="7"/>
      <c r="CF578" s="7"/>
      <c r="CG578" s="7"/>
    </row>
    <row r="579" spans="3:85"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BP579" s="7"/>
      <c r="BQ579" s="7"/>
      <c r="BR579" s="7"/>
      <c r="BS579" s="7"/>
      <c r="BT579" s="7"/>
      <c r="BU579" s="7"/>
      <c r="BV579" s="7"/>
      <c r="BW579" s="7"/>
      <c r="BX579" s="7"/>
      <c r="BY579" s="7"/>
      <c r="BZ579" s="7"/>
      <c r="CA579" s="7"/>
      <c r="CB579" s="7"/>
      <c r="CC579" s="7"/>
      <c r="CD579" s="7"/>
      <c r="CE579" s="7"/>
      <c r="CF579" s="7"/>
      <c r="CG579" s="7"/>
    </row>
    <row r="580" spans="3:85"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BP580" s="7"/>
      <c r="BQ580" s="7"/>
      <c r="BR580" s="7"/>
      <c r="BS580" s="7"/>
      <c r="BT580" s="7"/>
      <c r="BU580" s="7"/>
      <c r="BV580" s="7"/>
      <c r="BW580" s="7"/>
      <c r="BX580" s="7"/>
      <c r="BY580" s="7"/>
      <c r="BZ580" s="7"/>
      <c r="CA580" s="7"/>
      <c r="CB580" s="7"/>
      <c r="CC580" s="7"/>
      <c r="CD580" s="7"/>
      <c r="CE580" s="7"/>
      <c r="CF580" s="7"/>
      <c r="CG580" s="7"/>
    </row>
    <row r="581" spans="3:85"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BP581" s="7"/>
      <c r="BQ581" s="7"/>
      <c r="BR581" s="7"/>
      <c r="BS581" s="7"/>
      <c r="BT581" s="7"/>
      <c r="BU581" s="7"/>
      <c r="BV581" s="7"/>
      <c r="BW581" s="7"/>
      <c r="BX581" s="7"/>
      <c r="BY581" s="7"/>
      <c r="BZ581" s="7"/>
      <c r="CA581" s="7"/>
      <c r="CB581" s="7"/>
      <c r="CC581" s="7"/>
      <c r="CD581" s="7"/>
      <c r="CE581" s="7"/>
      <c r="CF581" s="7"/>
      <c r="CG581" s="7"/>
    </row>
    <row r="582" spans="3:85"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BP582" s="7"/>
      <c r="BQ582" s="7"/>
      <c r="BR582" s="7"/>
      <c r="BS582" s="7"/>
      <c r="BT582" s="7"/>
      <c r="BU582" s="7"/>
      <c r="BV582" s="7"/>
      <c r="BW582" s="7"/>
      <c r="BX582" s="7"/>
      <c r="BY582" s="7"/>
      <c r="BZ582" s="7"/>
      <c r="CA582" s="7"/>
      <c r="CB582" s="7"/>
      <c r="CC582" s="7"/>
      <c r="CD582" s="7"/>
      <c r="CE582" s="7"/>
      <c r="CF582" s="7"/>
      <c r="CG582" s="7"/>
    </row>
    <row r="583" spans="3:85"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BP583" s="7"/>
      <c r="BQ583" s="7"/>
      <c r="BR583" s="7"/>
      <c r="BS583" s="7"/>
      <c r="BT583" s="7"/>
      <c r="BU583" s="7"/>
      <c r="BV583" s="7"/>
      <c r="BW583" s="7"/>
      <c r="BX583" s="7"/>
      <c r="BY583" s="7"/>
      <c r="BZ583" s="7"/>
      <c r="CA583" s="7"/>
      <c r="CB583" s="7"/>
      <c r="CC583" s="7"/>
      <c r="CD583" s="7"/>
      <c r="CE583" s="7"/>
      <c r="CF583" s="7"/>
      <c r="CG583" s="7"/>
    </row>
    <row r="584" spans="3:85"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BP584" s="7"/>
      <c r="BQ584" s="7"/>
      <c r="BR584" s="7"/>
      <c r="BS584" s="7"/>
      <c r="BT584" s="7"/>
      <c r="BU584" s="7"/>
      <c r="BV584" s="7"/>
      <c r="BW584" s="7"/>
      <c r="BX584" s="7"/>
      <c r="BY584" s="7"/>
      <c r="BZ584" s="7"/>
      <c r="CA584" s="7"/>
      <c r="CB584" s="7"/>
      <c r="CC584" s="7"/>
      <c r="CD584" s="7"/>
      <c r="CE584" s="7"/>
      <c r="CF584" s="7"/>
      <c r="CG584" s="7"/>
    </row>
    <row r="585" spans="3:85"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BP585" s="7"/>
      <c r="BQ585" s="7"/>
      <c r="BR585" s="7"/>
      <c r="BS585" s="7"/>
      <c r="BT585" s="7"/>
      <c r="BU585" s="7"/>
      <c r="BV585" s="7"/>
      <c r="BW585" s="7"/>
      <c r="BX585" s="7"/>
      <c r="BY585" s="7"/>
      <c r="BZ585" s="7"/>
      <c r="CA585" s="7"/>
      <c r="CB585" s="7"/>
      <c r="CC585" s="7"/>
      <c r="CD585" s="7"/>
      <c r="CE585" s="7"/>
      <c r="CF585" s="7"/>
      <c r="CG585" s="7"/>
    </row>
    <row r="586" spans="3:85"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BP586" s="7"/>
      <c r="BQ586" s="7"/>
      <c r="BR586" s="7"/>
      <c r="BS586" s="7"/>
      <c r="BT586" s="7"/>
      <c r="BU586" s="7"/>
      <c r="BV586" s="7"/>
      <c r="BW586" s="7"/>
      <c r="BX586" s="7"/>
      <c r="BY586" s="7"/>
      <c r="BZ586" s="7"/>
      <c r="CA586" s="7"/>
      <c r="CB586" s="7"/>
      <c r="CC586" s="7"/>
      <c r="CD586" s="7"/>
      <c r="CE586" s="7"/>
      <c r="CF586" s="7"/>
      <c r="CG586" s="7"/>
    </row>
    <row r="587" spans="3:85"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BP587" s="7"/>
      <c r="BQ587" s="7"/>
      <c r="BR587" s="7"/>
      <c r="BS587" s="7"/>
      <c r="BT587" s="7"/>
      <c r="BU587" s="7"/>
      <c r="BV587" s="7"/>
      <c r="BW587" s="7"/>
      <c r="BX587" s="7"/>
      <c r="BY587" s="7"/>
      <c r="BZ587" s="7"/>
      <c r="CA587" s="7"/>
      <c r="CB587" s="7"/>
      <c r="CC587" s="7"/>
      <c r="CD587" s="7"/>
      <c r="CE587" s="7"/>
      <c r="CF587" s="7"/>
      <c r="CG587" s="7"/>
    </row>
    <row r="588" spans="3:85"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BP588" s="7"/>
      <c r="BQ588" s="7"/>
      <c r="BR588" s="7"/>
      <c r="BS588" s="7"/>
      <c r="BT588" s="7"/>
      <c r="BU588" s="7"/>
      <c r="BV588" s="7"/>
      <c r="BW588" s="7"/>
      <c r="BX588" s="7"/>
      <c r="BY588" s="7"/>
      <c r="BZ588" s="7"/>
      <c r="CA588" s="7"/>
      <c r="CB588" s="7"/>
      <c r="CC588" s="7"/>
      <c r="CD588" s="7"/>
      <c r="CE588" s="7"/>
      <c r="CF588" s="7"/>
      <c r="CG588" s="7"/>
    </row>
    <row r="589" spans="3:85"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BP589" s="7"/>
      <c r="BQ589" s="7"/>
      <c r="BR589" s="7"/>
      <c r="BS589" s="7"/>
      <c r="BT589" s="7"/>
      <c r="BU589" s="7"/>
      <c r="BV589" s="7"/>
      <c r="BW589" s="7"/>
      <c r="BX589" s="7"/>
      <c r="BY589" s="7"/>
      <c r="BZ589" s="7"/>
      <c r="CA589" s="7"/>
      <c r="CB589" s="7"/>
      <c r="CC589" s="7"/>
      <c r="CD589" s="7"/>
      <c r="CE589" s="7"/>
      <c r="CF589" s="7"/>
      <c r="CG589" s="7"/>
    </row>
    <row r="590" spans="3:85"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BP590" s="7"/>
      <c r="BQ590" s="7"/>
      <c r="BR590" s="7"/>
      <c r="BS590" s="7"/>
      <c r="BT590" s="7"/>
      <c r="BU590" s="7"/>
      <c r="BV590" s="7"/>
      <c r="BW590" s="7"/>
      <c r="BX590" s="7"/>
      <c r="BY590" s="7"/>
      <c r="BZ590" s="7"/>
      <c r="CA590" s="7"/>
      <c r="CB590" s="7"/>
      <c r="CC590" s="7"/>
      <c r="CD590" s="7"/>
      <c r="CE590" s="7"/>
      <c r="CF590" s="7"/>
      <c r="CG590" s="7"/>
    </row>
    <row r="591" spans="3:85"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BP591" s="7"/>
      <c r="BQ591" s="7"/>
      <c r="BR591" s="7"/>
      <c r="BS591" s="7"/>
      <c r="BT591" s="7"/>
      <c r="BU591" s="7"/>
      <c r="BV591" s="7"/>
      <c r="BW591" s="7"/>
      <c r="BX591" s="7"/>
      <c r="BY591" s="7"/>
      <c r="BZ591" s="7"/>
      <c r="CA591" s="7"/>
      <c r="CB591" s="7"/>
      <c r="CC591" s="7"/>
      <c r="CD591" s="7"/>
      <c r="CE591" s="7"/>
      <c r="CF591" s="7"/>
      <c r="CG591" s="7"/>
    </row>
    <row r="592" spans="3:85"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BP592" s="7"/>
      <c r="BQ592" s="7"/>
      <c r="BR592" s="7"/>
      <c r="BS592" s="7"/>
      <c r="BT592" s="7"/>
      <c r="BU592" s="7"/>
      <c r="BV592" s="7"/>
      <c r="BW592" s="7"/>
      <c r="BX592" s="7"/>
      <c r="BY592" s="7"/>
      <c r="BZ592" s="7"/>
      <c r="CA592" s="7"/>
      <c r="CB592" s="7"/>
      <c r="CC592" s="7"/>
      <c r="CD592" s="7"/>
      <c r="CE592" s="7"/>
      <c r="CF592" s="7"/>
      <c r="CG592" s="7"/>
    </row>
    <row r="593" spans="3:85"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BP593" s="7"/>
      <c r="BQ593" s="7"/>
      <c r="BR593" s="7"/>
      <c r="BS593" s="7"/>
      <c r="BT593" s="7"/>
      <c r="BU593" s="7"/>
      <c r="BV593" s="7"/>
      <c r="BW593" s="7"/>
      <c r="BX593" s="7"/>
      <c r="BY593" s="7"/>
      <c r="BZ593" s="7"/>
      <c r="CA593" s="7"/>
      <c r="CB593" s="7"/>
      <c r="CC593" s="7"/>
      <c r="CD593" s="7"/>
      <c r="CE593" s="7"/>
      <c r="CF593" s="7"/>
      <c r="CG593" s="7"/>
    </row>
    <row r="594" spans="3:85"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BP594" s="7"/>
      <c r="BQ594" s="7"/>
      <c r="BR594" s="7"/>
      <c r="BS594" s="7"/>
      <c r="BT594" s="7"/>
      <c r="BU594" s="7"/>
      <c r="BV594" s="7"/>
      <c r="BW594" s="7"/>
      <c r="BX594" s="7"/>
      <c r="BY594" s="7"/>
      <c r="BZ594" s="7"/>
      <c r="CA594" s="7"/>
      <c r="CB594" s="7"/>
      <c r="CC594" s="7"/>
      <c r="CD594" s="7"/>
      <c r="CE594" s="7"/>
      <c r="CF594" s="7"/>
      <c r="CG594" s="7"/>
    </row>
    <row r="595" spans="3:85"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BP595" s="7"/>
      <c r="BQ595" s="7"/>
      <c r="BR595" s="7"/>
      <c r="BS595" s="7"/>
      <c r="BT595" s="7"/>
      <c r="BU595" s="7"/>
      <c r="BV595" s="7"/>
      <c r="BW595" s="7"/>
      <c r="BX595" s="7"/>
      <c r="BY595" s="7"/>
      <c r="BZ595" s="7"/>
      <c r="CA595" s="7"/>
      <c r="CB595" s="7"/>
      <c r="CC595" s="7"/>
      <c r="CD595" s="7"/>
      <c r="CE595" s="7"/>
      <c r="CF595" s="7"/>
      <c r="CG595" s="7"/>
    </row>
    <row r="596" spans="3:85"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BP596" s="7"/>
      <c r="BQ596" s="7"/>
      <c r="BR596" s="7"/>
      <c r="BS596" s="7"/>
      <c r="BT596" s="7"/>
      <c r="BU596" s="7"/>
      <c r="BV596" s="7"/>
      <c r="BW596" s="7"/>
      <c r="BX596" s="7"/>
      <c r="BY596" s="7"/>
      <c r="BZ596" s="7"/>
      <c r="CA596" s="7"/>
      <c r="CB596" s="7"/>
      <c r="CC596" s="7"/>
      <c r="CD596" s="7"/>
      <c r="CE596" s="7"/>
      <c r="CF596" s="7"/>
      <c r="CG596" s="7"/>
    </row>
    <row r="597" spans="3:85"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BP597" s="7"/>
      <c r="BQ597" s="7"/>
      <c r="BR597" s="7"/>
      <c r="BS597" s="7"/>
      <c r="BT597" s="7"/>
      <c r="BU597" s="7"/>
      <c r="BV597" s="7"/>
      <c r="BW597" s="7"/>
      <c r="BX597" s="7"/>
      <c r="BY597" s="7"/>
      <c r="BZ597" s="7"/>
      <c r="CA597" s="7"/>
      <c r="CB597" s="7"/>
      <c r="CC597" s="7"/>
      <c r="CD597" s="7"/>
      <c r="CE597" s="7"/>
      <c r="CF597" s="7"/>
      <c r="CG597" s="7"/>
    </row>
    <row r="598" spans="3:85"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BP598" s="7"/>
      <c r="BQ598" s="7"/>
      <c r="BR598" s="7"/>
      <c r="BS598" s="7"/>
      <c r="BT598" s="7"/>
      <c r="BU598" s="7"/>
      <c r="BV598" s="7"/>
      <c r="BW598" s="7"/>
      <c r="BX598" s="7"/>
      <c r="BY598" s="7"/>
      <c r="BZ598" s="7"/>
      <c r="CA598" s="7"/>
      <c r="CB598" s="7"/>
      <c r="CC598" s="7"/>
      <c r="CD598" s="7"/>
      <c r="CE598" s="7"/>
      <c r="CF598" s="7"/>
      <c r="CG598" s="7"/>
    </row>
    <row r="599" spans="3:85"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BP599" s="7"/>
      <c r="BQ599" s="7"/>
      <c r="BR599" s="7"/>
      <c r="BS599" s="7"/>
      <c r="BT599" s="7"/>
      <c r="BU599" s="7"/>
      <c r="BV599" s="7"/>
      <c r="BW599" s="7"/>
      <c r="BX599" s="7"/>
      <c r="BY599" s="7"/>
      <c r="BZ599" s="7"/>
      <c r="CA599" s="7"/>
      <c r="CB599" s="7"/>
      <c r="CC599" s="7"/>
      <c r="CD599" s="7"/>
      <c r="CE599" s="7"/>
      <c r="CF599" s="7"/>
      <c r="CG599" s="7"/>
    </row>
    <row r="600" spans="3:85"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BP600" s="7"/>
      <c r="BQ600" s="7"/>
      <c r="BR600" s="7"/>
      <c r="BS600" s="7"/>
      <c r="BT600" s="7"/>
      <c r="BU600" s="7"/>
      <c r="BV600" s="7"/>
      <c r="BW600" s="7"/>
      <c r="BX600" s="7"/>
      <c r="BY600" s="7"/>
      <c r="BZ600" s="7"/>
      <c r="CA600" s="7"/>
      <c r="CB600" s="7"/>
      <c r="CC600" s="7"/>
      <c r="CD600" s="7"/>
      <c r="CE600" s="7"/>
      <c r="CF600" s="7"/>
      <c r="CG600" s="7"/>
    </row>
    <row r="601" spans="3:85"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BP601" s="7"/>
      <c r="BQ601" s="7"/>
      <c r="BR601" s="7"/>
      <c r="BS601" s="7"/>
      <c r="BT601" s="7"/>
      <c r="BU601" s="7"/>
      <c r="BV601" s="7"/>
      <c r="BW601" s="7"/>
      <c r="BX601" s="7"/>
      <c r="BY601" s="7"/>
      <c r="BZ601" s="7"/>
      <c r="CA601" s="7"/>
      <c r="CB601" s="7"/>
      <c r="CC601" s="7"/>
      <c r="CD601" s="7"/>
      <c r="CE601" s="7"/>
      <c r="CF601" s="7"/>
      <c r="CG601" s="7"/>
    </row>
    <row r="602" spans="3:85"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BP602" s="7"/>
      <c r="BQ602" s="7"/>
      <c r="BR602" s="7"/>
      <c r="BS602" s="7"/>
      <c r="BT602" s="7"/>
      <c r="BU602" s="7"/>
      <c r="BV602" s="7"/>
      <c r="BW602" s="7"/>
      <c r="BX602" s="7"/>
      <c r="BY602" s="7"/>
      <c r="BZ602" s="7"/>
      <c r="CA602" s="7"/>
      <c r="CB602" s="7"/>
      <c r="CC602" s="7"/>
      <c r="CD602" s="7"/>
      <c r="CE602" s="7"/>
      <c r="CF602" s="7"/>
      <c r="CG602" s="7"/>
    </row>
    <row r="603" spans="3:85"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BP603" s="7"/>
      <c r="BQ603" s="7"/>
      <c r="BR603" s="7"/>
      <c r="BS603" s="7"/>
      <c r="BT603" s="7"/>
      <c r="BU603" s="7"/>
      <c r="BV603" s="7"/>
      <c r="BW603" s="7"/>
      <c r="BX603" s="7"/>
      <c r="BY603" s="7"/>
      <c r="BZ603" s="7"/>
      <c r="CA603" s="7"/>
      <c r="CB603" s="7"/>
      <c r="CC603" s="7"/>
      <c r="CD603" s="7"/>
      <c r="CE603" s="7"/>
      <c r="CF603" s="7"/>
      <c r="CG603" s="7"/>
    </row>
    <row r="604" spans="3:85"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BP604" s="7"/>
      <c r="BQ604" s="7"/>
      <c r="BR604" s="7"/>
      <c r="BS604" s="7"/>
      <c r="BT604" s="7"/>
      <c r="BU604" s="7"/>
      <c r="BV604" s="7"/>
      <c r="BW604" s="7"/>
      <c r="BX604" s="7"/>
      <c r="BY604" s="7"/>
      <c r="BZ604" s="7"/>
      <c r="CA604" s="7"/>
      <c r="CB604" s="7"/>
      <c r="CC604" s="7"/>
      <c r="CD604" s="7"/>
      <c r="CE604" s="7"/>
      <c r="CF604" s="7"/>
      <c r="CG604" s="7"/>
    </row>
    <row r="605" spans="3:85"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BP605" s="7"/>
      <c r="BQ605" s="7"/>
      <c r="BR605" s="7"/>
      <c r="BS605" s="7"/>
      <c r="BT605" s="7"/>
      <c r="BU605" s="7"/>
      <c r="BV605" s="7"/>
      <c r="BW605" s="7"/>
      <c r="BX605" s="7"/>
      <c r="BY605" s="7"/>
      <c r="BZ605" s="7"/>
      <c r="CA605" s="7"/>
      <c r="CB605" s="7"/>
      <c r="CC605" s="7"/>
      <c r="CD605" s="7"/>
      <c r="CE605" s="7"/>
      <c r="CF605" s="7"/>
      <c r="CG605" s="7"/>
    </row>
    <row r="606" spans="3:85"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BP606" s="7"/>
      <c r="BQ606" s="7"/>
      <c r="BR606" s="7"/>
      <c r="BS606" s="7"/>
      <c r="BT606" s="7"/>
      <c r="BU606" s="7"/>
      <c r="BV606" s="7"/>
      <c r="BW606" s="7"/>
      <c r="BX606" s="7"/>
      <c r="BY606" s="7"/>
      <c r="BZ606" s="7"/>
      <c r="CA606" s="7"/>
      <c r="CB606" s="7"/>
      <c r="CC606" s="7"/>
      <c r="CD606" s="7"/>
      <c r="CE606" s="7"/>
      <c r="CF606" s="7"/>
      <c r="CG606" s="7"/>
    </row>
    <row r="607" spans="3:85"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BP607" s="7"/>
      <c r="BQ607" s="7"/>
      <c r="BR607" s="7"/>
      <c r="BS607" s="7"/>
      <c r="BT607" s="7"/>
      <c r="BU607" s="7"/>
      <c r="BV607" s="7"/>
      <c r="BW607" s="7"/>
      <c r="BX607" s="7"/>
      <c r="BY607" s="7"/>
      <c r="BZ607" s="7"/>
      <c r="CA607" s="7"/>
      <c r="CB607" s="7"/>
      <c r="CC607" s="7"/>
      <c r="CD607" s="7"/>
      <c r="CE607" s="7"/>
      <c r="CF607" s="7"/>
      <c r="CG607" s="7"/>
    </row>
    <row r="608" spans="3:85"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BP608" s="7"/>
      <c r="BQ608" s="7"/>
      <c r="BR608" s="7"/>
      <c r="BS608" s="7"/>
      <c r="BT608" s="7"/>
      <c r="BU608" s="7"/>
      <c r="BV608" s="7"/>
      <c r="BW608" s="7"/>
      <c r="BX608" s="7"/>
      <c r="BY608" s="7"/>
      <c r="BZ608" s="7"/>
      <c r="CA608" s="7"/>
      <c r="CB608" s="7"/>
      <c r="CC608" s="7"/>
      <c r="CD608" s="7"/>
      <c r="CE608" s="7"/>
      <c r="CF608" s="7"/>
      <c r="CG608" s="7"/>
    </row>
    <row r="609" spans="3:85"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BP609" s="7"/>
      <c r="BQ609" s="7"/>
      <c r="BR609" s="7"/>
      <c r="BS609" s="7"/>
      <c r="BT609" s="7"/>
      <c r="BU609" s="7"/>
      <c r="BV609" s="7"/>
      <c r="BW609" s="7"/>
      <c r="BX609" s="7"/>
      <c r="BY609" s="7"/>
      <c r="BZ609" s="7"/>
      <c r="CA609" s="7"/>
      <c r="CB609" s="7"/>
      <c r="CC609" s="7"/>
      <c r="CD609" s="7"/>
      <c r="CE609" s="7"/>
      <c r="CF609" s="7"/>
      <c r="CG609" s="7"/>
    </row>
    <row r="610" spans="3:85"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BP610" s="7"/>
      <c r="BQ610" s="7"/>
      <c r="BR610" s="7"/>
      <c r="BS610" s="7"/>
      <c r="BT610" s="7"/>
      <c r="BU610" s="7"/>
      <c r="BV610" s="7"/>
      <c r="BW610" s="7"/>
      <c r="BX610" s="7"/>
      <c r="BY610" s="7"/>
      <c r="BZ610" s="7"/>
      <c r="CA610" s="7"/>
      <c r="CB610" s="7"/>
      <c r="CC610" s="7"/>
      <c r="CD610" s="7"/>
      <c r="CE610" s="7"/>
      <c r="CF610" s="7"/>
      <c r="CG610" s="7"/>
    </row>
    <row r="611" spans="3:85"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BP611" s="7"/>
      <c r="BQ611" s="7"/>
      <c r="BR611" s="7"/>
      <c r="BS611" s="7"/>
      <c r="BT611" s="7"/>
      <c r="BU611" s="7"/>
      <c r="BV611" s="7"/>
      <c r="BW611" s="7"/>
      <c r="BX611" s="7"/>
      <c r="BY611" s="7"/>
      <c r="BZ611" s="7"/>
      <c r="CA611" s="7"/>
      <c r="CB611" s="7"/>
      <c r="CC611" s="7"/>
      <c r="CD611" s="7"/>
      <c r="CE611" s="7"/>
      <c r="CF611" s="7"/>
      <c r="CG611" s="7"/>
    </row>
    <row r="612" spans="3:85"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BP612" s="7"/>
      <c r="BQ612" s="7"/>
      <c r="BR612" s="7"/>
      <c r="BS612" s="7"/>
      <c r="BT612" s="7"/>
      <c r="BU612" s="7"/>
      <c r="BV612" s="7"/>
      <c r="BW612" s="7"/>
      <c r="BX612" s="7"/>
      <c r="BY612" s="7"/>
      <c r="BZ612" s="7"/>
      <c r="CA612" s="7"/>
      <c r="CB612" s="7"/>
      <c r="CC612" s="7"/>
      <c r="CD612" s="7"/>
      <c r="CE612" s="7"/>
      <c r="CF612" s="7"/>
      <c r="CG612" s="7"/>
    </row>
    <row r="613" spans="3:85"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BP613" s="7"/>
      <c r="BQ613" s="7"/>
      <c r="BR613" s="7"/>
      <c r="BS613" s="7"/>
      <c r="BT613" s="7"/>
      <c r="BU613" s="7"/>
      <c r="BV613" s="7"/>
      <c r="BW613" s="7"/>
      <c r="BX613" s="7"/>
      <c r="BY613" s="7"/>
      <c r="BZ613" s="7"/>
      <c r="CA613" s="7"/>
      <c r="CB613" s="7"/>
      <c r="CC613" s="7"/>
      <c r="CD613" s="7"/>
      <c r="CE613" s="7"/>
      <c r="CF613" s="7"/>
      <c r="CG613" s="7"/>
    </row>
    <row r="614" spans="3:85"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BP614" s="7"/>
      <c r="BQ614" s="7"/>
      <c r="BR614" s="7"/>
      <c r="BS614" s="7"/>
      <c r="BT614" s="7"/>
      <c r="BU614" s="7"/>
      <c r="BV614" s="7"/>
      <c r="BW614" s="7"/>
      <c r="BX614" s="7"/>
      <c r="BY614" s="7"/>
      <c r="BZ614" s="7"/>
      <c r="CA614" s="7"/>
      <c r="CB614" s="7"/>
      <c r="CC614" s="7"/>
      <c r="CD614" s="7"/>
      <c r="CE614" s="7"/>
      <c r="CF614" s="7"/>
      <c r="CG614" s="7"/>
    </row>
    <row r="615" spans="3:85"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BP615" s="7"/>
      <c r="BQ615" s="7"/>
      <c r="BR615" s="7"/>
      <c r="BS615" s="7"/>
      <c r="BT615" s="7"/>
      <c r="BU615" s="7"/>
      <c r="BV615" s="7"/>
      <c r="BW615" s="7"/>
      <c r="BX615" s="7"/>
      <c r="BY615" s="7"/>
      <c r="BZ615" s="7"/>
      <c r="CA615" s="7"/>
      <c r="CB615" s="7"/>
      <c r="CC615" s="7"/>
      <c r="CD615" s="7"/>
      <c r="CE615" s="7"/>
      <c r="CF615" s="7"/>
      <c r="CG615" s="7"/>
    </row>
    <row r="616" spans="3:85"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BP616" s="7"/>
      <c r="BQ616" s="7"/>
      <c r="BR616" s="7"/>
      <c r="BS616" s="7"/>
      <c r="BT616" s="7"/>
      <c r="BU616" s="7"/>
      <c r="BV616" s="7"/>
      <c r="BW616" s="7"/>
      <c r="BX616" s="7"/>
      <c r="BY616" s="7"/>
      <c r="BZ616" s="7"/>
      <c r="CA616" s="7"/>
      <c r="CB616" s="7"/>
      <c r="CC616" s="7"/>
      <c r="CD616" s="7"/>
      <c r="CE616" s="7"/>
      <c r="CF616" s="7"/>
      <c r="CG616" s="7"/>
    </row>
    <row r="617" spans="3:85"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BP617" s="7"/>
      <c r="BQ617" s="7"/>
      <c r="BR617" s="7"/>
      <c r="BS617" s="7"/>
      <c r="BT617" s="7"/>
      <c r="BU617" s="7"/>
      <c r="BV617" s="7"/>
      <c r="BW617" s="7"/>
      <c r="BX617" s="7"/>
      <c r="BY617" s="7"/>
      <c r="BZ617" s="7"/>
      <c r="CA617" s="7"/>
      <c r="CB617" s="7"/>
      <c r="CC617" s="7"/>
      <c r="CD617" s="7"/>
      <c r="CE617" s="7"/>
      <c r="CF617" s="7"/>
      <c r="CG617" s="7"/>
    </row>
    <row r="618" spans="3:85"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BP618" s="7"/>
      <c r="BQ618" s="7"/>
      <c r="BR618" s="7"/>
      <c r="BS618" s="7"/>
      <c r="BT618" s="7"/>
      <c r="BU618" s="7"/>
      <c r="BV618" s="7"/>
      <c r="BW618" s="7"/>
      <c r="BX618" s="7"/>
      <c r="BY618" s="7"/>
      <c r="BZ618" s="7"/>
      <c r="CA618" s="7"/>
      <c r="CB618" s="7"/>
      <c r="CC618" s="7"/>
      <c r="CD618" s="7"/>
      <c r="CE618" s="7"/>
      <c r="CF618" s="7"/>
      <c r="CG618" s="7"/>
    </row>
    <row r="619" spans="3:85"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BP619" s="7"/>
      <c r="BQ619" s="7"/>
      <c r="BR619" s="7"/>
      <c r="BS619" s="7"/>
      <c r="BT619" s="7"/>
      <c r="BU619" s="7"/>
      <c r="BV619" s="7"/>
      <c r="BW619" s="7"/>
      <c r="BX619" s="7"/>
      <c r="BY619" s="7"/>
      <c r="BZ619" s="7"/>
      <c r="CA619" s="7"/>
      <c r="CB619" s="7"/>
      <c r="CC619" s="7"/>
      <c r="CD619" s="7"/>
      <c r="CE619" s="7"/>
      <c r="CF619" s="7"/>
      <c r="CG619" s="7"/>
    </row>
    <row r="620" spans="3:85"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  <c r="BB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BP620" s="7"/>
      <c r="BQ620" s="7"/>
      <c r="BR620" s="7"/>
      <c r="BS620" s="7"/>
      <c r="BT620" s="7"/>
      <c r="BU620" s="7"/>
      <c r="BV620" s="7"/>
      <c r="BW620" s="7"/>
      <c r="BX620" s="7"/>
      <c r="BY620" s="7"/>
      <c r="BZ620" s="7"/>
      <c r="CA620" s="7"/>
      <c r="CB620" s="7"/>
      <c r="CC620" s="7"/>
      <c r="CD620" s="7"/>
      <c r="CE620" s="7"/>
      <c r="CF620" s="7"/>
      <c r="CG620" s="7"/>
    </row>
    <row r="621" spans="3:85"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  <c r="BB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BP621" s="7"/>
      <c r="BQ621" s="7"/>
      <c r="BR621" s="7"/>
      <c r="BS621" s="7"/>
      <c r="BT621" s="7"/>
      <c r="BU621" s="7"/>
      <c r="BV621" s="7"/>
      <c r="BW621" s="7"/>
      <c r="BX621" s="7"/>
      <c r="BY621" s="7"/>
      <c r="BZ621" s="7"/>
      <c r="CA621" s="7"/>
      <c r="CB621" s="7"/>
      <c r="CC621" s="7"/>
      <c r="CD621" s="7"/>
      <c r="CE621" s="7"/>
      <c r="CF621" s="7"/>
      <c r="CG621" s="7"/>
    </row>
    <row r="622" spans="3:85"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  <c r="BB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BP622" s="7"/>
      <c r="BQ622" s="7"/>
      <c r="BR622" s="7"/>
      <c r="BS622" s="7"/>
      <c r="BT622" s="7"/>
      <c r="BU622" s="7"/>
      <c r="BV622" s="7"/>
      <c r="BW622" s="7"/>
      <c r="BX622" s="7"/>
      <c r="BY622" s="7"/>
      <c r="BZ622" s="7"/>
      <c r="CA622" s="7"/>
      <c r="CB622" s="7"/>
      <c r="CC622" s="7"/>
      <c r="CD622" s="7"/>
      <c r="CE622" s="7"/>
      <c r="CF622" s="7"/>
      <c r="CG622" s="7"/>
    </row>
    <row r="623" spans="3:85"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  <c r="BB623" s="7"/>
      <c r="BC623" s="7"/>
      <c r="BD623" s="7"/>
      <c r="BE623" s="7"/>
      <c r="BF623" s="7"/>
      <c r="BG623" s="7"/>
      <c r="BH623" s="7"/>
      <c r="BI623" s="7"/>
      <c r="BJ623" s="7"/>
      <c r="BK623" s="7"/>
      <c r="BL623" s="7"/>
      <c r="BM623" s="7"/>
      <c r="BN623" s="7"/>
      <c r="BO623" s="7"/>
      <c r="BP623" s="7"/>
      <c r="BQ623" s="7"/>
      <c r="BR623" s="7"/>
      <c r="BS623" s="7"/>
      <c r="BT623" s="7"/>
      <c r="BU623" s="7"/>
      <c r="BV623" s="7"/>
      <c r="BW623" s="7"/>
      <c r="BX623" s="7"/>
      <c r="BY623" s="7"/>
      <c r="BZ623" s="7"/>
      <c r="CA623" s="7"/>
      <c r="CB623" s="7"/>
      <c r="CC623" s="7"/>
      <c r="CD623" s="7"/>
      <c r="CE623" s="7"/>
      <c r="CF623" s="7"/>
      <c r="CG623" s="7"/>
    </row>
    <row r="624" spans="3:85"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  <c r="BB624" s="7"/>
      <c r="BC624" s="7"/>
      <c r="BD624" s="7"/>
      <c r="BE624" s="7"/>
      <c r="BF624" s="7"/>
      <c r="BG624" s="7"/>
      <c r="BH624" s="7"/>
      <c r="BI624" s="7"/>
      <c r="BJ624" s="7"/>
      <c r="BK624" s="7"/>
      <c r="BL624" s="7"/>
      <c r="BM624" s="7"/>
      <c r="BN624" s="7"/>
      <c r="BO624" s="7"/>
      <c r="BP624" s="7"/>
      <c r="BQ624" s="7"/>
      <c r="BR624" s="7"/>
      <c r="BS624" s="7"/>
      <c r="BT624" s="7"/>
      <c r="BU624" s="7"/>
      <c r="BV624" s="7"/>
      <c r="BW624" s="7"/>
      <c r="BX624" s="7"/>
      <c r="BY624" s="7"/>
      <c r="BZ624" s="7"/>
      <c r="CA624" s="7"/>
      <c r="CB624" s="7"/>
      <c r="CC624" s="7"/>
      <c r="CD624" s="7"/>
      <c r="CE624" s="7"/>
      <c r="CF624" s="7"/>
      <c r="CG624" s="7"/>
    </row>
    <row r="625" spans="3:85"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  <c r="BB625" s="7"/>
      <c r="BC625" s="7"/>
      <c r="BD625" s="7"/>
      <c r="BE625" s="7"/>
      <c r="BF625" s="7"/>
      <c r="BG625" s="7"/>
      <c r="BH625" s="7"/>
      <c r="BI625" s="7"/>
      <c r="BJ625" s="7"/>
      <c r="BK625" s="7"/>
      <c r="BL625" s="7"/>
      <c r="BM625" s="7"/>
      <c r="BN625" s="7"/>
      <c r="BO625" s="7"/>
      <c r="BP625" s="7"/>
      <c r="BQ625" s="7"/>
      <c r="BR625" s="7"/>
      <c r="BS625" s="7"/>
      <c r="BT625" s="7"/>
      <c r="BU625" s="7"/>
      <c r="BV625" s="7"/>
      <c r="BW625" s="7"/>
      <c r="BX625" s="7"/>
      <c r="BY625" s="7"/>
      <c r="BZ625" s="7"/>
      <c r="CA625" s="7"/>
      <c r="CB625" s="7"/>
      <c r="CC625" s="7"/>
      <c r="CD625" s="7"/>
      <c r="CE625" s="7"/>
      <c r="CF625" s="7"/>
      <c r="CG625" s="7"/>
    </row>
    <row r="626" spans="3:85"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  <c r="BB626" s="7"/>
      <c r="BC626" s="7"/>
      <c r="BD626" s="7"/>
      <c r="BE626" s="7"/>
      <c r="BF626" s="7"/>
      <c r="BG626" s="7"/>
      <c r="BH626" s="7"/>
      <c r="BI626" s="7"/>
      <c r="BJ626" s="7"/>
      <c r="BK626" s="7"/>
      <c r="BL626" s="7"/>
      <c r="BM626" s="7"/>
      <c r="BN626" s="7"/>
      <c r="BO626" s="7"/>
      <c r="BP626" s="7"/>
      <c r="BQ626" s="7"/>
      <c r="BR626" s="7"/>
      <c r="BS626" s="7"/>
      <c r="BT626" s="7"/>
      <c r="BU626" s="7"/>
      <c r="BV626" s="7"/>
      <c r="BW626" s="7"/>
      <c r="BX626" s="7"/>
      <c r="BY626" s="7"/>
      <c r="BZ626" s="7"/>
      <c r="CA626" s="7"/>
      <c r="CB626" s="7"/>
      <c r="CC626" s="7"/>
      <c r="CD626" s="7"/>
      <c r="CE626" s="7"/>
      <c r="CF626" s="7"/>
      <c r="CG626" s="7"/>
    </row>
    <row r="627" spans="3:85"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  <c r="BB627" s="7"/>
      <c r="BC627" s="7"/>
      <c r="BD627" s="7"/>
      <c r="BE627" s="7"/>
      <c r="BF627" s="7"/>
      <c r="BG627" s="7"/>
      <c r="BH627" s="7"/>
      <c r="BI627" s="7"/>
      <c r="BJ627" s="7"/>
      <c r="BK627" s="7"/>
      <c r="BL627" s="7"/>
      <c r="BM627" s="7"/>
      <c r="BN627" s="7"/>
      <c r="BO627" s="7"/>
      <c r="BP627" s="7"/>
      <c r="BQ627" s="7"/>
      <c r="BR627" s="7"/>
      <c r="BS627" s="7"/>
      <c r="BT627" s="7"/>
      <c r="BU627" s="7"/>
      <c r="BV627" s="7"/>
      <c r="BW627" s="7"/>
      <c r="BX627" s="7"/>
      <c r="BY627" s="7"/>
      <c r="BZ627" s="7"/>
      <c r="CA627" s="7"/>
      <c r="CB627" s="7"/>
      <c r="CC627" s="7"/>
      <c r="CD627" s="7"/>
      <c r="CE627" s="7"/>
      <c r="CF627" s="7"/>
      <c r="CG627" s="7"/>
    </row>
    <row r="628" spans="3:85"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  <c r="BB628" s="7"/>
      <c r="BC628" s="7"/>
      <c r="BD628" s="7"/>
      <c r="BE628" s="7"/>
      <c r="BF628" s="7"/>
      <c r="BG628" s="7"/>
      <c r="BH628" s="7"/>
      <c r="BI628" s="7"/>
      <c r="BJ628" s="7"/>
      <c r="BK628" s="7"/>
      <c r="BL628" s="7"/>
      <c r="BM628" s="7"/>
      <c r="BN628" s="7"/>
      <c r="BO628" s="7"/>
      <c r="BP628" s="7"/>
      <c r="BQ628" s="7"/>
      <c r="BR628" s="7"/>
      <c r="BS628" s="7"/>
      <c r="BT628" s="7"/>
      <c r="BU628" s="7"/>
      <c r="BV628" s="7"/>
      <c r="BW628" s="7"/>
      <c r="BX628" s="7"/>
      <c r="BY628" s="7"/>
      <c r="BZ628" s="7"/>
      <c r="CA628" s="7"/>
      <c r="CB628" s="7"/>
      <c r="CC628" s="7"/>
      <c r="CD628" s="7"/>
      <c r="CE628" s="7"/>
      <c r="CF628" s="7"/>
      <c r="CG628" s="7"/>
    </row>
    <row r="629" spans="3:85"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  <c r="BB629" s="7"/>
      <c r="BC629" s="7"/>
      <c r="BD629" s="7"/>
      <c r="BE629" s="7"/>
      <c r="BF629" s="7"/>
      <c r="BG629" s="7"/>
      <c r="BH629" s="7"/>
      <c r="BI629" s="7"/>
      <c r="BJ629" s="7"/>
      <c r="BK629" s="7"/>
      <c r="BL629" s="7"/>
      <c r="BM629" s="7"/>
      <c r="BN629" s="7"/>
      <c r="BO629" s="7"/>
      <c r="BP629" s="7"/>
      <c r="BQ629" s="7"/>
      <c r="BR629" s="7"/>
      <c r="BS629" s="7"/>
      <c r="BT629" s="7"/>
      <c r="BU629" s="7"/>
      <c r="BV629" s="7"/>
      <c r="BW629" s="7"/>
      <c r="BX629" s="7"/>
      <c r="BY629" s="7"/>
      <c r="BZ629" s="7"/>
      <c r="CA629" s="7"/>
      <c r="CB629" s="7"/>
      <c r="CC629" s="7"/>
      <c r="CD629" s="7"/>
      <c r="CE629" s="7"/>
      <c r="CF629" s="7"/>
      <c r="CG629" s="7"/>
    </row>
    <row r="630" spans="3:85"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  <c r="BB630" s="7"/>
      <c r="BC630" s="7"/>
      <c r="BD630" s="7"/>
      <c r="BE630" s="7"/>
      <c r="BF630" s="7"/>
      <c r="BG630" s="7"/>
      <c r="BH630" s="7"/>
      <c r="BI630" s="7"/>
      <c r="BJ630" s="7"/>
      <c r="BK630" s="7"/>
      <c r="BL630" s="7"/>
      <c r="BM630" s="7"/>
      <c r="BN630" s="7"/>
      <c r="BO630" s="7"/>
      <c r="BP630" s="7"/>
      <c r="BQ630" s="7"/>
      <c r="BR630" s="7"/>
      <c r="BS630" s="7"/>
      <c r="BT630" s="7"/>
      <c r="BU630" s="7"/>
      <c r="BV630" s="7"/>
      <c r="BW630" s="7"/>
      <c r="BX630" s="7"/>
      <c r="BY630" s="7"/>
      <c r="BZ630" s="7"/>
      <c r="CA630" s="7"/>
      <c r="CB630" s="7"/>
      <c r="CC630" s="7"/>
      <c r="CD630" s="7"/>
      <c r="CE630" s="7"/>
      <c r="CF630" s="7"/>
      <c r="CG630" s="7"/>
    </row>
    <row r="631" spans="3:85"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  <c r="BB631" s="7"/>
      <c r="BC631" s="7"/>
      <c r="BD631" s="7"/>
      <c r="BE631" s="7"/>
      <c r="BF631" s="7"/>
      <c r="BG631" s="7"/>
      <c r="BH631" s="7"/>
      <c r="BI631" s="7"/>
      <c r="BJ631" s="7"/>
      <c r="BK631" s="7"/>
      <c r="BL631" s="7"/>
      <c r="BM631" s="7"/>
      <c r="BN631" s="7"/>
      <c r="BO631" s="7"/>
      <c r="BP631" s="7"/>
      <c r="BQ631" s="7"/>
      <c r="BR631" s="7"/>
      <c r="BS631" s="7"/>
      <c r="BT631" s="7"/>
      <c r="BU631" s="7"/>
      <c r="BV631" s="7"/>
      <c r="BW631" s="7"/>
      <c r="BX631" s="7"/>
      <c r="BY631" s="7"/>
      <c r="BZ631" s="7"/>
      <c r="CA631" s="7"/>
      <c r="CB631" s="7"/>
      <c r="CC631" s="7"/>
      <c r="CD631" s="7"/>
      <c r="CE631" s="7"/>
      <c r="CF631" s="7"/>
      <c r="CG631" s="7"/>
    </row>
    <row r="632" spans="3:85"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  <c r="BB632" s="7"/>
      <c r="BC632" s="7"/>
      <c r="BD632" s="7"/>
      <c r="BE632" s="7"/>
      <c r="BF632" s="7"/>
      <c r="BG632" s="7"/>
      <c r="BH632" s="7"/>
      <c r="BI632" s="7"/>
      <c r="BJ632" s="7"/>
      <c r="BK632" s="7"/>
      <c r="BL632" s="7"/>
      <c r="BM632" s="7"/>
      <c r="BN632" s="7"/>
      <c r="BO632" s="7"/>
      <c r="BP632" s="7"/>
      <c r="BQ632" s="7"/>
      <c r="BR632" s="7"/>
      <c r="BS632" s="7"/>
      <c r="BT632" s="7"/>
      <c r="BU632" s="7"/>
      <c r="BV632" s="7"/>
      <c r="BW632" s="7"/>
      <c r="BX632" s="7"/>
      <c r="BY632" s="7"/>
      <c r="BZ632" s="7"/>
      <c r="CA632" s="7"/>
      <c r="CB632" s="7"/>
      <c r="CC632" s="7"/>
      <c r="CD632" s="7"/>
      <c r="CE632" s="7"/>
      <c r="CF632" s="7"/>
      <c r="CG632" s="7"/>
    </row>
    <row r="633" spans="3:85"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  <c r="BB633" s="7"/>
      <c r="BC633" s="7"/>
      <c r="BD633" s="7"/>
      <c r="BE633" s="7"/>
      <c r="BF633" s="7"/>
      <c r="BG633" s="7"/>
      <c r="BH633" s="7"/>
      <c r="BI633" s="7"/>
      <c r="BJ633" s="7"/>
      <c r="BK633" s="7"/>
      <c r="BL633" s="7"/>
      <c r="BM633" s="7"/>
      <c r="BN633" s="7"/>
      <c r="BO633" s="7"/>
      <c r="BP633" s="7"/>
      <c r="BQ633" s="7"/>
      <c r="BR633" s="7"/>
      <c r="BS633" s="7"/>
      <c r="BT633" s="7"/>
      <c r="BU633" s="7"/>
      <c r="BV633" s="7"/>
      <c r="BW633" s="7"/>
      <c r="BX633" s="7"/>
      <c r="BY633" s="7"/>
      <c r="BZ633" s="7"/>
      <c r="CA633" s="7"/>
      <c r="CB633" s="7"/>
      <c r="CC633" s="7"/>
      <c r="CD633" s="7"/>
      <c r="CE633" s="7"/>
      <c r="CF633" s="7"/>
      <c r="CG633" s="7"/>
    </row>
    <row r="634" spans="3:85"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  <c r="BB634" s="7"/>
      <c r="BC634" s="7"/>
      <c r="BD634" s="7"/>
      <c r="BE634" s="7"/>
      <c r="BF634" s="7"/>
      <c r="BG634" s="7"/>
      <c r="BH634" s="7"/>
      <c r="BI634" s="7"/>
      <c r="BJ634" s="7"/>
      <c r="BK634" s="7"/>
      <c r="BL634" s="7"/>
      <c r="BM634" s="7"/>
      <c r="BN634" s="7"/>
      <c r="BO634" s="7"/>
      <c r="BP634" s="7"/>
      <c r="BQ634" s="7"/>
      <c r="BR634" s="7"/>
      <c r="BS634" s="7"/>
      <c r="BT634" s="7"/>
      <c r="BU634" s="7"/>
      <c r="BV634" s="7"/>
      <c r="BW634" s="7"/>
      <c r="BX634" s="7"/>
      <c r="BY634" s="7"/>
      <c r="BZ634" s="7"/>
      <c r="CA634" s="7"/>
      <c r="CB634" s="7"/>
      <c r="CC634" s="7"/>
      <c r="CD634" s="7"/>
      <c r="CE634" s="7"/>
      <c r="CF634" s="7"/>
      <c r="CG634" s="7"/>
    </row>
    <row r="635" spans="3:85"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  <c r="BB635" s="7"/>
      <c r="BC635" s="7"/>
      <c r="BD635" s="7"/>
      <c r="BE635" s="7"/>
      <c r="BF635" s="7"/>
      <c r="BG635" s="7"/>
      <c r="BH635" s="7"/>
      <c r="BI635" s="7"/>
      <c r="BJ635" s="7"/>
      <c r="BK635" s="7"/>
      <c r="BL635" s="7"/>
      <c r="BM635" s="7"/>
      <c r="BN635" s="7"/>
      <c r="BO635" s="7"/>
      <c r="BP635" s="7"/>
      <c r="BQ635" s="7"/>
      <c r="BR635" s="7"/>
      <c r="BS635" s="7"/>
      <c r="BT635" s="7"/>
      <c r="BU635" s="7"/>
      <c r="BV635" s="7"/>
      <c r="BW635" s="7"/>
      <c r="BX635" s="7"/>
      <c r="BY635" s="7"/>
      <c r="BZ635" s="7"/>
      <c r="CA635" s="7"/>
      <c r="CB635" s="7"/>
      <c r="CC635" s="7"/>
      <c r="CD635" s="7"/>
      <c r="CE635" s="7"/>
      <c r="CF635" s="7"/>
      <c r="CG635" s="7"/>
    </row>
    <row r="636" spans="3:85"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  <c r="BB636" s="7"/>
      <c r="BC636" s="7"/>
      <c r="BD636" s="7"/>
      <c r="BE636" s="7"/>
      <c r="BF636" s="7"/>
      <c r="BG636" s="7"/>
      <c r="BH636" s="7"/>
      <c r="BI636" s="7"/>
      <c r="BJ636" s="7"/>
      <c r="BK636" s="7"/>
      <c r="BL636" s="7"/>
      <c r="BM636" s="7"/>
      <c r="BN636" s="7"/>
      <c r="BO636" s="7"/>
      <c r="BP636" s="7"/>
      <c r="BQ636" s="7"/>
      <c r="BR636" s="7"/>
      <c r="BS636" s="7"/>
      <c r="BT636" s="7"/>
      <c r="BU636" s="7"/>
      <c r="BV636" s="7"/>
      <c r="BW636" s="7"/>
      <c r="BX636" s="7"/>
      <c r="BY636" s="7"/>
      <c r="BZ636" s="7"/>
      <c r="CA636" s="7"/>
      <c r="CB636" s="7"/>
      <c r="CC636" s="7"/>
      <c r="CD636" s="7"/>
      <c r="CE636" s="7"/>
      <c r="CF636" s="7"/>
      <c r="CG636" s="7"/>
    </row>
    <row r="637" spans="3:85"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  <c r="BB637" s="7"/>
      <c r="BC637" s="7"/>
      <c r="BD637" s="7"/>
      <c r="BE637" s="7"/>
      <c r="BF637" s="7"/>
      <c r="BG637" s="7"/>
      <c r="BH637" s="7"/>
      <c r="BI637" s="7"/>
      <c r="BJ637" s="7"/>
      <c r="BK637" s="7"/>
      <c r="BL637" s="7"/>
      <c r="BM637" s="7"/>
      <c r="BN637" s="7"/>
      <c r="BO637" s="7"/>
      <c r="BP637" s="7"/>
      <c r="BQ637" s="7"/>
      <c r="BR637" s="7"/>
      <c r="BS637" s="7"/>
      <c r="BT637" s="7"/>
      <c r="BU637" s="7"/>
      <c r="BV637" s="7"/>
      <c r="BW637" s="7"/>
      <c r="BX637" s="7"/>
      <c r="BY637" s="7"/>
      <c r="BZ637" s="7"/>
      <c r="CA637" s="7"/>
      <c r="CB637" s="7"/>
      <c r="CC637" s="7"/>
      <c r="CD637" s="7"/>
      <c r="CE637" s="7"/>
      <c r="CF637" s="7"/>
      <c r="CG637" s="7"/>
    </row>
    <row r="638" spans="3:85"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  <c r="BB638" s="7"/>
      <c r="BC638" s="7"/>
      <c r="BD638" s="7"/>
      <c r="BE638" s="7"/>
      <c r="BF638" s="7"/>
      <c r="BG638" s="7"/>
      <c r="BH638" s="7"/>
      <c r="BI638" s="7"/>
      <c r="BJ638" s="7"/>
      <c r="BK638" s="7"/>
      <c r="BL638" s="7"/>
      <c r="BM638" s="7"/>
      <c r="BN638" s="7"/>
      <c r="BO638" s="7"/>
      <c r="BP638" s="7"/>
      <c r="BQ638" s="7"/>
      <c r="BR638" s="7"/>
      <c r="BS638" s="7"/>
      <c r="BT638" s="7"/>
      <c r="BU638" s="7"/>
      <c r="BV638" s="7"/>
      <c r="BW638" s="7"/>
      <c r="BX638" s="7"/>
      <c r="BY638" s="7"/>
      <c r="BZ638" s="7"/>
      <c r="CA638" s="7"/>
      <c r="CB638" s="7"/>
      <c r="CC638" s="7"/>
      <c r="CD638" s="7"/>
      <c r="CE638" s="7"/>
      <c r="CF638" s="7"/>
      <c r="CG638" s="7"/>
    </row>
    <row r="639" spans="3:85"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  <c r="BB639" s="7"/>
      <c r="BC639" s="7"/>
      <c r="BD639" s="7"/>
      <c r="BE639" s="7"/>
      <c r="BF639" s="7"/>
      <c r="BG639" s="7"/>
      <c r="BH639" s="7"/>
      <c r="BI639" s="7"/>
      <c r="BJ639" s="7"/>
      <c r="BK639" s="7"/>
      <c r="BL639" s="7"/>
      <c r="BM639" s="7"/>
      <c r="BN639" s="7"/>
      <c r="BO639" s="7"/>
      <c r="BP639" s="7"/>
      <c r="BQ639" s="7"/>
      <c r="BR639" s="7"/>
      <c r="BS639" s="7"/>
      <c r="BT639" s="7"/>
      <c r="BU639" s="7"/>
      <c r="BV639" s="7"/>
      <c r="BW639" s="7"/>
      <c r="BX639" s="7"/>
      <c r="BY639" s="7"/>
      <c r="BZ639" s="7"/>
      <c r="CA639" s="7"/>
      <c r="CB639" s="7"/>
      <c r="CC639" s="7"/>
      <c r="CD639" s="7"/>
      <c r="CE639" s="7"/>
      <c r="CF639" s="7"/>
      <c r="CG639" s="7"/>
    </row>
    <row r="640" spans="3:85"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  <c r="BB640" s="7"/>
      <c r="BC640" s="7"/>
      <c r="BD640" s="7"/>
      <c r="BE640" s="7"/>
      <c r="BF640" s="7"/>
      <c r="BG640" s="7"/>
      <c r="BH640" s="7"/>
      <c r="BI640" s="7"/>
      <c r="BJ640" s="7"/>
      <c r="BK640" s="7"/>
      <c r="BL640" s="7"/>
      <c r="BM640" s="7"/>
      <c r="BN640" s="7"/>
      <c r="BO640" s="7"/>
      <c r="BP640" s="7"/>
      <c r="BQ640" s="7"/>
      <c r="BR640" s="7"/>
      <c r="BS640" s="7"/>
      <c r="BT640" s="7"/>
      <c r="BU640" s="7"/>
      <c r="BV640" s="7"/>
      <c r="BW640" s="7"/>
      <c r="BX640" s="7"/>
      <c r="BY640" s="7"/>
      <c r="BZ640" s="7"/>
      <c r="CA640" s="7"/>
      <c r="CB640" s="7"/>
      <c r="CC640" s="7"/>
      <c r="CD640" s="7"/>
      <c r="CE640" s="7"/>
      <c r="CF640" s="7"/>
      <c r="CG640" s="7"/>
    </row>
    <row r="641" spans="3:85"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  <c r="BB641" s="7"/>
      <c r="BC641" s="7"/>
      <c r="BD641" s="7"/>
      <c r="BE641" s="7"/>
      <c r="BF641" s="7"/>
      <c r="BG641" s="7"/>
      <c r="BH641" s="7"/>
      <c r="BI641" s="7"/>
      <c r="BJ641" s="7"/>
      <c r="BK641" s="7"/>
      <c r="BL641" s="7"/>
      <c r="BM641" s="7"/>
      <c r="BN641" s="7"/>
      <c r="BO641" s="7"/>
      <c r="BP641" s="7"/>
      <c r="BQ641" s="7"/>
      <c r="BR641" s="7"/>
      <c r="BS641" s="7"/>
      <c r="BT641" s="7"/>
      <c r="BU641" s="7"/>
      <c r="BV641" s="7"/>
      <c r="BW641" s="7"/>
      <c r="BX641" s="7"/>
      <c r="BY641" s="7"/>
      <c r="BZ641" s="7"/>
      <c r="CA641" s="7"/>
      <c r="CB641" s="7"/>
      <c r="CC641" s="7"/>
      <c r="CD641" s="7"/>
      <c r="CE641" s="7"/>
      <c r="CF641" s="7"/>
      <c r="CG641" s="7"/>
    </row>
    <row r="642" spans="3:85"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  <c r="BB642" s="7"/>
      <c r="BC642" s="7"/>
      <c r="BD642" s="7"/>
      <c r="BE642" s="7"/>
      <c r="BF642" s="7"/>
      <c r="BG642" s="7"/>
      <c r="BH642" s="7"/>
      <c r="BI642" s="7"/>
      <c r="BJ642" s="7"/>
      <c r="BK642" s="7"/>
      <c r="BL642" s="7"/>
      <c r="BM642" s="7"/>
      <c r="BN642" s="7"/>
      <c r="BO642" s="7"/>
      <c r="BP642" s="7"/>
      <c r="BQ642" s="7"/>
      <c r="BR642" s="7"/>
      <c r="BS642" s="7"/>
      <c r="BT642" s="7"/>
      <c r="BU642" s="7"/>
      <c r="BV642" s="7"/>
      <c r="BW642" s="7"/>
      <c r="BX642" s="7"/>
      <c r="BY642" s="7"/>
      <c r="BZ642" s="7"/>
      <c r="CA642" s="7"/>
      <c r="CB642" s="7"/>
      <c r="CC642" s="7"/>
      <c r="CD642" s="7"/>
      <c r="CE642" s="7"/>
      <c r="CF642" s="7"/>
      <c r="CG642" s="7"/>
    </row>
    <row r="643" spans="3:85"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  <c r="BB643" s="7"/>
      <c r="BC643" s="7"/>
      <c r="BD643" s="7"/>
      <c r="BE643" s="7"/>
      <c r="BF643" s="7"/>
      <c r="BG643" s="7"/>
      <c r="BH643" s="7"/>
      <c r="BI643" s="7"/>
      <c r="BJ643" s="7"/>
      <c r="BK643" s="7"/>
      <c r="BL643" s="7"/>
      <c r="BM643" s="7"/>
      <c r="BN643" s="7"/>
      <c r="BO643" s="7"/>
      <c r="BP643" s="7"/>
      <c r="BQ643" s="7"/>
      <c r="BR643" s="7"/>
      <c r="BS643" s="7"/>
      <c r="BT643" s="7"/>
      <c r="BU643" s="7"/>
      <c r="BV643" s="7"/>
      <c r="BW643" s="7"/>
      <c r="BX643" s="7"/>
      <c r="BY643" s="7"/>
      <c r="BZ643" s="7"/>
      <c r="CA643" s="7"/>
      <c r="CB643" s="7"/>
      <c r="CC643" s="7"/>
      <c r="CD643" s="7"/>
      <c r="CE643" s="7"/>
      <c r="CF643" s="7"/>
      <c r="CG643" s="7"/>
    </row>
    <row r="644" spans="3:85"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  <c r="BB644" s="7"/>
      <c r="BC644" s="7"/>
      <c r="BD644" s="7"/>
      <c r="BE644" s="7"/>
      <c r="BF644" s="7"/>
      <c r="BG644" s="7"/>
      <c r="BH644" s="7"/>
      <c r="BI644" s="7"/>
      <c r="BJ644" s="7"/>
      <c r="BK644" s="7"/>
      <c r="BL644" s="7"/>
      <c r="BM644" s="7"/>
      <c r="BN644" s="7"/>
      <c r="BO644" s="7"/>
      <c r="BP644" s="7"/>
      <c r="BQ644" s="7"/>
      <c r="BR644" s="7"/>
      <c r="BS644" s="7"/>
      <c r="BT644" s="7"/>
      <c r="BU644" s="7"/>
      <c r="BV644" s="7"/>
      <c r="BW644" s="7"/>
      <c r="BX644" s="7"/>
      <c r="BY644" s="7"/>
      <c r="BZ644" s="7"/>
      <c r="CA644" s="7"/>
      <c r="CB644" s="7"/>
      <c r="CC644" s="7"/>
      <c r="CD644" s="7"/>
      <c r="CE644" s="7"/>
      <c r="CF644" s="7"/>
      <c r="CG644" s="7"/>
    </row>
    <row r="645" spans="3:85"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  <c r="BB645" s="7"/>
      <c r="BC645" s="7"/>
      <c r="BD645" s="7"/>
      <c r="BE645" s="7"/>
      <c r="BF645" s="7"/>
      <c r="BG645" s="7"/>
      <c r="BH645" s="7"/>
      <c r="BI645" s="7"/>
      <c r="BJ645" s="7"/>
      <c r="BK645" s="7"/>
      <c r="BL645" s="7"/>
      <c r="BM645" s="7"/>
      <c r="BN645" s="7"/>
      <c r="BO645" s="7"/>
      <c r="BP645" s="7"/>
      <c r="BQ645" s="7"/>
      <c r="BR645" s="7"/>
      <c r="BS645" s="7"/>
      <c r="BT645" s="7"/>
      <c r="BU645" s="7"/>
      <c r="BV645" s="7"/>
      <c r="BW645" s="7"/>
      <c r="BX645" s="7"/>
      <c r="BY645" s="7"/>
      <c r="BZ645" s="7"/>
      <c r="CA645" s="7"/>
      <c r="CB645" s="7"/>
      <c r="CC645" s="7"/>
      <c r="CD645" s="7"/>
      <c r="CE645" s="7"/>
      <c r="CF645" s="7"/>
      <c r="CG645" s="7"/>
    </row>
    <row r="646" spans="3:85"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  <c r="BB646" s="7"/>
      <c r="BC646" s="7"/>
      <c r="BD646" s="7"/>
      <c r="BE646" s="7"/>
      <c r="BF646" s="7"/>
      <c r="BG646" s="7"/>
      <c r="BH646" s="7"/>
      <c r="BI646" s="7"/>
      <c r="BJ646" s="7"/>
      <c r="BK646" s="7"/>
      <c r="BL646" s="7"/>
      <c r="BM646" s="7"/>
      <c r="BN646" s="7"/>
      <c r="BO646" s="7"/>
      <c r="BP646" s="7"/>
      <c r="BQ646" s="7"/>
      <c r="BR646" s="7"/>
      <c r="BS646" s="7"/>
      <c r="BT646" s="7"/>
      <c r="BU646" s="7"/>
      <c r="BV646" s="7"/>
      <c r="BW646" s="7"/>
      <c r="BX646" s="7"/>
      <c r="BY646" s="7"/>
      <c r="BZ646" s="7"/>
      <c r="CA646" s="7"/>
      <c r="CB646" s="7"/>
      <c r="CC646" s="7"/>
      <c r="CD646" s="7"/>
      <c r="CE646" s="7"/>
      <c r="CF646" s="7"/>
      <c r="CG646" s="7"/>
    </row>
    <row r="647" spans="3:85"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  <c r="BB647" s="7"/>
      <c r="BC647" s="7"/>
      <c r="BD647" s="7"/>
      <c r="BE647" s="7"/>
      <c r="BF647" s="7"/>
      <c r="BG647" s="7"/>
      <c r="BH647" s="7"/>
      <c r="BI647" s="7"/>
      <c r="BJ647" s="7"/>
      <c r="BK647" s="7"/>
      <c r="BL647" s="7"/>
      <c r="BM647" s="7"/>
      <c r="BN647" s="7"/>
      <c r="BO647" s="7"/>
      <c r="BP647" s="7"/>
      <c r="BQ647" s="7"/>
      <c r="BR647" s="7"/>
      <c r="BS647" s="7"/>
      <c r="BT647" s="7"/>
      <c r="BU647" s="7"/>
      <c r="BV647" s="7"/>
      <c r="BW647" s="7"/>
      <c r="BX647" s="7"/>
      <c r="BY647" s="7"/>
      <c r="BZ647" s="7"/>
      <c r="CA647" s="7"/>
      <c r="CB647" s="7"/>
      <c r="CC647" s="7"/>
      <c r="CD647" s="7"/>
      <c r="CE647" s="7"/>
      <c r="CF647" s="7"/>
      <c r="CG647" s="7"/>
    </row>
    <row r="648" spans="3:85"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  <c r="BB648" s="7"/>
      <c r="BC648" s="7"/>
      <c r="BD648" s="7"/>
      <c r="BE648" s="7"/>
      <c r="BF648" s="7"/>
      <c r="BG648" s="7"/>
      <c r="BH648" s="7"/>
      <c r="BI648" s="7"/>
      <c r="BJ648" s="7"/>
      <c r="BK648" s="7"/>
      <c r="BL648" s="7"/>
      <c r="BM648" s="7"/>
      <c r="BN648" s="7"/>
      <c r="BO648" s="7"/>
      <c r="BP648" s="7"/>
      <c r="BQ648" s="7"/>
      <c r="BR648" s="7"/>
      <c r="BS648" s="7"/>
      <c r="BT648" s="7"/>
      <c r="BU648" s="7"/>
      <c r="BV648" s="7"/>
      <c r="BW648" s="7"/>
      <c r="BX648" s="7"/>
      <c r="BY648" s="7"/>
      <c r="BZ648" s="7"/>
      <c r="CA648" s="7"/>
      <c r="CB648" s="7"/>
      <c r="CC648" s="7"/>
      <c r="CD648" s="7"/>
      <c r="CE648" s="7"/>
      <c r="CF648" s="7"/>
      <c r="CG648" s="7"/>
    </row>
    <row r="649" spans="3:85"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  <c r="BB649" s="7"/>
      <c r="BC649" s="7"/>
      <c r="BD649" s="7"/>
      <c r="BE649" s="7"/>
      <c r="BF649" s="7"/>
      <c r="BG649" s="7"/>
      <c r="BH649" s="7"/>
      <c r="BI649" s="7"/>
      <c r="BJ649" s="7"/>
      <c r="BK649" s="7"/>
      <c r="BL649" s="7"/>
      <c r="BM649" s="7"/>
      <c r="BN649" s="7"/>
      <c r="BO649" s="7"/>
      <c r="BP649" s="7"/>
      <c r="BQ649" s="7"/>
      <c r="BR649" s="7"/>
      <c r="BS649" s="7"/>
      <c r="BT649" s="7"/>
      <c r="BU649" s="7"/>
      <c r="BV649" s="7"/>
      <c r="BW649" s="7"/>
      <c r="BX649" s="7"/>
      <c r="BY649" s="7"/>
      <c r="BZ649" s="7"/>
      <c r="CA649" s="7"/>
      <c r="CB649" s="7"/>
      <c r="CC649" s="7"/>
      <c r="CD649" s="7"/>
      <c r="CE649" s="7"/>
      <c r="CF649" s="7"/>
      <c r="CG649" s="7"/>
    </row>
    <row r="650" spans="3:85"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  <c r="BB650" s="7"/>
      <c r="BC650" s="7"/>
      <c r="BD650" s="7"/>
      <c r="BE650" s="7"/>
      <c r="BF650" s="7"/>
      <c r="BG650" s="7"/>
      <c r="BH650" s="7"/>
      <c r="BI650" s="7"/>
      <c r="BJ650" s="7"/>
      <c r="BK650" s="7"/>
      <c r="BL650" s="7"/>
      <c r="BM650" s="7"/>
      <c r="BN650" s="7"/>
      <c r="BO650" s="7"/>
      <c r="BP650" s="7"/>
      <c r="BQ650" s="7"/>
      <c r="BR650" s="7"/>
      <c r="BS650" s="7"/>
      <c r="BT650" s="7"/>
      <c r="BU650" s="7"/>
      <c r="BV650" s="7"/>
      <c r="BW650" s="7"/>
      <c r="BX650" s="7"/>
      <c r="BY650" s="7"/>
      <c r="BZ650" s="7"/>
      <c r="CA650" s="7"/>
      <c r="CB650" s="7"/>
      <c r="CC650" s="7"/>
      <c r="CD650" s="7"/>
      <c r="CE650" s="7"/>
      <c r="CF650" s="7"/>
      <c r="CG650" s="7"/>
    </row>
    <row r="651" spans="3:85"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  <c r="BB651" s="7"/>
      <c r="BC651" s="7"/>
      <c r="BD651" s="7"/>
      <c r="BE651" s="7"/>
      <c r="BF651" s="7"/>
      <c r="BG651" s="7"/>
      <c r="BH651" s="7"/>
      <c r="BI651" s="7"/>
      <c r="BJ651" s="7"/>
      <c r="BK651" s="7"/>
      <c r="BL651" s="7"/>
      <c r="BM651" s="7"/>
      <c r="BN651" s="7"/>
      <c r="BO651" s="7"/>
      <c r="BP651" s="7"/>
      <c r="BQ651" s="7"/>
      <c r="BR651" s="7"/>
      <c r="BS651" s="7"/>
      <c r="BT651" s="7"/>
      <c r="BU651" s="7"/>
      <c r="BV651" s="7"/>
      <c r="BW651" s="7"/>
      <c r="BX651" s="7"/>
      <c r="BY651" s="7"/>
      <c r="BZ651" s="7"/>
      <c r="CA651" s="7"/>
      <c r="CB651" s="7"/>
      <c r="CC651" s="7"/>
      <c r="CD651" s="7"/>
      <c r="CE651" s="7"/>
      <c r="CF651" s="7"/>
      <c r="CG651" s="7"/>
    </row>
    <row r="652" spans="3:85"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  <c r="BB652" s="7"/>
      <c r="BC652" s="7"/>
      <c r="BD652" s="7"/>
      <c r="BE652" s="7"/>
      <c r="BF652" s="7"/>
      <c r="BG652" s="7"/>
      <c r="BH652" s="7"/>
      <c r="BI652" s="7"/>
      <c r="BJ652" s="7"/>
      <c r="BK652" s="7"/>
      <c r="BL652" s="7"/>
      <c r="BM652" s="7"/>
      <c r="BN652" s="7"/>
      <c r="BO652" s="7"/>
      <c r="BP652" s="7"/>
      <c r="BQ652" s="7"/>
      <c r="BR652" s="7"/>
      <c r="BS652" s="7"/>
      <c r="BT652" s="7"/>
      <c r="BU652" s="7"/>
      <c r="BV652" s="7"/>
      <c r="BW652" s="7"/>
      <c r="BX652" s="7"/>
      <c r="BY652" s="7"/>
      <c r="BZ652" s="7"/>
      <c r="CA652" s="7"/>
      <c r="CB652" s="7"/>
      <c r="CC652" s="7"/>
      <c r="CD652" s="7"/>
      <c r="CE652" s="7"/>
      <c r="CF652" s="7"/>
      <c r="CG652" s="7"/>
    </row>
    <row r="653" spans="3:85"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  <c r="BB653" s="7"/>
      <c r="BC653" s="7"/>
      <c r="BD653" s="7"/>
      <c r="BE653" s="7"/>
      <c r="BF653" s="7"/>
      <c r="BG653" s="7"/>
      <c r="BH653" s="7"/>
      <c r="BI653" s="7"/>
      <c r="BJ653" s="7"/>
      <c r="BK653" s="7"/>
      <c r="BL653" s="7"/>
      <c r="BM653" s="7"/>
      <c r="BN653" s="7"/>
      <c r="BO653" s="7"/>
      <c r="BP653" s="7"/>
      <c r="BQ653" s="7"/>
      <c r="BR653" s="7"/>
      <c r="BS653" s="7"/>
      <c r="BT653" s="7"/>
      <c r="BU653" s="7"/>
      <c r="BV653" s="7"/>
      <c r="BW653" s="7"/>
      <c r="BX653" s="7"/>
      <c r="BY653" s="7"/>
      <c r="BZ653" s="7"/>
      <c r="CA653" s="7"/>
      <c r="CB653" s="7"/>
      <c r="CC653" s="7"/>
      <c r="CD653" s="7"/>
      <c r="CE653" s="7"/>
      <c r="CF653" s="7"/>
      <c r="CG653" s="7"/>
    </row>
    <row r="654" spans="3:85"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  <c r="BB654" s="7"/>
      <c r="BC654" s="7"/>
      <c r="BD654" s="7"/>
      <c r="BE654" s="7"/>
      <c r="BF654" s="7"/>
      <c r="BG654" s="7"/>
      <c r="BH654" s="7"/>
      <c r="BI654" s="7"/>
      <c r="BJ654" s="7"/>
      <c r="BK654" s="7"/>
      <c r="BL654" s="7"/>
      <c r="BM654" s="7"/>
      <c r="BN654" s="7"/>
      <c r="BO654" s="7"/>
      <c r="BP654" s="7"/>
      <c r="BQ654" s="7"/>
      <c r="BR654" s="7"/>
      <c r="BS654" s="7"/>
      <c r="BT654" s="7"/>
      <c r="BU654" s="7"/>
      <c r="BV654" s="7"/>
      <c r="BW654" s="7"/>
      <c r="BX654" s="7"/>
      <c r="BY654" s="7"/>
      <c r="BZ654" s="7"/>
      <c r="CA654" s="7"/>
      <c r="CB654" s="7"/>
      <c r="CC654" s="7"/>
      <c r="CD654" s="7"/>
      <c r="CE654" s="7"/>
      <c r="CF654" s="7"/>
      <c r="CG654" s="7"/>
    </row>
    <row r="655" spans="3:85"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  <c r="BB655" s="7"/>
      <c r="BC655" s="7"/>
      <c r="BD655" s="7"/>
      <c r="BE655" s="7"/>
      <c r="BF655" s="7"/>
      <c r="BG655" s="7"/>
      <c r="BH655" s="7"/>
      <c r="BI655" s="7"/>
      <c r="BJ655" s="7"/>
      <c r="BK655" s="7"/>
      <c r="BL655" s="7"/>
      <c r="BM655" s="7"/>
      <c r="BN655" s="7"/>
      <c r="BO655" s="7"/>
      <c r="BP655" s="7"/>
      <c r="BQ655" s="7"/>
      <c r="BR655" s="7"/>
      <c r="BS655" s="7"/>
      <c r="BT655" s="7"/>
      <c r="BU655" s="7"/>
      <c r="BV655" s="7"/>
      <c r="BW655" s="7"/>
      <c r="BX655" s="7"/>
      <c r="BY655" s="7"/>
      <c r="BZ655" s="7"/>
      <c r="CA655" s="7"/>
      <c r="CB655" s="7"/>
      <c r="CC655" s="7"/>
      <c r="CD655" s="7"/>
      <c r="CE655" s="7"/>
      <c r="CF655" s="7"/>
      <c r="CG655" s="7"/>
    </row>
    <row r="656" spans="3:85"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  <c r="BB656" s="7"/>
      <c r="BC656" s="7"/>
      <c r="BD656" s="7"/>
      <c r="BE656" s="7"/>
      <c r="BF656" s="7"/>
      <c r="BG656" s="7"/>
      <c r="BH656" s="7"/>
      <c r="BI656" s="7"/>
      <c r="BJ656" s="7"/>
      <c r="BK656" s="7"/>
      <c r="BL656" s="7"/>
      <c r="BM656" s="7"/>
      <c r="BN656" s="7"/>
      <c r="BO656" s="7"/>
      <c r="BP656" s="7"/>
      <c r="BQ656" s="7"/>
      <c r="BR656" s="7"/>
      <c r="BS656" s="7"/>
      <c r="BT656" s="7"/>
      <c r="BU656" s="7"/>
      <c r="BV656" s="7"/>
      <c r="BW656" s="7"/>
      <c r="BX656" s="7"/>
      <c r="BY656" s="7"/>
      <c r="BZ656" s="7"/>
      <c r="CA656" s="7"/>
      <c r="CB656" s="7"/>
      <c r="CC656" s="7"/>
      <c r="CD656" s="7"/>
      <c r="CE656" s="7"/>
      <c r="CF656" s="7"/>
      <c r="CG656" s="7"/>
    </row>
    <row r="657" spans="3:85"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  <c r="BB657" s="7"/>
      <c r="BC657" s="7"/>
      <c r="BD657" s="7"/>
      <c r="BE657" s="7"/>
      <c r="BF657" s="7"/>
      <c r="BG657" s="7"/>
      <c r="BH657" s="7"/>
      <c r="BI657" s="7"/>
      <c r="BJ657" s="7"/>
      <c r="BK657" s="7"/>
      <c r="BL657" s="7"/>
      <c r="BM657" s="7"/>
      <c r="BN657" s="7"/>
      <c r="BO657" s="7"/>
      <c r="BP657" s="7"/>
      <c r="BQ657" s="7"/>
      <c r="BR657" s="7"/>
      <c r="BS657" s="7"/>
      <c r="BT657" s="7"/>
      <c r="BU657" s="7"/>
      <c r="BV657" s="7"/>
      <c r="BW657" s="7"/>
      <c r="BX657" s="7"/>
      <c r="BY657" s="7"/>
      <c r="BZ657" s="7"/>
      <c r="CA657" s="7"/>
      <c r="CB657" s="7"/>
      <c r="CC657" s="7"/>
      <c r="CD657" s="7"/>
      <c r="CE657" s="7"/>
      <c r="CF657" s="7"/>
      <c r="CG657" s="7"/>
    </row>
    <row r="658" spans="3:85"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  <c r="BB658" s="7"/>
      <c r="BC658" s="7"/>
      <c r="BD658" s="7"/>
      <c r="BE658" s="7"/>
      <c r="BF658" s="7"/>
      <c r="BG658" s="7"/>
      <c r="BH658" s="7"/>
      <c r="BI658" s="7"/>
      <c r="BJ658" s="7"/>
      <c r="BK658" s="7"/>
      <c r="BL658" s="7"/>
      <c r="BM658" s="7"/>
      <c r="BN658" s="7"/>
      <c r="BO658" s="7"/>
      <c r="BP658" s="7"/>
      <c r="BQ658" s="7"/>
      <c r="BR658" s="7"/>
      <c r="BS658" s="7"/>
      <c r="BT658" s="7"/>
      <c r="BU658" s="7"/>
      <c r="BV658" s="7"/>
      <c r="BW658" s="7"/>
      <c r="BX658" s="7"/>
      <c r="BY658" s="7"/>
      <c r="BZ658" s="7"/>
      <c r="CA658" s="7"/>
      <c r="CB658" s="7"/>
      <c r="CC658" s="7"/>
      <c r="CD658" s="7"/>
      <c r="CE658" s="7"/>
      <c r="CF658" s="7"/>
      <c r="CG658" s="7"/>
    </row>
    <row r="659" spans="3:85"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  <c r="BB659" s="7"/>
      <c r="BC659" s="7"/>
      <c r="BD659" s="7"/>
      <c r="BE659" s="7"/>
      <c r="BF659" s="7"/>
      <c r="BG659" s="7"/>
      <c r="BH659" s="7"/>
      <c r="BI659" s="7"/>
      <c r="BJ659" s="7"/>
      <c r="BK659" s="7"/>
      <c r="BL659" s="7"/>
      <c r="BM659" s="7"/>
      <c r="BN659" s="7"/>
      <c r="BO659" s="7"/>
      <c r="BP659" s="7"/>
      <c r="BQ659" s="7"/>
      <c r="BR659" s="7"/>
      <c r="BS659" s="7"/>
      <c r="BT659" s="7"/>
      <c r="BU659" s="7"/>
      <c r="BV659" s="7"/>
      <c r="BW659" s="7"/>
      <c r="BX659" s="7"/>
      <c r="BY659" s="7"/>
      <c r="BZ659" s="7"/>
      <c r="CA659" s="7"/>
      <c r="CB659" s="7"/>
      <c r="CC659" s="7"/>
      <c r="CD659" s="7"/>
      <c r="CE659" s="7"/>
      <c r="CF659" s="7"/>
      <c r="CG659" s="7"/>
    </row>
    <row r="660" spans="3:85"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  <c r="BB660" s="7"/>
      <c r="BC660" s="7"/>
      <c r="BD660" s="7"/>
      <c r="BE660" s="7"/>
      <c r="BF660" s="7"/>
      <c r="BG660" s="7"/>
      <c r="BH660" s="7"/>
      <c r="BI660" s="7"/>
      <c r="BJ660" s="7"/>
      <c r="BK660" s="7"/>
      <c r="BL660" s="7"/>
      <c r="BM660" s="7"/>
      <c r="BN660" s="7"/>
      <c r="BO660" s="7"/>
      <c r="BP660" s="7"/>
      <c r="BQ660" s="7"/>
      <c r="BR660" s="7"/>
      <c r="BS660" s="7"/>
      <c r="BT660" s="7"/>
      <c r="BU660" s="7"/>
      <c r="BV660" s="7"/>
      <c r="BW660" s="7"/>
      <c r="BX660" s="7"/>
      <c r="BY660" s="7"/>
      <c r="BZ660" s="7"/>
      <c r="CA660" s="7"/>
      <c r="CB660" s="7"/>
      <c r="CC660" s="7"/>
      <c r="CD660" s="7"/>
      <c r="CE660" s="7"/>
      <c r="CF660" s="7"/>
      <c r="CG660" s="7"/>
    </row>
    <row r="661" spans="3:85"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  <c r="BB661" s="7"/>
      <c r="BC661" s="7"/>
      <c r="BD661" s="7"/>
      <c r="BE661" s="7"/>
      <c r="BF661" s="7"/>
      <c r="BG661" s="7"/>
      <c r="BH661" s="7"/>
      <c r="BI661" s="7"/>
      <c r="BJ661" s="7"/>
      <c r="BK661" s="7"/>
      <c r="BL661" s="7"/>
      <c r="BM661" s="7"/>
      <c r="BN661" s="7"/>
      <c r="BO661" s="7"/>
      <c r="BP661" s="7"/>
      <c r="BQ661" s="7"/>
      <c r="BR661" s="7"/>
      <c r="BS661" s="7"/>
      <c r="BT661" s="7"/>
      <c r="BU661" s="7"/>
      <c r="BV661" s="7"/>
      <c r="BW661" s="7"/>
      <c r="BX661" s="7"/>
      <c r="BY661" s="7"/>
      <c r="BZ661" s="7"/>
      <c r="CA661" s="7"/>
      <c r="CB661" s="7"/>
      <c r="CC661" s="7"/>
      <c r="CD661" s="7"/>
      <c r="CE661" s="7"/>
      <c r="CF661" s="7"/>
      <c r="CG661" s="7"/>
    </row>
    <row r="662" spans="3:85"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  <c r="BB662" s="7"/>
      <c r="BC662" s="7"/>
      <c r="BD662" s="7"/>
      <c r="BE662" s="7"/>
      <c r="BF662" s="7"/>
      <c r="BG662" s="7"/>
      <c r="BH662" s="7"/>
      <c r="BI662" s="7"/>
      <c r="BJ662" s="7"/>
      <c r="BK662" s="7"/>
      <c r="BL662" s="7"/>
      <c r="BM662" s="7"/>
      <c r="BN662" s="7"/>
      <c r="BO662" s="7"/>
      <c r="BP662" s="7"/>
      <c r="BQ662" s="7"/>
      <c r="BR662" s="7"/>
      <c r="BS662" s="7"/>
      <c r="BT662" s="7"/>
      <c r="BU662" s="7"/>
      <c r="BV662" s="7"/>
      <c r="BW662" s="7"/>
      <c r="BX662" s="7"/>
      <c r="BY662" s="7"/>
      <c r="BZ662" s="7"/>
      <c r="CA662" s="7"/>
      <c r="CB662" s="7"/>
      <c r="CC662" s="7"/>
      <c r="CD662" s="7"/>
      <c r="CE662" s="7"/>
      <c r="CF662" s="7"/>
      <c r="CG662" s="7"/>
    </row>
    <row r="663" spans="3:85"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  <c r="BB663" s="7"/>
      <c r="BC663" s="7"/>
      <c r="BD663" s="7"/>
      <c r="BE663" s="7"/>
      <c r="BF663" s="7"/>
      <c r="BG663" s="7"/>
      <c r="BH663" s="7"/>
      <c r="BI663" s="7"/>
      <c r="BJ663" s="7"/>
      <c r="BK663" s="7"/>
      <c r="BL663" s="7"/>
      <c r="BM663" s="7"/>
      <c r="BN663" s="7"/>
      <c r="BO663" s="7"/>
      <c r="BP663" s="7"/>
      <c r="BQ663" s="7"/>
      <c r="BR663" s="7"/>
      <c r="BS663" s="7"/>
      <c r="BT663" s="7"/>
      <c r="BU663" s="7"/>
      <c r="BV663" s="7"/>
      <c r="BW663" s="7"/>
      <c r="BX663" s="7"/>
      <c r="BY663" s="7"/>
      <c r="BZ663" s="7"/>
      <c r="CA663" s="7"/>
      <c r="CB663" s="7"/>
      <c r="CC663" s="7"/>
      <c r="CD663" s="7"/>
      <c r="CE663" s="7"/>
      <c r="CF663" s="7"/>
      <c r="CG663" s="7"/>
    </row>
    <row r="664" spans="3:85"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  <c r="BB664" s="7"/>
      <c r="BC664" s="7"/>
      <c r="BD664" s="7"/>
      <c r="BE664" s="7"/>
      <c r="BF664" s="7"/>
      <c r="BG664" s="7"/>
      <c r="BH664" s="7"/>
      <c r="BI664" s="7"/>
      <c r="BJ664" s="7"/>
      <c r="BK664" s="7"/>
      <c r="BL664" s="7"/>
      <c r="BM664" s="7"/>
      <c r="BN664" s="7"/>
      <c r="BO664" s="7"/>
      <c r="BP664" s="7"/>
      <c r="BQ664" s="7"/>
      <c r="BR664" s="7"/>
      <c r="BS664" s="7"/>
      <c r="BT664" s="7"/>
      <c r="BU664" s="7"/>
      <c r="BV664" s="7"/>
      <c r="BW664" s="7"/>
      <c r="BX664" s="7"/>
      <c r="BY664" s="7"/>
      <c r="BZ664" s="7"/>
      <c r="CA664" s="7"/>
      <c r="CB664" s="7"/>
      <c r="CC664" s="7"/>
      <c r="CD664" s="7"/>
      <c r="CE664" s="7"/>
      <c r="CF664" s="7"/>
      <c r="CG664" s="7"/>
    </row>
    <row r="665" spans="3:85"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  <c r="BB665" s="7"/>
      <c r="BC665" s="7"/>
      <c r="BD665" s="7"/>
      <c r="BE665" s="7"/>
      <c r="BF665" s="7"/>
      <c r="BG665" s="7"/>
      <c r="BH665" s="7"/>
      <c r="BI665" s="7"/>
      <c r="BJ665" s="7"/>
      <c r="BK665" s="7"/>
      <c r="BL665" s="7"/>
      <c r="BM665" s="7"/>
      <c r="BN665" s="7"/>
      <c r="BO665" s="7"/>
      <c r="BP665" s="7"/>
      <c r="BQ665" s="7"/>
      <c r="BR665" s="7"/>
      <c r="BS665" s="7"/>
      <c r="BT665" s="7"/>
      <c r="BU665" s="7"/>
      <c r="BV665" s="7"/>
      <c r="BW665" s="7"/>
      <c r="BX665" s="7"/>
      <c r="BY665" s="7"/>
      <c r="BZ665" s="7"/>
      <c r="CA665" s="7"/>
      <c r="CB665" s="7"/>
      <c r="CC665" s="7"/>
      <c r="CD665" s="7"/>
      <c r="CE665" s="7"/>
      <c r="CF665" s="7"/>
      <c r="CG665" s="7"/>
    </row>
    <row r="666" spans="3:85"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  <c r="BB666" s="7"/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  <c r="BP666" s="7"/>
      <c r="BQ666" s="7"/>
      <c r="BR666" s="7"/>
      <c r="BS666" s="7"/>
      <c r="BT666" s="7"/>
      <c r="BU666" s="7"/>
      <c r="BV666" s="7"/>
      <c r="BW666" s="7"/>
      <c r="BX666" s="7"/>
      <c r="BY666" s="7"/>
      <c r="BZ666" s="7"/>
      <c r="CA666" s="7"/>
      <c r="CB666" s="7"/>
      <c r="CC666" s="7"/>
      <c r="CD666" s="7"/>
      <c r="CE666" s="7"/>
      <c r="CF666" s="7"/>
      <c r="CG666" s="7"/>
    </row>
    <row r="667" spans="3:85"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  <c r="BB667" s="7"/>
      <c r="BC667" s="7"/>
      <c r="BD667" s="7"/>
      <c r="BE667" s="7"/>
      <c r="BF667" s="7"/>
      <c r="BG667" s="7"/>
      <c r="BH667" s="7"/>
      <c r="BI667" s="7"/>
      <c r="BJ667" s="7"/>
      <c r="BK667" s="7"/>
      <c r="BL667" s="7"/>
      <c r="BM667" s="7"/>
      <c r="BN667" s="7"/>
      <c r="BO667" s="7"/>
      <c r="BP667" s="7"/>
      <c r="BQ667" s="7"/>
      <c r="BR667" s="7"/>
      <c r="BS667" s="7"/>
      <c r="BT667" s="7"/>
      <c r="BU667" s="7"/>
      <c r="BV667" s="7"/>
      <c r="BW667" s="7"/>
      <c r="BX667" s="7"/>
      <c r="BY667" s="7"/>
      <c r="BZ667" s="7"/>
      <c r="CA667" s="7"/>
      <c r="CB667" s="7"/>
      <c r="CC667" s="7"/>
      <c r="CD667" s="7"/>
      <c r="CE667" s="7"/>
      <c r="CF667" s="7"/>
      <c r="CG667" s="7"/>
    </row>
    <row r="668" spans="3:85"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  <c r="BB668" s="7"/>
      <c r="BC668" s="7"/>
      <c r="BD668" s="7"/>
      <c r="BE668" s="7"/>
      <c r="BF668" s="7"/>
      <c r="BG668" s="7"/>
      <c r="BH668" s="7"/>
      <c r="BI668" s="7"/>
      <c r="BJ668" s="7"/>
      <c r="BK668" s="7"/>
      <c r="BL668" s="7"/>
      <c r="BM668" s="7"/>
      <c r="BN668" s="7"/>
      <c r="BO668" s="7"/>
      <c r="BP668" s="7"/>
      <c r="BQ668" s="7"/>
      <c r="BR668" s="7"/>
      <c r="BS668" s="7"/>
      <c r="BT668" s="7"/>
      <c r="BU668" s="7"/>
      <c r="BV668" s="7"/>
      <c r="BW668" s="7"/>
      <c r="BX668" s="7"/>
      <c r="BY668" s="7"/>
      <c r="BZ668" s="7"/>
      <c r="CA668" s="7"/>
      <c r="CB668" s="7"/>
      <c r="CC668" s="7"/>
      <c r="CD668" s="7"/>
      <c r="CE668" s="7"/>
      <c r="CF668" s="7"/>
      <c r="CG668" s="7"/>
    </row>
    <row r="669" spans="3:85"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  <c r="BB669" s="7"/>
      <c r="BC669" s="7"/>
      <c r="BD669" s="7"/>
      <c r="BE669" s="7"/>
      <c r="BF669" s="7"/>
      <c r="BG669" s="7"/>
      <c r="BH669" s="7"/>
      <c r="BI669" s="7"/>
      <c r="BJ669" s="7"/>
      <c r="BK669" s="7"/>
      <c r="BL669" s="7"/>
      <c r="BM669" s="7"/>
      <c r="BN669" s="7"/>
      <c r="BO669" s="7"/>
      <c r="BP669" s="7"/>
      <c r="BQ669" s="7"/>
      <c r="BR669" s="7"/>
      <c r="BS669" s="7"/>
      <c r="BT669" s="7"/>
      <c r="BU669" s="7"/>
      <c r="BV669" s="7"/>
      <c r="BW669" s="7"/>
      <c r="BX669" s="7"/>
      <c r="BY669" s="7"/>
      <c r="BZ669" s="7"/>
      <c r="CA669" s="7"/>
      <c r="CB669" s="7"/>
      <c r="CC669" s="7"/>
      <c r="CD669" s="7"/>
      <c r="CE669" s="7"/>
      <c r="CF669" s="7"/>
      <c r="CG669" s="7"/>
    </row>
    <row r="670" spans="3:85"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  <c r="BB670" s="7"/>
      <c r="BC670" s="7"/>
      <c r="BD670" s="7"/>
      <c r="BE670" s="7"/>
      <c r="BF670" s="7"/>
      <c r="BG670" s="7"/>
      <c r="BH670" s="7"/>
      <c r="BI670" s="7"/>
      <c r="BJ670" s="7"/>
      <c r="BK670" s="7"/>
      <c r="BL670" s="7"/>
      <c r="BM670" s="7"/>
      <c r="BN670" s="7"/>
      <c r="BO670" s="7"/>
      <c r="BP670" s="7"/>
      <c r="BQ670" s="7"/>
      <c r="BR670" s="7"/>
      <c r="BS670" s="7"/>
      <c r="BT670" s="7"/>
      <c r="BU670" s="7"/>
      <c r="BV670" s="7"/>
      <c r="BW670" s="7"/>
      <c r="BX670" s="7"/>
      <c r="BY670" s="7"/>
      <c r="BZ670" s="7"/>
      <c r="CA670" s="7"/>
      <c r="CB670" s="7"/>
      <c r="CC670" s="7"/>
      <c r="CD670" s="7"/>
      <c r="CE670" s="7"/>
      <c r="CF670" s="7"/>
      <c r="CG670" s="7"/>
    </row>
    <row r="671" spans="3:85"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  <c r="BB671" s="7"/>
      <c r="BC671" s="7"/>
      <c r="BD671" s="7"/>
      <c r="BE671" s="7"/>
      <c r="BF671" s="7"/>
      <c r="BG671" s="7"/>
      <c r="BH671" s="7"/>
      <c r="BI671" s="7"/>
      <c r="BJ671" s="7"/>
      <c r="BK671" s="7"/>
      <c r="BL671" s="7"/>
      <c r="BM671" s="7"/>
      <c r="BN671" s="7"/>
      <c r="BO671" s="7"/>
      <c r="BP671" s="7"/>
      <c r="BQ671" s="7"/>
      <c r="BR671" s="7"/>
      <c r="BS671" s="7"/>
      <c r="BT671" s="7"/>
      <c r="BU671" s="7"/>
      <c r="BV671" s="7"/>
      <c r="BW671" s="7"/>
      <c r="BX671" s="7"/>
      <c r="BY671" s="7"/>
      <c r="BZ671" s="7"/>
      <c r="CA671" s="7"/>
      <c r="CB671" s="7"/>
      <c r="CC671" s="7"/>
      <c r="CD671" s="7"/>
      <c r="CE671" s="7"/>
      <c r="CF671" s="7"/>
      <c r="CG671" s="7"/>
    </row>
    <row r="672" spans="3:85"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  <c r="BB672" s="7"/>
      <c r="BC672" s="7"/>
      <c r="BD672" s="7"/>
      <c r="BE672" s="7"/>
      <c r="BF672" s="7"/>
      <c r="BG672" s="7"/>
      <c r="BH672" s="7"/>
      <c r="BI672" s="7"/>
      <c r="BJ672" s="7"/>
      <c r="BK672" s="7"/>
      <c r="BL672" s="7"/>
      <c r="BM672" s="7"/>
      <c r="BN672" s="7"/>
      <c r="BO672" s="7"/>
      <c r="BP672" s="7"/>
      <c r="BQ672" s="7"/>
      <c r="BR672" s="7"/>
      <c r="BS672" s="7"/>
      <c r="BT672" s="7"/>
      <c r="BU672" s="7"/>
      <c r="BV672" s="7"/>
      <c r="BW672" s="7"/>
      <c r="BX672" s="7"/>
      <c r="BY672" s="7"/>
      <c r="BZ672" s="7"/>
      <c r="CA672" s="7"/>
      <c r="CB672" s="7"/>
      <c r="CC672" s="7"/>
      <c r="CD672" s="7"/>
      <c r="CE672" s="7"/>
      <c r="CF672" s="7"/>
      <c r="CG672" s="7"/>
    </row>
    <row r="673" spans="3:85"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  <c r="BB673" s="7"/>
      <c r="BC673" s="7"/>
      <c r="BD673" s="7"/>
      <c r="BE673" s="7"/>
      <c r="BF673" s="7"/>
      <c r="BG673" s="7"/>
      <c r="BH673" s="7"/>
      <c r="BI673" s="7"/>
      <c r="BJ673" s="7"/>
      <c r="BK673" s="7"/>
      <c r="BL673" s="7"/>
      <c r="BM673" s="7"/>
      <c r="BN673" s="7"/>
      <c r="BO673" s="7"/>
      <c r="BP673" s="7"/>
      <c r="BQ673" s="7"/>
      <c r="BR673" s="7"/>
      <c r="BS673" s="7"/>
      <c r="BT673" s="7"/>
      <c r="BU673" s="7"/>
      <c r="BV673" s="7"/>
      <c r="BW673" s="7"/>
      <c r="BX673" s="7"/>
      <c r="BY673" s="7"/>
      <c r="BZ673" s="7"/>
      <c r="CA673" s="7"/>
      <c r="CB673" s="7"/>
      <c r="CC673" s="7"/>
      <c r="CD673" s="7"/>
      <c r="CE673" s="7"/>
      <c r="CF673" s="7"/>
      <c r="CG673" s="7"/>
    </row>
    <row r="674" spans="3:85"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  <c r="BB674" s="7"/>
      <c r="BC674" s="7"/>
      <c r="BD674" s="7"/>
      <c r="BE674" s="7"/>
      <c r="BF674" s="7"/>
      <c r="BG674" s="7"/>
      <c r="BH674" s="7"/>
      <c r="BI674" s="7"/>
      <c r="BJ674" s="7"/>
      <c r="BK674" s="7"/>
      <c r="BL674" s="7"/>
      <c r="BM674" s="7"/>
      <c r="BN674" s="7"/>
      <c r="BO674" s="7"/>
      <c r="BP674" s="7"/>
      <c r="BQ674" s="7"/>
      <c r="BR674" s="7"/>
      <c r="BS674" s="7"/>
      <c r="BT674" s="7"/>
      <c r="BU674" s="7"/>
      <c r="BV674" s="7"/>
      <c r="BW674" s="7"/>
      <c r="BX674" s="7"/>
      <c r="BY674" s="7"/>
      <c r="BZ674" s="7"/>
      <c r="CA674" s="7"/>
      <c r="CB674" s="7"/>
      <c r="CC674" s="7"/>
      <c r="CD674" s="7"/>
      <c r="CE674" s="7"/>
      <c r="CF674" s="7"/>
      <c r="CG674" s="7"/>
    </row>
    <row r="675" spans="3:85"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  <c r="BB675" s="7"/>
      <c r="BC675" s="7"/>
      <c r="BD675" s="7"/>
      <c r="BE675" s="7"/>
      <c r="BF675" s="7"/>
      <c r="BG675" s="7"/>
      <c r="BH675" s="7"/>
      <c r="BI675" s="7"/>
      <c r="BJ675" s="7"/>
      <c r="BK675" s="7"/>
      <c r="BL675" s="7"/>
      <c r="BM675" s="7"/>
      <c r="BN675" s="7"/>
      <c r="BO675" s="7"/>
      <c r="BP675" s="7"/>
      <c r="BQ675" s="7"/>
      <c r="BR675" s="7"/>
      <c r="BS675" s="7"/>
      <c r="BT675" s="7"/>
      <c r="BU675" s="7"/>
      <c r="BV675" s="7"/>
      <c r="BW675" s="7"/>
      <c r="BX675" s="7"/>
      <c r="BY675" s="7"/>
      <c r="BZ675" s="7"/>
      <c r="CA675" s="7"/>
      <c r="CB675" s="7"/>
      <c r="CC675" s="7"/>
      <c r="CD675" s="7"/>
      <c r="CE675" s="7"/>
      <c r="CF675" s="7"/>
      <c r="CG675" s="7"/>
    </row>
    <row r="676" spans="3:85"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  <c r="BB676" s="7"/>
      <c r="BC676" s="7"/>
      <c r="BD676" s="7"/>
      <c r="BE676" s="7"/>
      <c r="BF676" s="7"/>
      <c r="BG676" s="7"/>
      <c r="BH676" s="7"/>
      <c r="BI676" s="7"/>
      <c r="BJ676" s="7"/>
      <c r="BK676" s="7"/>
      <c r="BL676" s="7"/>
      <c r="BM676" s="7"/>
      <c r="BN676" s="7"/>
      <c r="BO676" s="7"/>
      <c r="BP676" s="7"/>
      <c r="BQ676" s="7"/>
      <c r="BR676" s="7"/>
      <c r="BS676" s="7"/>
      <c r="BT676" s="7"/>
      <c r="BU676" s="7"/>
      <c r="BV676" s="7"/>
      <c r="BW676" s="7"/>
      <c r="BX676" s="7"/>
      <c r="BY676" s="7"/>
      <c r="BZ676" s="7"/>
      <c r="CA676" s="7"/>
      <c r="CB676" s="7"/>
      <c r="CC676" s="7"/>
      <c r="CD676" s="7"/>
      <c r="CE676" s="7"/>
      <c r="CF676" s="7"/>
      <c r="CG676" s="7"/>
    </row>
    <row r="677" spans="3:85"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  <c r="BB677" s="7"/>
      <c r="BC677" s="7"/>
      <c r="BD677" s="7"/>
      <c r="BE677" s="7"/>
      <c r="BF677" s="7"/>
      <c r="BG677" s="7"/>
      <c r="BH677" s="7"/>
      <c r="BI677" s="7"/>
      <c r="BJ677" s="7"/>
      <c r="BK677" s="7"/>
      <c r="BL677" s="7"/>
      <c r="BM677" s="7"/>
      <c r="BN677" s="7"/>
      <c r="BO677" s="7"/>
      <c r="BP677" s="7"/>
      <c r="BQ677" s="7"/>
      <c r="BR677" s="7"/>
      <c r="BS677" s="7"/>
      <c r="BT677" s="7"/>
      <c r="BU677" s="7"/>
      <c r="BV677" s="7"/>
      <c r="BW677" s="7"/>
      <c r="BX677" s="7"/>
      <c r="BY677" s="7"/>
      <c r="BZ677" s="7"/>
      <c r="CA677" s="7"/>
      <c r="CB677" s="7"/>
      <c r="CC677" s="7"/>
      <c r="CD677" s="7"/>
      <c r="CE677" s="7"/>
      <c r="CF677" s="7"/>
      <c r="CG677" s="7"/>
    </row>
    <row r="678" spans="3:85"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  <c r="BB678" s="7"/>
      <c r="BC678" s="7"/>
      <c r="BD678" s="7"/>
      <c r="BE678" s="7"/>
      <c r="BF678" s="7"/>
      <c r="BG678" s="7"/>
      <c r="BH678" s="7"/>
      <c r="BI678" s="7"/>
      <c r="BJ678" s="7"/>
      <c r="BK678" s="7"/>
      <c r="BL678" s="7"/>
      <c r="BM678" s="7"/>
      <c r="BN678" s="7"/>
      <c r="BO678" s="7"/>
      <c r="BP678" s="7"/>
      <c r="BQ678" s="7"/>
      <c r="BR678" s="7"/>
      <c r="BS678" s="7"/>
      <c r="BT678" s="7"/>
      <c r="BU678" s="7"/>
      <c r="BV678" s="7"/>
      <c r="BW678" s="7"/>
      <c r="BX678" s="7"/>
      <c r="BY678" s="7"/>
      <c r="BZ678" s="7"/>
      <c r="CA678" s="7"/>
      <c r="CB678" s="7"/>
      <c r="CC678" s="7"/>
      <c r="CD678" s="7"/>
      <c r="CE678" s="7"/>
      <c r="CF678" s="7"/>
      <c r="CG678" s="7"/>
    </row>
    <row r="679" spans="3:85"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  <c r="BB679" s="7"/>
      <c r="BC679" s="7"/>
      <c r="BD679" s="7"/>
      <c r="BE679" s="7"/>
      <c r="BF679" s="7"/>
      <c r="BG679" s="7"/>
      <c r="BH679" s="7"/>
      <c r="BI679" s="7"/>
      <c r="BJ679" s="7"/>
      <c r="BK679" s="7"/>
      <c r="BL679" s="7"/>
      <c r="BM679" s="7"/>
      <c r="BN679" s="7"/>
      <c r="BO679" s="7"/>
      <c r="BP679" s="7"/>
      <c r="BQ679" s="7"/>
      <c r="BR679" s="7"/>
      <c r="BS679" s="7"/>
      <c r="BT679" s="7"/>
      <c r="BU679" s="7"/>
      <c r="BV679" s="7"/>
      <c r="BW679" s="7"/>
      <c r="BX679" s="7"/>
      <c r="BY679" s="7"/>
      <c r="BZ679" s="7"/>
      <c r="CA679" s="7"/>
      <c r="CB679" s="7"/>
      <c r="CC679" s="7"/>
      <c r="CD679" s="7"/>
      <c r="CE679" s="7"/>
      <c r="CF679" s="7"/>
      <c r="CG679" s="7"/>
    </row>
    <row r="680" spans="3:85"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  <c r="BB680" s="7"/>
      <c r="BC680" s="7"/>
      <c r="BD680" s="7"/>
      <c r="BE680" s="7"/>
      <c r="BF680" s="7"/>
      <c r="BG680" s="7"/>
      <c r="BH680" s="7"/>
      <c r="BI680" s="7"/>
      <c r="BJ680" s="7"/>
      <c r="BK680" s="7"/>
      <c r="BL680" s="7"/>
      <c r="BM680" s="7"/>
      <c r="BN680" s="7"/>
      <c r="BO680" s="7"/>
      <c r="BP680" s="7"/>
      <c r="BQ680" s="7"/>
      <c r="BR680" s="7"/>
      <c r="BS680" s="7"/>
      <c r="BT680" s="7"/>
      <c r="BU680" s="7"/>
      <c r="BV680" s="7"/>
      <c r="BW680" s="7"/>
      <c r="BX680" s="7"/>
      <c r="BY680" s="7"/>
      <c r="BZ680" s="7"/>
      <c r="CA680" s="7"/>
      <c r="CB680" s="7"/>
      <c r="CC680" s="7"/>
      <c r="CD680" s="7"/>
      <c r="CE680" s="7"/>
      <c r="CF680" s="7"/>
      <c r="CG680" s="7"/>
    </row>
    <row r="681" spans="3:85"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  <c r="BB681" s="7"/>
      <c r="BC681" s="7"/>
      <c r="BD681" s="7"/>
      <c r="BE681" s="7"/>
      <c r="BF681" s="7"/>
      <c r="BG681" s="7"/>
      <c r="BH681" s="7"/>
      <c r="BI681" s="7"/>
      <c r="BJ681" s="7"/>
      <c r="BK681" s="7"/>
      <c r="BL681" s="7"/>
      <c r="BM681" s="7"/>
      <c r="BN681" s="7"/>
      <c r="BO681" s="7"/>
      <c r="BP681" s="7"/>
      <c r="BQ681" s="7"/>
      <c r="BR681" s="7"/>
      <c r="BS681" s="7"/>
      <c r="BT681" s="7"/>
      <c r="BU681" s="7"/>
      <c r="BV681" s="7"/>
      <c r="BW681" s="7"/>
      <c r="BX681" s="7"/>
      <c r="BY681" s="7"/>
      <c r="BZ681" s="7"/>
      <c r="CA681" s="7"/>
      <c r="CB681" s="7"/>
      <c r="CC681" s="7"/>
      <c r="CD681" s="7"/>
      <c r="CE681" s="7"/>
      <c r="CF681" s="7"/>
      <c r="CG681" s="7"/>
    </row>
    <row r="682" spans="3:85"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  <c r="BB682" s="7"/>
      <c r="BC682" s="7"/>
      <c r="BD682" s="7"/>
      <c r="BE682" s="7"/>
      <c r="BF682" s="7"/>
      <c r="BG682" s="7"/>
      <c r="BH682" s="7"/>
      <c r="BI682" s="7"/>
      <c r="BJ682" s="7"/>
      <c r="BK682" s="7"/>
      <c r="BL682" s="7"/>
      <c r="BM682" s="7"/>
      <c r="BN682" s="7"/>
      <c r="BO682" s="7"/>
      <c r="BP682" s="7"/>
      <c r="BQ682" s="7"/>
      <c r="BR682" s="7"/>
      <c r="BS682" s="7"/>
      <c r="BT682" s="7"/>
      <c r="BU682" s="7"/>
      <c r="BV682" s="7"/>
      <c r="BW682" s="7"/>
      <c r="BX682" s="7"/>
      <c r="BY682" s="7"/>
      <c r="BZ682" s="7"/>
      <c r="CA682" s="7"/>
      <c r="CB682" s="7"/>
      <c r="CC682" s="7"/>
      <c r="CD682" s="7"/>
      <c r="CE682" s="7"/>
      <c r="CF682" s="7"/>
      <c r="CG682" s="7"/>
    </row>
    <row r="683" spans="3:85"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  <c r="BB683" s="7"/>
      <c r="BC683" s="7"/>
      <c r="BD683" s="7"/>
      <c r="BE683" s="7"/>
      <c r="BF683" s="7"/>
      <c r="BG683" s="7"/>
      <c r="BH683" s="7"/>
      <c r="BI683" s="7"/>
      <c r="BJ683" s="7"/>
      <c r="BK683" s="7"/>
      <c r="BL683" s="7"/>
      <c r="BM683" s="7"/>
      <c r="BN683" s="7"/>
      <c r="BO683" s="7"/>
      <c r="BP683" s="7"/>
      <c r="BQ683" s="7"/>
      <c r="BR683" s="7"/>
      <c r="BS683" s="7"/>
      <c r="BT683" s="7"/>
      <c r="BU683" s="7"/>
      <c r="BV683" s="7"/>
      <c r="BW683" s="7"/>
      <c r="BX683" s="7"/>
      <c r="BY683" s="7"/>
      <c r="BZ683" s="7"/>
      <c r="CA683" s="7"/>
      <c r="CB683" s="7"/>
      <c r="CC683" s="7"/>
      <c r="CD683" s="7"/>
      <c r="CE683" s="7"/>
      <c r="CF683" s="7"/>
      <c r="CG683" s="7"/>
    </row>
    <row r="684" spans="3:85"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  <c r="BB684" s="7"/>
      <c r="BC684" s="7"/>
      <c r="BD684" s="7"/>
      <c r="BE684" s="7"/>
      <c r="BF684" s="7"/>
      <c r="BG684" s="7"/>
      <c r="BH684" s="7"/>
      <c r="BI684" s="7"/>
      <c r="BJ684" s="7"/>
      <c r="BK684" s="7"/>
      <c r="BL684" s="7"/>
      <c r="BM684" s="7"/>
      <c r="BN684" s="7"/>
      <c r="BO684" s="7"/>
      <c r="BP684" s="7"/>
      <c r="BQ684" s="7"/>
      <c r="BR684" s="7"/>
      <c r="BS684" s="7"/>
      <c r="BT684" s="7"/>
      <c r="BU684" s="7"/>
      <c r="BV684" s="7"/>
      <c r="BW684" s="7"/>
      <c r="BX684" s="7"/>
      <c r="BY684" s="7"/>
      <c r="BZ684" s="7"/>
      <c r="CA684" s="7"/>
      <c r="CB684" s="7"/>
      <c r="CC684" s="7"/>
      <c r="CD684" s="7"/>
      <c r="CE684" s="7"/>
      <c r="CF684" s="7"/>
      <c r="CG684" s="7"/>
    </row>
    <row r="685" spans="3:85"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  <c r="BB685" s="7"/>
      <c r="BC685" s="7"/>
      <c r="BD685" s="7"/>
      <c r="BE685" s="7"/>
      <c r="BF685" s="7"/>
      <c r="BG685" s="7"/>
      <c r="BH685" s="7"/>
      <c r="BI685" s="7"/>
      <c r="BJ685" s="7"/>
      <c r="BK685" s="7"/>
      <c r="BL685" s="7"/>
      <c r="BM685" s="7"/>
      <c r="BN685" s="7"/>
      <c r="BO685" s="7"/>
      <c r="BP685" s="7"/>
      <c r="BQ685" s="7"/>
      <c r="BR685" s="7"/>
      <c r="BS685" s="7"/>
      <c r="BT685" s="7"/>
      <c r="BU685" s="7"/>
      <c r="BV685" s="7"/>
      <c r="BW685" s="7"/>
      <c r="BX685" s="7"/>
      <c r="BY685" s="7"/>
      <c r="BZ685" s="7"/>
      <c r="CA685" s="7"/>
      <c r="CB685" s="7"/>
      <c r="CC685" s="7"/>
      <c r="CD685" s="7"/>
      <c r="CE685" s="7"/>
      <c r="CF685" s="7"/>
      <c r="CG685" s="7"/>
    </row>
    <row r="686" spans="3:85"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  <c r="BB686" s="7"/>
      <c r="BC686" s="7"/>
      <c r="BD686" s="7"/>
      <c r="BE686" s="7"/>
      <c r="BF686" s="7"/>
      <c r="BG686" s="7"/>
      <c r="BH686" s="7"/>
      <c r="BI686" s="7"/>
      <c r="BJ686" s="7"/>
      <c r="BK686" s="7"/>
      <c r="BL686" s="7"/>
      <c r="BM686" s="7"/>
      <c r="BN686" s="7"/>
      <c r="BO686" s="7"/>
      <c r="BP686" s="7"/>
      <c r="BQ686" s="7"/>
      <c r="BR686" s="7"/>
      <c r="BS686" s="7"/>
      <c r="BT686" s="7"/>
      <c r="BU686" s="7"/>
      <c r="BV686" s="7"/>
      <c r="BW686" s="7"/>
      <c r="BX686" s="7"/>
      <c r="BY686" s="7"/>
      <c r="BZ686" s="7"/>
      <c r="CA686" s="7"/>
      <c r="CB686" s="7"/>
      <c r="CC686" s="7"/>
      <c r="CD686" s="7"/>
      <c r="CE686" s="7"/>
      <c r="CF686" s="7"/>
      <c r="CG686" s="7"/>
    </row>
    <row r="687" spans="3:85"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  <c r="BB687" s="7"/>
      <c r="BC687" s="7"/>
      <c r="BD687" s="7"/>
      <c r="BE687" s="7"/>
      <c r="BF687" s="7"/>
      <c r="BG687" s="7"/>
      <c r="BH687" s="7"/>
      <c r="BI687" s="7"/>
      <c r="BJ687" s="7"/>
      <c r="BK687" s="7"/>
      <c r="BL687" s="7"/>
      <c r="BM687" s="7"/>
      <c r="BN687" s="7"/>
      <c r="BO687" s="7"/>
      <c r="BP687" s="7"/>
      <c r="BQ687" s="7"/>
      <c r="BR687" s="7"/>
      <c r="BS687" s="7"/>
      <c r="BT687" s="7"/>
      <c r="BU687" s="7"/>
      <c r="BV687" s="7"/>
      <c r="BW687" s="7"/>
      <c r="BX687" s="7"/>
      <c r="BY687" s="7"/>
      <c r="BZ687" s="7"/>
      <c r="CA687" s="7"/>
      <c r="CB687" s="7"/>
      <c r="CC687" s="7"/>
      <c r="CD687" s="7"/>
      <c r="CE687" s="7"/>
      <c r="CF687" s="7"/>
      <c r="CG687" s="7"/>
    </row>
    <row r="688" spans="3:85"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  <c r="BB688" s="7"/>
      <c r="BC688" s="7"/>
      <c r="BD688" s="7"/>
      <c r="BE688" s="7"/>
      <c r="BF688" s="7"/>
      <c r="BG688" s="7"/>
      <c r="BH688" s="7"/>
      <c r="BI688" s="7"/>
      <c r="BJ688" s="7"/>
      <c r="BK688" s="7"/>
      <c r="BL688" s="7"/>
      <c r="BM688" s="7"/>
      <c r="BN688" s="7"/>
      <c r="BO688" s="7"/>
      <c r="BP688" s="7"/>
      <c r="BQ688" s="7"/>
      <c r="BR688" s="7"/>
      <c r="BS688" s="7"/>
      <c r="BT688" s="7"/>
      <c r="BU688" s="7"/>
      <c r="BV688" s="7"/>
      <c r="BW688" s="7"/>
      <c r="BX688" s="7"/>
      <c r="BY688" s="7"/>
      <c r="BZ688" s="7"/>
      <c r="CA688" s="7"/>
      <c r="CB688" s="7"/>
      <c r="CC688" s="7"/>
      <c r="CD688" s="7"/>
      <c r="CE688" s="7"/>
      <c r="CF688" s="7"/>
      <c r="CG688" s="7"/>
    </row>
    <row r="689" spans="3:85"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  <c r="BB689" s="7"/>
      <c r="BC689" s="7"/>
      <c r="BD689" s="7"/>
      <c r="BE689" s="7"/>
      <c r="BF689" s="7"/>
      <c r="BG689" s="7"/>
      <c r="BH689" s="7"/>
      <c r="BI689" s="7"/>
      <c r="BJ689" s="7"/>
      <c r="BK689" s="7"/>
      <c r="BL689" s="7"/>
      <c r="BM689" s="7"/>
      <c r="BN689" s="7"/>
      <c r="BO689" s="7"/>
      <c r="BP689" s="7"/>
      <c r="BQ689" s="7"/>
      <c r="BR689" s="7"/>
      <c r="BS689" s="7"/>
      <c r="BT689" s="7"/>
      <c r="BU689" s="7"/>
      <c r="BV689" s="7"/>
      <c r="BW689" s="7"/>
      <c r="BX689" s="7"/>
      <c r="BY689" s="7"/>
      <c r="BZ689" s="7"/>
      <c r="CA689" s="7"/>
      <c r="CB689" s="7"/>
      <c r="CC689" s="7"/>
      <c r="CD689" s="7"/>
      <c r="CE689" s="7"/>
      <c r="CF689" s="7"/>
      <c r="CG689" s="7"/>
    </row>
    <row r="690" spans="3:85"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  <c r="BB690" s="7"/>
      <c r="BC690" s="7"/>
      <c r="BD690" s="7"/>
      <c r="BE690" s="7"/>
      <c r="BF690" s="7"/>
      <c r="BG690" s="7"/>
      <c r="BH690" s="7"/>
      <c r="BI690" s="7"/>
      <c r="BJ690" s="7"/>
      <c r="BK690" s="7"/>
      <c r="BL690" s="7"/>
      <c r="BM690" s="7"/>
      <c r="BN690" s="7"/>
      <c r="BO690" s="7"/>
      <c r="BP690" s="7"/>
      <c r="BQ690" s="7"/>
      <c r="BR690" s="7"/>
      <c r="BS690" s="7"/>
      <c r="BT690" s="7"/>
      <c r="BU690" s="7"/>
      <c r="BV690" s="7"/>
      <c r="BW690" s="7"/>
      <c r="BX690" s="7"/>
      <c r="BY690" s="7"/>
      <c r="BZ690" s="7"/>
      <c r="CA690" s="7"/>
      <c r="CB690" s="7"/>
      <c r="CC690" s="7"/>
      <c r="CD690" s="7"/>
      <c r="CE690" s="7"/>
      <c r="CF690" s="7"/>
      <c r="CG690" s="7"/>
    </row>
    <row r="691" spans="3:85"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  <c r="BB691" s="7"/>
      <c r="BC691" s="7"/>
      <c r="BD691" s="7"/>
      <c r="BE691" s="7"/>
      <c r="BF691" s="7"/>
      <c r="BG691" s="7"/>
      <c r="BH691" s="7"/>
      <c r="BI691" s="7"/>
      <c r="BJ691" s="7"/>
      <c r="BK691" s="7"/>
      <c r="BL691" s="7"/>
      <c r="BM691" s="7"/>
      <c r="BN691" s="7"/>
      <c r="BO691" s="7"/>
      <c r="BP691" s="7"/>
      <c r="BQ691" s="7"/>
      <c r="BR691" s="7"/>
      <c r="BS691" s="7"/>
      <c r="BT691" s="7"/>
      <c r="BU691" s="7"/>
      <c r="BV691" s="7"/>
      <c r="BW691" s="7"/>
      <c r="BX691" s="7"/>
      <c r="BY691" s="7"/>
      <c r="BZ691" s="7"/>
      <c r="CA691" s="7"/>
      <c r="CB691" s="7"/>
      <c r="CC691" s="7"/>
      <c r="CD691" s="7"/>
      <c r="CE691" s="7"/>
      <c r="CF691" s="7"/>
      <c r="CG691" s="7"/>
    </row>
    <row r="692" spans="3:85"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  <c r="BB692" s="7"/>
      <c r="BC692" s="7"/>
      <c r="BD692" s="7"/>
      <c r="BE692" s="7"/>
      <c r="BF692" s="7"/>
      <c r="BG692" s="7"/>
      <c r="BH692" s="7"/>
      <c r="BI692" s="7"/>
      <c r="BJ692" s="7"/>
      <c r="BK692" s="7"/>
      <c r="BL692" s="7"/>
      <c r="BM692" s="7"/>
      <c r="BN692" s="7"/>
      <c r="BO692" s="7"/>
      <c r="BP692" s="7"/>
      <c r="BQ692" s="7"/>
      <c r="BR692" s="7"/>
      <c r="BS692" s="7"/>
      <c r="BT692" s="7"/>
      <c r="BU692" s="7"/>
      <c r="BV692" s="7"/>
      <c r="BW692" s="7"/>
      <c r="BX692" s="7"/>
      <c r="BY692" s="7"/>
      <c r="BZ692" s="7"/>
      <c r="CA692" s="7"/>
      <c r="CB692" s="7"/>
      <c r="CC692" s="7"/>
      <c r="CD692" s="7"/>
      <c r="CE692" s="7"/>
      <c r="CF692" s="7"/>
      <c r="CG692" s="7"/>
    </row>
    <row r="693" spans="3:85"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  <c r="BB693" s="7"/>
      <c r="BC693" s="7"/>
      <c r="BD693" s="7"/>
      <c r="BE693" s="7"/>
      <c r="BF693" s="7"/>
      <c r="BG693" s="7"/>
      <c r="BH693" s="7"/>
      <c r="BI693" s="7"/>
      <c r="BJ693" s="7"/>
      <c r="BK693" s="7"/>
      <c r="BL693" s="7"/>
      <c r="BM693" s="7"/>
      <c r="BN693" s="7"/>
      <c r="BO693" s="7"/>
      <c r="BP693" s="7"/>
      <c r="BQ693" s="7"/>
      <c r="BR693" s="7"/>
      <c r="BS693" s="7"/>
      <c r="BT693" s="7"/>
      <c r="BU693" s="7"/>
      <c r="BV693" s="7"/>
      <c r="BW693" s="7"/>
      <c r="BX693" s="7"/>
      <c r="BY693" s="7"/>
      <c r="BZ693" s="7"/>
      <c r="CA693" s="7"/>
      <c r="CB693" s="7"/>
      <c r="CC693" s="7"/>
      <c r="CD693" s="7"/>
      <c r="CE693" s="7"/>
      <c r="CF693" s="7"/>
      <c r="CG693" s="7"/>
    </row>
    <row r="694" spans="3:85"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  <c r="BB694" s="7"/>
      <c r="BC694" s="7"/>
      <c r="BD694" s="7"/>
      <c r="BE694" s="7"/>
      <c r="BF694" s="7"/>
      <c r="BG694" s="7"/>
      <c r="BH694" s="7"/>
      <c r="BI694" s="7"/>
      <c r="BJ694" s="7"/>
      <c r="BK694" s="7"/>
      <c r="BL694" s="7"/>
      <c r="BM694" s="7"/>
      <c r="BN694" s="7"/>
      <c r="BO694" s="7"/>
      <c r="BP694" s="7"/>
      <c r="BQ694" s="7"/>
      <c r="BR694" s="7"/>
      <c r="BS694" s="7"/>
      <c r="BT694" s="7"/>
      <c r="BU694" s="7"/>
      <c r="BV694" s="7"/>
      <c r="BW694" s="7"/>
      <c r="BX694" s="7"/>
      <c r="BY694" s="7"/>
      <c r="BZ694" s="7"/>
      <c r="CA694" s="7"/>
      <c r="CB694" s="7"/>
      <c r="CC694" s="7"/>
      <c r="CD694" s="7"/>
      <c r="CE694" s="7"/>
      <c r="CF694" s="7"/>
      <c r="CG694" s="7"/>
    </row>
    <row r="695" spans="3:85"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  <c r="BB695" s="7"/>
      <c r="BC695" s="7"/>
      <c r="BD695" s="7"/>
      <c r="BE695" s="7"/>
      <c r="BF695" s="7"/>
      <c r="BG695" s="7"/>
      <c r="BH695" s="7"/>
      <c r="BI695" s="7"/>
      <c r="BJ695" s="7"/>
      <c r="BK695" s="7"/>
      <c r="BL695" s="7"/>
      <c r="BM695" s="7"/>
      <c r="BN695" s="7"/>
      <c r="BO695" s="7"/>
      <c r="BP695" s="7"/>
      <c r="BQ695" s="7"/>
      <c r="BR695" s="7"/>
      <c r="BS695" s="7"/>
      <c r="BT695" s="7"/>
      <c r="BU695" s="7"/>
      <c r="BV695" s="7"/>
      <c r="BW695" s="7"/>
      <c r="BX695" s="7"/>
      <c r="BY695" s="7"/>
      <c r="BZ695" s="7"/>
      <c r="CA695" s="7"/>
      <c r="CB695" s="7"/>
      <c r="CC695" s="7"/>
      <c r="CD695" s="7"/>
      <c r="CE695" s="7"/>
      <c r="CF695" s="7"/>
      <c r="CG695" s="7"/>
    </row>
    <row r="696" spans="3:85"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  <c r="BB696" s="7"/>
      <c r="BC696" s="7"/>
      <c r="BD696" s="7"/>
      <c r="BE696" s="7"/>
      <c r="BF696" s="7"/>
      <c r="BG696" s="7"/>
      <c r="BH696" s="7"/>
      <c r="BI696" s="7"/>
      <c r="BJ696" s="7"/>
      <c r="BK696" s="7"/>
      <c r="BL696" s="7"/>
      <c r="BM696" s="7"/>
      <c r="BN696" s="7"/>
      <c r="BO696" s="7"/>
      <c r="BP696" s="7"/>
      <c r="BQ696" s="7"/>
      <c r="BR696" s="7"/>
      <c r="BS696" s="7"/>
      <c r="BT696" s="7"/>
      <c r="BU696" s="7"/>
      <c r="BV696" s="7"/>
      <c r="BW696" s="7"/>
      <c r="BX696" s="7"/>
      <c r="BY696" s="7"/>
      <c r="BZ696" s="7"/>
      <c r="CA696" s="7"/>
      <c r="CB696" s="7"/>
      <c r="CC696" s="7"/>
      <c r="CD696" s="7"/>
      <c r="CE696" s="7"/>
      <c r="CF696" s="7"/>
      <c r="CG696" s="7"/>
    </row>
    <row r="697" spans="3:85"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  <c r="BB697" s="7"/>
      <c r="BC697" s="7"/>
      <c r="BD697" s="7"/>
      <c r="BE697" s="7"/>
      <c r="BF697" s="7"/>
      <c r="BG697" s="7"/>
      <c r="BH697" s="7"/>
      <c r="BI697" s="7"/>
      <c r="BJ697" s="7"/>
      <c r="BK697" s="7"/>
      <c r="BL697" s="7"/>
      <c r="BM697" s="7"/>
      <c r="BN697" s="7"/>
      <c r="BO697" s="7"/>
      <c r="BP697" s="7"/>
      <c r="BQ697" s="7"/>
      <c r="BR697" s="7"/>
      <c r="BS697" s="7"/>
      <c r="BT697" s="7"/>
      <c r="BU697" s="7"/>
      <c r="BV697" s="7"/>
      <c r="BW697" s="7"/>
      <c r="BX697" s="7"/>
      <c r="BY697" s="7"/>
      <c r="BZ697" s="7"/>
      <c r="CA697" s="7"/>
      <c r="CB697" s="7"/>
      <c r="CC697" s="7"/>
      <c r="CD697" s="7"/>
      <c r="CE697" s="7"/>
      <c r="CF697" s="7"/>
      <c r="CG697" s="7"/>
    </row>
    <row r="698" spans="3:85"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  <c r="BB698" s="7"/>
      <c r="BC698" s="7"/>
      <c r="BD698" s="7"/>
      <c r="BE698" s="7"/>
      <c r="BF698" s="7"/>
      <c r="BG698" s="7"/>
      <c r="BH698" s="7"/>
      <c r="BI698" s="7"/>
      <c r="BJ698" s="7"/>
      <c r="BK698" s="7"/>
      <c r="BL698" s="7"/>
      <c r="BM698" s="7"/>
      <c r="BN698" s="7"/>
      <c r="BO698" s="7"/>
      <c r="BP698" s="7"/>
      <c r="BQ698" s="7"/>
      <c r="BR698" s="7"/>
      <c r="BS698" s="7"/>
      <c r="BT698" s="7"/>
      <c r="BU698" s="7"/>
      <c r="BV698" s="7"/>
      <c r="BW698" s="7"/>
      <c r="BX698" s="7"/>
      <c r="BY698" s="7"/>
      <c r="BZ698" s="7"/>
      <c r="CA698" s="7"/>
      <c r="CB698" s="7"/>
      <c r="CC698" s="7"/>
      <c r="CD698" s="7"/>
      <c r="CE698" s="7"/>
      <c r="CF698" s="7"/>
      <c r="CG698" s="7"/>
    </row>
    <row r="699" spans="3:85"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  <c r="BB699" s="7"/>
      <c r="BC699" s="7"/>
      <c r="BD699" s="7"/>
      <c r="BE699" s="7"/>
      <c r="BF699" s="7"/>
      <c r="BG699" s="7"/>
      <c r="BH699" s="7"/>
      <c r="BI699" s="7"/>
      <c r="BJ699" s="7"/>
      <c r="BK699" s="7"/>
      <c r="BL699" s="7"/>
      <c r="BM699" s="7"/>
      <c r="BN699" s="7"/>
      <c r="BO699" s="7"/>
      <c r="BP699" s="7"/>
      <c r="BQ699" s="7"/>
      <c r="BR699" s="7"/>
      <c r="BS699" s="7"/>
      <c r="BT699" s="7"/>
      <c r="BU699" s="7"/>
      <c r="BV699" s="7"/>
      <c r="BW699" s="7"/>
      <c r="BX699" s="7"/>
      <c r="BY699" s="7"/>
      <c r="BZ699" s="7"/>
      <c r="CA699" s="7"/>
      <c r="CB699" s="7"/>
      <c r="CC699" s="7"/>
      <c r="CD699" s="7"/>
      <c r="CE699" s="7"/>
      <c r="CF699" s="7"/>
      <c r="CG699" s="7"/>
    </row>
    <row r="700" spans="3:85"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  <c r="BB700" s="7"/>
      <c r="BC700" s="7"/>
      <c r="BD700" s="7"/>
      <c r="BE700" s="7"/>
      <c r="BF700" s="7"/>
      <c r="BG700" s="7"/>
      <c r="BH700" s="7"/>
      <c r="BI700" s="7"/>
      <c r="BJ700" s="7"/>
      <c r="BK700" s="7"/>
      <c r="BL700" s="7"/>
      <c r="BM700" s="7"/>
      <c r="BN700" s="7"/>
      <c r="BO700" s="7"/>
      <c r="BP700" s="7"/>
      <c r="BQ700" s="7"/>
      <c r="BR700" s="7"/>
      <c r="BS700" s="7"/>
      <c r="BT700" s="7"/>
      <c r="BU700" s="7"/>
      <c r="BV700" s="7"/>
      <c r="BW700" s="7"/>
      <c r="BX700" s="7"/>
      <c r="BY700" s="7"/>
      <c r="BZ700" s="7"/>
      <c r="CA700" s="7"/>
      <c r="CB700" s="7"/>
      <c r="CC700" s="7"/>
      <c r="CD700" s="7"/>
      <c r="CE700" s="7"/>
      <c r="CF700" s="7"/>
      <c r="CG700" s="7"/>
    </row>
    <row r="701" spans="3:85"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  <c r="BB701" s="7"/>
      <c r="BC701" s="7"/>
      <c r="BD701" s="7"/>
      <c r="BE701" s="7"/>
      <c r="BF701" s="7"/>
      <c r="BG701" s="7"/>
      <c r="BH701" s="7"/>
      <c r="BI701" s="7"/>
      <c r="BJ701" s="7"/>
      <c r="BK701" s="7"/>
      <c r="BL701" s="7"/>
      <c r="BM701" s="7"/>
      <c r="BN701" s="7"/>
      <c r="BO701" s="7"/>
      <c r="BP701" s="7"/>
      <c r="BQ701" s="7"/>
      <c r="BR701" s="7"/>
      <c r="BS701" s="7"/>
      <c r="BT701" s="7"/>
      <c r="BU701" s="7"/>
      <c r="BV701" s="7"/>
      <c r="BW701" s="7"/>
      <c r="BX701" s="7"/>
      <c r="BY701" s="7"/>
      <c r="BZ701" s="7"/>
      <c r="CA701" s="7"/>
      <c r="CB701" s="7"/>
      <c r="CC701" s="7"/>
      <c r="CD701" s="7"/>
      <c r="CE701" s="7"/>
      <c r="CF701" s="7"/>
      <c r="CG701" s="7"/>
    </row>
    <row r="702" spans="3:85"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  <c r="BB702" s="7"/>
      <c r="BC702" s="7"/>
      <c r="BD702" s="7"/>
      <c r="BE702" s="7"/>
      <c r="BF702" s="7"/>
      <c r="BG702" s="7"/>
      <c r="BH702" s="7"/>
      <c r="BI702" s="7"/>
      <c r="BJ702" s="7"/>
      <c r="BK702" s="7"/>
      <c r="BL702" s="7"/>
      <c r="BM702" s="7"/>
      <c r="BN702" s="7"/>
      <c r="BO702" s="7"/>
      <c r="BP702" s="7"/>
      <c r="BQ702" s="7"/>
      <c r="BR702" s="7"/>
      <c r="BS702" s="7"/>
      <c r="BT702" s="7"/>
      <c r="BU702" s="7"/>
      <c r="BV702" s="7"/>
      <c r="BW702" s="7"/>
      <c r="BX702" s="7"/>
      <c r="BY702" s="7"/>
      <c r="BZ702" s="7"/>
      <c r="CA702" s="7"/>
      <c r="CB702" s="7"/>
      <c r="CC702" s="7"/>
      <c r="CD702" s="7"/>
      <c r="CE702" s="7"/>
      <c r="CF702" s="7"/>
      <c r="CG702" s="7"/>
    </row>
    <row r="703" spans="3:85"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  <c r="BB703" s="7"/>
      <c r="BC703" s="7"/>
      <c r="BD703" s="7"/>
      <c r="BE703" s="7"/>
      <c r="BF703" s="7"/>
      <c r="BG703" s="7"/>
      <c r="BH703" s="7"/>
      <c r="BI703" s="7"/>
      <c r="BJ703" s="7"/>
      <c r="BK703" s="7"/>
      <c r="BL703" s="7"/>
      <c r="BM703" s="7"/>
      <c r="BN703" s="7"/>
      <c r="BO703" s="7"/>
      <c r="BP703" s="7"/>
      <c r="BQ703" s="7"/>
      <c r="BR703" s="7"/>
      <c r="BS703" s="7"/>
      <c r="BT703" s="7"/>
      <c r="BU703" s="7"/>
      <c r="BV703" s="7"/>
      <c r="BW703" s="7"/>
      <c r="BX703" s="7"/>
      <c r="BY703" s="7"/>
      <c r="BZ703" s="7"/>
      <c r="CA703" s="7"/>
      <c r="CB703" s="7"/>
      <c r="CC703" s="7"/>
      <c r="CD703" s="7"/>
      <c r="CE703" s="7"/>
      <c r="CF703" s="7"/>
      <c r="CG703" s="7"/>
    </row>
    <row r="704" spans="3:85"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  <c r="BB704" s="7"/>
      <c r="BC704" s="7"/>
      <c r="BD704" s="7"/>
      <c r="BE704" s="7"/>
      <c r="BF704" s="7"/>
      <c r="BG704" s="7"/>
      <c r="BH704" s="7"/>
      <c r="BI704" s="7"/>
      <c r="BJ704" s="7"/>
      <c r="BK704" s="7"/>
      <c r="BL704" s="7"/>
      <c r="BM704" s="7"/>
      <c r="BN704" s="7"/>
      <c r="BO704" s="7"/>
      <c r="BP704" s="7"/>
      <c r="BQ704" s="7"/>
      <c r="BR704" s="7"/>
      <c r="BS704" s="7"/>
      <c r="BT704" s="7"/>
      <c r="BU704" s="7"/>
      <c r="BV704" s="7"/>
      <c r="BW704" s="7"/>
      <c r="BX704" s="7"/>
      <c r="BY704" s="7"/>
      <c r="BZ704" s="7"/>
      <c r="CA704" s="7"/>
      <c r="CB704" s="7"/>
      <c r="CC704" s="7"/>
      <c r="CD704" s="7"/>
      <c r="CE704" s="7"/>
      <c r="CF704" s="7"/>
      <c r="CG704" s="7"/>
    </row>
    <row r="705" spans="3:85"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  <c r="BB705" s="7"/>
      <c r="BC705" s="7"/>
      <c r="BD705" s="7"/>
      <c r="BE705" s="7"/>
      <c r="BF705" s="7"/>
      <c r="BG705" s="7"/>
      <c r="BH705" s="7"/>
      <c r="BI705" s="7"/>
      <c r="BJ705" s="7"/>
      <c r="BK705" s="7"/>
      <c r="BL705" s="7"/>
      <c r="BM705" s="7"/>
      <c r="BN705" s="7"/>
      <c r="BO705" s="7"/>
      <c r="BP705" s="7"/>
      <c r="BQ705" s="7"/>
      <c r="BR705" s="7"/>
      <c r="BS705" s="7"/>
      <c r="BT705" s="7"/>
      <c r="BU705" s="7"/>
      <c r="BV705" s="7"/>
      <c r="BW705" s="7"/>
      <c r="BX705" s="7"/>
      <c r="BY705" s="7"/>
      <c r="BZ705" s="7"/>
      <c r="CA705" s="7"/>
      <c r="CB705" s="7"/>
      <c r="CC705" s="7"/>
      <c r="CD705" s="7"/>
      <c r="CE705" s="7"/>
      <c r="CF705" s="7"/>
      <c r="CG705" s="7"/>
    </row>
    <row r="706" spans="3:85"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  <c r="BB706" s="7"/>
      <c r="BC706" s="7"/>
      <c r="BD706" s="7"/>
      <c r="BE706" s="7"/>
      <c r="BF706" s="7"/>
      <c r="BG706" s="7"/>
      <c r="BH706" s="7"/>
      <c r="BI706" s="7"/>
      <c r="BJ706" s="7"/>
      <c r="BK706" s="7"/>
      <c r="BL706" s="7"/>
      <c r="BM706" s="7"/>
      <c r="BN706" s="7"/>
      <c r="BO706" s="7"/>
      <c r="BP706" s="7"/>
      <c r="BQ706" s="7"/>
      <c r="BR706" s="7"/>
      <c r="BS706" s="7"/>
      <c r="BT706" s="7"/>
      <c r="BU706" s="7"/>
      <c r="BV706" s="7"/>
      <c r="BW706" s="7"/>
      <c r="BX706" s="7"/>
      <c r="BY706" s="7"/>
      <c r="BZ706" s="7"/>
      <c r="CA706" s="7"/>
      <c r="CB706" s="7"/>
      <c r="CC706" s="7"/>
      <c r="CD706" s="7"/>
      <c r="CE706" s="7"/>
      <c r="CF706" s="7"/>
      <c r="CG706" s="7"/>
    </row>
    <row r="707" spans="3:85"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  <c r="BB707" s="7"/>
      <c r="BC707" s="7"/>
      <c r="BD707" s="7"/>
      <c r="BE707" s="7"/>
      <c r="BF707" s="7"/>
      <c r="BG707" s="7"/>
      <c r="BH707" s="7"/>
      <c r="BI707" s="7"/>
      <c r="BJ707" s="7"/>
      <c r="BK707" s="7"/>
      <c r="BL707" s="7"/>
      <c r="BM707" s="7"/>
      <c r="BN707" s="7"/>
      <c r="BO707" s="7"/>
      <c r="BP707" s="7"/>
      <c r="BQ707" s="7"/>
      <c r="BR707" s="7"/>
      <c r="BS707" s="7"/>
      <c r="BT707" s="7"/>
      <c r="BU707" s="7"/>
      <c r="BV707" s="7"/>
      <c r="BW707" s="7"/>
      <c r="BX707" s="7"/>
      <c r="BY707" s="7"/>
      <c r="BZ707" s="7"/>
      <c r="CA707" s="7"/>
      <c r="CB707" s="7"/>
      <c r="CC707" s="7"/>
      <c r="CD707" s="7"/>
      <c r="CE707" s="7"/>
      <c r="CF707" s="7"/>
      <c r="CG707" s="7"/>
    </row>
    <row r="708" spans="3:85"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  <c r="BB708" s="7"/>
      <c r="BC708" s="7"/>
      <c r="BD708" s="7"/>
      <c r="BE708" s="7"/>
      <c r="BF708" s="7"/>
      <c r="BG708" s="7"/>
      <c r="BH708" s="7"/>
      <c r="BI708" s="7"/>
      <c r="BJ708" s="7"/>
      <c r="BK708" s="7"/>
      <c r="BL708" s="7"/>
      <c r="BM708" s="7"/>
      <c r="BN708" s="7"/>
      <c r="BO708" s="7"/>
      <c r="BP708" s="7"/>
      <c r="BQ708" s="7"/>
      <c r="BR708" s="7"/>
      <c r="BS708" s="7"/>
      <c r="BT708" s="7"/>
      <c r="BU708" s="7"/>
      <c r="BV708" s="7"/>
      <c r="BW708" s="7"/>
      <c r="BX708" s="7"/>
      <c r="BY708" s="7"/>
      <c r="BZ708" s="7"/>
      <c r="CA708" s="7"/>
      <c r="CB708" s="7"/>
      <c r="CC708" s="7"/>
      <c r="CD708" s="7"/>
      <c r="CE708" s="7"/>
      <c r="CF708" s="7"/>
      <c r="CG708" s="7"/>
    </row>
    <row r="709" spans="3:85"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  <c r="BB709" s="7"/>
      <c r="BC709" s="7"/>
      <c r="BD709" s="7"/>
      <c r="BE709" s="7"/>
      <c r="BF709" s="7"/>
      <c r="BG709" s="7"/>
      <c r="BH709" s="7"/>
      <c r="BI709" s="7"/>
      <c r="BJ709" s="7"/>
      <c r="BK709" s="7"/>
      <c r="BL709" s="7"/>
      <c r="BM709" s="7"/>
      <c r="BN709" s="7"/>
      <c r="BO709" s="7"/>
      <c r="BP709" s="7"/>
      <c r="BQ709" s="7"/>
      <c r="BR709" s="7"/>
      <c r="BS709" s="7"/>
      <c r="BT709" s="7"/>
      <c r="BU709" s="7"/>
      <c r="BV709" s="7"/>
      <c r="BW709" s="7"/>
      <c r="BX709" s="7"/>
      <c r="BY709" s="7"/>
      <c r="BZ709" s="7"/>
      <c r="CA709" s="7"/>
      <c r="CB709" s="7"/>
      <c r="CC709" s="7"/>
      <c r="CD709" s="7"/>
      <c r="CE709" s="7"/>
      <c r="CF709" s="7"/>
      <c r="CG709" s="7"/>
    </row>
    <row r="710" spans="3:85"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  <c r="BB710" s="7"/>
      <c r="BC710" s="7"/>
      <c r="BD710" s="7"/>
      <c r="BE710" s="7"/>
      <c r="BF710" s="7"/>
      <c r="BG710" s="7"/>
      <c r="BH710" s="7"/>
      <c r="BI710" s="7"/>
      <c r="BJ710" s="7"/>
      <c r="BK710" s="7"/>
      <c r="BL710" s="7"/>
      <c r="BM710" s="7"/>
      <c r="BN710" s="7"/>
      <c r="BO710" s="7"/>
      <c r="BP710" s="7"/>
      <c r="BQ710" s="7"/>
      <c r="BR710" s="7"/>
      <c r="BS710" s="7"/>
      <c r="BT710" s="7"/>
      <c r="BU710" s="7"/>
      <c r="BV710" s="7"/>
      <c r="BW710" s="7"/>
      <c r="BX710" s="7"/>
      <c r="BY710" s="7"/>
      <c r="BZ710" s="7"/>
      <c r="CA710" s="7"/>
      <c r="CB710" s="7"/>
      <c r="CC710" s="7"/>
      <c r="CD710" s="7"/>
      <c r="CE710" s="7"/>
      <c r="CF710" s="7"/>
      <c r="CG710" s="7"/>
    </row>
    <row r="711" spans="3:85"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  <c r="BB711" s="7"/>
      <c r="BC711" s="7"/>
      <c r="BD711" s="7"/>
      <c r="BE711" s="7"/>
      <c r="BF711" s="7"/>
      <c r="BG711" s="7"/>
      <c r="BH711" s="7"/>
      <c r="BI711" s="7"/>
      <c r="BJ711" s="7"/>
      <c r="BK711" s="7"/>
      <c r="BL711" s="7"/>
      <c r="BM711" s="7"/>
      <c r="BN711" s="7"/>
      <c r="BO711" s="7"/>
      <c r="BP711" s="7"/>
      <c r="BQ711" s="7"/>
      <c r="BR711" s="7"/>
      <c r="BS711" s="7"/>
      <c r="BT711" s="7"/>
      <c r="BU711" s="7"/>
      <c r="BV711" s="7"/>
      <c r="BW711" s="7"/>
      <c r="BX711" s="7"/>
      <c r="BY711" s="7"/>
      <c r="BZ711" s="7"/>
      <c r="CA711" s="7"/>
      <c r="CB711" s="7"/>
      <c r="CC711" s="7"/>
      <c r="CD711" s="7"/>
      <c r="CE711" s="7"/>
      <c r="CF711" s="7"/>
      <c r="CG711" s="7"/>
    </row>
    <row r="712" spans="3:85"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  <c r="BB712" s="7"/>
      <c r="BC712" s="7"/>
      <c r="BD712" s="7"/>
      <c r="BE712" s="7"/>
      <c r="BF712" s="7"/>
      <c r="BG712" s="7"/>
      <c r="BH712" s="7"/>
      <c r="BI712" s="7"/>
      <c r="BJ712" s="7"/>
      <c r="BK712" s="7"/>
      <c r="BL712" s="7"/>
      <c r="BM712" s="7"/>
      <c r="BN712" s="7"/>
      <c r="BO712" s="7"/>
      <c r="BP712" s="7"/>
      <c r="BQ712" s="7"/>
      <c r="BR712" s="7"/>
      <c r="BS712" s="7"/>
      <c r="BT712" s="7"/>
      <c r="BU712" s="7"/>
      <c r="BV712" s="7"/>
      <c r="BW712" s="7"/>
      <c r="BX712" s="7"/>
      <c r="BY712" s="7"/>
      <c r="BZ712" s="7"/>
      <c r="CA712" s="7"/>
      <c r="CB712" s="7"/>
      <c r="CC712" s="7"/>
      <c r="CD712" s="7"/>
      <c r="CE712" s="7"/>
      <c r="CF712" s="7"/>
      <c r="CG712" s="7"/>
    </row>
    <row r="713" spans="3:85"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  <c r="BB713" s="7"/>
      <c r="BC713" s="7"/>
      <c r="BD713" s="7"/>
      <c r="BE713" s="7"/>
      <c r="BF713" s="7"/>
      <c r="BG713" s="7"/>
      <c r="BH713" s="7"/>
      <c r="BI713" s="7"/>
      <c r="BJ713" s="7"/>
      <c r="BK713" s="7"/>
      <c r="BL713" s="7"/>
      <c r="BM713" s="7"/>
      <c r="BN713" s="7"/>
      <c r="BO713" s="7"/>
      <c r="BP713" s="7"/>
      <c r="BQ713" s="7"/>
      <c r="BR713" s="7"/>
      <c r="BS713" s="7"/>
      <c r="BT713" s="7"/>
      <c r="BU713" s="7"/>
      <c r="BV713" s="7"/>
      <c r="BW713" s="7"/>
      <c r="BX713" s="7"/>
      <c r="BY713" s="7"/>
      <c r="BZ713" s="7"/>
      <c r="CA713" s="7"/>
      <c r="CB713" s="7"/>
      <c r="CC713" s="7"/>
      <c r="CD713" s="7"/>
      <c r="CE713" s="7"/>
      <c r="CF713" s="7"/>
      <c r="CG713" s="7"/>
    </row>
    <row r="714" spans="3:85"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  <c r="BB714" s="7"/>
      <c r="BC714" s="7"/>
      <c r="BD714" s="7"/>
      <c r="BE714" s="7"/>
      <c r="BF714" s="7"/>
      <c r="BG714" s="7"/>
      <c r="BH714" s="7"/>
      <c r="BI714" s="7"/>
      <c r="BJ714" s="7"/>
      <c r="BK714" s="7"/>
      <c r="BL714" s="7"/>
      <c r="BM714" s="7"/>
      <c r="BN714" s="7"/>
      <c r="BO714" s="7"/>
      <c r="BP714" s="7"/>
      <c r="BQ714" s="7"/>
      <c r="BR714" s="7"/>
      <c r="BS714" s="7"/>
      <c r="BT714" s="7"/>
      <c r="BU714" s="7"/>
      <c r="BV714" s="7"/>
      <c r="BW714" s="7"/>
      <c r="BX714" s="7"/>
      <c r="BY714" s="7"/>
      <c r="BZ714" s="7"/>
      <c r="CA714" s="7"/>
      <c r="CB714" s="7"/>
      <c r="CC714" s="7"/>
      <c r="CD714" s="7"/>
      <c r="CE714" s="7"/>
      <c r="CF714" s="7"/>
      <c r="CG714" s="7"/>
    </row>
    <row r="715" spans="3:85"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  <c r="BB715" s="7"/>
      <c r="BC715" s="7"/>
      <c r="BD715" s="7"/>
      <c r="BE715" s="7"/>
      <c r="BF715" s="7"/>
      <c r="BG715" s="7"/>
      <c r="BH715" s="7"/>
      <c r="BI715" s="7"/>
      <c r="BJ715" s="7"/>
      <c r="BK715" s="7"/>
      <c r="BL715" s="7"/>
      <c r="BM715" s="7"/>
      <c r="BN715" s="7"/>
      <c r="BO715" s="7"/>
      <c r="BP715" s="7"/>
      <c r="BQ715" s="7"/>
      <c r="BR715" s="7"/>
      <c r="BS715" s="7"/>
      <c r="BT715" s="7"/>
      <c r="BU715" s="7"/>
      <c r="BV715" s="7"/>
      <c r="BW715" s="7"/>
      <c r="BX715" s="7"/>
      <c r="BY715" s="7"/>
      <c r="BZ715" s="7"/>
      <c r="CA715" s="7"/>
      <c r="CB715" s="7"/>
      <c r="CC715" s="7"/>
      <c r="CD715" s="7"/>
      <c r="CE715" s="7"/>
      <c r="CF715" s="7"/>
      <c r="CG715" s="7"/>
    </row>
    <row r="716" spans="3:85"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  <c r="BB716" s="7"/>
      <c r="BC716" s="7"/>
      <c r="BD716" s="7"/>
      <c r="BE716" s="7"/>
      <c r="BF716" s="7"/>
      <c r="BG716" s="7"/>
      <c r="BH716" s="7"/>
      <c r="BI716" s="7"/>
      <c r="BJ716" s="7"/>
      <c r="BK716" s="7"/>
      <c r="BL716" s="7"/>
      <c r="BM716" s="7"/>
      <c r="BN716" s="7"/>
      <c r="BO716" s="7"/>
      <c r="BP716" s="7"/>
      <c r="BQ716" s="7"/>
      <c r="BR716" s="7"/>
      <c r="BS716" s="7"/>
      <c r="BT716" s="7"/>
      <c r="BU716" s="7"/>
      <c r="BV716" s="7"/>
      <c r="BW716" s="7"/>
      <c r="BX716" s="7"/>
      <c r="BY716" s="7"/>
      <c r="BZ716" s="7"/>
      <c r="CA716" s="7"/>
      <c r="CB716" s="7"/>
      <c r="CC716" s="7"/>
      <c r="CD716" s="7"/>
      <c r="CE716" s="7"/>
      <c r="CF716" s="7"/>
      <c r="CG716" s="7"/>
    </row>
    <row r="717" spans="3:85"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  <c r="BB717" s="7"/>
      <c r="BC717" s="7"/>
      <c r="BD717" s="7"/>
      <c r="BE717" s="7"/>
      <c r="BF717" s="7"/>
      <c r="BG717" s="7"/>
      <c r="BH717" s="7"/>
      <c r="BI717" s="7"/>
      <c r="BJ717" s="7"/>
      <c r="BK717" s="7"/>
      <c r="BL717" s="7"/>
      <c r="BM717" s="7"/>
      <c r="BN717" s="7"/>
      <c r="BO717" s="7"/>
      <c r="BP717" s="7"/>
      <c r="BQ717" s="7"/>
      <c r="BR717" s="7"/>
      <c r="BS717" s="7"/>
      <c r="BT717" s="7"/>
      <c r="BU717" s="7"/>
      <c r="BV717" s="7"/>
      <c r="BW717" s="7"/>
      <c r="BX717" s="7"/>
      <c r="BY717" s="7"/>
      <c r="BZ717" s="7"/>
      <c r="CA717" s="7"/>
      <c r="CB717" s="7"/>
      <c r="CC717" s="7"/>
      <c r="CD717" s="7"/>
      <c r="CE717" s="7"/>
      <c r="CF717" s="7"/>
      <c r="CG717" s="7"/>
    </row>
    <row r="718" spans="3:85"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  <c r="BB718" s="7"/>
      <c r="BC718" s="7"/>
      <c r="BD718" s="7"/>
      <c r="BE718" s="7"/>
      <c r="BF718" s="7"/>
      <c r="BG718" s="7"/>
      <c r="BH718" s="7"/>
      <c r="BI718" s="7"/>
      <c r="BJ718" s="7"/>
      <c r="BK718" s="7"/>
      <c r="BL718" s="7"/>
      <c r="BM718" s="7"/>
      <c r="BN718" s="7"/>
      <c r="BO718" s="7"/>
      <c r="BP718" s="7"/>
      <c r="BQ718" s="7"/>
      <c r="BR718" s="7"/>
      <c r="BS718" s="7"/>
      <c r="BT718" s="7"/>
      <c r="BU718" s="7"/>
      <c r="BV718" s="7"/>
      <c r="BW718" s="7"/>
      <c r="BX718" s="7"/>
      <c r="BY718" s="7"/>
      <c r="BZ718" s="7"/>
      <c r="CA718" s="7"/>
      <c r="CB718" s="7"/>
      <c r="CC718" s="7"/>
      <c r="CD718" s="7"/>
      <c r="CE718" s="7"/>
      <c r="CF718" s="7"/>
      <c r="CG718" s="7"/>
    </row>
    <row r="719" spans="3:85"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  <c r="BB719" s="7"/>
      <c r="BC719" s="7"/>
      <c r="BD719" s="7"/>
      <c r="BE719" s="7"/>
      <c r="BF719" s="7"/>
      <c r="BG719" s="7"/>
      <c r="BH719" s="7"/>
      <c r="BI719" s="7"/>
      <c r="BJ719" s="7"/>
      <c r="BK719" s="7"/>
      <c r="BL719" s="7"/>
      <c r="BM719" s="7"/>
      <c r="BN719" s="7"/>
      <c r="BO719" s="7"/>
      <c r="BP719" s="7"/>
      <c r="BQ719" s="7"/>
      <c r="BR719" s="7"/>
      <c r="BS719" s="7"/>
      <c r="BT719" s="7"/>
      <c r="BU719" s="7"/>
      <c r="BV719" s="7"/>
      <c r="BW719" s="7"/>
      <c r="BX719" s="7"/>
      <c r="BY719" s="7"/>
      <c r="BZ719" s="7"/>
      <c r="CA719" s="7"/>
      <c r="CB719" s="7"/>
      <c r="CC719" s="7"/>
      <c r="CD719" s="7"/>
      <c r="CE719" s="7"/>
      <c r="CF719" s="7"/>
      <c r="CG719" s="7"/>
    </row>
    <row r="720" spans="3:85"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  <c r="BB720" s="7"/>
      <c r="BC720" s="7"/>
      <c r="BD720" s="7"/>
      <c r="BE720" s="7"/>
      <c r="BF720" s="7"/>
      <c r="BG720" s="7"/>
      <c r="BH720" s="7"/>
      <c r="BI720" s="7"/>
      <c r="BJ720" s="7"/>
      <c r="BK720" s="7"/>
      <c r="BL720" s="7"/>
      <c r="BM720" s="7"/>
      <c r="BN720" s="7"/>
      <c r="BO720" s="7"/>
      <c r="BP720" s="7"/>
      <c r="BQ720" s="7"/>
      <c r="BR720" s="7"/>
      <c r="BS720" s="7"/>
      <c r="BT720" s="7"/>
      <c r="BU720" s="7"/>
      <c r="BV720" s="7"/>
      <c r="BW720" s="7"/>
      <c r="BX720" s="7"/>
      <c r="BY720" s="7"/>
      <c r="BZ720" s="7"/>
      <c r="CA720" s="7"/>
      <c r="CB720" s="7"/>
      <c r="CC720" s="7"/>
      <c r="CD720" s="7"/>
      <c r="CE720" s="7"/>
      <c r="CF720" s="7"/>
      <c r="CG720" s="7"/>
    </row>
    <row r="721" spans="3:85"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  <c r="BB721" s="7"/>
      <c r="BC721" s="7"/>
      <c r="BD721" s="7"/>
      <c r="BE721" s="7"/>
      <c r="BF721" s="7"/>
      <c r="BG721" s="7"/>
      <c r="BH721" s="7"/>
      <c r="BI721" s="7"/>
      <c r="BJ721" s="7"/>
      <c r="BK721" s="7"/>
      <c r="BL721" s="7"/>
      <c r="BM721" s="7"/>
      <c r="BN721" s="7"/>
      <c r="BO721" s="7"/>
      <c r="BP721" s="7"/>
      <c r="BQ721" s="7"/>
      <c r="BR721" s="7"/>
      <c r="BS721" s="7"/>
      <c r="BT721" s="7"/>
      <c r="BU721" s="7"/>
      <c r="BV721" s="7"/>
      <c r="BW721" s="7"/>
      <c r="BX721" s="7"/>
      <c r="BY721" s="7"/>
      <c r="BZ721" s="7"/>
      <c r="CA721" s="7"/>
      <c r="CB721" s="7"/>
      <c r="CC721" s="7"/>
      <c r="CD721" s="7"/>
      <c r="CE721" s="7"/>
      <c r="CF721" s="7"/>
      <c r="CG721" s="7"/>
    </row>
    <row r="722" spans="3:85"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  <c r="BB722" s="7"/>
      <c r="BC722" s="7"/>
      <c r="BD722" s="7"/>
      <c r="BE722" s="7"/>
      <c r="BF722" s="7"/>
      <c r="BG722" s="7"/>
      <c r="BH722" s="7"/>
      <c r="BI722" s="7"/>
      <c r="BJ722" s="7"/>
      <c r="BK722" s="7"/>
      <c r="BL722" s="7"/>
      <c r="BM722" s="7"/>
      <c r="BN722" s="7"/>
      <c r="BO722" s="7"/>
      <c r="BP722" s="7"/>
      <c r="BQ722" s="7"/>
      <c r="BR722" s="7"/>
      <c r="BS722" s="7"/>
      <c r="BT722" s="7"/>
      <c r="BU722" s="7"/>
      <c r="BV722" s="7"/>
      <c r="BW722" s="7"/>
      <c r="BX722" s="7"/>
      <c r="BY722" s="7"/>
      <c r="BZ722" s="7"/>
      <c r="CA722" s="7"/>
      <c r="CB722" s="7"/>
      <c r="CC722" s="7"/>
      <c r="CD722" s="7"/>
      <c r="CE722" s="7"/>
      <c r="CF722" s="7"/>
      <c r="CG722" s="7"/>
    </row>
    <row r="723" spans="3:85"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  <c r="BB723" s="7"/>
      <c r="BC723" s="7"/>
      <c r="BD723" s="7"/>
      <c r="BE723" s="7"/>
      <c r="BF723" s="7"/>
      <c r="BG723" s="7"/>
      <c r="BH723" s="7"/>
      <c r="BI723" s="7"/>
      <c r="BJ723" s="7"/>
      <c r="BK723" s="7"/>
      <c r="BL723" s="7"/>
      <c r="BM723" s="7"/>
      <c r="BN723" s="7"/>
      <c r="BO723" s="7"/>
      <c r="BP723" s="7"/>
      <c r="BQ723" s="7"/>
      <c r="BR723" s="7"/>
      <c r="BS723" s="7"/>
      <c r="BT723" s="7"/>
      <c r="BU723" s="7"/>
      <c r="BV723" s="7"/>
      <c r="BW723" s="7"/>
      <c r="BX723" s="7"/>
      <c r="BY723" s="7"/>
      <c r="BZ723" s="7"/>
      <c r="CA723" s="7"/>
      <c r="CB723" s="7"/>
      <c r="CC723" s="7"/>
      <c r="CD723" s="7"/>
      <c r="CE723" s="7"/>
      <c r="CF723" s="7"/>
      <c r="CG723" s="7"/>
    </row>
    <row r="724" spans="3:85"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  <c r="BB724" s="7"/>
      <c r="BC724" s="7"/>
      <c r="BD724" s="7"/>
      <c r="BE724" s="7"/>
      <c r="BF724" s="7"/>
      <c r="BG724" s="7"/>
      <c r="BH724" s="7"/>
      <c r="BI724" s="7"/>
      <c r="BJ724" s="7"/>
      <c r="BK724" s="7"/>
      <c r="BL724" s="7"/>
      <c r="BM724" s="7"/>
      <c r="BN724" s="7"/>
      <c r="BO724" s="7"/>
      <c r="BP724" s="7"/>
      <c r="BQ724" s="7"/>
      <c r="BR724" s="7"/>
      <c r="BS724" s="7"/>
      <c r="BT724" s="7"/>
      <c r="BU724" s="7"/>
      <c r="BV724" s="7"/>
      <c r="BW724" s="7"/>
      <c r="BX724" s="7"/>
      <c r="BY724" s="7"/>
      <c r="BZ724" s="7"/>
      <c r="CA724" s="7"/>
      <c r="CB724" s="7"/>
      <c r="CC724" s="7"/>
      <c r="CD724" s="7"/>
      <c r="CE724" s="7"/>
      <c r="CF724" s="7"/>
      <c r="CG724" s="7"/>
    </row>
    <row r="725" spans="3:85"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  <c r="BB725" s="7"/>
      <c r="BC725" s="7"/>
      <c r="BD725" s="7"/>
      <c r="BE725" s="7"/>
      <c r="BF725" s="7"/>
      <c r="BG725" s="7"/>
      <c r="BH725" s="7"/>
      <c r="BI725" s="7"/>
      <c r="BJ725" s="7"/>
      <c r="BK725" s="7"/>
      <c r="BL725" s="7"/>
      <c r="BM725" s="7"/>
      <c r="BN725" s="7"/>
      <c r="BO725" s="7"/>
      <c r="BP725" s="7"/>
      <c r="BQ725" s="7"/>
      <c r="BR725" s="7"/>
      <c r="BS725" s="7"/>
      <c r="BT725" s="7"/>
      <c r="BU725" s="7"/>
      <c r="BV725" s="7"/>
      <c r="BW725" s="7"/>
      <c r="BX725" s="7"/>
      <c r="BY725" s="7"/>
      <c r="BZ725" s="7"/>
      <c r="CA725" s="7"/>
      <c r="CB725" s="7"/>
      <c r="CC725" s="7"/>
      <c r="CD725" s="7"/>
      <c r="CE725" s="7"/>
      <c r="CF725" s="7"/>
      <c r="CG725" s="7"/>
    </row>
    <row r="726" spans="3:85"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  <c r="BB726" s="7"/>
      <c r="BC726" s="7"/>
      <c r="BD726" s="7"/>
      <c r="BE726" s="7"/>
      <c r="BF726" s="7"/>
      <c r="BG726" s="7"/>
      <c r="BH726" s="7"/>
      <c r="BI726" s="7"/>
      <c r="BJ726" s="7"/>
      <c r="BK726" s="7"/>
      <c r="BL726" s="7"/>
      <c r="BM726" s="7"/>
      <c r="BN726" s="7"/>
      <c r="BO726" s="7"/>
      <c r="BP726" s="7"/>
      <c r="BQ726" s="7"/>
      <c r="BR726" s="7"/>
      <c r="BS726" s="7"/>
      <c r="BT726" s="7"/>
      <c r="BU726" s="7"/>
      <c r="BV726" s="7"/>
      <c r="BW726" s="7"/>
      <c r="BX726" s="7"/>
      <c r="BY726" s="7"/>
      <c r="BZ726" s="7"/>
      <c r="CA726" s="7"/>
      <c r="CB726" s="7"/>
      <c r="CC726" s="7"/>
      <c r="CD726" s="7"/>
      <c r="CE726" s="7"/>
      <c r="CF726" s="7"/>
      <c r="CG726" s="7"/>
    </row>
    <row r="727" spans="3:85"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  <c r="BB727" s="7"/>
      <c r="BC727" s="7"/>
      <c r="BD727" s="7"/>
      <c r="BE727" s="7"/>
      <c r="BF727" s="7"/>
      <c r="BG727" s="7"/>
      <c r="BH727" s="7"/>
      <c r="BI727" s="7"/>
      <c r="BJ727" s="7"/>
      <c r="BK727" s="7"/>
      <c r="BL727" s="7"/>
      <c r="BM727" s="7"/>
      <c r="BN727" s="7"/>
      <c r="BO727" s="7"/>
      <c r="BP727" s="7"/>
      <c r="BQ727" s="7"/>
      <c r="BR727" s="7"/>
      <c r="BS727" s="7"/>
      <c r="BT727" s="7"/>
      <c r="BU727" s="7"/>
      <c r="BV727" s="7"/>
      <c r="BW727" s="7"/>
      <c r="BX727" s="7"/>
      <c r="BY727" s="7"/>
      <c r="BZ727" s="7"/>
      <c r="CA727" s="7"/>
      <c r="CB727" s="7"/>
      <c r="CC727" s="7"/>
      <c r="CD727" s="7"/>
      <c r="CE727" s="7"/>
      <c r="CF727" s="7"/>
      <c r="CG727" s="7"/>
    </row>
    <row r="728" spans="3:85"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  <c r="BB728" s="7"/>
      <c r="BC728" s="7"/>
      <c r="BD728" s="7"/>
      <c r="BE728" s="7"/>
      <c r="BF728" s="7"/>
      <c r="BG728" s="7"/>
      <c r="BH728" s="7"/>
      <c r="BI728" s="7"/>
      <c r="BJ728" s="7"/>
      <c r="BK728" s="7"/>
      <c r="BL728" s="7"/>
      <c r="BM728" s="7"/>
      <c r="BN728" s="7"/>
      <c r="BO728" s="7"/>
      <c r="BP728" s="7"/>
      <c r="BQ728" s="7"/>
      <c r="BR728" s="7"/>
      <c r="BS728" s="7"/>
      <c r="BT728" s="7"/>
      <c r="BU728" s="7"/>
      <c r="BV728" s="7"/>
      <c r="BW728" s="7"/>
      <c r="BX728" s="7"/>
      <c r="BY728" s="7"/>
      <c r="BZ728" s="7"/>
      <c r="CA728" s="7"/>
      <c r="CB728" s="7"/>
      <c r="CC728" s="7"/>
      <c r="CD728" s="7"/>
      <c r="CE728" s="7"/>
      <c r="CF728" s="7"/>
      <c r="CG728" s="7"/>
    </row>
    <row r="729" spans="3:85"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  <c r="BB729" s="7"/>
      <c r="BC729" s="7"/>
      <c r="BD729" s="7"/>
      <c r="BE729" s="7"/>
      <c r="BF729" s="7"/>
      <c r="BG729" s="7"/>
      <c r="BH729" s="7"/>
      <c r="BI729" s="7"/>
      <c r="BJ729" s="7"/>
      <c r="BK729" s="7"/>
      <c r="BL729" s="7"/>
      <c r="BM729" s="7"/>
      <c r="BN729" s="7"/>
      <c r="BO729" s="7"/>
      <c r="BP729" s="7"/>
      <c r="BQ729" s="7"/>
      <c r="BR729" s="7"/>
      <c r="BS729" s="7"/>
      <c r="BT729" s="7"/>
      <c r="BU729" s="7"/>
      <c r="BV729" s="7"/>
      <c r="BW729" s="7"/>
      <c r="BX729" s="7"/>
      <c r="BY729" s="7"/>
      <c r="BZ729" s="7"/>
      <c r="CA729" s="7"/>
      <c r="CB729" s="7"/>
      <c r="CC729" s="7"/>
      <c r="CD729" s="7"/>
      <c r="CE729" s="7"/>
      <c r="CF729" s="7"/>
      <c r="CG729" s="7"/>
    </row>
    <row r="730" spans="3:85"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  <c r="BB730" s="7"/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  <c r="BP730" s="7"/>
      <c r="BQ730" s="7"/>
      <c r="BR730" s="7"/>
      <c r="BS730" s="7"/>
      <c r="BT730" s="7"/>
      <c r="BU730" s="7"/>
      <c r="BV730" s="7"/>
      <c r="BW730" s="7"/>
      <c r="BX730" s="7"/>
      <c r="BY730" s="7"/>
      <c r="BZ730" s="7"/>
      <c r="CA730" s="7"/>
      <c r="CB730" s="7"/>
      <c r="CC730" s="7"/>
      <c r="CD730" s="7"/>
      <c r="CE730" s="7"/>
      <c r="CF730" s="7"/>
      <c r="CG730" s="7"/>
    </row>
    <row r="731" spans="3:85"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  <c r="BB731" s="7"/>
      <c r="BC731" s="7"/>
      <c r="BD731" s="7"/>
      <c r="BE731" s="7"/>
      <c r="BF731" s="7"/>
      <c r="BG731" s="7"/>
      <c r="BH731" s="7"/>
      <c r="BI731" s="7"/>
      <c r="BJ731" s="7"/>
      <c r="BK731" s="7"/>
      <c r="BL731" s="7"/>
      <c r="BM731" s="7"/>
      <c r="BN731" s="7"/>
      <c r="BO731" s="7"/>
      <c r="BP731" s="7"/>
      <c r="BQ731" s="7"/>
      <c r="BR731" s="7"/>
      <c r="BS731" s="7"/>
      <c r="BT731" s="7"/>
      <c r="BU731" s="7"/>
      <c r="BV731" s="7"/>
      <c r="BW731" s="7"/>
      <c r="BX731" s="7"/>
      <c r="BY731" s="7"/>
      <c r="BZ731" s="7"/>
      <c r="CA731" s="7"/>
      <c r="CB731" s="7"/>
      <c r="CC731" s="7"/>
      <c r="CD731" s="7"/>
      <c r="CE731" s="7"/>
      <c r="CF731" s="7"/>
      <c r="CG731" s="7"/>
    </row>
    <row r="732" spans="3:85"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  <c r="BB732" s="7"/>
      <c r="BC732" s="7"/>
      <c r="BD732" s="7"/>
      <c r="BE732" s="7"/>
      <c r="BF732" s="7"/>
      <c r="BG732" s="7"/>
      <c r="BH732" s="7"/>
      <c r="BI732" s="7"/>
      <c r="BJ732" s="7"/>
      <c r="BK732" s="7"/>
      <c r="BL732" s="7"/>
      <c r="BM732" s="7"/>
      <c r="BN732" s="7"/>
      <c r="BO732" s="7"/>
      <c r="BP732" s="7"/>
      <c r="BQ732" s="7"/>
      <c r="BR732" s="7"/>
      <c r="BS732" s="7"/>
      <c r="BT732" s="7"/>
      <c r="BU732" s="7"/>
      <c r="BV732" s="7"/>
      <c r="BW732" s="7"/>
      <c r="BX732" s="7"/>
      <c r="BY732" s="7"/>
      <c r="BZ732" s="7"/>
      <c r="CA732" s="7"/>
      <c r="CB732" s="7"/>
      <c r="CC732" s="7"/>
      <c r="CD732" s="7"/>
      <c r="CE732" s="7"/>
      <c r="CF732" s="7"/>
      <c r="CG732" s="7"/>
    </row>
    <row r="733" spans="3:85"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  <c r="BB733" s="7"/>
      <c r="BC733" s="7"/>
      <c r="BD733" s="7"/>
      <c r="BE733" s="7"/>
      <c r="BF733" s="7"/>
      <c r="BG733" s="7"/>
      <c r="BH733" s="7"/>
      <c r="BI733" s="7"/>
      <c r="BJ733" s="7"/>
      <c r="BK733" s="7"/>
      <c r="BL733" s="7"/>
      <c r="BM733" s="7"/>
      <c r="BN733" s="7"/>
      <c r="BO733" s="7"/>
      <c r="BP733" s="7"/>
      <c r="BQ733" s="7"/>
      <c r="BR733" s="7"/>
      <c r="BS733" s="7"/>
      <c r="BT733" s="7"/>
      <c r="BU733" s="7"/>
      <c r="BV733" s="7"/>
      <c r="BW733" s="7"/>
      <c r="BX733" s="7"/>
      <c r="BY733" s="7"/>
      <c r="BZ733" s="7"/>
      <c r="CA733" s="7"/>
      <c r="CB733" s="7"/>
      <c r="CC733" s="7"/>
      <c r="CD733" s="7"/>
      <c r="CE733" s="7"/>
      <c r="CF733" s="7"/>
      <c r="CG733" s="7"/>
    </row>
    <row r="734" spans="3:85"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  <c r="BB734" s="7"/>
      <c r="BC734" s="7"/>
      <c r="BD734" s="7"/>
      <c r="BE734" s="7"/>
      <c r="BF734" s="7"/>
      <c r="BG734" s="7"/>
      <c r="BH734" s="7"/>
      <c r="BI734" s="7"/>
      <c r="BJ734" s="7"/>
      <c r="BK734" s="7"/>
      <c r="BL734" s="7"/>
      <c r="BM734" s="7"/>
      <c r="BN734" s="7"/>
      <c r="BO734" s="7"/>
      <c r="BP734" s="7"/>
      <c r="BQ734" s="7"/>
      <c r="BR734" s="7"/>
      <c r="BS734" s="7"/>
      <c r="BT734" s="7"/>
      <c r="BU734" s="7"/>
      <c r="BV734" s="7"/>
      <c r="BW734" s="7"/>
      <c r="BX734" s="7"/>
      <c r="BY734" s="7"/>
      <c r="BZ734" s="7"/>
      <c r="CA734" s="7"/>
      <c r="CB734" s="7"/>
      <c r="CC734" s="7"/>
      <c r="CD734" s="7"/>
      <c r="CE734" s="7"/>
      <c r="CF734" s="7"/>
      <c r="CG734" s="7"/>
    </row>
    <row r="735" spans="3:85"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  <c r="BB735" s="7"/>
      <c r="BC735" s="7"/>
      <c r="BD735" s="7"/>
      <c r="BE735" s="7"/>
      <c r="BF735" s="7"/>
      <c r="BG735" s="7"/>
      <c r="BH735" s="7"/>
      <c r="BI735" s="7"/>
      <c r="BJ735" s="7"/>
      <c r="BK735" s="7"/>
      <c r="BL735" s="7"/>
      <c r="BM735" s="7"/>
      <c r="BN735" s="7"/>
      <c r="BO735" s="7"/>
      <c r="BP735" s="7"/>
      <c r="BQ735" s="7"/>
      <c r="BR735" s="7"/>
      <c r="BS735" s="7"/>
      <c r="BT735" s="7"/>
      <c r="BU735" s="7"/>
      <c r="BV735" s="7"/>
      <c r="BW735" s="7"/>
      <c r="BX735" s="7"/>
      <c r="BY735" s="7"/>
      <c r="BZ735" s="7"/>
      <c r="CA735" s="7"/>
      <c r="CB735" s="7"/>
      <c r="CC735" s="7"/>
      <c r="CD735" s="7"/>
      <c r="CE735" s="7"/>
      <c r="CF735" s="7"/>
      <c r="CG735" s="7"/>
    </row>
    <row r="736" spans="3:85"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  <c r="BB736" s="7"/>
      <c r="BC736" s="7"/>
      <c r="BD736" s="7"/>
      <c r="BE736" s="7"/>
      <c r="BF736" s="7"/>
      <c r="BG736" s="7"/>
      <c r="BH736" s="7"/>
      <c r="BI736" s="7"/>
      <c r="BJ736" s="7"/>
      <c r="BK736" s="7"/>
      <c r="BL736" s="7"/>
      <c r="BM736" s="7"/>
      <c r="BN736" s="7"/>
      <c r="BO736" s="7"/>
      <c r="BP736" s="7"/>
      <c r="BQ736" s="7"/>
      <c r="BR736" s="7"/>
      <c r="BS736" s="7"/>
      <c r="BT736" s="7"/>
      <c r="BU736" s="7"/>
      <c r="BV736" s="7"/>
      <c r="BW736" s="7"/>
      <c r="BX736" s="7"/>
      <c r="BY736" s="7"/>
      <c r="BZ736" s="7"/>
      <c r="CA736" s="7"/>
      <c r="CB736" s="7"/>
      <c r="CC736" s="7"/>
      <c r="CD736" s="7"/>
      <c r="CE736" s="7"/>
      <c r="CF736" s="7"/>
      <c r="CG736" s="7"/>
    </row>
    <row r="737" spans="3:85"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  <c r="BB737" s="7"/>
      <c r="BC737" s="7"/>
      <c r="BD737" s="7"/>
      <c r="BE737" s="7"/>
      <c r="BF737" s="7"/>
      <c r="BG737" s="7"/>
      <c r="BH737" s="7"/>
      <c r="BI737" s="7"/>
      <c r="BJ737" s="7"/>
      <c r="BK737" s="7"/>
      <c r="BL737" s="7"/>
      <c r="BM737" s="7"/>
      <c r="BN737" s="7"/>
      <c r="BO737" s="7"/>
      <c r="BP737" s="7"/>
      <c r="BQ737" s="7"/>
      <c r="BR737" s="7"/>
      <c r="BS737" s="7"/>
      <c r="BT737" s="7"/>
      <c r="BU737" s="7"/>
      <c r="BV737" s="7"/>
      <c r="BW737" s="7"/>
      <c r="BX737" s="7"/>
      <c r="BY737" s="7"/>
      <c r="BZ737" s="7"/>
      <c r="CA737" s="7"/>
      <c r="CB737" s="7"/>
      <c r="CC737" s="7"/>
      <c r="CD737" s="7"/>
      <c r="CE737" s="7"/>
      <c r="CF737" s="7"/>
      <c r="CG737" s="7"/>
    </row>
    <row r="738" spans="3:85"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  <c r="BB738" s="7"/>
      <c r="BC738" s="7"/>
      <c r="BD738" s="7"/>
      <c r="BE738" s="7"/>
      <c r="BF738" s="7"/>
      <c r="BG738" s="7"/>
      <c r="BH738" s="7"/>
      <c r="BI738" s="7"/>
      <c r="BJ738" s="7"/>
      <c r="BK738" s="7"/>
      <c r="BL738" s="7"/>
      <c r="BM738" s="7"/>
      <c r="BN738" s="7"/>
      <c r="BO738" s="7"/>
      <c r="BP738" s="7"/>
      <c r="BQ738" s="7"/>
      <c r="BR738" s="7"/>
      <c r="BS738" s="7"/>
      <c r="BT738" s="7"/>
      <c r="BU738" s="7"/>
      <c r="BV738" s="7"/>
      <c r="BW738" s="7"/>
      <c r="BX738" s="7"/>
      <c r="BY738" s="7"/>
      <c r="BZ738" s="7"/>
      <c r="CA738" s="7"/>
      <c r="CB738" s="7"/>
      <c r="CC738" s="7"/>
      <c r="CD738" s="7"/>
      <c r="CE738" s="7"/>
      <c r="CF738" s="7"/>
      <c r="CG738" s="7"/>
    </row>
    <row r="739" spans="3:85"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  <c r="BB739" s="7"/>
      <c r="BC739" s="7"/>
      <c r="BD739" s="7"/>
      <c r="BE739" s="7"/>
      <c r="BF739" s="7"/>
      <c r="BG739" s="7"/>
      <c r="BH739" s="7"/>
      <c r="BI739" s="7"/>
      <c r="BJ739" s="7"/>
      <c r="BK739" s="7"/>
      <c r="BL739" s="7"/>
      <c r="BM739" s="7"/>
      <c r="BN739" s="7"/>
      <c r="BO739" s="7"/>
      <c r="BP739" s="7"/>
      <c r="BQ739" s="7"/>
      <c r="BR739" s="7"/>
      <c r="BS739" s="7"/>
      <c r="BT739" s="7"/>
      <c r="BU739" s="7"/>
      <c r="BV739" s="7"/>
      <c r="BW739" s="7"/>
      <c r="BX739" s="7"/>
      <c r="BY739" s="7"/>
      <c r="BZ739" s="7"/>
      <c r="CA739" s="7"/>
      <c r="CB739" s="7"/>
      <c r="CC739" s="7"/>
      <c r="CD739" s="7"/>
      <c r="CE739" s="7"/>
      <c r="CF739" s="7"/>
      <c r="CG739" s="7"/>
    </row>
    <row r="740" spans="3:85"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  <c r="BB740" s="7"/>
      <c r="BC740" s="7"/>
      <c r="BD740" s="7"/>
      <c r="BE740" s="7"/>
      <c r="BF740" s="7"/>
      <c r="BG740" s="7"/>
      <c r="BH740" s="7"/>
      <c r="BI740" s="7"/>
      <c r="BJ740" s="7"/>
      <c r="BK740" s="7"/>
      <c r="BL740" s="7"/>
      <c r="BM740" s="7"/>
      <c r="BN740" s="7"/>
      <c r="BO740" s="7"/>
      <c r="BP740" s="7"/>
      <c r="BQ740" s="7"/>
      <c r="BR740" s="7"/>
      <c r="BS740" s="7"/>
      <c r="BT740" s="7"/>
      <c r="BU740" s="7"/>
      <c r="BV740" s="7"/>
      <c r="BW740" s="7"/>
      <c r="BX740" s="7"/>
      <c r="BY740" s="7"/>
      <c r="BZ740" s="7"/>
      <c r="CA740" s="7"/>
      <c r="CB740" s="7"/>
      <c r="CC740" s="7"/>
      <c r="CD740" s="7"/>
      <c r="CE740" s="7"/>
      <c r="CF740" s="7"/>
      <c r="CG740" s="7"/>
    </row>
    <row r="741" spans="3:85"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  <c r="BB741" s="7"/>
      <c r="BC741" s="7"/>
      <c r="BD741" s="7"/>
      <c r="BE741" s="7"/>
      <c r="BF741" s="7"/>
      <c r="BG741" s="7"/>
      <c r="BH741" s="7"/>
      <c r="BI741" s="7"/>
      <c r="BJ741" s="7"/>
      <c r="BK741" s="7"/>
      <c r="BL741" s="7"/>
      <c r="BM741" s="7"/>
      <c r="BN741" s="7"/>
      <c r="BO741" s="7"/>
      <c r="BP741" s="7"/>
      <c r="BQ741" s="7"/>
      <c r="BR741" s="7"/>
      <c r="BS741" s="7"/>
      <c r="BT741" s="7"/>
      <c r="BU741" s="7"/>
      <c r="BV741" s="7"/>
      <c r="BW741" s="7"/>
      <c r="BX741" s="7"/>
      <c r="BY741" s="7"/>
      <c r="BZ741" s="7"/>
      <c r="CA741" s="7"/>
      <c r="CB741" s="7"/>
      <c r="CC741" s="7"/>
      <c r="CD741" s="7"/>
      <c r="CE741" s="7"/>
      <c r="CF741" s="7"/>
      <c r="CG741" s="7"/>
    </row>
    <row r="742" spans="3:85"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  <c r="BB742" s="7"/>
      <c r="BC742" s="7"/>
      <c r="BD742" s="7"/>
      <c r="BE742" s="7"/>
      <c r="BF742" s="7"/>
      <c r="BG742" s="7"/>
      <c r="BH742" s="7"/>
      <c r="BI742" s="7"/>
      <c r="BJ742" s="7"/>
      <c r="BK742" s="7"/>
      <c r="BL742" s="7"/>
      <c r="BM742" s="7"/>
      <c r="BN742" s="7"/>
      <c r="BO742" s="7"/>
      <c r="BP742" s="7"/>
      <c r="BQ742" s="7"/>
      <c r="BR742" s="7"/>
      <c r="BS742" s="7"/>
      <c r="BT742" s="7"/>
      <c r="BU742" s="7"/>
      <c r="BV742" s="7"/>
      <c r="BW742" s="7"/>
      <c r="BX742" s="7"/>
      <c r="BY742" s="7"/>
      <c r="BZ742" s="7"/>
      <c r="CA742" s="7"/>
      <c r="CB742" s="7"/>
      <c r="CC742" s="7"/>
      <c r="CD742" s="7"/>
      <c r="CE742" s="7"/>
      <c r="CF742" s="7"/>
      <c r="CG742" s="7"/>
    </row>
    <row r="743" spans="3:85"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  <c r="BB743" s="7"/>
      <c r="BC743" s="7"/>
      <c r="BD743" s="7"/>
      <c r="BE743" s="7"/>
      <c r="BF743" s="7"/>
      <c r="BG743" s="7"/>
      <c r="BH743" s="7"/>
      <c r="BI743" s="7"/>
      <c r="BJ743" s="7"/>
      <c r="BK743" s="7"/>
      <c r="BL743" s="7"/>
      <c r="BM743" s="7"/>
      <c r="BN743" s="7"/>
      <c r="BO743" s="7"/>
      <c r="BP743" s="7"/>
      <c r="BQ743" s="7"/>
      <c r="BR743" s="7"/>
      <c r="BS743" s="7"/>
      <c r="BT743" s="7"/>
      <c r="BU743" s="7"/>
      <c r="BV743" s="7"/>
      <c r="BW743" s="7"/>
      <c r="BX743" s="7"/>
      <c r="BY743" s="7"/>
      <c r="BZ743" s="7"/>
      <c r="CA743" s="7"/>
      <c r="CB743" s="7"/>
      <c r="CC743" s="7"/>
      <c r="CD743" s="7"/>
      <c r="CE743" s="7"/>
      <c r="CF743" s="7"/>
      <c r="CG743" s="7"/>
    </row>
    <row r="744" spans="3:85"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  <c r="BB744" s="7"/>
      <c r="BC744" s="7"/>
      <c r="BD744" s="7"/>
      <c r="BE744" s="7"/>
      <c r="BF744" s="7"/>
      <c r="BG744" s="7"/>
      <c r="BH744" s="7"/>
      <c r="BI744" s="7"/>
      <c r="BJ744" s="7"/>
      <c r="BK744" s="7"/>
      <c r="BL744" s="7"/>
      <c r="BM744" s="7"/>
      <c r="BN744" s="7"/>
      <c r="BO744" s="7"/>
      <c r="BP744" s="7"/>
      <c r="BQ744" s="7"/>
      <c r="BR744" s="7"/>
      <c r="BS744" s="7"/>
      <c r="BT744" s="7"/>
      <c r="BU744" s="7"/>
      <c r="BV744" s="7"/>
      <c r="BW744" s="7"/>
      <c r="BX744" s="7"/>
      <c r="BY744" s="7"/>
      <c r="BZ744" s="7"/>
      <c r="CA744" s="7"/>
      <c r="CB744" s="7"/>
      <c r="CC744" s="7"/>
      <c r="CD744" s="7"/>
      <c r="CE744" s="7"/>
      <c r="CF744" s="7"/>
      <c r="CG744" s="7"/>
    </row>
    <row r="745" spans="3:85"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  <c r="BB745" s="7"/>
      <c r="BC745" s="7"/>
      <c r="BD745" s="7"/>
      <c r="BE745" s="7"/>
      <c r="BF745" s="7"/>
      <c r="BG745" s="7"/>
      <c r="BH745" s="7"/>
      <c r="BI745" s="7"/>
      <c r="BJ745" s="7"/>
      <c r="BK745" s="7"/>
      <c r="BL745" s="7"/>
      <c r="BM745" s="7"/>
      <c r="BN745" s="7"/>
      <c r="BO745" s="7"/>
      <c r="BP745" s="7"/>
      <c r="BQ745" s="7"/>
      <c r="BR745" s="7"/>
      <c r="BS745" s="7"/>
      <c r="BT745" s="7"/>
      <c r="BU745" s="7"/>
      <c r="BV745" s="7"/>
      <c r="BW745" s="7"/>
      <c r="BX745" s="7"/>
      <c r="BY745" s="7"/>
      <c r="BZ745" s="7"/>
      <c r="CA745" s="7"/>
      <c r="CB745" s="7"/>
      <c r="CC745" s="7"/>
      <c r="CD745" s="7"/>
      <c r="CE745" s="7"/>
      <c r="CF745" s="7"/>
      <c r="CG745" s="7"/>
    </row>
    <row r="746" spans="3:85"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  <c r="BB746" s="7"/>
      <c r="BC746" s="7"/>
      <c r="BD746" s="7"/>
      <c r="BE746" s="7"/>
      <c r="BF746" s="7"/>
      <c r="BG746" s="7"/>
      <c r="BH746" s="7"/>
      <c r="BI746" s="7"/>
      <c r="BJ746" s="7"/>
      <c r="BK746" s="7"/>
      <c r="BL746" s="7"/>
      <c r="BM746" s="7"/>
      <c r="BN746" s="7"/>
      <c r="BO746" s="7"/>
      <c r="BP746" s="7"/>
      <c r="BQ746" s="7"/>
      <c r="BR746" s="7"/>
      <c r="BS746" s="7"/>
      <c r="BT746" s="7"/>
      <c r="BU746" s="7"/>
      <c r="BV746" s="7"/>
      <c r="BW746" s="7"/>
      <c r="BX746" s="7"/>
      <c r="BY746" s="7"/>
      <c r="BZ746" s="7"/>
      <c r="CA746" s="7"/>
      <c r="CB746" s="7"/>
      <c r="CC746" s="7"/>
      <c r="CD746" s="7"/>
      <c r="CE746" s="7"/>
      <c r="CF746" s="7"/>
      <c r="CG746" s="7"/>
    </row>
    <row r="747" spans="3:85"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  <c r="BB747" s="7"/>
      <c r="BC747" s="7"/>
      <c r="BD747" s="7"/>
      <c r="BE747" s="7"/>
      <c r="BF747" s="7"/>
      <c r="BG747" s="7"/>
      <c r="BH747" s="7"/>
      <c r="BI747" s="7"/>
      <c r="BJ747" s="7"/>
      <c r="BK747" s="7"/>
      <c r="BL747" s="7"/>
      <c r="BM747" s="7"/>
      <c r="BN747" s="7"/>
      <c r="BO747" s="7"/>
      <c r="BP747" s="7"/>
      <c r="BQ747" s="7"/>
      <c r="BR747" s="7"/>
      <c r="BS747" s="7"/>
      <c r="BT747" s="7"/>
      <c r="BU747" s="7"/>
      <c r="BV747" s="7"/>
      <c r="BW747" s="7"/>
      <c r="BX747" s="7"/>
      <c r="BY747" s="7"/>
      <c r="BZ747" s="7"/>
      <c r="CA747" s="7"/>
      <c r="CB747" s="7"/>
      <c r="CC747" s="7"/>
      <c r="CD747" s="7"/>
      <c r="CE747" s="7"/>
      <c r="CF747" s="7"/>
      <c r="CG747" s="7"/>
    </row>
    <row r="748" spans="3:85"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  <c r="BB748" s="7"/>
      <c r="BC748" s="7"/>
      <c r="BD748" s="7"/>
      <c r="BE748" s="7"/>
      <c r="BF748" s="7"/>
      <c r="BG748" s="7"/>
      <c r="BH748" s="7"/>
      <c r="BI748" s="7"/>
      <c r="BJ748" s="7"/>
      <c r="BK748" s="7"/>
      <c r="BL748" s="7"/>
      <c r="BM748" s="7"/>
      <c r="BN748" s="7"/>
      <c r="BO748" s="7"/>
      <c r="BP748" s="7"/>
      <c r="BQ748" s="7"/>
      <c r="BR748" s="7"/>
      <c r="BS748" s="7"/>
      <c r="BT748" s="7"/>
      <c r="BU748" s="7"/>
      <c r="BV748" s="7"/>
      <c r="BW748" s="7"/>
      <c r="BX748" s="7"/>
      <c r="BY748" s="7"/>
      <c r="BZ748" s="7"/>
      <c r="CA748" s="7"/>
      <c r="CB748" s="7"/>
      <c r="CC748" s="7"/>
      <c r="CD748" s="7"/>
      <c r="CE748" s="7"/>
      <c r="CF748" s="7"/>
      <c r="CG748" s="7"/>
    </row>
    <row r="749" spans="3:85"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  <c r="BB749" s="7"/>
      <c r="BC749" s="7"/>
      <c r="BD749" s="7"/>
      <c r="BE749" s="7"/>
      <c r="BF749" s="7"/>
      <c r="BG749" s="7"/>
      <c r="BH749" s="7"/>
      <c r="BI749" s="7"/>
      <c r="BJ749" s="7"/>
      <c r="BK749" s="7"/>
      <c r="BL749" s="7"/>
      <c r="BM749" s="7"/>
      <c r="BN749" s="7"/>
      <c r="BO749" s="7"/>
      <c r="BP749" s="7"/>
      <c r="BQ749" s="7"/>
      <c r="BR749" s="7"/>
      <c r="BS749" s="7"/>
      <c r="BT749" s="7"/>
      <c r="BU749" s="7"/>
      <c r="BV749" s="7"/>
      <c r="BW749" s="7"/>
      <c r="BX749" s="7"/>
      <c r="BY749" s="7"/>
      <c r="BZ749" s="7"/>
      <c r="CA749" s="7"/>
      <c r="CB749" s="7"/>
      <c r="CC749" s="7"/>
      <c r="CD749" s="7"/>
      <c r="CE749" s="7"/>
      <c r="CF749" s="7"/>
      <c r="CG749" s="7"/>
    </row>
    <row r="750" spans="3:85"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  <c r="BB750" s="7"/>
      <c r="BC750" s="7"/>
      <c r="BD750" s="7"/>
      <c r="BE750" s="7"/>
      <c r="BF750" s="7"/>
      <c r="BG750" s="7"/>
      <c r="BH750" s="7"/>
      <c r="BI750" s="7"/>
      <c r="BJ750" s="7"/>
      <c r="BK750" s="7"/>
      <c r="BL750" s="7"/>
      <c r="BM750" s="7"/>
      <c r="BN750" s="7"/>
      <c r="BO750" s="7"/>
      <c r="BP750" s="7"/>
      <c r="BQ750" s="7"/>
      <c r="BR750" s="7"/>
      <c r="BS750" s="7"/>
      <c r="BT750" s="7"/>
      <c r="BU750" s="7"/>
      <c r="BV750" s="7"/>
      <c r="BW750" s="7"/>
      <c r="BX750" s="7"/>
      <c r="BY750" s="7"/>
      <c r="BZ750" s="7"/>
      <c r="CA750" s="7"/>
      <c r="CB750" s="7"/>
      <c r="CC750" s="7"/>
      <c r="CD750" s="7"/>
      <c r="CE750" s="7"/>
      <c r="CF750" s="7"/>
      <c r="CG750" s="7"/>
    </row>
    <row r="751" spans="3:85"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  <c r="BB751" s="7"/>
      <c r="BC751" s="7"/>
      <c r="BD751" s="7"/>
      <c r="BE751" s="7"/>
      <c r="BF751" s="7"/>
      <c r="BG751" s="7"/>
      <c r="BH751" s="7"/>
      <c r="BI751" s="7"/>
      <c r="BJ751" s="7"/>
      <c r="BK751" s="7"/>
      <c r="BL751" s="7"/>
      <c r="BM751" s="7"/>
      <c r="BN751" s="7"/>
      <c r="BO751" s="7"/>
      <c r="BP751" s="7"/>
      <c r="BQ751" s="7"/>
      <c r="BR751" s="7"/>
      <c r="BS751" s="7"/>
      <c r="BT751" s="7"/>
      <c r="BU751" s="7"/>
      <c r="BV751" s="7"/>
      <c r="BW751" s="7"/>
      <c r="BX751" s="7"/>
      <c r="BY751" s="7"/>
      <c r="BZ751" s="7"/>
      <c r="CA751" s="7"/>
      <c r="CB751" s="7"/>
      <c r="CC751" s="7"/>
      <c r="CD751" s="7"/>
      <c r="CE751" s="7"/>
      <c r="CF751" s="7"/>
      <c r="CG751" s="7"/>
    </row>
    <row r="752" spans="3:85"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  <c r="BB752" s="7"/>
      <c r="BC752" s="7"/>
      <c r="BD752" s="7"/>
      <c r="BE752" s="7"/>
      <c r="BF752" s="7"/>
      <c r="BG752" s="7"/>
      <c r="BH752" s="7"/>
      <c r="BI752" s="7"/>
      <c r="BJ752" s="7"/>
      <c r="BK752" s="7"/>
      <c r="BL752" s="7"/>
      <c r="BM752" s="7"/>
      <c r="BN752" s="7"/>
      <c r="BO752" s="7"/>
      <c r="BP752" s="7"/>
      <c r="BQ752" s="7"/>
      <c r="BR752" s="7"/>
      <c r="BS752" s="7"/>
      <c r="BT752" s="7"/>
      <c r="BU752" s="7"/>
      <c r="BV752" s="7"/>
      <c r="BW752" s="7"/>
      <c r="BX752" s="7"/>
      <c r="BY752" s="7"/>
      <c r="BZ752" s="7"/>
      <c r="CA752" s="7"/>
      <c r="CB752" s="7"/>
      <c r="CC752" s="7"/>
      <c r="CD752" s="7"/>
      <c r="CE752" s="7"/>
      <c r="CF752" s="7"/>
      <c r="CG752" s="7"/>
    </row>
    <row r="753" spans="3:85"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  <c r="BB753" s="7"/>
      <c r="BC753" s="7"/>
      <c r="BD753" s="7"/>
      <c r="BE753" s="7"/>
      <c r="BF753" s="7"/>
      <c r="BG753" s="7"/>
      <c r="BH753" s="7"/>
      <c r="BI753" s="7"/>
      <c r="BJ753" s="7"/>
      <c r="BK753" s="7"/>
      <c r="BL753" s="7"/>
      <c r="BM753" s="7"/>
      <c r="BN753" s="7"/>
      <c r="BO753" s="7"/>
      <c r="BP753" s="7"/>
      <c r="BQ753" s="7"/>
      <c r="BR753" s="7"/>
      <c r="BS753" s="7"/>
      <c r="BT753" s="7"/>
      <c r="BU753" s="7"/>
      <c r="BV753" s="7"/>
      <c r="BW753" s="7"/>
      <c r="BX753" s="7"/>
      <c r="BY753" s="7"/>
      <c r="BZ753" s="7"/>
      <c r="CA753" s="7"/>
      <c r="CB753" s="7"/>
      <c r="CC753" s="7"/>
      <c r="CD753" s="7"/>
      <c r="CE753" s="7"/>
      <c r="CF753" s="7"/>
      <c r="CG753" s="7"/>
    </row>
    <row r="754" spans="3:85"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  <c r="BB754" s="7"/>
      <c r="BC754" s="7"/>
      <c r="BD754" s="7"/>
      <c r="BE754" s="7"/>
      <c r="BF754" s="7"/>
      <c r="BG754" s="7"/>
      <c r="BH754" s="7"/>
      <c r="BI754" s="7"/>
      <c r="BJ754" s="7"/>
      <c r="BK754" s="7"/>
      <c r="BL754" s="7"/>
      <c r="BM754" s="7"/>
      <c r="BN754" s="7"/>
      <c r="BO754" s="7"/>
      <c r="BP754" s="7"/>
      <c r="BQ754" s="7"/>
      <c r="BR754" s="7"/>
      <c r="BS754" s="7"/>
      <c r="BT754" s="7"/>
      <c r="BU754" s="7"/>
      <c r="BV754" s="7"/>
      <c r="BW754" s="7"/>
      <c r="BX754" s="7"/>
      <c r="BY754" s="7"/>
      <c r="BZ754" s="7"/>
      <c r="CA754" s="7"/>
      <c r="CB754" s="7"/>
      <c r="CC754" s="7"/>
      <c r="CD754" s="7"/>
      <c r="CE754" s="7"/>
      <c r="CF754" s="7"/>
      <c r="CG754" s="7"/>
    </row>
    <row r="755" spans="3:85"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  <c r="BB755" s="7"/>
      <c r="BC755" s="7"/>
      <c r="BD755" s="7"/>
      <c r="BE755" s="7"/>
      <c r="BF755" s="7"/>
      <c r="BG755" s="7"/>
      <c r="BH755" s="7"/>
      <c r="BI755" s="7"/>
      <c r="BJ755" s="7"/>
      <c r="BK755" s="7"/>
      <c r="BL755" s="7"/>
      <c r="BM755" s="7"/>
      <c r="BN755" s="7"/>
      <c r="BO755" s="7"/>
      <c r="BP755" s="7"/>
      <c r="BQ755" s="7"/>
      <c r="BR755" s="7"/>
      <c r="BS755" s="7"/>
      <c r="BT755" s="7"/>
      <c r="BU755" s="7"/>
      <c r="BV755" s="7"/>
      <c r="BW755" s="7"/>
      <c r="BX755" s="7"/>
      <c r="BY755" s="7"/>
      <c r="BZ755" s="7"/>
      <c r="CA755" s="7"/>
      <c r="CB755" s="7"/>
      <c r="CC755" s="7"/>
      <c r="CD755" s="7"/>
      <c r="CE755" s="7"/>
      <c r="CF755" s="7"/>
      <c r="CG755" s="7"/>
    </row>
    <row r="756" spans="3:85"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  <c r="BB756" s="7"/>
      <c r="BC756" s="7"/>
      <c r="BD756" s="7"/>
      <c r="BE756" s="7"/>
      <c r="BF756" s="7"/>
      <c r="BG756" s="7"/>
      <c r="BH756" s="7"/>
      <c r="BI756" s="7"/>
      <c r="BJ756" s="7"/>
      <c r="BK756" s="7"/>
      <c r="BL756" s="7"/>
      <c r="BM756" s="7"/>
      <c r="BN756" s="7"/>
      <c r="BO756" s="7"/>
      <c r="BP756" s="7"/>
      <c r="BQ756" s="7"/>
      <c r="BR756" s="7"/>
      <c r="BS756" s="7"/>
      <c r="BT756" s="7"/>
      <c r="BU756" s="7"/>
      <c r="BV756" s="7"/>
      <c r="BW756" s="7"/>
      <c r="BX756" s="7"/>
      <c r="BY756" s="7"/>
      <c r="BZ756" s="7"/>
      <c r="CA756" s="7"/>
      <c r="CB756" s="7"/>
      <c r="CC756" s="7"/>
      <c r="CD756" s="7"/>
      <c r="CE756" s="7"/>
      <c r="CF756" s="7"/>
      <c r="CG756" s="7"/>
    </row>
    <row r="757" spans="3:85"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  <c r="BB757" s="7"/>
      <c r="BC757" s="7"/>
      <c r="BD757" s="7"/>
      <c r="BE757" s="7"/>
      <c r="BF757" s="7"/>
      <c r="BG757" s="7"/>
      <c r="BH757" s="7"/>
      <c r="BI757" s="7"/>
      <c r="BJ757" s="7"/>
      <c r="BK757" s="7"/>
      <c r="BL757" s="7"/>
      <c r="BM757" s="7"/>
      <c r="BN757" s="7"/>
      <c r="BO757" s="7"/>
      <c r="BP757" s="7"/>
      <c r="BQ757" s="7"/>
      <c r="BR757" s="7"/>
      <c r="BS757" s="7"/>
      <c r="BT757" s="7"/>
      <c r="BU757" s="7"/>
      <c r="BV757" s="7"/>
      <c r="BW757" s="7"/>
      <c r="BX757" s="7"/>
      <c r="BY757" s="7"/>
      <c r="BZ757" s="7"/>
      <c r="CA757" s="7"/>
      <c r="CB757" s="7"/>
      <c r="CC757" s="7"/>
      <c r="CD757" s="7"/>
      <c r="CE757" s="7"/>
      <c r="CF757" s="7"/>
      <c r="CG757" s="7"/>
    </row>
    <row r="758" spans="3:85"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  <c r="BB758" s="7"/>
      <c r="BC758" s="7"/>
      <c r="BD758" s="7"/>
      <c r="BE758" s="7"/>
      <c r="BF758" s="7"/>
      <c r="BG758" s="7"/>
      <c r="BH758" s="7"/>
      <c r="BI758" s="7"/>
      <c r="BJ758" s="7"/>
      <c r="BK758" s="7"/>
      <c r="BL758" s="7"/>
      <c r="BM758" s="7"/>
      <c r="BN758" s="7"/>
      <c r="BO758" s="7"/>
      <c r="BP758" s="7"/>
      <c r="BQ758" s="7"/>
      <c r="BR758" s="7"/>
      <c r="BS758" s="7"/>
      <c r="BT758" s="7"/>
      <c r="BU758" s="7"/>
      <c r="BV758" s="7"/>
      <c r="BW758" s="7"/>
      <c r="BX758" s="7"/>
      <c r="BY758" s="7"/>
      <c r="BZ758" s="7"/>
      <c r="CA758" s="7"/>
      <c r="CB758" s="7"/>
      <c r="CC758" s="7"/>
      <c r="CD758" s="7"/>
      <c r="CE758" s="7"/>
      <c r="CF758" s="7"/>
      <c r="CG758" s="7"/>
    </row>
    <row r="759" spans="3:85"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  <c r="BB759" s="7"/>
      <c r="BC759" s="7"/>
      <c r="BD759" s="7"/>
      <c r="BE759" s="7"/>
      <c r="BF759" s="7"/>
      <c r="BG759" s="7"/>
      <c r="BH759" s="7"/>
      <c r="BI759" s="7"/>
      <c r="BJ759" s="7"/>
      <c r="BK759" s="7"/>
      <c r="BL759" s="7"/>
      <c r="BM759" s="7"/>
      <c r="BN759" s="7"/>
      <c r="BO759" s="7"/>
      <c r="BP759" s="7"/>
      <c r="BQ759" s="7"/>
      <c r="BR759" s="7"/>
      <c r="BS759" s="7"/>
      <c r="BT759" s="7"/>
      <c r="BU759" s="7"/>
      <c r="BV759" s="7"/>
      <c r="BW759" s="7"/>
      <c r="BX759" s="7"/>
      <c r="BY759" s="7"/>
      <c r="BZ759" s="7"/>
      <c r="CA759" s="7"/>
      <c r="CB759" s="7"/>
      <c r="CC759" s="7"/>
      <c r="CD759" s="7"/>
      <c r="CE759" s="7"/>
      <c r="CF759" s="7"/>
      <c r="CG759" s="7"/>
    </row>
    <row r="760" spans="3:85"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  <c r="BB760" s="7"/>
      <c r="BC760" s="7"/>
      <c r="BD760" s="7"/>
      <c r="BE760" s="7"/>
      <c r="BF760" s="7"/>
      <c r="BG760" s="7"/>
      <c r="BH760" s="7"/>
      <c r="BI760" s="7"/>
      <c r="BJ760" s="7"/>
      <c r="BK760" s="7"/>
      <c r="BL760" s="7"/>
      <c r="BM760" s="7"/>
      <c r="BN760" s="7"/>
      <c r="BO760" s="7"/>
      <c r="BP760" s="7"/>
      <c r="BQ760" s="7"/>
      <c r="BR760" s="7"/>
      <c r="BS760" s="7"/>
      <c r="BT760" s="7"/>
      <c r="BU760" s="7"/>
      <c r="BV760" s="7"/>
      <c r="BW760" s="7"/>
      <c r="BX760" s="7"/>
      <c r="BY760" s="7"/>
      <c r="BZ760" s="7"/>
      <c r="CA760" s="7"/>
      <c r="CB760" s="7"/>
      <c r="CC760" s="7"/>
      <c r="CD760" s="7"/>
      <c r="CE760" s="7"/>
      <c r="CF760" s="7"/>
      <c r="CG760" s="7"/>
    </row>
    <row r="761" spans="3:85"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  <c r="BB761" s="7"/>
      <c r="BC761" s="7"/>
      <c r="BD761" s="7"/>
      <c r="BE761" s="7"/>
      <c r="BF761" s="7"/>
      <c r="BG761" s="7"/>
      <c r="BH761" s="7"/>
      <c r="BI761" s="7"/>
      <c r="BJ761" s="7"/>
      <c r="BK761" s="7"/>
      <c r="BL761" s="7"/>
      <c r="BM761" s="7"/>
      <c r="BN761" s="7"/>
      <c r="BO761" s="7"/>
      <c r="BP761" s="7"/>
      <c r="BQ761" s="7"/>
      <c r="BR761" s="7"/>
      <c r="BS761" s="7"/>
      <c r="BT761" s="7"/>
      <c r="BU761" s="7"/>
      <c r="BV761" s="7"/>
      <c r="BW761" s="7"/>
      <c r="BX761" s="7"/>
      <c r="BY761" s="7"/>
      <c r="BZ761" s="7"/>
      <c r="CA761" s="7"/>
      <c r="CB761" s="7"/>
      <c r="CC761" s="7"/>
      <c r="CD761" s="7"/>
      <c r="CE761" s="7"/>
      <c r="CF761" s="7"/>
      <c r="CG761" s="7"/>
    </row>
    <row r="762" spans="3:85"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  <c r="BB762" s="7"/>
      <c r="BC762" s="7"/>
      <c r="BD762" s="7"/>
      <c r="BE762" s="7"/>
      <c r="BF762" s="7"/>
      <c r="BG762" s="7"/>
      <c r="BH762" s="7"/>
      <c r="BI762" s="7"/>
      <c r="BJ762" s="7"/>
      <c r="BK762" s="7"/>
      <c r="BL762" s="7"/>
      <c r="BM762" s="7"/>
      <c r="BN762" s="7"/>
      <c r="BO762" s="7"/>
      <c r="BP762" s="7"/>
      <c r="BQ762" s="7"/>
      <c r="BR762" s="7"/>
      <c r="BS762" s="7"/>
      <c r="BT762" s="7"/>
      <c r="BU762" s="7"/>
      <c r="BV762" s="7"/>
      <c r="BW762" s="7"/>
      <c r="BX762" s="7"/>
      <c r="BY762" s="7"/>
      <c r="BZ762" s="7"/>
      <c r="CA762" s="7"/>
      <c r="CB762" s="7"/>
      <c r="CC762" s="7"/>
      <c r="CD762" s="7"/>
      <c r="CE762" s="7"/>
      <c r="CF762" s="7"/>
      <c r="CG762" s="7"/>
    </row>
    <row r="763" spans="3:85"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  <c r="BB763" s="7"/>
      <c r="BC763" s="7"/>
      <c r="BD763" s="7"/>
      <c r="BE763" s="7"/>
      <c r="BF763" s="7"/>
      <c r="BG763" s="7"/>
      <c r="BH763" s="7"/>
      <c r="BI763" s="7"/>
      <c r="BJ763" s="7"/>
      <c r="BK763" s="7"/>
      <c r="BL763" s="7"/>
      <c r="BM763" s="7"/>
      <c r="BN763" s="7"/>
      <c r="BO763" s="7"/>
      <c r="BP763" s="7"/>
      <c r="BQ763" s="7"/>
      <c r="BR763" s="7"/>
      <c r="BS763" s="7"/>
      <c r="BT763" s="7"/>
      <c r="BU763" s="7"/>
      <c r="BV763" s="7"/>
      <c r="BW763" s="7"/>
      <c r="BX763" s="7"/>
      <c r="BY763" s="7"/>
      <c r="BZ763" s="7"/>
      <c r="CA763" s="7"/>
      <c r="CB763" s="7"/>
      <c r="CC763" s="7"/>
      <c r="CD763" s="7"/>
      <c r="CE763" s="7"/>
      <c r="CF763" s="7"/>
      <c r="CG763" s="7"/>
    </row>
    <row r="764" spans="3:85"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  <c r="BB764" s="7"/>
      <c r="BC764" s="7"/>
      <c r="BD764" s="7"/>
      <c r="BE764" s="7"/>
      <c r="BF764" s="7"/>
      <c r="BG764" s="7"/>
      <c r="BH764" s="7"/>
      <c r="BI764" s="7"/>
      <c r="BJ764" s="7"/>
      <c r="BK764" s="7"/>
      <c r="BL764" s="7"/>
      <c r="BM764" s="7"/>
      <c r="BN764" s="7"/>
      <c r="BO764" s="7"/>
      <c r="BP764" s="7"/>
      <c r="BQ764" s="7"/>
      <c r="BR764" s="7"/>
      <c r="BS764" s="7"/>
      <c r="BT764" s="7"/>
      <c r="BU764" s="7"/>
      <c r="BV764" s="7"/>
      <c r="BW764" s="7"/>
      <c r="BX764" s="7"/>
      <c r="BY764" s="7"/>
      <c r="BZ764" s="7"/>
      <c r="CA764" s="7"/>
      <c r="CB764" s="7"/>
      <c r="CC764" s="7"/>
      <c r="CD764" s="7"/>
      <c r="CE764" s="7"/>
      <c r="CF764" s="7"/>
      <c r="CG764" s="7"/>
    </row>
    <row r="765" spans="3:85"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  <c r="BB765" s="7"/>
      <c r="BC765" s="7"/>
      <c r="BD765" s="7"/>
      <c r="BE765" s="7"/>
      <c r="BF765" s="7"/>
      <c r="BG765" s="7"/>
      <c r="BH765" s="7"/>
      <c r="BI765" s="7"/>
      <c r="BJ765" s="7"/>
      <c r="BK765" s="7"/>
      <c r="BL765" s="7"/>
      <c r="BM765" s="7"/>
      <c r="BN765" s="7"/>
      <c r="BO765" s="7"/>
      <c r="BP765" s="7"/>
      <c r="BQ765" s="7"/>
      <c r="BR765" s="7"/>
      <c r="BS765" s="7"/>
      <c r="BT765" s="7"/>
      <c r="BU765" s="7"/>
      <c r="BV765" s="7"/>
      <c r="BW765" s="7"/>
      <c r="BX765" s="7"/>
      <c r="BY765" s="7"/>
      <c r="BZ765" s="7"/>
      <c r="CA765" s="7"/>
      <c r="CB765" s="7"/>
      <c r="CC765" s="7"/>
      <c r="CD765" s="7"/>
      <c r="CE765" s="7"/>
      <c r="CF765" s="7"/>
      <c r="CG765" s="7"/>
    </row>
    <row r="766" spans="3:85"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  <c r="BB766" s="7"/>
      <c r="BC766" s="7"/>
      <c r="BD766" s="7"/>
      <c r="BE766" s="7"/>
      <c r="BF766" s="7"/>
      <c r="BG766" s="7"/>
      <c r="BH766" s="7"/>
      <c r="BI766" s="7"/>
      <c r="BJ766" s="7"/>
      <c r="BK766" s="7"/>
      <c r="BL766" s="7"/>
      <c r="BM766" s="7"/>
      <c r="BN766" s="7"/>
      <c r="BO766" s="7"/>
      <c r="BP766" s="7"/>
      <c r="BQ766" s="7"/>
      <c r="BR766" s="7"/>
      <c r="BS766" s="7"/>
      <c r="BT766" s="7"/>
      <c r="BU766" s="7"/>
      <c r="BV766" s="7"/>
      <c r="BW766" s="7"/>
      <c r="BX766" s="7"/>
      <c r="BY766" s="7"/>
      <c r="BZ766" s="7"/>
      <c r="CA766" s="7"/>
      <c r="CB766" s="7"/>
      <c r="CC766" s="7"/>
      <c r="CD766" s="7"/>
      <c r="CE766" s="7"/>
      <c r="CF766" s="7"/>
      <c r="CG766" s="7"/>
    </row>
    <row r="767" spans="3:85"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  <c r="BB767" s="7"/>
      <c r="BC767" s="7"/>
      <c r="BD767" s="7"/>
      <c r="BE767" s="7"/>
      <c r="BF767" s="7"/>
      <c r="BG767" s="7"/>
      <c r="BH767" s="7"/>
      <c r="BI767" s="7"/>
      <c r="BJ767" s="7"/>
      <c r="BK767" s="7"/>
      <c r="BL767" s="7"/>
      <c r="BM767" s="7"/>
      <c r="BN767" s="7"/>
      <c r="BO767" s="7"/>
      <c r="BP767" s="7"/>
      <c r="BQ767" s="7"/>
      <c r="BR767" s="7"/>
      <c r="BS767" s="7"/>
      <c r="BT767" s="7"/>
      <c r="BU767" s="7"/>
      <c r="BV767" s="7"/>
      <c r="BW767" s="7"/>
      <c r="BX767" s="7"/>
      <c r="BY767" s="7"/>
      <c r="BZ767" s="7"/>
      <c r="CA767" s="7"/>
      <c r="CB767" s="7"/>
      <c r="CC767" s="7"/>
      <c r="CD767" s="7"/>
      <c r="CE767" s="7"/>
      <c r="CF767" s="7"/>
      <c r="CG767" s="7"/>
    </row>
    <row r="768" spans="3:85"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  <c r="BB768" s="7"/>
      <c r="BC768" s="7"/>
      <c r="BD768" s="7"/>
      <c r="BE768" s="7"/>
      <c r="BF768" s="7"/>
      <c r="BG768" s="7"/>
      <c r="BH768" s="7"/>
      <c r="BI768" s="7"/>
      <c r="BJ768" s="7"/>
      <c r="BK768" s="7"/>
      <c r="BL768" s="7"/>
      <c r="BM768" s="7"/>
      <c r="BN768" s="7"/>
      <c r="BO768" s="7"/>
      <c r="BP768" s="7"/>
      <c r="BQ768" s="7"/>
      <c r="BR768" s="7"/>
      <c r="BS768" s="7"/>
      <c r="BT768" s="7"/>
      <c r="BU768" s="7"/>
      <c r="BV768" s="7"/>
      <c r="BW768" s="7"/>
      <c r="BX768" s="7"/>
      <c r="BY768" s="7"/>
      <c r="BZ768" s="7"/>
      <c r="CA768" s="7"/>
      <c r="CB768" s="7"/>
      <c r="CC768" s="7"/>
      <c r="CD768" s="7"/>
      <c r="CE768" s="7"/>
      <c r="CF768" s="7"/>
      <c r="CG768" s="7"/>
    </row>
    <row r="769" spans="3:85"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  <c r="BB769" s="7"/>
      <c r="BC769" s="7"/>
      <c r="BD769" s="7"/>
      <c r="BE769" s="7"/>
      <c r="BF769" s="7"/>
      <c r="BG769" s="7"/>
      <c r="BH769" s="7"/>
      <c r="BI769" s="7"/>
      <c r="BJ769" s="7"/>
      <c r="BK769" s="7"/>
      <c r="BL769" s="7"/>
      <c r="BM769" s="7"/>
      <c r="BN769" s="7"/>
      <c r="BO769" s="7"/>
      <c r="BP769" s="7"/>
      <c r="BQ769" s="7"/>
      <c r="BR769" s="7"/>
      <c r="BS769" s="7"/>
      <c r="BT769" s="7"/>
      <c r="BU769" s="7"/>
      <c r="BV769" s="7"/>
      <c r="BW769" s="7"/>
      <c r="BX769" s="7"/>
      <c r="BY769" s="7"/>
      <c r="BZ769" s="7"/>
      <c r="CA769" s="7"/>
      <c r="CB769" s="7"/>
      <c r="CC769" s="7"/>
      <c r="CD769" s="7"/>
      <c r="CE769" s="7"/>
      <c r="CF769" s="7"/>
      <c r="CG769" s="7"/>
    </row>
    <row r="770" spans="3:85"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  <c r="BB770" s="7"/>
      <c r="BC770" s="7"/>
      <c r="BD770" s="7"/>
      <c r="BE770" s="7"/>
      <c r="BF770" s="7"/>
      <c r="BG770" s="7"/>
      <c r="BH770" s="7"/>
      <c r="BI770" s="7"/>
      <c r="BJ770" s="7"/>
      <c r="BK770" s="7"/>
      <c r="BL770" s="7"/>
      <c r="BM770" s="7"/>
      <c r="BN770" s="7"/>
      <c r="BO770" s="7"/>
      <c r="BP770" s="7"/>
      <c r="BQ770" s="7"/>
      <c r="BR770" s="7"/>
      <c r="BS770" s="7"/>
      <c r="BT770" s="7"/>
      <c r="BU770" s="7"/>
      <c r="BV770" s="7"/>
      <c r="BW770" s="7"/>
      <c r="BX770" s="7"/>
      <c r="BY770" s="7"/>
      <c r="BZ770" s="7"/>
      <c r="CA770" s="7"/>
      <c r="CB770" s="7"/>
      <c r="CC770" s="7"/>
      <c r="CD770" s="7"/>
      <c r="CE770" s="7"/>
      <c r="CF770" s="7"/>
      <c r="CG770" s="7"/>
    </row>
    <row r="771" spans="3:85"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  <c r="BB771" s="7"/>
      <c r="BC771" s="7"/>
      <c r="BD771" s="7"/>
      <c r="BE771" s="7"/>
      <c r="BF771" s="7"/>
      <c r="BG771" s="7"/>
      <c r="BH771" s="7"/>
      <c r="BI771" s="7"/>
      <c r="BJ771" s="7"/>
      <c r="BK771" s="7"/>
      <c r="BL771" s="7"/>
      <c r="BM771" s="7"/>
      <c r="BN771" s="7"/>
      <c r="BO771" s="7"/>
      <c r="BP771" s="7"/>
      <c r="BQ771" s="7"/>
      <c r="BR771" s="7"/>
      <c r="BS771" s="7"/>
      <c r="BT771" s="7"/>
      <c r="BU771" s="7"/>
      <c r="BV771" s="7"/>
      <c r="BW771" s="7"/>
      <c r="BX771" s="7"/>
      <c r="BY771" s="7"/>
      <c r="BZ771" s="7"/>
      <c r="CA771" s="7"/>
      <c r="CB771" s="7"/>
      <c r="CC771" s="7"/>
      <c r="CD771" s="7"/>
      <c r="CE771" s="7"/>
      <c r="CF771" s="7"/>
      <c r="CG771" s="7"/>
    </row>
    <row r="772" spans="3:85"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  <c r="BB772" s="7"/>
      <c r="BC772" s="7"/>
      <c r="BD772" s="7"/>
      <c r="BE772" s="7"/>
      <c r="BF772" s="7"/>
      <c r="BG772" s="7"/>
      <c r="BH772" s="7"/>
      <c r="BI772" s="7"/>
      <c r="BJ772" s="7"/>
      <c r="BK772" s="7"/>
      <c r="BL772" s="7"/>
      <c r="BM772" s="7"/>
      <c r="BN772" s="7"/>
      <c r="BO772" s="7"/>
      <c r="BP772" s="7"/>
      <c r="BQ772" s="7"/>
      <c r="BR772" s="7"/>
      <c r="BS772" s="7"/>
      <c r="BT772" s="7"/>
      <c r="BU772" s="7"/>
      <c r="BV772" s="7"/>
      <c r="BW772" s="7"/>
      <c r="BX772" s="7"/>
      <c r="BY772" s="7"/>
      <c r="BZ772" s="7"/>
      <c r="CA772" s="7"/>
      <c r="CB772" s="7"/>
      <c r="CC772" s="7"/>
      <c r="CD772" s="7"/>
      <c r="CE772" s="7"/>
      <c r="CF772" s="7"/>
      <c r="CG772" s="7"/>
    </row>
    <row r="773" spans="3:85"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  <c r="BB773" s="7"/>
      <c r="BC773" s="7"/>
      <c r="BD773" s="7"/>
      <c r="BE773" s="7"/>
      <c r="BF773" s="7"/>
      <c r="BG773" s="7"/>
      <c r="BH773" s="7"/>
      <c r="BI773" s="7"/>
      <c r="BJ773" s="7"/>
      <c r="BK773" s="7"/>
      <c r="BL773" s="7"/>
      <c r="BM773" s="7"/>
      <c r="BN773" s="7"/>
      <c r="BO773" s="7"/>
      <c r="BP773" s="7"/>
      <c r="BQ773" s="7"/>
      <c r="BR773" s="7"/>
      <c r="BS773" s="7"/>
      <c r="BT773" s="7"/>
      <c r="BU773" s="7"/>
      <c r="BV773" s="7"/>
      <c r="BW773" s="7"/>
      <c r="BX773" s="7"/>
      <c r="BY773" s="7"/>
      <c r="BZ773" s="7"/>
      <c r="CA773" s="7"/>
      <c r="CB773" s="7"/>
      <c r="CC773" s="7"/>
      <c r="CD773" s="7"/>
      <c r="CE773" s="7"/>
      <c r="CF773" s="7"/>
      <c r="CG773" s="7"/>
    </row>
    <row r="774" spans="3:85"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  <c r="BB774" s="7"/>
      <c r="BC774" s="7"/>
      <c r="BD774" s="7"/>
      <c r="BE774" s="7"/>
      <c r="BF774" s="7"/>
      <c r="BG774" s="7"/>
      <c r="BH774" s="7"/>
      <c r="BI774" s="7"/>
      <c r="BJ774" s="7"/>
      <c r="BK774" s="7"/>
      <c r="BL774" s="7"/>
      <c r="BM774" s="7"/>
      <c r="BN774" s="7"/>
      <c r="BO774" s="7"/>
      <c r="BP774" s="7"/>
      <c r="BQ774" s="7"/>
      <c r="BR774" s="7"/>
      <c r="BS774" s="7"/>
      <c r="BT774" s="7"/>
      <c r="BU774" s="7"/>
      <c r="BV774" s="7"/>
      <c r="BW774" s="7"/>
      <c r="BX774" s="7"/>
      <c r="BY774" s="7"/>
      <c r="BZ774" s="7"/>
      <c r="CA774" s="7"/>
      <c r="CB774" s="7"/>
      <c r="CC774" s="7"/>
      <c r="CD774" s="7"/>
      <c r="CE774" s="7"/>
      <c r="CF774" s="7"/>
      <c r="CG774" s="7"/>
    </row>
    <row r="775" spans="3:85"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  <c r="BB775" s="7"/>
      <c r="BC775" s="7"/>
      <c r="BD775" s="7"/>
      <c r="BE775" s="7"/>
      <c r="BF775" s="7"/>
      <c r="BG775" s="7"/>
      <c r="BH775" s="7"/>
      <c r="BI775" s="7"/>
      <c r="BJ775" s="7"/>
      <c r="BK775" s="7"/>
      <c r="BL775" s="7"/>
      <c r="BM775" s="7"/>
      <c r="BN775" s="7"/>
      <c r="BO775" s="7"/>
      <c r="BP775" s="7"/>
      <c r="BQ775" s="7"/>
      <c r="BR775" s="7"/>
      <c r="BS775" s="7"/>
      <c r="BT775" s="7"/>
      <c r="BU775" s="7"/>
      <c r="BV775" s="7"/>
      <c r="BW775" s="7"/>
      <c r="BX775" s="7"/>
      <c r="BY775" s="7"/>
      <c r="BZ775" s="7"/>
      <c r="CA775" s="7"/>
      <c r="CB775" s="7"/>
      <c r="CC775" s="7"/>
      <c r="CD775" s="7"/>
      <c r="CE775" s="7"/>
      <c r="CF775" s="7"/>
      <c r="CG775" s="7"/>
    </row>
    <row r="776" spans="3:85"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  <c r="BB776" s="7"/>
      <c r="BC776" s="7"/>
      <c r="BD776" s="7"/>
      <c r="BE776" s="7"/>
      <c r="BF776" s="7"/>
      <c r="BG776" s="7"/>
      <c r="BH776" s="7"/>
      <c r="BI776" s="7"/>
      <c r="BJ776" s="7"/>
      <c r="BK776" s="7"/>
      <c r="BL776" s="7"/>
      <c r="BM776" s="7"/>
      <c r="BN776" s="7"/>
      <c r="BO776" s="7"/>
      <c r="BP776" s="7"/>
      <c r="BQ776" s="7"/>
      <c r="BR776" s="7"/>
      <c r="BS776" s="7"/>
      <c r="BT776" s="7"/>
      <c r="BU776" s="7"/>
      <c r="BV776" s="7"/>
      <c r="BW776" s="7"/>
      <c r="BX776" s="7"/>
      <c r="BY776" s="7"/>
      <c r="BZ776" s="7"/>
      <c r="CA776" s="7"/>
      <c r="CB776" s="7"/>
      <c r="CC776" s="7"/>
      <c r="CD776" s="7"/>
      <c r="CE776" s="7"/>
      <c r="CF776" s="7"/>
      <c r="CG776" s="7"/>
    </row>
    <row r="777" spans="3:85"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  <c r="BB777" s="7"/>
      <c r="BC777" s="7"/>
      <c r="BD777" s="7"/>
      <c r="BE777" s="7"/>
      <c r="BF777" s="7"/>
      <c r="BG777" s="7"/>
      <c r="BH777" s="7"/>
      <c r="BI777" s="7"/>
      <c r="BJ777" s="7"/>
      <c r="BK777" s="7"/>
      <c r="BL777" s="7"/>
      <c r="BM777" s="7"/>
      <c r="BN777" s="7"/>
      <c r="BO777" s="7"/>
      <c r="BP777" s="7"/>
      <c r="BQ777" s="7"/>
      <c r="BR777" s="7"/>
      <c r="BS777" s="7"/>
      <c r="BT777" s="7"/>
      <c r="BU777" s="7"/>
      <c r="BV777" s="7"/>
      <c r="BW777" s="7"/>
      <c r="BX777" s="7"/>
      <c r="BY777" s="7"/>
      <c r="BZ777" s="7"/>
      <c r="CA777" s="7"/>
      <c r="CB777" s="7"/>
      <c r="CC777" s="7"/>
      <c r="CD777" s="7"/>
      <c r="CE777" s="7"/>
      <c r="CF777" s="7"/>
      <c r="CG777" s="7"/>
    </row>
    <row r="778" spans="3:85"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  <c r="BB778" s="7"/>
      <c r="BC778" s="7"/>
      <c r="BD778" s="7"/>
      <c r="BE778" s="7"/>
      <c r="BF778" s="7"/>
      <c r="BG778" s="7"/>
      <c r="BH778" s="7"/>
      <c r="BI778" s="7"/>
      <c r="BJ778" s="7"/>
      <c r="BK778" s="7"/>
      <c r="BL778" s="7"/>
      <c r="BM778" s="7"/>
      <c r="BN778" s="7"/>
      <c r="BO778" s="7"/>
      <c r="BP778" s="7"/>
      <c r="BQ778" s="7"/>
      <c r="BR778" s="7"/>
      <c r="BS778" s="7"/>
      <c r="BT778" s="7"/>
      <c r="BU778" s="7"/>
      <c r="BV778" s="7"/>
      <c r="BW778" s="7"/>
      <c r="BX778" s="7"/>
      <c r="BY778" s="7"/>
      <c r="BZ778" s="7"/>
      <c r="CA778" s="7"/>
      <c r="CB778" s="7"/>
      <c r="CC778" s="7"/>
      <c r="CD778" s="7"/>
      <c r="CE778" s="7"/>
      <c r="CF778" s="7"/>
      <c r="CG778" s="7"/>
    </row>
    <row r="779" spans="3:85"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  <c r="BB779" s="7"/>
      <c r="BC779" s="7"/>
      <c r="BD779" s="7"/>
      <c r="BE779" s="7"/>
      <c r="BF779" s="7"/>
      <c r="BG779" s="7"/>
      <c r="BH779" s="7"/>
      <c r="BI779" s="7"/>
      <c r="BJ779" s="7"/>
      <c r="BK779" s="7"/>
      <c r="BL779" s="7"/>
      <c r="BM779" s="7"/>
      <c r="BN779" s="7"/>
      <c r="BO779" s="7"/>
      <c r="BP779" s="7"/>
      <c r="BQ779" s="7"/>
      <c r="BR779" s="7"/>
      <c r="BS779" s="7"/>
      <c r="BT779" s="7"/>
      <c r="BU779" s="7"/>
      <c r="BV779" s="7"/>
      <c r="BW779" s="7"/>
      <c r="BX779" s="7"/>
      <c r="BY779" s="7"/>
      <c r="BZ779" s="7"/>
      <c r="CA779" s="7"/>
      <c r="CB779" s="7"/>
      <c r="CC779" s="7"/>
      <c r="CD779" s="7"/>
      <c r="CE779" s="7"/>
      <c r="CF779" s="7"/>
      <c r="CG779" s="7"/>
    </row>
    <row r="780" spans="3:85"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  <c r="BB780" s="7"/>
      <c r="BC780" s="7"/>
      <c r="BD780" s="7"/>
      <c r="BE780" s="7"/>
      <c r="BF780" s="7"/>
      <c r="BG780" s="7"/>
      <c r="BH780" s="7"/>
      <c r="BI780" s="7"/>
      <c r="BJ780" s="7"/>
      <c r="BK780" s="7"/>
      <c r="BL780" s="7"/>
      <c r="BM780" s="7"/>
      <c r="BN780" s="7"/>
      <c r="BO780" s="7"/>
      <c r="BP780" s="7"/>
      <c r="BQ780" s="7"/>
      <c r="BR780" s="7"/>
      <c r="BS780" s="7"/>
      <c r="BT780" s="7"/>
      <c r="BU780" s="7"/>
      <c r="BV780" s="7"/>
      <c r="BW780" s="7"/>
      <c r="BX780" s="7"/>
      <c r="BY780" s="7"/>
      <c r="BZ780" s="7"/>
      <c r="CA780" s="7"/>
      <c r="CB780" s="7"/>
      <c r="CC780" s="7"/>
      <c r="CD780" s="7"/>
      <c r="CE780" s="7"/>
      <c r="CF780" s="7"/>
      <c r="CG780" s="7"/>
    </row>
    <row r="781" spans="3:85"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  <c r="BB781" s="7"/>
      <c r="BC781" s="7"/>
      <c r="BD781" s="7"/>
      <c r="BE781" s="7"/>
      <c r="BF781" s="7"/>
      <c r="BG781" s="7"/>
      <c r="BH781" s="7"/>
      <c r="BI781" s="7"/>
      <c r="BJ781" s="7"/>
      <c r="BK781" s="7"/>
      <c r="BL781" s="7"/>
      <c r="BM781" s="7"/>
      <c r="BN781" s="7"/>
      <c r="BO781" s="7"/>
      <c r="BP781" s="7"/>
      <c r="BQ781" s="7"/>
      <c r="BR781" s="7"/>
      <c r="BS781" s="7"/>
      <c r="BT781" s="7"/>
      <c r="BU781" s="7"/>
      <c r="BV781" s="7"/>
      <c r="BW781" s="7"/>
      <c r="BX781" s="7"/>
      <c r="BY781" s="7"/>
      <c r="BZ781" s="7"/>
      <c r="CA781" s="7"/>
      <c r="CB781" s="7"/>
      <c r="CC781" s="7"/>
      <c r="CD781" s="7"/>
      <c r="CE781" s="7"/>
      <c r="CF781" s="7"/>
      <c r="CG781" s="7"/>
    </row>
    <row r="782" spans="3:85"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  <c r="BB782" s="7"/>
      <c r="BC782" s="7"/>
      <c r="BD782" s="7"/>
      <c r="BE782" s="7"/>
      <c r="BF782" s="7"/>
      <c r="BG782" s="7"/>
      <c r="BH782" s="7"/>
      <c r="BI782" s="7"/>
      <c r="BJ782" s="7"/>
      <c r="BK782" s="7"/>
      <c r="BL782" s="7"/>
      <c r="BM782" s="7"/>
      <c r="BN782" s="7"/>
      <c r="BO782" s="7"/>
      <c r="BP782" s="7"/>
      <c r="BQ782" s="7"/>
      <c r="BR782" s="7"/>
      <c r="BS782" s="7"/>
      <c r="BT782" s="7"/>
      <c r="BU782" s="7"/>
      <c r="BV782" s="7"/>
      <c r="BW782" s="7"/>
      <c r="BX782" s="7"/>
      <c r="BY782" s="7"/>
      <c r="BZ782" s="7"/>
      <c r="CA782" s="7"/>
      <c r="CB782" s="7"/>
      <c r="CC782" s="7"/>
      <c r="CD782" s="7"/>
      <c r="CE782" s="7"/>
      <c r="CF782" s="7"/>
      <c r="CG782" s="7"/>
    </row>
    <row r="783" spans="3:85"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  <c r="BB783" s="7"/>
      <c r="BC783" s="7"/>
      <c r="BD783" s="7"/>
      <c r="BE783" s="7"/>
      <c r="BF783" s="7"/>
      <c r="BG783" s="7"/>
      <c r="BH783" s="7"/>
      <c r="BI783" s="7"/>
      <c r="BJ783" s="7"/>
      <c r="BK783" s="7"/>
      <c r="BL783" s="7"/>
      <c r="BM783" s="7"/>
      <c r="BN783" s="7"/>
      <c r="BO783" s="7"/>
      <c r="BP783" s="7"/>
      <c r="BQ783" s="7"/>
      <c r="BR783" s="7"/>
      <c r="BS783" s="7"/>
      <c r="BT783" s="7"/>
      <c r="BU783" s="7"/>
      <c r="BV783" s="7"/>
      <c r="BW783" s="7"/>
      <c r="BX783" s="7"/>
      <c r="BY783" s="7"/>
      <c r="BZ783" s="7"/>
      <c r="CA783" s="7"/>
      <c r="CB783" s="7"/>
      <c r="CC783" s="7"/>
      <c r="CD783" s="7"/>
      <c r="CE783" s="7"/>
      <c r="CF783" s="7"/>
      <c r="CG783" s="7"/>
    </row>
    <row r="784" spans="3:85"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  <c r="BB784" s="7"/>
      <c r="BC784" s="7"/>
      <c r="BD784" s="7"/>
      <c r="BE784" s="7"/>
      <c r="BF784" s="7"/>
      <c r="BG784" s="7"/>
      <c r="BH784" s="7"/>
      <c r="BI784" s="7"/>
      <c r="BJ784" s="7"/>
      <c r="BK784" s="7"/>
      <c r="BL784" s="7"/>
      <c r="BM784" s="7"/>
      <c r="BN784" s="7"/>
      <c r="BO784" s="7"/>
      <c r="BP784" s="7"/>
      <c r="BQ784" s="7"/>
      <c r="BR784" s="7"/>
      <c r="BS784" s="7"/>
      <c r="BT784" s="7"/>
      <c r="BU784" s="7"/>
      <c r="BV784" s="7"/>
      <c r="BW784" s="7"/>
      <c r="BX784" s="7"/>
      <c r="BY784" s="7"/>
      <c r="BZ784" s="7"/>
      <c r="CA784" s="7"/>
      <c r="CB784" s="7"/>
      <c r="CC784" s="7"/>
      <c r="CD784" s="7"/>
      <c r="CE784" s="7"/>
      <c r="CF784" s="7"/>
      <c r="CG784" s="7"/>
    </row>
    <row r="785" spans="3:85"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  <c r="BB785" s="7"/>
      <c r="BC785" s="7"/>
      <c r="BD785" s="7"/>
      <c r="BE785" s="7"/>
      <c r="BF785" s="7"/>
      <c r="BG785" s="7"/>
      <c r="BH785" s="7"/>
      <c r="BI785" s="7"/>
      <c r="BJ785" s="7"/>
      <c r="BK785" s="7"/>
      <c r="BL785" s="7"/>
      <c r="BM785" s="7"/>
      <c r="BN785" s="7"/>
      <c r="BO785" s="7"/>
      <c r="BP785" s="7"/>
      <c r="BQ785" s="7"/>
      <c r="BR785" s="7"/>
      <c r="BS785" s="7"/>
      <c r="BT785" s="7"/>
      <c r="BU785" s="7"/>
      <c r="BV785" s="7"/>
      <c r="BW785" s="7"/>
      <c r="BX785" s="7"/>
      <c r="BY785" s="7"/>
      <c r="BZ785" s="7"/>
      <c r="CA785" s="7"/>
      <c r="CB785" s="7"/>
      <c r="CC785" s="7"/>
      <c r="CD785" s="7"/>
      <c r="CE785" s="7"/>
      <c r="CF785" s="7"/>
      <c r="CG785" s="7"/>
    </row>
    <row r="786" spans="3:85"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  <c r="BB786" s="7"/>
      <c r="BC786" s="7"/>
      <c r="BD786" s="7"/>
      <c r="BE786" s="7"/>
      <c r="BF786" s="7"/>
      <c r="BG786" s="7"/>
      <c r="BH786" s="7"/>
      <c r="BI786" s="7"/>
      <c r="BJ786" s="7"/>
      <c r="BK786" s="7"/>
      <c r="BL786" s="7"/>
      <c r="BM786" s="7"/>
      <c r="BN786" s="7"/>
      <c r="BO786" s="7"/>
      <c r="BP786" s="7"/>
      <c r="BQ786" s="7"/>
      <c r="BR786" s="7"/>
      <c r="BS786" s="7"/>
      <c r="BT786" s="7"/>
      <c r="BU786" s="7"/>
      <c r="BV786" s="7"/>
      <c r="BW786" s="7"/>
      <c r="BX786" s="7"/>
      <c r="BY786" s="7"/>
      <c r="BZ786" s="7"/>
      <c r="CA786" s="7"/>
      <c r="CB786" s="7"/>
      <c r="CC786" s="7"/>
      <c r="CD786" s="7"/>
      <c r="CE786" s="7"/>
      <c r="CF786" s="7"/>
      <c r="CG786" s="7"/>
    </row>
    <row r="787" spans="3:85"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  <c r="BB787" s="7"/>
      <c r="BC787" s="7"/>
      <c r="BD787" s="7"/>
      <c r="BE787" s="7"/>
      <c r="BF787" s="7"/>
      <c r="BG787" s="7"/>
      <c r="BH787" s="7"/>
      <c r="BI787" s="7"/>
      <c r="BJ787" s="7"/>
      <c r="BK787" s="7"/>
      <c r="BL787" s="7"/>
      <c r="BM787" s="7"/>
      <c r="BN787" s="7"/>
      <c r="BO787" s="7"/>
      <c r="BP787" s="7"/>
      <c r="BQ787" s="7"/>
      <c r="BR787" s="7"/>
      <c r="BS787" s="7"/>
      <c r="BT787" s="7"/>
      <c r="BU787" s="7"/>
      <c r="BV787" s="7"/>
      <c r="BW787" s="7"/>
      <c r="BX787" s="7"/>
      <c r="BY787" s="7"/>
      <c r="BZ787" s="7"/>
      <c r="CA787" s="7"/>
      <c r="CB787" s="7"/>
      <c r="CC787" s="7"/>
      <c r="CD787" s="7"/>
      <c r="CE787" s="7"/>
      <c r="CF787" s="7"/>
      <c r="CG787" s="7"/>
    </row>
    <row r="788" spans="3:85"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  <c r="BB788" s="7"/>
      <c r="BC788" s="7"/>
      <c r="BD788" s="7"/>
      <c r="BE788" s="7"/>
      <c r="BF788" s="7"/>
      <c r="BG788" s="7"/>
      <c r="BH788" s="7"/>
      <c r="BI788" s="7"/>
      <c r="BJ788" s="7"/>
      <c r="BK788" s="7"/>
      <c r="BL788" s="7"/>
      <c r="BM788" s="7"/>
      <c r="BN788" s="7"/>
      <c r="BO788" s="7"/>
      <c r="BP788" s="7"/>
      <c r="BQ788" s="7"/>
      <c r="BR788" s="7"/>
      <c r="BS788" s="7"/>
      <c r="BT788" s="7"/>
      <c r="BU788" s="7"/>
      <c r="BV788" s="7"/>
      <c r="BW788" s="7"/>
      <c r="BX788" s="7"/>
      <c r="BY788" s="7"/>
      <c r="BZ788" s="7"/>
      <c r="CA788" s="7"/>
      <c r="CB788" s="7"/>
      <c r="CC788" s="7"/>
      <c r="CD788" s="7"/>
      <c r="CE788" s="7"/>
      <c r="CF788" s="7"/>
      <c r="CG788" s="7"/>
    </row>
    <row r="789" spans="3:85"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  <c r="BB789" s="7"/>
      <c r="BC789" s="7"/>
      <c r="BD789" s="7"/>
      <c r="BE789" s="7"/>
      <c r="BF789" s="7"/>
      <c r="BG789" s="7"/>
      <c r="BH789" s="7"/>
      <c r="BI789" s="7"/>
      <c r="BJ789" s="7"/>
      <c r="BK789" s="7"/>
      <c r="BL789" s="7"/>
      <c r="BM789" s="7"/>
      <c r="BN789" s="7"/>
      <c r="BO789" s="7"/>
      <c r="BP789" s="7"/>
      <c r="BQ789" s="7"/>
      <c r="BR789" s="7"/>
      <c r="BS789" s="7"/>
      <c r="BT789" s="7"/>
      <c r="BU789" s="7"/>
      <c r="BV789" s="7"/>
      <c r="BW789" s="7"/>
      <c r="BX789" s="7"/>
      <c r="BY789" s="7"/>
      <c r="BZ789" s="7"/>
      <c r="CA789" s="7"/>
      <c r="CB789" s="7"/>
      <c r="CC789" s="7"/>
      <c r="CD789" s="7"/>
      <c r="CE789" s="7"/>
      <c r="CF789" s="7"/>
      <c r="CG789" s="7"/>
    </row>
    <row r="790" spans="3:85"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  <c r="BB790" s="7"/>
      <c r="BC790" s="7"/>
      <c r="BD790" s="7"/>
      <c r="BE790" s="7"/>
      <c r="BF790" s="7"/>
      <c r="BG790" s="7"/>
      <c r="BH790" s="7"/>
      <c r="BI790" s="7"/>
      <c r="BJ790" s="7"/>
      <c r="BK790" s="7"/>
      <c r="BL790" s="7"/>
      <c r="BM790" s="7"/>
      <c r="BN790" s="7"/>
      <c r="BO790" s="7"/>
      <c r="BP790" s="7"/>
      <c r="BQ790" s="7"/>
      <c r="BR790" s="7"/>
      <c r="BS790" s="7"/>
      <c r="BT790" s="7"/>
      <c r="BU790" s="7"/>
      <c r="BV790" s="7"/>
      <c r="BW790" s="7"/>
      <c r="BX790" s="7"/>
      <c r="BY790" s="7"/>
      <c r="BZ790" s="7"/>
      <c r="CA790" s="7"/>
      <c r="CB790" s="7"/>
      <c r="CC790" s="7"/>
      <c r="CD790" s="7"/>
      <c r="CE790" s="7"/>
      <c r="CF790" s="7"/>
      <c r="CG790" s="7"/>
    </row>
    <row r="791" spans="3:85"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  <c r="BB791" s="7"/>
      <c r="BC791" s="7"/>
      <c r="BD791" s="7"/>
      <c r="BE791" s="7"/>
      <c r="BF791" s="7"/>
      <c r="BG791" s="7"/>
      <c r="BH791" s="7"/>
      <c r="BI791" s="7"/>
      <c r="BJ791" s="7"/>
      <c r="BK791" s="7"/>
      <c r="BL791" s="7"/>
      <c r="BM791" s="7"/>
      <c r="BN791" s="7"/>
      <c r="BO791" s="7"/>
      <c r="BP791" s="7"/>
      <c r="BQ791" s="7"/>
      <c r="BR791" s="7"/>
      <c r="BS791" s="7"/>
      <c r="BT791" s="7"/>
      <c r="BU791" s="7"/>
      <c r="BV791" s="7"/>
      <c r="BW791" s="7"/>
      <c r="BX791" s="7"/>
      <c r="BY791" s="7"/>
      <c r="BZ791" s="7"/>
      <c r="CA791" s="7"/>
      <c r="CB791" s="7"/>
      <c r="CC791" s="7"/>
      <c r="CD791" s="7"/>
      <c r="CE791" s="7"/>
      <c r="CF791" s="7"/>
      <c r="CG791" s="7"/>
    </row>
    <row r="792" spans="3:85"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  <c r="BB792" s="7"/>
      <c r="BC792" s="7"/>
      <c r="BD792" s="7"/>
      <c r="BE792" s="7"/>
      <c r="BF792" s="7"/>
      <c r="BG792" s="7"/>
      <c r="BH792" s="7"/>
      <c r="BI792" s="7"/>
      <c r="BJ792" s="7"/>
      <c r="BK792" s="7"/>
      <c r="BL792" s="7"/>
      <c r="BM792" s="7"/>
      <c r="BN792" s="7"/>
      <c r="BO792" s="7"/>
      <c r="BP792" s="7"/>
      <c r="BQ792" s="7"/>
      <c r="BR792" s="7"/>
      <c r="BS792" s="7"/>
      <c r="BT792" s="7"/>
      <c r="BU792" s="7"/>
      <c r="BV792" s="7"/>
      <c r="BW792" s="7"/>
      <c r="BX792" s="7"/>
      <c r="BY792" s="7"/>
      <c r="BZ792" s="7"/>
      <c r="CA792" s="7"/>
      <c r="CB792" s="7"/>
      <c r="CC792" s="7"/>
      <c r="CD792" s="7"/>
      <c r="CE792" s="7"/>
      <c r="CF792" s="7"/>
      <c r="CG792" s="7"/>
    </row>
    <row r="793" spans="3:85"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  <c r="BB793" s="7"/>
      <c r="BC793" s="7"/>
      <c r="BD793" s="7"/>
      <c r="BE793" s="7"/>
      <c r="BF793" s="7"/>
      <c r="BG793" s="7"/>
      <c r="BH793" s="7"/>
      <c r="BI793" s="7"/>
      <c r="BJ793" s="7"/>
      <c r="BK793" s="7"/>
      <c r="BL793" s="7"/>
      <c r="BM793" s="7"/>
      <c r="BN793" s="7"/>
      <c r="BO793" s="7"/>
      <c r="BP793" s="7"/>
      <c r="BQ793" s="7"/>
      <c r="BR793" s="7"/>
      <c r="BS793" s="7"/>
      <c r="BT793" s="7"/>
      <c r="BU793" s="7"/>
      <c r="BV793" s="7"/>
      <c r="BW793" s="7"/>
      <c r="BX793" s="7"/>
      <c r="BY793" s="7"/>
      <c r="BZ793" s="7"/>
      <c r="CA793" s="7"/>
      <c r="CB793" s="7"/>
      <c r="CC793" s="7"/>
      <c r="CD793" s="7"/>
      <c r="CE793" s="7"/>
      <c r="CF793" s="7"/>
      <c r="CG793" s="7"/>
    </row>
    <row r="794" spans="3:85"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  <c r="BB794" s="7"/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  <c r="BP794" s="7"/>
      <c r="BQ794" s="7"/>
      <c r="BR794" s="7"/>
      <c r="BS794" s="7"/>
      <c r="BT794" s="7"/>
      <c r="BU794" s="7"/>
      <c r="BV794" s="7"/>
      <c r="BW794" s="7"/>
      <c r="BX794" s="7"/>
      <c r="BY794" s="7"/>
      <c r="BZ794" s="7"/>
      <c r="CA794" s="7"/>
      <c r="CB794" s="7"/>
      <c r="CC794" s="7"/>
      <c r="CD794" s="7"/>
      <c r="CE794" s="7"/>
      <c r="CF794" s="7"/>
      <c r="CG794" s="7"/>
    </row>
    <row r="795" spans="3:85"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  <c r="BB795" s="7"/>
      <c r="BC795" s="7"/>
      <c r="BD795" s="7"/>
      <c r="BE795" s="7"/>
      <c r="BF795" s="7"/>
      <c r="BG795" s="7"/>
      <c r="BH795" s="7"/>
      <c r="BI795" s="7"/>
      <c r="BJ795" s="7"/>
      <c r="BK795" s="7"/>
      <c r="BL795" s="7"/>
      <c r="BM795" s="7"/>
      <c r="BN795" s="7"/>
      <c r="BO795" s="7"/>
      <c r="BP795" s="7"/>
      <c r="BQ795" s="7"/>
      <c r="BR795" s="7"/>
      <c r="BS795" s="7"/>
      <c r="BT795" s="7"/>
      <c r="BU795" s="7"/>
      <c r="BV795" s="7"/>
      <c r="BW795" s="7"/>
      <c r="BX795" s="7"/>
      <c r="BY795" s="7"/>
      <c r="BZ795" s="7"/>
      <c r="CA795" s="7"/>
      <c r="CB795" s="7"/>
      <c r="CC795" s="7"/>
      <c r="CD795" s="7"/>
      <c r="CE795" s="7"/>
      <c r="CF795" s="7"/>
      <c r="CG795" s="7"/>
    </row>
    <row r="796" spans="3:85"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  <c r="BB796" s="7"/>
      <c r="BC796" s="7"/>
      <c r="BD796" s="7"/>
      <c r="BE796" s="7"/>
      <c r="BF796" s="7"/>
      <c r="BG796" s="7"/>
      <c r="BH796" s="7"/>
      <c r="BI796" s="7"/>
      <c r="BJ796" s="7"/>
      <c r="BK796" s="7"/>
      <c r="BL796" s="7"/>
      <c r="BM796" s="7"/>
      <c r="BN796" s="7"/>
      <c r="BO796" s="7"/>
      <c r="BP796" s="7"/>
      <c r="BQ796" s="7"/>
      <c r="BR796" s="7"/>
      <c r="BS796" s="7"/>
      <c r="BT796" s="7"/>
      <c r="BU796" s="7"/>
      <c r="BV796" s="7"/>
      <c r="BW796" s="7"/>
      <c r="BX796" s="7"/>
      <c r="BY796" s="7"/>
      <c r="BZ796" s="7"/>
      <c r="CA796" s="7"/>
      <c r="CB796" s="7"/>
      <c r="CC796" s="7"/>
      <c r="CD796" s="7"/>
      <c r="CE796" s="7"/>
      <c r="CF796" s="7"/>
      <c r="CG796" s="7"/>
    </row>
    <row r="797" spans="3:85"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  <c r="BB797" s="7"/>
      <c r="BC797" s="7"/>
      <c r="BD797" s="7"/>
      <c r="BE797" s="7"/>
      <c r="BF797" s="7"/>
      <c r="BG797" s="7"/>
      <c r="BH797" s="7"/>
      <c r="BI797" s="7"/>
      <c r="BJ797" s="7"/>
      <c r="BK797" s="7"/>
      <c r="BL797" s="7"/>
      <c r="BM797" s="7"/>
      <c r="BN797" s="7"/>
      <c r="BO797" s="7"/>
      <c r="BP797" s="7"/>
      <c r="BQ797" s="7"/>
      <c r="BR797" s="7"/>
      <c r="BS797" s="7"/>
      <c r="BT797" s="7"/>
      <c r="BU797" s="7"/>
      <c r="BV797" s="7"/>
      <c r="BW797" s="7"/>
      <c r="BX797" s="7"/>
      <c r="BY797" s="7"/>
      <c r="BZ797" s="7"/>
      <c r="CA797" s="7"/>
      <c r="CB797" s="7"/>
      <c r="CC797" s="7"/>
      <c r="CD797" s="7"/>
      <c r="CE797" s="7"/>
      <c r="CF797" s="7"/>
      <c r="CG797" s="7"/>
    </row>
    <row r="798" spans="3:85"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  <c r="BB798" s="7"/>
      <c r="BC798" s="7"/>
      <c r="BD798" s="7"/>
      <c r="BE798" s="7"/>
      <c r="BF798" s="7"/>
      <c r="BG798" s="7"/>
      <c r="BH798" s="7"/>
      <c r="BI798" s="7"/>
      <c r="BJ798" s="7"/>
      <c r="BK798" s="7"/>
      <c r="BL798" s="7"/>
      <c r="BM798" s="7"/>
      <c r="BN798" s="7"/>
      <c r="BO798" s="7"/>
      <c r="BP798" s="7"/>
      <c r="BQ798" s="7"/>
      <c r="BR798" s="7"/>
      <c r="BS798" s="7"/>
      <c r="BT798" s="7"/>
      <c r="BU798" s="7"/>
      <c r="BV798" s="7"/>
      <c r="BW798" s="7"/>
      <c r="BX798" s="7"/>
      <c r="BY798" s="7"/>
      <c r="BZ798" s="7"/>
      <c r="CA798" s="7"/>
      <c r="CB798" s="7"/>
      <c r="CC798" s="7"/>
      <c r="CD798" s="7"/>
      <c r="CE798" s="7"/>
      <c r="CF798" s="7"/>
      <c r="CG798" s="7"/>
    </row>
    <row r="799" spans="3:85"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  <c r="BB799" s="7"/>
      <c r="BC799" s="7"/>
      <c r="BD799" s="7"/>
      <c r="BE799" s="7"/>
      <c r="BF799" s="7"/>
      <c r="BG799" s="7"/>
      <c r="BH799" s="7"/>
      <c r="BI799" s="7"/>
      <c r="BJ799" s="7"/>
      <c r="BK799" s="7"/>
      <c r="BL799" s="7"/>
      <c r="BM799" s="7"/>
      <c r="BN799" s="7"/>
      <c r="BO799" s="7"/>
      <c r="BP799" s="7"/>
      <c r="BQ799" s="7"/>
      <c r="BR799" s="7"/>
      <c r="BS799" s="7"/>
      <c r="BT799" s="7"/>
      <c r="BU799" s="7"/>
      <c r="BV799" s="7"/>
      <c r="BW799" s="7"/>
      <c r="BX799" s="7"/>
      <c r="BY799" s="7"/>
      <c r="BZ799" s="7"/>
      <c r="CA799" s="7"/>
      <c r="CB799" s="7"/>
      <c r="CC799" s="7"/>
      <c r="CD799" s="7"/>
      <c r="CE799" s="7"/>
      <c r="CF799" s="7"/>
      <c r="CG799" s="7"/>
    </row>
    <row r="800" spans="3:85"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  <c r="BB800" s="7"/>
      <c r="BC800" s="7"/>
      <c r="BD800" s="7"/>
      <c r="BE800" s="7"/>
      <c r="BF800" s="7"/>
      <c r="BG800" s="7"/>
      <c r="BH800" s="7"/>
      <c r="BI800" s="7"/>
      <c r="BJ800" s="7"/>
      <c r="BK800" s="7"/>
      <c r="BL800" s="7"/>
      <c r="BM800" s="7"/>
      <c r="BN800" s="7"/>
      <c r="BO800" s="7"/>
      <c r="BP800" s="7"/>
      <c r="BQ800" s="7"/>
      <c r="BR800" s="7"/>
      <c r="BS800" s="7"/>
      <c r="BT800" s="7"/>
      <c r="BU800" s="7"/>
      <c r="BV800" s="7"/>
      <c r="BW800" s="7"/>
      <c r="BX800" s="7"/>
      <c r="BY800" s="7"/>
      <c r="BZ800" s="7"/>
      <c r="CA800" s="7"/>
      <c r="CB800" s="7"/>
      <c r="CC800" s="7"/>
      <c r="CD800" s="7"/>
      <c r="CE800" s="7"/>
      <c r="CF800" s="7"/>
      <c r="CG800" s="7"/>
    </row>
    <row r="801" spans="3:85"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  <c r="BB801" s="7"/>
      <c r="BC801" s="7"/>
      <c r="BD801" s="7"/>
      <c r="BE801" s="7"/>
      <c r="BF801" s="7"/>
      <c r="BG801" s="7"/>
      <c r="BH801" s="7"/>
      <c r="BI801" s="7"/>
      <c r="BJ801" s="7"/>
      <c r="BK801" s="7"/>
      <c r="BL801" s="7"/>
      <c r="BM801" s="7"/>
      <c r="BN801" s="7"/>
      <c r="BO801" s="7"/>
      <c r="BP801" s="7"/>
      <c r="BQ801" s="7"/>
      <c r="BR801" s="7"/>
      <c r="BS801" s="7"/>
      <c r="BT801" s="7"/>
      <c r="BU801" s="7"/>
      <c r="BV801" s="7"/>
      <c r="BW801" s="7"/>
      <c r="BX801" s="7"/>
      <c r="BY801" s="7"/>
      <c r="BZ801" s="7"/>
      <c r="CA801" s="7"/>
      <c r="CB801" s="7"/>
      <c r="CC801" s="7"/>
      <c r="CD801" s="7"/>
      <c r="CE801" s="7"/>
      <c r="CF801" s="7"/>
      <c r="CG801" s="7"/>
    </row>
    <row r="802" spans="3:85"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  <c r="BB802" s="7"/>
      <c r="BC802" s="7"/>
      <c r="BD802" s="7"/>
      <c r="BE802" s="7"/>
      <c r="BF802" s="7"/>
      <c r="BG802" s="7"/>
      <c r="BH802" s="7"/>
      <c r="BI802" s="7"/>
      <c r="BJ802" s="7"/>
      <c r="BK802" s="7"/>
      <c r="BL802" s="7"/>
      <c r="BM802" s="7"/>
      <c r="BN802" s="7"/>
      <c r="BO802" s="7"/>
      <c r="BP802" s="7"/>
      <c r="BQ802" s="7"/>
      <c r="BR802" s="7"/>
      <c r="BS802" s="7"/>
      <c r="BT802" s="7"/>
      <c r="BU802" s="7"/>
      <c r="BV802" s="7"/>
      <c r="BW802" s="7"/>
      <c r="BX802" s="7"/>
      <c r="BY802" s="7"/>
      <c r="BZ802" s="7"/>
      <c r="CA802" s="7"/>
      <c r="CB802" s="7"/>
      <c r="CC802" s="7"/>
      <c r="CD802" s="7"/>
      <c r="CE802" s="7"/>
      <c r="CF802" s="7"/>
      <c r="CG802" s="7"/>
    </row>
    <row r="803" spans="3:85"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  <c r="BB803" s="7"/>
      <c r="BC803" s="7"/>
      <c r="BD803" s="7"/>
      <c r="BE803" s="7"/>
      <c r="BF803" s="7"/>
      <c r="BG803" s="7"/>
      <c r="BH803" s="7"/>
      <c r="BI803" s="7"/>
      <c r="BJ803" s="7"/>
      <c r="BK803" s="7"/>
      <c r="BL803" s="7"/>
      <c r="BM803" s="7"/>
      <c r="BN803" s="7"/>
      <c r="BO803" s="7"/>
      <c r="BP803" s="7"/>
      <c r="BQ803" s="7"/>
      <c r="BR803" s="7"/>
      <c r="BS803" s="7"/>
      <c r="BT803" s="7"/>
      <c r="BU803" s="7"/>
      <c r="BV803" s="7"/>
      <c r="BW803" s="7"/>
      <c r="BX803" s="7"/>
      <c r="BY803" s="7"/>
      <c r="BZ803" s="7"/>
      <c r="CA803" s="7"/>
      <c r="CB803" s="7"/>
      <c r="CC803" s="7"/>
      <c r="CD803" s="7"/>
      <c r="CE803" s="7"/>
      <c r="CF803" s="7"/>
      <c r="CG803" s="7"/>
    </row>
    <row r="804" spans="3:85"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  <c r="BB804" s="7"/>
      <c r="BC804" s="7"/>
      <c r="BD804" s="7"/>
      <c r="BE804" s="7"/>
      <c r="BF804" s="7"/>
      <c r="BG804" s="7"/>
      <c r="BH804" s="7"/>
      <c r="BI804" s="7"/>
      <c r="BJ804" s="7"/>
      <c r="BK804" s="7"/>
      <c r="BL804" s="7"/>
      <c r="BM804" s="7"/>
      <c r="BN804" s="7"/>
      <c r="BO804" s="7"/>
      <c r="BP804" s="7"/>
      <c r="BQ804" s="7"/>
      <c r="BR804" s="7"/>
      <c r="BS804" s="7"/>
      <c r="BT804" s="7"/>
      <c r="BU804" s="7"/>
      <c r="BV804" s="7"/>
      <c r="BW804" s="7"/>
      <c r="BX804" s="7"/>
      <c r="BY804" s="7"/>
      <c r="BZ804" s="7"/>
      <c r="CA804" s="7"/>
      <c r="CB804" s="7"/>
      <c r="CC804" s="7"/>
      <c r="CD804" s="7"/>
      <c r="CE804" s="7"/>
      <c r="CF804" s="7"/>
      <c r="CG804" s="7"/>
    </row>
    <row r="805" spans="3:85"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  <c r="BB805" s="7"/>
      <c r="BC805" s="7"/>
      <c r="BD805" s="7"/>
      <c r="BE805" s="7"/>
      <c r="BF805" s="7"/>
      <c r="BG805" s="7"/>
      <c r="BH805" s="7"/>
      <c r="BI805" s="7"/>
      <c r="BJ805" s="7"/>
      <c r="BK805" s="7"/>
      <c r="BL805" s="7"/>
      <c r="BM805" s="7"/>
      <c r="BN805" s="7"/>
      <c r="BO805" s="7"/>
      <c r="BP805" s="7"/>
      <c r="BQ805" s="7"/>
      <c r="BR805" s="7"/>
      <c r="BS805" s="7"/>
      <c r="BT805" s="7"/>
      <c r="BU805" s="7"/>
      <c r="BV805" s="7"/>
      <c r="BW805" s="7"/>
      <c r="BX805" s="7"/>
      <c r="BY805" s="7"/>
      <c r="BZ805" s="7"/>
      <c r="CA805" s="7"/>
      <c r="CB805" s="7"/>
      <c r="CC805" s="7"/>
      <c r="CD805" s="7"/>
      <c r="CE805" s="7"/>
      <c r="CF805" s="7"/>
      <c r="CG805" s="7"/>
    </row>
    <row r="806" spans="3:85"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  <c r="BB806" s="7"/>
      <c r="BC806" s="7"/>
      <c r="BD806" s="7"/>
      <c r="BE806" s="7"/>
      <c r="BF806" s="7"/>
      <c r="BG806" s="7"/>
      <c r="BH806" s="7"/>
      <c r="BI806" s="7"/>
      <c r="BJ806" s="7"/>
      <c r="BK806" s="7"/>
      <c r="BL806" s="7"/>
      <c r="BM806" s="7"/>
      <c r="BN806" s="7"/>
      <c r="BO806" s="7"/>
      <c r="BP806" s="7"/>
      <c r="BQ806" s="7"/>
      <c r="BR806" s="7"/>
      <c r="BS806" s="7"/>
      <c r="BT806" s="7"/>
      <c r="BU806" s="7"/>
      <c r="BV806" s="7"/>
      <c r="BW806" s="7"/>
      <c r="BX806" s="7"/>
      <c r="BY806" s="7"/>
      <c r="BZ806" s="7"/>
      <c r="CA806" s="7"/>
      <c r="CB806" s="7"/>
      <c r="CC806" s="7"/>
      <c r="CD806" s="7"/>
      <c r="CE806" s="7"/>
      <c r="CF806" s="7"/>
      <c r="CG806" s="7"/>
    </row>
    <row r="807" spans="3:85"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  <c r="BB807" s="7"/>
      <c r="BC807" s="7"/>
      <c r="BD807" s="7"/>
      <c r="BE807" s="7"/>
      <c r="BF807" s="7"/>
      <c r="BG807" s="7"/>
      <c r="BH807" s="7"/>
      <c r="BI807" s="7"/>
      <c r="BJ807" s="7"/>
      <c r="BK807" s="7"/>
      <c r="BL807" s="7"/>
      <c r="BM807" s="7"/>
      <c r="BN807" s="7"/>
      <c r="BO807" s="7"/>
      <c r="BP807" s="7"/>
      <c r="BQ807" s="7"/>
      <c r="BR807" s="7"/>
      <c r="BS807" s="7"/>
      <c r="BT807" s="7"/>
      <c r="BU807" s="7"/>
      <c r="BV807" s="7"/>
      <c r="BW807" s="7"/>
      <c r="BX807" s="7"/>
      <c r="BY807" s="7"/>
      <c r="BZ807" s="7"/>
      <c r="CA807" s="7"/>
      <c r="CB807" s="7"/>
      <c r="CC807" s="7"/>
      <c r="CD807" s="7"/>
      <c r="CE807" s="7"/>
      <c r="CF807" s="7"/>
      <c r="CG807" s="7"/>
    </row>
    <row r="808" spans="3:85"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  <c r="BB808" s="7"/>
      <c r="BC808" s="7"/>
      <c r="BD808" s="7"/>
      <c r="BE808" s="7"/>
      <c r="BF808" s="7"/>
      <c r="BG808" s="7"/>
      <c r="BH808" s="7"/>
      <c r="BI808" s="7"/>
      <c r="BJ808" s="7"/>
      <c r="BK808" s="7"/>
      <c r="BL808" s="7"/>
      <c r="BM808" s="7"/>
      <c r="BN808" s="7"/>
      <c r="BO808" s="7"/>
      <c r="BP808" s="7"/>
      <c r="BQ808" s="7"/>
      <c r="BR808" s="7"/>
      <c r="BS808" s="7"/>
      <c r="BT808" s="7"/>
      <c r="BU808" s="7"/>
      <c r="BV808" s="7"/>
      <c r="BW808" s="7"/>
      <c r="BX808" s="7"/>
      <c r="BY808" s="7"/>
      <c r="BZ808" s="7"/>
      <c r="CA808" s="7"/>
      <c r="CB808" s="7"/>
      <c r="CC808" s="7"/>
      <c r="CD808" s="7"/>
      <c r="CE808" s="7"/>
      <c r="CF808" s="7"/>
      <c r="CG808" s="7"/>
    </row>
    <row r="809" spans="3:85"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  <c r="BB809" s="7"/>
      <c r="BC809" s="7"/>
      <c r="BD809" s="7"/>
      <c r="BE809" s="7"/>
      <c r="BF809" s="7"/>
      <c r="BG809" s="7"/>
      <c r="BH809" s="7"/>
      <c r="BI809" s="7"/>
      <c r="BJ809" s="7"/>
      <c r="BK809" s="7"/>
      <c r="BL809" s="7"/>
      <c r="BM809" s="7"/>
      <c r="BN809" s="7"/>
      <c r="BO809" s="7"/>
      <c r="BP809" s="7"/>
      <c r="BQ809" s="7"/>
      <c r="BR809" s="7"/>
      <c r="BS809" s="7"/>
      <c r="BT809" s="7"/>
      <c r="BU809" s="7"/>
      <c r="BV809" s="7"/>
      <c r="BW809" s="7"/>
      <c r="BX809" s="7"/>
      <c r="BY809" s="7"/>
      <c r="BZ809" s="7"/>
      <c r="CA809" s="7"/>
      <c r="CB809" s="7"/>
      <c r="CC809" s="7"/>
      <c r="CD809" s="7"/>
      <c r="CE809" s="7"/>
      <c r="CF809" s="7"/>
      <c r="CG809" s="7"/>
    </row>
    <row r="810" spans="3:85"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  <c r="BB810" s="7"/>
      <c r="BC810" s="7"/>
      <c r="BD810" s="7"/>
      <c r="BE810" s="7"/>
      <c r="BF810" s="7"/>
      <c r="BG810" s="7"/>
      <c r="BH810" s="7"/>
      <c r="BI810" s="7"/>
      <c r="BJ810" s="7"/>
      <c r="BK810" s="7"/>
      <c r="BL810" s="7"/>
      <c r="BM810" s="7"/>
      <c r="BN810" s="7"/>
      <c r="BO810" s="7"/>
      <c r="BP810" s="7"/>
      <c r="BQ810" s="7"/>
      <c r="BR810" s="7"/>
      <c r="BS810" s="7"/>
      <c r="BT810" s="7"/>
      <c r="BU810" s="7"/>
      <c r="BV810" s="7"/>
      <c r="BW810" s="7"/>
      <c r="BX810" s="7"/>
      <c r="BY810" s="7"/>
      <c r="BZ810" s="7"/>
      <c r="CA810" s="7"/>
      <c r="CB810" s="7"/>
      <c r="CC810" s="7"/>
      <c r="CD810" s="7"/>
      <c r="CE810" s="7"/>
      <c r="CF810" s="7"/>
      <c r="CG810" s="7"/>
    </row>
    <row r="811" spans="3:85"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  <c r="BB811" s="7"/>
      <c r="BC811" s="7"/>
      <c r="BD811" s="7"/>
      <c r="BE811" s="7"/>
      <c r="BF811" s="7"/>
      <c r="BG811" s="7"/>
      <c r="BH811" s="7"/>
      <c r="BI811" s="7"/>
      <c r="BJ811" s="7"/>
      <c r="BK811" s="7"/>
      <c r="BL811" s="7"/>
      <c r="BM811" s="7"/>
      <c r="BN811" s="7"/>
      <c r="BO811" s="7"/>
      <c r="BP811" s="7"/>
      <c r="BQ811" s="7"/>
      <c r="BR811" s="7"/>
      <c r="BS811" s="7"/>
      <c r="BT811" s="7"/>
      <c r="BU811" s="7"/>
      <c r="BV811" s="7"/>
      <c r="BW811" s="7"/>
      <c r="BX811" s="7"/>
      <c r="BY811" s="7"/>
      <c r="BZ811" s="7"/>
      <c r="CA811" s="7"/>
      <c r="CB811" s="7"/>
      <c r="CC811" s="7"/>
      <c r="CD811" s="7"/>
      <c r="CE811" s="7"/>
      <c r="CF811" s="7"/>
      <c r="CG811" s="7"/>
    </row>
    <row r="812" spans="3:85"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  <c r="BB812" s="7"/>
      <c r="BC812" s="7"/>
      <c r="BD812" s="7"/>
      <c r="BE812" s="7"/>
      <c r="BF812" s="7"/>
      <c r="BG812" s="7"/>
      <c r="BH812" s="7"/>
      <c r="BI812" s="7"/>
      <c r="BJ812" s="7"/>
      <c r="BK812" s="7"/>
      <c r="BL812" s="7"/>
      <c r="BM812" s="7"/>
      <c r="BN812" s="7"/>
      <c r="BO812" s="7"/>
      <c r="BP812" s="7"/>
      <c r="BQ812" s="7"/>
      <c r="BR812" s="7"/>
      <c r="BS812" s="7"/>
      <c r="BT812" s="7"/>
      <c r="BU812" s="7"/>
      <c r="BV812" s="7"/>
      <c r="BW812" s="7"/>
      <c r="BX812" s="7"/>
      <c r="BY812" s="7"/>
      <c r="BZ812" s="7"/>
      <c r="CA812" s="7"/>
      <c r="CB812" s="7"/>
      <c r="CC812" s="7"/>
      <c r="CD812" s="7"/>
      <c r="CE812" s="7"/>
      <c r="CF812" s="7"/>
      <c r="CG812" s="7"/>
    </row>
    <row r="813" spans="3:85"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  <c r="BB813" s="7"/>
      <c r="BC813" s="7"/>
      <c r="BD813" s="7"/>
      <c r="BE813" s="7"/>
      <c r="BF813" s="7"/>
      <c r="BG813" s="7"/>
      <c r="BH813" s="7"/>
      <c r="BI813" s="7"/>
      <c r="BJ813" s="7"/>
      <c r="BK813" s="7"/>
      <c r="BL813" s="7"/>
      <c r="BM813" s="7"/>
      <c r="BN813" s="7"/>
      <c r="BO813" s="7"/>
      <c r="BP813" s="7"/>
      <c r="BQ813" s="7"/>
      <c r="BR813" s="7"/>
      <c r="BS813" s="7"/>
      <c r="BT813" s="7"/>
      <c r="BU813" s="7"/>
      <c r="BV813" s="7"/>
      <c r="BW813" s="7"/>
      <c r="BX813" s="7"/>
      <c r="BY813" s="7"/>
      <c r="BZ813" s="7"/>
      <c r="CA813" s="7"/>
      <c r="CB813" s="7"/>
      <c r="CC813" s="7"/>
      <c r="CD813" s="7"/>
      <c r="CE813" s="7"/>
      <c r="CF813" s="7"/>
      <c r="CG813" s="7"/>
    </row>
    <row r="814" spans="3:85"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  <c r="BB814" s="7"/>
      <c r="BC814" s="7"/>
      <c r="BD814" s="7"/>
      <c r="BE814" s="7"/>
      <c r="BF814" s="7"/>
      <c r="BG814" s="7"/>
      <c r="BH814" s="7"/>
      <c r="BI814" s="7"/>
      <c r="BJ814" s="7"/>
      <c r="BK814" s="7"/>
      <c r="BL814" s="7"/>
      <c r="BM814" s="7"/>
      <c r="BN814" s="7"/>
      <c r="BO814" s="7"/>
      <c r="BP814" s="7"/>
      <c r="BQ814" s="7"/>
      <c r="BR814" s="7"/>
      <c r="BS814" s="7"/>
      <c r="BT814" s="7"/>
      <c r="BU814" s="7"/>
      <c r="BV814" s="7"/>
      <c r="BW814" s="7"/>
      <c r="BX814" s="7"/>
      <c r="BY814" s="7"/>
      <c r="BZ814" s="7"/>
      <c r="CA814" s="7"/>
      <c r="CB814" s="7"/>
      <c r="CC814" s="7"/>
      <c r="CD814" s="7"/>
      <c r="CE814" s="7"/>
      <c r="CF814" s="7"/>
      <c r="CG814" s="7"/>
    </row>
    <row r="815" spans="3:85"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  <c r="BB815" s="7"/>
      <c r="BC815" s="7"/>
      <c r="BD815" s="7"/>
      <c r="BE815" s="7"/>
      <c r="BF815" s="7"/>
      <c r="BG815" s="7"/>
      <c r="BH815" s="7"/>
      <c r="BI815" s="7"/>
      <c r="BJ815" s="7"/>
      <c r="BK815" s="7"/>
      <c r="BL815" s="7"/>
      <c r="BM815" s="7"/>
      <c r="BN815" s="7"/>
      <c r="BO815" s="7"/>
      <c r="BP815" s="7"/>
      <c r="BQ815" s="7"/>
      <c r="BR815" s="7"/>
      <c r="BS815" s="7"/>
      <c r="BT815" s="7"/>
      <c r="BU815" s="7"/>
      <c r="BV815" s="7"/>
      <c r="BW815" s="7"/>
      <c r="BX815" s="7"/>
      <c r="BY815" s="7"/>
      <c r="BZ815" s="7"/>
      <c r="CA815" s="7"/>
      <c r="CB815" s="7"/>
      <c r="CC815" s="7"/>
      <c r="CD815" s="7"/>
      <c r="CE815" s="7"/>
      <c r="CF815" s="7"/>
      <c r="CG815" s="7"/>
    </row>
    <row r="816" spans="3:85"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  <c r="BB816" s="7"/>
      <c r="BC816" s="7"/>
      <c r="BD816" s="7"/>
      <c r="BE816" s="7"/>
      <c r="BF816" s="7"/>
      <c r="BG816" s="7"/>
      <c r="BH816" s="7"/>
      <c r="BI816" s="7"/>
      <c r="BJ816" s="7"/>
      <c r="BK816" s="7"/>
      <c r="BL816" s="7"/>
      <c r="BM816" s="7"/>
      <c r="BN816" s="7"/>
      <c r="BO816" s="7"/>
      <c r="BP816" s="7"/>
      <c r="BQ816" s="7"/>
      <c r="BR816" s="7"/>
      <c r="BS816" s="7"/>
      <c r="BT816" s="7"/>
      <c r="BU816" s="7"/>
      <c r="BV816" s="7"/>
      <c r="BW816" s="7"/>
      <c r="BX816" s="7"/>
      <c r="BY816" s="7"/>
      <c r="BZ816" s="7"/>
      <c r="CA816" s="7"/>
      <c r="CB816" s="7"/>
      <c r="CC816" s="7"/>
      <c r="CD816" s="7"/>
      <c r="CE816" s="7"/>
      <c r="CF816" s="7"/>
      <c r="CG816" s="7"/>
    </row>
    <row r="817" spans="3:85"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  <c r="BB817" s="7"/>
      <c r="BC817" s="7"/>
      <c r="BD817" s="7"/>
      <c r="BE817" s="7"/>
      <c r="BF817" s="7"/>
      <c r="BG817" s="7"/>
      <c r="BH817" s="7"/>
      <c r="BI817" s="7"/>
      <c r="BJ817" s="7"/>
      <c r="BK817" s="7"/>
      <c r="BL817" s="7"/>
      <c r="BM817" s="7"/>
      <c r="BN817" s="7"/>
      <c r="BO817" s="7"/>
      <c r="BP817" s="7"/>
      <c r="BQ817" s="7"/>
      <c r="BR817" s="7"/>
      <c r="BS817" s="7"/>
      <c r="BT817" s="7"/>
      <c r="BU817" s="7"/>
      <c r="BV817" s="7"/>
      <c r="BW817" s="7"/>
      <c r="BX817" s="7"/>
      <c r="BY817" s="7"/>
      <c r="BZ817" s="7"/>
      <c r="CA817" s="7"/>
      <c r="CB817" s="7"/>
      <c r="CC817" s="7"/>
      <c r="CD817" s="7"/>
      <c r="CE817" s="7"/>
      <c r="CF817" s="7"/>
      <c r="CG817" s="7"/>
    </row>
    <row r="818" spans="3:85"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  <c r="BB818" s="7"/>
      <c r="BC818" s="7"/>
      <c r="BD818" s="7"/>
      <c r="BE818" s="7"/>
      <c r="BF818" s="7"/>
      <c r="BG818" s="7"/>
      <c r="BH818" s="7"/>
      <c r="BI818" s="7"/>
      <c r="BJ818" s="7"/>
      <c r="BK818" s="7"/>
      <c r="BL818" s="7"/>
      <c r="BM818" s="7"/>
      <c r="BN818" s="7"/>
      <c r="BO818" s="7"/>
      <c r="BP818" s="7"/>
      <c r="BQ818" s="7"/>
      <c r="BR818" s="7"/>
      <c r="BS818" s="7"/>
      <c r="BT818" s="7"/>
      <c r="BU818" s="7"/>
      <c r="BV818" s="7"/>
      <c r="BW818" s="7"/>
      <c r="BX818" s="7"/>
      <c r="BY818" s="7"/>
      <c r="BZ818" s="7"/>
      <c r="CA818" s="7"/>
      <c r="CB818" s="7"/>
      <c r="CC818" s="7"/>
      <c r="CD818" s="7"/>
      <c r="CE818" s="7"/>
      <c r="CF818" s="7"/>
      <c r="CG818" s="7"/>
    </row>
    <row r="819" spans="3:85"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  <c r="BB819" s="7"/>
      <c r="BC819" s="7"/>
      <c r="BD819" s="7"/>
      <c r="BE819" s="7"/>
      <c r="BF819" s="7"/>
      <c r="BG819" s="7"/>
      <c r="BH819" s="7"/>
      <c r="BI819" s="7"/>
      <c r="BJ819" s="7"/>
      <c r="BK819" s="7"/>
      <c r="BL819" s="7"/>
      <c r="BM819" s="7"/>
      <c r="BN819" s="7"/>
      <c r="BO819" s="7"/>
      <c r="BP819" s="7"/>
      <c r="BQ819" s="7"/>
      <c r="BR819" s="7"/>
      <c r="BS819" s="7"/>
      <c r="BT819" s="7"/>
      <c r="BU819" s="7"/>
      <c r="BV819" s="7"/>
      <c r="BW819" s="7"/>
      <c r="BX819" s="7"/>
      <c r="BY819" s="7"/>
      <c r="BZ819" s="7"/>
      <c r="CA819" s="7"/>
      <c r="CB819" s="7"/>
      <c r="CC819" s="7"/>
      <c r="CD819" s="7"/>
      <c r="CE819" s="7"/>
      <c r="CF819" s="7"/>
      <c r="CG819" s="7"/>
    </row>
    <row r="820" spans="3:85"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  <c r="BB820" s="7"/>
      <c r="BC820" s="7"/>
      <c r="BD820" s="7"/>
      <c r="BE820" s="7"/>
      <c r="BF820" s="7"/>
      <c r="BG820" s="7"/>
      <c r="BH820" s="7"/>
      <c r="BI820" s="7"/>
      <c r="BJ820" s="7"/>
      <c r="BK820" s="7"/>
      <c r="BL820" s="7"/>
      <c r="BM820" s="7"/>
      <c r="BN820" s="7"/>
      <c r="BO820" s="7"/>
      <c r="BP820" s="7"/>
      <c r="BQ820" s="7"/>
      <c r="BR820" s="7"/>
      <c r="BS820" s="7"/>
      <c r="BT820" s="7"/>
      <c r="BU820" s="7"/>
      <c r="BV820" s="7"/>
      <c r="BW820" s="7"/>
      <c r="BX820" s="7"/>
      <c r="BY820" s="7"/>
      <c r="BZ820" s="7"/>
      <c r="CA820" s="7"/>
      <c r="CB820" s="7"/>
      <c r="CC820" s="7"/>
      <c r="CD820" s="7"/>
      <c r="CE820" s="7"/>
      <c r="CF820" s="7"/>
      <c r="CG820" s="7"/>
    </row>
    <row r="821" spans="3:85"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  <c r="BB821" s="7"/>
      <c r="BC821" s="7"/>
      <c r="BD821" s="7"/>
      <c r="BE821" s="7"/>
      <c r="BF821" s="7"/>
      <c r="BG821" s="7"/>
      <c r="BH821" s="7"/>
      <c r="BI821" s="7"/>
      <c r="BJ821" s="7"/>
      <c r="BK821" s="7"/>
      <c r="BL821" s="7"/>
      <c r="BM821" s="7"/>
      <c r="BN821" s="7"/>
      <c r="BO821" s="7"/>
      <c r="BP821" s="7"/>
      <c r="BQ821" s="7"/>
      <c r="BR821" s="7"/>
      <c r="BS821" s="7"/>
      <c r="BT821" s="7"/>
      <c r="BU821" s="7"/>
      <c r="BV821" s="7"/>
      <c r="BW821" s="7"/>
      <c r="BX821" s="7"/>
      <c r="BY821" s="7"/>
      <c r="BZ821" s="7"/>
      <c r="CA821" s="7"/>
      <c r="CB821" s="7"/>
      <c r="CC821" s="7"/>
      <c r="CD821" s="7"/>
      <c r="CE821" s="7"/>
      <c r="CF821" s="7"/>
      <c r="CG821" s="7"/>
    </row>
    <row r="822" spans="3:85"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  <c r="BB822" s="7"/>
      <c r="BC822" s="7"/>
      <c r="BD822" s="7"/>
      <c r="BE822" s="7"/>
      <c r="BF822" s="7"/>
      <c r="BG822" s="7"/>
      <c r="BH822" s="7"/>
      <c r="BI822" s="7"/>
      <c r="BJ822" s="7"/>
      <c r="BK822" s="7"/>
      <c r="BL822" s="7"/>
      <c r="BM822" s="7"/>
      <c r="BN822" s="7"/>
      <c r="BO822" s="7"/>
      <c r="BP822" s="7"/>
      <c r="BQ822" s="7"/>
      <c r="BR822" s="7"/>
      <c r="BS822" s="7"/>
      <c r="BT822" s="7"/>
      <c r="BU822" s="7"/>
      <c r="BV822" s="7"/>
      <c r="BW822" s="7"/>
      <c r="BX822" s="7"/>
      <c r="BY822" s="7"/>
      <c r="BZ822" s="7"/>
      <c r="CA822" s="7"/>
      <c r="CB822" s="7"/>
      <c r="CC822" s="7"/>
      <c r="CD822" s="7"/>
      <c r="CE822" s="7"/>
      <c r="CF822" s="7"/>
      <c r="CG822" s="7"/>
    </row>
    <row r="823" spans="3:85"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  <c r="BB823" s="7"/>
      <c r="BC823" s="7"/>
      <c r="BD823" s="7"/>
      <c r="BE823" s="7"/>
      <c r="BF823" s="7"/>
      <c r="BG823" s="7"/>
      <c r="BH823" s="7"/>
      <c r="BI823" s="7"/>
      <c r="BJ823" s="7"/>
      <c r="BK823" s="7"/>
      <c r="BL823" s="7"/>
      <c r="BM823" s="7"/>
      <c r="BN823" s="7"/>
      <c r="BO823" s="7"/>
      <c r="BP823" s="7"/>
      <c r="BQ823" s="7"/>
      <c r="BR823" s="7"/>
      <c r="BS823" s="7"/>
      <c r="BT823" s="7"/>
      <c r="BU823" s="7"/>
      <c r="BV823" s="7"/>
      <c r="BW823" s="7"/>
      <c r="BX823" s="7"/>
      <c r="BY823" s="7"/>
      <c r="BZ823" s="7"/>
      <c r="CA823" s="7"/>
      <c r="CB823" s="7"/>
      <c r="CC823" s="7"/>
      <c r="CD823" s="7"/>
      <c r="CE823" s="7"/>
      <c r="CF823" s="7"/>
      <c r="CG823" s="7"/>
    </row>
    <row r="824" spans="3:85"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  <c r="BB824" s="7"/>
      <c r="BC824" s="7"/>
      <c r="BD824" s="7"/>
      <c r="BE824" s="7"/>
      <c r="BF824" s="7"/>
      <c r="BG824" s="7"/>
      <c r="BH824" s="7"/>
      <c r="BI824" s="7"/>
      <c r="BJ824" s="7"/>
      <c r="BK824" s="7"/>
      <c r="BL824" s="7"/>
      <c r="BM824" s="7"/>
      <c r="BN824" s="7"/>
      <c r="BO824" s="7"/>
      <c r="BP824" s="7"/>
      <c r="BQ824" s="7"/>
      <c r="BR824" s="7"/>
      <c r="BS824" s="7"/>
      <c r="BT824" s="7"/>
      <c r="BU824" s="7"/>
      <c r="BV824" s="7"/>
      <c r="BW824" s="7"/>
      <c r="BX824" s="7"/>
      <c r="BY824" s="7"/>
      <c r="BZ824" s="7"/>
      <c r="CA824" s="7"/>
      <c r="CB824" s="7"/>
      <c r="CC824" s="7"/>
      <c r="CD824" s="7"/>
      <c r="CE824" s="7"/>
      <c r="CF824" s="7"/>
      <c r="CG824" s="7"/>
    </row>
    <row r="825" spans="3:85"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  <c r="BB825" s="7"/>
      <c r="BC825" s="7"/>
      <c r="BD825" s="7"/>
      <c r="BE825" s="7"/>
      <c r="BF825" s="7"/>
      <c r="BG825" s="7"/>
      <c r="BH825" s="7"/>
      <c r="BI825" s="7"/>
      <c r="BJ825" s="7"/>
      <c r="BK825" s="7"/>
      <c r="BL825" s="7"/>
      <c r="BM825" s="7"/>
      <c r="BN825" s="7"/>
      <c r="BO825" s="7"/>
      <c r="BP825" s="7"/>
      <c r="BQ825" s="7"/>
      <c r="BR825" s="7"/>
      <c r="BS825" s="7"/>
      <c r="BT825" s="7"/>
      <c r="BU825" s="7"/>
      <c r="BV825" s="7"/>
      <c r="BW825" s="7"/>
      <c r="BX825" s="7"/>
      <c r="BY825" s="7"/>
      <c r="BZ825" s="7"/>
      <c r="CA825" s="7"/>
      <c r="CB825" s="7"/>
      <c r="CC825" s="7"/>
      <c r="CD825" s="7"/>
      <c r="CE825" s="7"/>
      <c r="CF825" s="7"/>
      <c r="CG825" s="7"/>
    </row>
    <row r="826" spans="3:85"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  <c r="BB826" s="7"/>
      <c r="BC826" s="7"/>
      <c r="BD826" s="7"/>
      <c r="BE826" s="7"/>
      <c r="BF826" s="7"/>
      <c r="BG826" s="7"/>
      <c r="BH826" s="7"/>
      <c r="BI826" s="7"/>
      <c r="BJ826" s="7"/>
      <c r="BK826" s="7"/>
      <c r="BL826" s="7"/>
      <c r="BM826" s="7"/>
      <c r="BN826" s="7"/>
      <c r="BO826" s="7"/>
      <c r="BP826" s="7"/>
      <c r="BQ826" s="7"/>
      <c r="BR826" s="7"/>
      <c r="BS826" s="7"/>
      <c r="BT826" s="7"/>
      <c r="BU826" s="7"/>
      <c r="BV826" s="7"/>
      <c r="BW826" s="7"/>
      <c r="BX826" s="7"/>
      <c r="BY826" s="7"/>
      <c r="BZ826" s="7"/>
      <c r="CA826" s="7"/>
      <c r="CB826" s="7"/>
      <c r="CC826" s="7"/>
      <c r="CD826" s="7"/>
      <c r="CE826" s="7"/>
      <c r="CF826" s="7"/>
      <c r="CG826" s="7"/>
    </row>
    <row r="827" spans="3:85"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  <c r="BB827" s="7"/>
      <c r="BC827" s="7"/>
      <c r="BD827" s="7"/>
      <c r="BE827" s="7"/>
      <c r="BF827" s="7"/>
      <c r="BG827" s="7"/>
      <c r="BH827" s="7"/>
      <c r="BI827" s="7"/>
      <c r="BJ827" s="7"/>
      <c r="BK827" s="7"/>
      <c r="BL827" s="7"/>
      <c r="BM827" s="7"/>
      <c r="BN827" s="7"/>
      <c r="BO827" s="7"/>
      <c r="BP827" s="7"/>
      <c r="BQ827" s="7"/>
      <c r="BR827" s="7"/>
      <c r="BS827" s="7"/>
      <c r="BT827" s="7"/>
      <c r="BU827" s="7"/>
      <c r="BV827" s="7"/>
      <c r="BW827" s="7"/>
      <c r="BX827" s="7"/>
      <c r="BY827" s="7"/>
      <c r="BZ827" s="7"/>
      <c r="CA827" s="7"/>
      <c r="CB827" s="7"/>
      <c r="CC827" s="7"/>
      <c r="CD827" s="7"/>
      <c r="CE827" s="7"/>
      <c r="CF827" s="7"/>
      <c r="CG827" s="7"/>
    </row>
    <row r="828" spans="3:85"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  <c r="BB828" s="7"/>
      <c r="BC828" s="7"/>
      <c r="BD828" s="7"/>
      <c r="BE828" s="7"/>
      <c r="BF828" s="7"/>
      <c r="BG828" s="7"/>
      <c r="BH828" s="7"/>
      <c r="BI828" s="7"/>
      <c r="BJ828" s="7"/>
      <c r="BK828" s="7"/>
      <c r="BL828" s="7"/>
      <c r="BM828" s="7"/>
      <c r="BN828" s="7"/>
      <c r="BO828" s="7"/>
      <c r="BP828" s="7"/>
      <c r="BQ828" s="7"/>
      <c r="BR828" s="7"/>
      <c r="BS828" s="7"/>
      <c r="BT828" s="7"/>
      <c r="BU828" s="7"/>
      <c r="BV828" s="7"/>
      <c r="BW828" s="7"/>
      <c r="BX828" s="7"/>
      <c r="BY828" s="7"/>
      <c r="BZ828" s="7"/>
      <c r="CA828" s="7"/>
      <c r="CB828" s="7"/>
      <c r="CC828" s="7"/>
      <c r="CD828" s="7"/>
      <c r="CE828" s="7"/>
      <c r="CF828" s="7"/>
      <c r="CG828" s="7"/>
    </row>
    <row r="829" spans="3:85"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  <c r="BB829" s="7"/>
      <c r="BC829" s="7"/>
      <c r="BD829" s="7"/>
      <c r="BE829" s="7"/>
      <c r="BF829" s="7"/>
      <c r="BG829" s="7"/>
      <c r="BH829" s="7"/>
      <c r="BI829" s="7"/>
      <c r="BJ829" s="7"/>
      <c r="BK829" s="7"/>
      <c r="BL829" s="7"/>
      <c r="BM829" s="7"/>
      <c r="BN829" s="7"/>
      <c r="BO829" s="7"/>
      <c r="BP829" s="7"/>
      <c r="BQ829" s="7"/>
      <c r="BR829" s="7"/>
      <c r="BS829" s="7"/>
      <c r="BT829" s="7"/>
      <c r="BU829" s="7"/>
      <c r="BV829" s="7"/>
      <c r="BW829" s="7"/>
      <c r="BX829" s="7"/>
      <c r="BY829" s="7"/>
      <c r="BZ829" s="7"/>
      <c r="CA829" s="7"/>
      <c r="CB829" s="7"/>
      <c r="CC829" s="7"/>
      <c r="CD829" s="7"/>
      <c r="CE829" s="7"/>
      <c r="CF829" s="7"/>
      <c r="CG829" s="7"/>
    </row>
    <row r="830" spans="3:85"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  <c r="BB830" s="7"/>
      <c r="BC830" s="7"/>
      <c r="BD830" s="7"/>
      <c r="BE830" s="7"/>
      <c r="BF830" s="7"/>
      <c r="BG830" s="7"/>
      <c r="BH830" s="7"/>
      <c r="BI830" s="7"/>
      <c r="BJ830" s="7"/>
      <c r="BK830" s="7"/>
      <c r="BL830" s="7"/>
      <c r="BM830" s="7"/>
      <c r="BN830" s="7"/>
      <c r="BO830" s="7"/>
      <c r="BP830" s="7"/>
      <c r="BQ830" s="7"/>
      <c r="BR830" s="7"/>
      <c r="BS830" s="7"/>
      <c r="BT830" s="7"/>
      <c r="BU830" s="7"/>
      <c r="BV830" s="7"/>
      <c r="BW830" s="7"/>
      <c r="BX830" s="7"/>
      <c r="BY830" s="7"/>
      <c r="BZ830" s="7"/>
      <c r="CA830" s="7"/>
      <c r="CB830" s="7"/>
      <c r="CC830" s="7"/>
      <c r="CD830" s="7"/>
      <c r="CE830" s="7"/>
      <c r="CF830" s="7"/>
      <c r="CG830" s="7"/>
    </row>
    <row r="831" spans="3:85"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  <c r="BB831" s="7"/>
      <c r="BC831" s="7"/>
      <c r="BD831" s="7"/>
      <c r="BE831" s="7"/>
      <c r="BF831" s="7"/>
      <c r="BG831" s="7"/>
      <c r="BH831" s="7"/>
      <c r="BI831" s="7"/>
      <c r="BJ831" s="7"/>
      <c r="BK831" s="7"/>
      <c r="BL831" s="7"/>
      <c r="BM831" s="7"/>
      <c r="BN831" s="7"/>
      <c r="BO831" s="7"/>
      <c r="BP831" s="7"/>
      <c r="BQ831" s="7"/>
      <c r="BR831" s="7"/>
      <c r="BS831" s="7"/>
      <c r="BT831" s="7"/>
      <c r="BU831" s="7"/>
      <c r="BV831" s="7"/>
      <c r="BW831" s="7"/>
      <c r="BX831" s="7"/>
      <c r="BY831" s="7"/>
      <c r="BZ831" s="7"/>
      <c r="CA831" s="7"/>
      <c r="CB831" s="7"/>
      <c r="CC831" s="7"/>
      <c r="CD831" s="7"/>
      <c r="CE831" s="7"/>
      <c r="CF831" s="7"/>
      <c r="CG831" s="7"/>
    </row>
    <row r="832" spans="3:85"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  <c r="BB832" s="7"/>
      <c r="BC832" s="7"/>
      <c r="BD832" s="7"/>
      <c r="BE832" s="7"/>
      <c r="BF832" s="7"/>
      <c r="BG832" s="7"/>
      <c r="BH832" s="7"/>
      <c r="BI832" s="7"/>
      <c r="BJ832" s="7"/>
      <c r="BK832" s="7"/>
      <c r="BL832" s="7"/>
      <c r="BM832" s="7"/>
      <c r="BN832" s="7"/>
      <c r="BO832" s="7"/>
      <c r="BP832" s="7"/>
      <c r="BQ832" s="7"/>
      <c r="BR832" s="7"/>
      <c r="BS832" s="7"/>
      <c r="BT832" s="7"/>
      <c r="BU832" s="7"/>
      <c r="BV832" s="7"/>
      <c r="BW832" s="7"/>
      <c r="BX832" s="7"/>
      <c r="BY832" s="7"/>
      <c r="BZ832" s="7"/>
      <c r="CA832" s="7"/>
      <c r="CB832" s="7"/>
      <c r="CC832" s="7"/>
      <c r="CD832" s="7"/>
      <c r="CE832" s="7"/>
      <c r="CF832" s="7"/>
      <c r="CG832" s="7"/>
    </row>
    <row r="833" spans="3:85"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  <c r="BB833" s="7"/>
      <c r="BC833" s="7"/>
      <c r="BD833" s="7"/>
      <c r="BE833" s="7"/>
      <c r="BF833" s="7"/>
      <c r="BG833" s="7"/>
      <c r="BH833" s="7"/>
      <c r="BI833" s="7"/>
      <c r="BJ833" s="7"/>
      <c r="BK833" s="7"/>
      <c r="BL833" s="7"/>
      <c r="BM833" s="7"/>
      <c r="BN833" s="7"/>
      <c r="BO833" s="7"/>
      <c r="BP833" s="7"/>
      <c r="BQ833" s="7"/>
      <c r="BR833" s="7"/>
      <c r="BS833" s="7"/>
      <c r="BT833" s="7"/>
      <c r="BU833" s="7"/>
      <c r="BV833" s="7"/>
      <c r="BW833" s="7"/>
      <c r="BX833" s="7"/>
      <c r="BY833" s="7"/>
      <c r="BZ833" s="7"/>
      <c r="CA833" s="7"/>
      <c r="CB833" s="7"/>
      <c r="CC833" s="7"/>
      <c r="CD833" s="7"/>
      <c r="CE833" s="7"/>
      <c r="CF833" s="7"/>
      <c r="CG833" s="7"/>
    </row>
    <row r="834" spans="3:85"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  <c r="BB834" s="7"/>
      <c r="BC834" s="7"/>
      <c r="BD834" s="7"/>
      <c r="BE834" s="7"/>
      <c r="BF834" s="7"/>
      <c r="BG834" s="7"/>
      <c r="BH834" s="7"/>
      <c r="BI834" s="7"/>
      <c r="BJ834" s="7"/>
      <c r="BK834" s="7"/>
      <c r="BL834" s="7"/>
      <c r="BM834" s="7"/>
      <c r="BN834" s="7"/>
      <c r="BO834" s="7"/>
      <c r="BP834" s="7"/>
      <c r="BQ834" s="7"/>
      <c r="BR834" s="7"/>
      <c r="BS834" s="7"/>
      <c r="BT834" s="7"/>
      <c r="BU834" s="7"/>
      <c r="BV834" s="7"/>
      <c r="BW834" s="7"/>
      <c r="BX834" s="7"/>
      <c r="BY834" s="7"/>
      <c r="BZ834" s="7"/>
      <c r="CA834" s="7"/>
      <c r="CB834" s="7"/>
      <c r="CC834" s="7"/>
      <c r="CD834" s="7"/>
      <c r="CE834" s="7"/>
      <c r="CF834" s="7"/>
      <c r="CG834" s="7"/>
    </row>
    <row r="835" spans="3:85"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  <c r="BB835" s="7"/>
      <c r="BC835" s="7"/>
      <c r="BD835" s="7"/>
      <c r="BE835" s="7"/>
      <c r="BF835" s="7"/>
      <c r="BG835" s="7"/>
      <c r="BH835" s="7"/>
      <c r="BI835" s="7"/>
      <c r="BJ835" s="7"/>
      <c r="BK835" s="7"/>
      <c r="BL835" s="7"/>
      <c r="BM835" s="7"/>
      <c r="BN835" s="7"/>
      <c r="BO835" s="7"/>
      <c r="BP835" s="7"/>
      <c r="BQ835" s="7"/>
      <c r="BR835" s="7"/>
      <c r="BS835" s="7"/>
      <c r="BT835" s="7"/>
      <c r="BU835" s="7"/>
      <c r="BV835" s="7"/>
      <c r="BW835" s="7"/>
      <c r="BX835" s="7"/>
      <c r="BY835" s="7"/>
      <c r="BZ835" s="7"/>
      <c r="CA835" s="7"/>
      <c r="CB835" s="7"/>
      <c r="CC835" s="7"/>
      <c r="CD835" s="7"/>
      <c r="CE835" s="7"/>
      <c r="CF835" s="7"/>
      <c r="CG835" s="7"/>
    </row>
    <row r="836" spans="3:85"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  <c r="BB836" s="7"/>
      <c r="BC836" s="7"/>
      <c r="BD836" s="7"/>
      <c r="BE836" s="7"/>
      <c r="BF836" s="7"/>
      <c r="BG836" s="7"/>
      <c r="BH836" s="7"/>
      <c r="BI836" s="7"/>
      <c r="BJ836" s="7"/>
      <c r="BK836" s="7"/>
      <c r="BL836" s="7"/>
      <c r="BM836" s="7"/>
      <c r="BN836" s="7"/>
      <c r="BO836" s="7"/>
      <c r="BP836" s="7"/>
      <c r="BQ836" s="7"/>
      <c r="BR836" s="7"/>
      <c r="BS836" s="7"/>
      <c r="BT836" s="7"/>
      <c r="BU836" s="7"/>
      <c r="BV836" s="7"/>
      <c r="BW836" s="7"/>
      <c r="BX836" s="7"/>
      <c r="BY836" s="7"/>
      <c r="BZ836" s="7"/>
      <c r="CA836" s="7"/>
      <c r="CB836" s="7"/>
      <c r="CC836" s="7"/>
      <c r="CD836" s="7"/>
      <c r="CE836" s="7"/>
      <c r="CF836" s="7"/>
      <c r="CG836" s="7"/>
    </row>
    <row r="837" spans="3:85"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  <c r="BB837" s="7"/>
      <c r="BC837" s="7"/>
      <c r="BD837" s="7"/>
      <c r="BE837" s="7"/>
      <c r="BF837" s="7"/>
      <c r="BG837" s="7"/>
      <c r="BH837" s="7"/>
      <c r="BI837" s="7"/>
      <c r="BJ837" s="7"/>
      <c r="BK837" s="7"/>
      <c r="BL837" s="7"/>
      <c r="BM837" s="7"/>
      <c r="BN837" s="7"/>
      <c r="BO837" s="7"/>
      <c r="BP837" s="7"/>
      <c r="BQ837" s="7"/>
      <c r="BR837" s="7"/>
      <c r="BS837" s="7"/>
      <c r="BT837" s="7"/>
      <c r="BU837" s="7"/>
      <c r="BV837" s="7"/>
      <c r="BW837" s="7"/>
      <c r="BX837" s="7"/>
      <c r="BY837" s="7"/>
      <c r="BZ837" s="7"/>
      <c r="CA837" s="7"/>
      <c r="CB837" s="7"/>
      <c r="CC837" s="7"/>
      <c r="CD837" s="7"/>
      <c r="CE837" s="7"/>
      <c r="CF837" s="7"/>
      <c r="CG837" s="7"/>
    </row>
    <row r="838" spans="3:85"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  <c r="BB838" s="7"/>
      <c r="BC838" s="7"/>
      <c r="BD838" s="7"/>
      <c r="BE838" s="7"/>
      <c r="BF838" s="7"/>
      <c r="BG838" s="7"/>
      <c r="BH838" s="7"/>
      <c r="BI838" s="7"/>
      <c r="BJ838" s="7"/>
      <c r="BK838" s="7"/>
      <c r="BL838" s="7"/>
      <c r="BM838" s="7"/>
      <c r="BN838" s="7"/>
      <c r="BO838" s="7"/>
      <c r="BP838" s="7"/>
      <c r="BQ838" s="7"/>
      <c r="BR838" s="7"/>
      <c r="BS838" s="7"/>
      <c r="BT838" s="7"/>
      <c r="BU838" s="7"/>
      <c r="BV838" s="7"/>
      <c r="BW838" s="7"/>
      <c r="BX838" s="7"/>
      <c r="BY838" s="7"/>
      <c r="BZ838" s="7"/>
      <c r="CA838" s="7"/>
      <c r="CB838" s="7"/>
      <c r="CC838" s="7"/>
      <c r="CD838" s="7"/>
      <c r="CE838" s="7"/>
      <c r="CF838" s="7"/>
      <c r="CG838" s="7"/>
    </row>
    <row r="839" spans="3:85"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  <c r="BB839" s="7"/>
      <c r="BC839" s="7"/>
      <c r="BD839" s="7"/>
      <c r="BE839" s="7"/>
      <c r="BF839" s="7"/>
      <c r="BG839" s="7"/>
      <c r="BH839" s="7"/>
      <c r="BI839" s="7"/>
      <c r="BJ839" s="7"/>
      <c r="BK839" s="7"/>
      <c r="BL839" s="7"/>
      <c r="BM839" s="7"/>
      <c r="BN839" s="7"/>
      <c r="BO839" s="7"/>
      <c r="BP839" s="7"/>
      <c r="BQ839" s="7"/>
      <c r="BR839" s="7"/>
      <c r="BS839" s="7"/>
      <c r="BT839" s="7"/>
      <c r="BU839" s="7"/>
      <c r="BV839" s="7"/>
      <c r="BW839" s="7"/>
      <c r="BX839" s="7"/>
      <c r="BY839" s="7"/>
      <c r="BZ839" s="7"/>
      <c r="CA839" s="7"/>
      <c r="CB839" s="7"/>
      <c r="CC839" s="7"/>
      <c r="CD839" s="7"/>
      <c r="CE839" s="7"/>
      <c r="CF839" s="7"/>
      <c r="CG839" s="7"/>
    </row>
    <row r="840" spans="3:85"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  <c r="BB840" s="7"/>
      <c r="BC840" s="7"/>
      <c r="BD840" s="7"/>
      <c r="BE840" s="7"/>
      <c r="BF840" s="7"/>
      <c r="BG840" s="7"/>
      <c r="BH840" s="7"/>
      <c r="BI840" s="7"/>
      <c r="BJ840" s="7"/>
      <c r="BK840" s="7"/>
      <c r="BL840" s="7"/>
      <c r="BM840" s="7"/>
      <c r="BN840" s="7"/>
      <c r="BO840" s="7"/>
      <c r="BP840" s="7"/>
      <c r="BQ840" s="7"/>
      <c r="BR840" s="7"/>
      <c r="BS840" s="7"/>
      <c r="BT840" s="7"/>
      <c r="BU840" s="7"/>
      <c r="BV840" s="7"/>
      <c r="BW840" s="7"/>
      <c r="BX840" s="7"/>
      <c r="BY840" s="7"/>
      <c r="BZ840" s="7"/>
      <c r="CA840" s="7"/>
      <c r="CB840" s="7"/>
      <c r="CC840" s="7"/>
      <c r="CD840" s="7"/>
      <c r="CE840" s="7"/>
      <c r="CF840" s="7"/>
      <c r="CG840" s="7"/>
    </row>
    <row r="841" spans="3:85"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  <c r="BB841" s="7"/>
      <c r="BC841" s="7"/>
      <c r="BD841" s="7"/>
      <c r="BE841" s="7"/>
      <c r="BF841" s="7"/>
      <c r="BG841" s="7"/>
      <c r="BH841" s="7"/>
      <c r="BI841" s="7"/>
      <c r="BJ841" s="7"/>
      <c r="BK841" s="7"/>
      <c r="BL841" s="7"/>
      <c r="BM841" s="7"/>
      <c r="BN841" s="7"/>
      <c r="BO841" s="7"/>
      <c r="BP841" s="7"/>
      <c r="BQ841" s="7"/>
      <c r="BR841" s="7"/>
      <c r="BS841" s="7"/>
      <c r="BT841" s="7"/>
      <c r="BU841" s="7"/>
      <c r="BV841" s="7"/>
      <c r="BW841" s="7"/>
      <c r="BX841" s="7"/>
      <c r="BY841" s="7"/>
      <c r="BZ841" s="7"/>
      <c r="CA841" s="7"/>
      <c r="CB841" s="7"/>
      <c r="CC841" s="7"/>
      <c r="CD841" s="7"/>
      <c r="CE841" s="7"/>
      <c r="CF841" s="7"/>
      <c r="CG841" s="7"/>
    </row>
    <row r="842" spans="3:85"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  <c r="BB842" s="7"/>
      <c r="BC842" s="7"/>
      <c r="BD842" s="7"/>
      <c r="BE842" s="7"/>
      <c r="BF842" s="7"/>
      <c r="BG842" s="7"/>
      <c r="BH842" s="7"/>
      <c r="BI842" s="7"/>
      <c r="BJ842" s="7"/>
      <c r="BK842" s="7"/>
      <c r="BL842" s="7"/>
      <c r="BM842" s="7"/>
      <c r="BN842" s="7"/>
      <c r="BO842" s="7"/>
      <c r="BP842" s="7"/>
      <c r="BQ842" s="7"/>
      <c r="BR842" s="7"/>
      <c r="BS842" s="7"/>
      <c r="BT842" s="7"/>
      <c r="BU842" s="7"/>
      <c r="BV842" s="7"/>
      <c r="BW842" s="7"/>
      <c r="BX842" s="7"/>
      <c r="BY842" s="7"/>
      <c r="BZ842" s="7"/>
      <c r="CA842" s="7"/>
      <c r="CB842" s="7"/>
      <c r="CC842" s="7"/>
      <c r="CD842" s="7"/>
      <c r="CE842" s="7"/>
      <c r="CF842" s="7"/>
      <c r="CG842" s="7"/>
    </row>
    <row r="843" spans="3:85"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  <c r="BB843" s="7"/>
      <c r="BC843" s="7"/>
      <c r="BD843" s="7"/>
      <c r="BE843" s="7"/>
      <c r="BF843" s="7"/>
      <c r="BG843" s="7"/>
      <c r="BH843" s="7"/>
      <c r="BI843" s="7"/>
      <c r="BJ843" s="7"/>
      <c r="BK843" s="7"/>
      <c r="BL843" s="7"/>
      <c r="BM843" s="7"/>
      <c r="BN843" s="7"/>
      <c r="BO843" s="7"/>
      <c r="BP843" s="7"/>
      <c r="BQ843" s="7"/>
      <c r="BR843" s="7"/>
      <c r="BS843" s="7"/>
      <c r="BT843" s="7"/>
      <c r="BU843" s="7"/>
      <c r="BV843" s="7"/>
      <c r="BW843" s="7"/>
      <c r="BX843" s="7"/>
      <c r="BY843" s="7"/>
      <c r="BZ843" s="7"/>
      <c r="CA843" s="7"/>
      <c r="CB843" s="7"/>
      <c r="CC843" s="7"/>
      <c r="CD843" s="7"/>
      <c r="CE843" s="7"/>
      <c r="CF843" s="7"/>
      <c r="CG843" s="7"/>
    </row>
    <row r="844" spans="3:85"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  <c r="BB844" s="7"/>
      <c r="BC844" s="7"/>
      <c r="BD844" s="7"/>
      <c r="BE844" s="7"/>
      <c r="BF844" s="7"/>
      <c r="BG844" s="7"/>
      <c r="BH844" s="7"/>
      <c r="BI844" s="7"/>
      <c r="BJ844" s="7"/>
      <c r="BK844" s="7"/>
      <c r="BL844" s="7"/>
      <c r="BM844" s="7"/>
      <c r="BN844" s="7"/>
      <c r="BO844" s="7"/>
      <c r="BP844" s="7"/>
      <c r="BQ844" s="7"/>
      <c r="BR844" s="7"/>
      <c r="BS844" s="7"/>
      <c r="BT844" s="7"/>
      <c r="BU844" s="7"/>
      <c r="BV844" s="7"/>
      <c r="BW844" s="7"/>
      <c r="BX844" s="7"/>
      <c r="BY844" s="7"/>
      <c r="BZ844" s="7"/>
      <c r="CA844" s="7"/>
      <c r="CB844" s="7"/>
      <c r="CC844" s="7"/>
      <c r="CD844" s="7"/>
      <c r="CE844" s="7"/>
      <c r="CF844" s="7"/>
      <c r="CG844" s="7"/>
    </row>
    <row r="845" spans="3:85"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  <c r="BB845" s="7"/>
      <c r="BC845" s="7"/>
      <c r="BD845" s="7"/>
      <c r="BE845" s="7"/>
      <c r="BF845" s="7"/>
      <c r="BG845" s="7"/>
      <c r="BH845" s="7"/>
      <c r="BI845" s="7"/>
      <c r="BJ845" s="7"/>
      <c r="BK845" s="7"/>
      <c r="BL845" s="7"/>
      <c r="BM845" s="7"/>
      <c r="BN845" s="7"/>
      <c r="BO845" s="7"/>
      <c r="BP845" s="7"/>
      <c r="BQ845" s="7"/>
      <c r="BR845" s="7"/>
      <c r="BS845" s="7"/>
      <c r="BT845" s="7"/>
      <c r="BU845" s="7"/>
      <c r="BV845" s="7"/>
      <c r="BW845" s="7"/>
      <c r="BX845" s="7"/>
      <c r="BY845" s="7"/>
      <c r="BZ845" s="7"/>
      <c r="CA845" s="7"/>
      <c r="CB845" s="7"/>
      <c r="CC845" s="7"/>
      <c r="CD845" s="7"/>
      <c r="CE845" s="7"/>
      <c r="CF845" s="7"/>
      <c r="CG845" s="7"/>
    </row>
    <row r="846" spans="3:85"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  <c r="BB846" s="7"/>
      <c r="BC846" s="7"/>
      <c r="BD846" s="7"/>
      <c r="BE846" s="7"/>
      <c r="BF846" s="7"/>
      <c r="BG846" s="7"/>
      <c r="BH846" s="7"/>
      <c r="BI846" s="7"/>
      <c r="BJ846" s="7"/>
      <c r="BK846" s="7"/>
      <c r="BL846" s="7"/>
      <c r="BM846" s="7"/>
      <c r="BN846" s="7"/>
      <c r="BO846" s="7"/>
      <c r="BP846" s="7"/>
      <c r="BQ846" s="7"/>
      <c r="BR846" s="7"/>
      <c r="BS846" s="7"/>
      <c r="BT846" s="7"/>
      <c r="BU846" s="7"/>
      <c r="BV846" s="7"/>
      <c r="BW846" s="7"/>
      <c r="BX846" s="7"/>
      <c r="BY846" s="7"/>
      <c r="BZ846" s="7"/>
      <c r="CA846" s="7"/>
      <c r="CB846" s="7"/>
      <c r="CC846" s="7"/>
      <c r="CD846" s="7"/>
      <c r="CE846" s="7"/>
      <c r="CF846" s="7"/>
      <c r="CG846" s="7"/>
    </row>
    <row r="847" spans="3:85"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  <c r="BB847" s="7"/>
      <c r="BC847" s="7"/>
      <c r="BD847" s="7"/>
      <c r="BE847" s="7"/>
      <c r="BF847" s="7"/>
      <c r="BG847" s="7"/>
      <c r="BH847" s="7"/>
      <c r="BI847" s="7"/>
      <c r="BJ847" s="7"/>
      <c r="BK847" s="7"/>
      <c r="BL847" s="7"/>
      <c r="BM847" s="7"/>
      <c r="BN847" s="7"/>
      <c r="BO847" s="7"/>
      <c r="BP847" s="7"/>
      <c r="BQ847" s="7"/>
      <c r="BR847" s="7"/>
      <c r="BS847" s="7"/>
      <c r="BT847" s="7"/>
      <c r="BU847" s="7"/>
      <c r="BV847" s="7"/>
      <c r="BW847" s="7"/>
      <c r="BX847" s="7"/>
      <c r="BY847" s="7"/>
      <c r="BZ847" s="7"/>
      <c r="CA847" s="7"/>
      <c r="CB847" s="7"/>
      <c r="CC847" s="7"/>
      <c r="CD847" s="7"/>
      <c r="CE847" s="7"/>
      <c r="CF847" s="7"/>
      <c r="CG847" s="7"/>
    </row>
    <row r="848" spans="3:85"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  <c r="BB848" s="7"/>
      <c r="BC848" s="7"/>
      <c r="BD848" s="7"/>
      <c r="BE848" s="7"/>
      <c r="BF848" s="7"/>
      <c r="BG848" s="7"/>
      <c r="BH848" s="7"/>
      <c r="BI848" s="7"/>
      <c r="BJ848" s="7"/>
      <c r="BK848" s="7"/>
      <c r="BL848" s="7"/>
      <c r="BM848" s="7"/>
      <c r="BN848" s="7"/>
      <c r="BO848" s="7"/>
      <c r="BP848" s="7"/>
      <c r="BQ848" s="7"/>
      <c r="BR848" s="7"/>
      <c r="BS848" s="7"/>
      <c r="BT848" s="7"/>
      <c r="BU848" s="7"/>
      <c r="BV848" s="7"/>
      <c r="BW848" s="7"/>
      <c r="BX848" s="7"/>
      <c r="BY848" s="7"/>
      <c r="BZ848" s="7"/>
      <c r="CA848" s="7"/>
      <c r="CB848" s="7"/>
      <c r="CC848" s="7"/>
      <c r="CD848" s="7"/>
      <c r="CE848" s="7"/>
      <c r="CF848" s="7"/>
      <c r="CG848" s="7"/>
    </row>
    <row r="849" spans="3:85"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  <c r="BB849" s="7"/>
      <c r="BC849" s="7"/>
      <c r="BD849" s="7"/>
      <c r="BE849" s="7"/>
      <c r="BF849" s="7"/>
      <c r="BG849" s="7"/>
      <c r="BH849" s="7"/>
      <c r="BI849" s="7"/>
      <c r="BJ849" s="7"/>
      <c r="BK849" s="7"/>
      <c r="BL849" s="7"/>
      <c r="BM849" s="7"/>
      <c r="BN849" s="7"/>
      <c r="BO849" s="7"/>
      <c r="BP849" s="7"/>
      <c r="BQ849" s="7"/>
      <c r="BR849" s="7"/>
      <c r="BS849" s="7"/>
      <c r="BT849" s="7"/>
      <c r="BU849" s="7"/>
      <c r="BV849" s="7"/>
      <c r="BW849" s="7"/>
      <c r="BX849" s="7"/>
      <c r="BY849" s="7"/>
      <c r="BZ849" s="7"/>
      <c r="CA849" s="7"/>
      <c r="CB849" s="7"/>
      <c r="CC849" s="7"/>
      <c r="CD849" s="7"/>
      <c r="CE849" s="7"/>
      <c r="CF849" s="7"/>
      <c r="CG849" s="7"/>
    </row>
    <row r="850" spans="3:85"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  <c r="BB850" s="7"/>
      <c r="BC850" s="7"/>
      <c r="BD850" s="7"/>
      <c r="BE850" s="7"/>
      <c r="BF850" s="7"/>
      <c r="BG850" s="7"/>
      <c r="BH850" s="7"/>
      <c r="BI850" s="7"/>
      <c r="BJ850" s="7"/>
      <c r="BK850" s="7"/>
      <c r="BL850" s="7"/>
      <c r="BM850" s="7"/>
      <c r="BN850" s="7"/>
      <c r="BO850" s="7"/>
      <c r="BP850" s="7"/>
      <c r="BQ850" s="7"/>
      <c r="BR850" s="7"/>
      <c r="BS850" s="7"/>
      <c r="BT850" s="7"/>
      <c r="BU850" s="7"/>
      <c r="BV850" s="7"/>
      <c r="BW850" s="7"/>
      <c r="BX850" s="7"/>
      <c r="BY850" s="7"/>
      <c r="BZ850" s="7"/>
      <c r="CA850" s="7"/>
      <c r="CB850" s="7"/>
      <c r="CC850" s="7"/>
      <c r="CD850" s="7"/>
      <c r="CE850" s="7"/>
      <c r="CF850" s="7"/>
      <c r="CG850" s="7"/>
    </row>
    <row r="851" spans="3:85"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  <c r="BB851" s="7"/>
      <c r="BC851" s="7"/>
      <c r="BD851" s="7"/>
      <c r="BE851" s="7"/>
      <c r="BF851" s="7"/>
      <c r="BG851" s="7"/>
      <c r="BH851" s="7"/>
      <c r="BI851" s="7"/>
      <c r="BJ851" s="7"/>
      <c r="BK851" s="7"/>
      <c r="BL851" s="7"/>
      <c r="BM851" s="7"/>
      <c r="BN851" s="7"/>
      <c r="BO851" s="7"/>
      <c r="BP851" s="7"/>
      <c r="BQ851" s="7"/>
      <c r="BR851" s="7"/>
      <c r="BS851" s="7"/>
      <c r="BT851" s="7"/>
      <c r="BU851" s="7"/>
      <c r="BV851" s="7"/>
      <c r="BW851" s="7"/>
      <c r="BX851" s="7"/>
      <c r="BY851" s="7"/>
      <c r="BZ851" s="7"/>
      <c r="CA851" s="7"/>
      <c r="CB851" s="7"/>
      <c r="CC851" s="7"/>
      <c r="CD851" s="7"/>
      <c r="CE851" s="7"/>
      <c r="CF851" s="7"/>
      <c r="CG851" s="7"/>
    </row>
    <row r="852" spans="3:85"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  <c r="BB852" s="7"/>
      <c r="BC852" s="7"/>
      <c r="BD852" s="7"/>
      <c r="BE852" s="7"/>
      <c r="BF852" s="7"/>
      <c r="BG852" s="7"/>
      <c r="BH852" s="7"/>
      <c r="BI852" s="7"/>
      <c r="BJ852" s="7"/>
      <c r="BK852" s="7"/>
      <c r="BL852" s="7"/>
      <c r="BM852" s="7"/>
      <c r="BN852" s="7"/>
      <c r="BO852" s="7"/>
      <c r="BP852" s="7"/>
      <c r="BQ852" s="7"/>
      <c r="BR852" s="7"/>
      <c r="BS852" s="7"/>
      <c r="BT852" s="7"/>
      <c r="BU852" s="7"/>
      <c r="BV852" s="7"/>
      <c r="BW852" s="7"/>
      <c r="BX852" s="7"/>
      <c r="BY852" s="7"/>
      <c r="BZ852" s="7"/>
      <c r="CA852" s="7"/>
      <c r="CB852" s="7"/>
      <c r="CC852" s="7"/>
      <c r="CD852" s="7"/>
      <c r="CE852" s="7"/>
      <c r="CF852" s="7"/>
      <c r="CG852" s="7"/>
    </row>
    <row r="853" spans="3:85"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  <c r="BB853" s="7"/>
      <c r="BC853" s="7"/>
      <c r="BD853" s="7"/>
      <c r="BE853" s="7"/>
      <c r="BF853" s="7"/>
      <c r="BG853" s="7"/>
      <c r="BH853" s="7"/>
      <c r="BI853" s="7"/>
      <c r="BJ853" s="7"/>
      <c r="BK853" s="7"/>
      <c r="BL853" s="7"/>
      <c r="BM853" s="7"/>
      <c r="BN853" s="7"/>
      <c r="BO853" s="7"/>
      <c r="BP853" s="7"/>
      <c r="BQ853" s="7"/>
      <c r="BR853" s="7"/>
      <c r="BS853" s="7"/>
      <c r="BT853" s="7"/>
      <c r="BU853" s="7"/>
      <c r="BV853" s="7"/>
      <c r="BW853" s="7"/>
      <c r="BX853" s="7"/>
      <c r="BY853" s="7"/>
      <c r="BZ853" s="7"/>
      <c r="CA853" s="7"/>
      <c r="CB853" s="7"/>
      <c r="CC853" s="7"/>
      <c r="CD853" s="7"/>
      <c r="CE853" s="7"/>
      <c r="CF853" s="7"/>
      <c r="CG853" s="7"/>
    </row>
    <row r="854" spans="3:85"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  <c r="BB854" s="7"/>
      <c r="BC854" s="7"/>
      <c r="BD854" s="7"/>
      <c r="BE854" s="7"/>
      <c r="BF854" s="7"/>
      <c r="BG854" s="7"/>
      <c r="BH854" s="7"/>
      <c r="BI854" s="7"/>
      <c r="BJ854" s="7"/>
      <c r="BK854" s="7"/>
      <c r="BL854" s="7"/>
      <c r="BM854" s="7"/>
      <c r="BN854" s="7"/>
      <c r="BO854" s="7"/>
      <c r="BP854" s="7"/>
      <c r="BQ854" s="7"/>
      <c r="BR854" s="7"/>
      <c r="BS854" s="7"/>
      <c r="BT854" s="7"/>
      <c r="BU854" s="7"/>
      <c r="BV854" s="7"/>
      <c r="BW854" s="7"/>
      <c r="BX854" s="7"/>
      <c r="BY854" s="7"/>
      <c r="BZ854" s="7"/>
      <c r="CA854" s="7"/>
      <c r="CB854" s="7"/>
      <c r="CC854" s="7"/>
      <c r="CD854" s="7"/>
      <c r="CE854" s="7"/>
      <c r="CF854" s="7"/>
      <c r="CG854" s="7"/>
    </row>
    <row r="855" spans="3:85"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  <c r="BB855" s="7"/>
      <c r="BC855" s="7"/>
      <c r="BD855" s="7"/>
      <c r="BE855" s="7"/>
      <c r="BF855" s="7"/>
      <c r="BG855" s="7"/>
      <c r="BH855" s="7"/>
      <c r="BI855" s="7"/>
      <c r="BJ855" s="7"/>
      <c r="BK855" s="7"/>
      <c r="BL855" s="7"/>
      <c r="BM855" s="7"/>
      <c r="BN855" s="7"/>
      <c r="BO855" s="7"/>
      <c r="BP855" s="7"/>
      <c r="BQ855" s="7"/>
      <c r="BR855" s="7"/>
      <c r="BS855" s="7"/>
      <c r="BT855" s="7"/>
      <c r="BU855" s="7"/>
      <c r="BV855" s="7"/>
      <c r="BW855" s="7"/>
      <c r="BX855" s="7"/>
      <c r="BY855" s="7"/>
      <c r="BZ855" s="7"/>
      <c r="CA855" s="7"/>
      <c r="CB855" s="7"/>
      <c r="CC855" s="7"/>
      <c r="CD855" s="7"/>
      <c r="CE855" s="7"/>
      <c r="CF855" s="7"/>
      <c r="CG855" s="7"/>
    </row>
    <row r="856" spans="3:85"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  <c r="BB856" s="7"/>
      <c r="BC856" s="7"/>
      <c r="BD856" s="7"/>
      <c r="BE856" s="7"/>
      <c r="BF856" s="7"/>
      <c r="BG856" s="7"/>
      <c r="BH856" s="7"/>
      <c r="BI856" s="7"/>
      <c r="BJ856" s="7"/>
      <c r="BK856" s="7"/>
      <c r="BL856" s="7"/>
      <c r="BM856" s="7"/>
      <c r="BN856" s="7"/>
      <c r="BO856" s="7"/>
      <c r="BP856" s="7"/>
      <c r="BQ856" s="7"/>
      <c r="BR856" s="7"/>
      <c r="BS856" s="7"/>
      <c r="BT856" s="7"/>
      <c r="BU856" s="7"/>
      <c r="BV856" s="7"/>
      <c r="BW856" s="7"/>
      <c r="BX856" s="7"/>
      <c r="BY856" s="7"/>
      <c r="BZ856" s="7"/>
      <c r="CA856" s="7"/>
      <c r="CB856" s="7"/>
      <c r="CC856" s="7"/>
      <c r="CD856" s="7"/>
      <c r="CE856" s="7"/>
      <c r="CF856" s="7"/>
      <c r="CG856" s="7"/>
    </row>
    <row r="857" spans="3:85"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  <c r="BB857" s="7"/>
      <c r="BC857" s="7"/>
      <c r="BD857" s="7"/>
      <c r="BE857" s="7"/>
      <c r="BF857" s="7"/>
      <c r="BG857" s="7"/>
      <c r="BH857" s="7"/>
      <c r="BI857" s="7"/>
      <c r="BJ857" s="7"/>
      <c r="BK857" s="7"/>
      <c r="BL857" s="7"/>
      <c r="BM857" s="7"/>
      <c r="BN857" s="7"/>
      <c r="BO857" s="7"/>
      <c r="BP857" s="7"/>
      <c r="BQ857" s="7"/>
      <c r="BR857" s="7"/>
      <c r="BS857" s="7"/>
      <c r="BT857" s="7"/>
      <c r="BU857" s="7"/>
      <c r="BV857" s="7"/>
      <c r="BW857" s="7"/>
      <c r="BX857" s="7"/>
      <c r="BY857" s="7"/>
      <c r="BZ857" s="7"/>
      <c r="CA857" s="7"/>
      <c r="CB857" s="7"/>
      <c r="CC857" s="7"/>
      <c r="CD857" s="7"/>
      <c r="CE857" s="7"/>
      <c r="CF857" s="7"/>
      <c r="CG857" s="7"/>
    </row>
    <row r="858" spans="3:85"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  <c r="BB858" s="7"/>
      <c r="BC858" s="7"/>
      <c r="BD858" s="7"/>
      <c r="BE858" s="7"/>
      <c r="BF858" s="7"/>
      <c r="BG858" s="7"/>
      <c r="BH858" s="7"/>
      <c r="BI858" s="7"/>
      <c r="BJ858" s="7"/>
      <c r="BK858" s="7"/>
      <c r="BL858" s="7"/>
      <c r="BM858" s="7"/>
      <c r="BN858" s="7"/>
      <c r="BO858" s="7"/>
      <c r="BP858" s="7"/>
      <c r="BQ858" s="7"/>
      <c r="BR858" s="7"/>
      <c r="BS858" s="7"/>
      <c r="BT858" s="7"/>
      <c r="BU858" s="7"/>
      <c r="BV858" s="7"/>
      <c r="BW858" s="7"/>
      <c r="BX858" s="7"/>
      <c r="BY858" s="7"/>
      <c r="BZ858" s="7"/>
      <c r="CA858" s="7"/>
      <c r="CB858" s="7"/>
      <c r="CC858" s="7"/>
      <c r="CD858" s="7"/>
      <c r="CE858" s="7"/>
      <c r="CF858" s="7"/>
      <c r="CG858" s="7"/>
    </row>
    <row r="859" spans="3:85"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  <c r="BB859" s="7"/>
      <c r="BC859" s="7"/>
      <c r="BD859" s="7"/>
      <c r="BE859" s="7"/>
      <c r="BF859" s="7"/>
      <c r="BG859" s="7"/>
      <c r="BH859" s="7"/>
      <c r="BI859" s="7"/>
      <c r="BJ859" s="7"/>
      <c r="BK859" s="7"/>
      <c r="BL859" s="7"/>
      <c r="BM859" s="7"/>
      <c r="BN859" s="7"/>
      <c r="BO859" s="7"/>
      <c r="BP859" s="7"/>
      <c r="BQ859" s="7"/>
      <c r="BR859" s="7"/>
      <c r="BS859" s="7"/>
      <c r="BT859" s="7"/>
      <c r="BU859" s="7"/>
      <c r="BV859" s="7"/>
      <c r="BW859" s="7"/>
      <c r="BX859" s="7"/>
      <c r="BY859" s="7"/>
      <c r="BZ859" s="7"/>
      <c r="CA859" s="7"/>
      <c r="CB859" s="7"/>
      <c r="CC859" s="7"/>
      <c r="CD859" s="7"/>
      <c r="CE859" s="7"/>
      <c r="CF859" s="7"/>
      <c r="CG859" s="7"/>
    </row>
    <row r="860" spans="3:85"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  <c r="BB860" s="7"/>
      <c r="BC860" s="7"/>
      <c r="BD860" s="7"/>
      <c r="BE860" s="7"/>
      <c r="BF860" s="7"/>
      <c r="BG860" s="7"/>
      <c r="BH860" s="7"/>
      <c r="BI860" s="7"/>
      <c r="BJ860" s="7"/>
      <c r="BK860" s="7"/>
      <c r="BL860" s="7"/>
      <c r="BM860" s="7"/>
      <c r="BN860" s="7"/>
      <c r="BO860" s="7"/>
      <c r="BP860" s="7"/>
      <c r="BQ860" s="7"/>
      <c r="BR860" s="7"/>
      <c r="BS860" s="7"/>
      <c r="BT860" s="7"/>
      <c r="BU860" s="7"/>
      <c r="BV860" s="7"/>
      <c r="BW860" s="7"/>
      <c r="BX860" s="7"/>
      <c r="BY860" s="7"/>
      <c r="BZ860" s="7"/>
      <c r="CA860" s="7"/>
      <c r="CB860" s="7"/>
      <c r="CC860" s="7"/>
      <c r="CD860" s="7"/>
      <c r="CE860" s="7"/>
      <c r="CF860" s="7"/>
      <c r="CG860" s="7"/>
    </row>
    <row r="861" spans="3:85"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  <c r="BB861" s="7"/>
      <c r="BC861" s="7"/>
      <c r="BD861" s="7"/>
      <c r="BE861" s="7"/>
      <c r="BF861" s="7"/>
      <c r="BG861" s="7"/>
      <c r="BH861" s="7"/>
      <c r="BI861" s="7"/>
      <c r="BJ861" s="7"/>
      <c r="BK861" s="7"/>
      <c r="BL861" s="7"/>
      <c r="BM861" s="7"/>
      <c r="BN861" s="7"/>
      <c r="BO861" s="7"/>
      <c r="BP861" s="7"/>
      <c r="BQ861" s="7"/>
      <c r="BR861" s="7"/>
      <c r="BS861" s="7"/>
      <c r="BT861" s="7"/>
      <c r="BU861" s="7"/>
      <c r="BV861" s="7"/>
      <c r="BW861" s="7"/>
      <c r="BX861" s="7"/>
      <c r="BY861" s="7"/>
      <c r="BZ861" s="7"/>
      <c r="CA861" s="7"/>
      <c r="CB861" s="7"/>
      <c r="CC861" s="7"/>
      <c r="CD861" s="7"/>
      <c r="CE861" s="7"/>
      <c r="CF861" s="7"/>
      <c r="CG861" s="7"/>
    </row>
    <row r="862" spans="3:85"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  <c r="BB862" s="7"/>
      <c r="BC862" s="7"/>
      <c r="BD862" s="7"/>
      <c r="BE862" s="7"/>
      <c r="BF862" s="7"/>
      <c r="BG862" s="7"/>
      <c r="BH862" s="7"/>
      <c r="BI862" s="7"/>
      <c r="BJ862" s="7"/>
      <c r="BK862" s="7"/>
      <c r="BL862" s="7"/>
      <c r="BM862" s="7"/>
      <c r="BN862" s="7"/>
      <c r="BO862" s="7"/>
      <c r="BP862" s="7"/>
      <c r="BQ862" s="7"/>
      <c r="BR862" s="7"/>
      <c r="BS862" s="7"/>
      <c r="BT862" s="7"/>
      <c r="BU862" s="7"/>
      <c r="BV862" s="7"/>
      <c r="BW862" s="7"/>
      <c r="BX862" s="7"/>
      <c r="BY862" s="7"/>
      <c r="BZ862" s="7"/>
      <c r="CA862" s="7"/>
      <c r="CB862" s="7"/>
      <c r="CC862" s="7"/>
      <c r="CD862" s="7"/>
      <c r="CE862" s="7"/>
      <c r="CF862" s="7"/>
      <c r="CG862" s="7"/>
    </row>
    <row r="863" spans="3:85"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  <c r="BB863" s="7"/>
      <c r="BC863" s="7"/>
      <c r="BD863" s="7"/>
      <c r="BE863" s="7"/>
      <c r="BF863" s="7"/>
      <c r="BG863" s="7"/>
      <c r="BH863" s="7"/>
      <c r="BI863" s="7"/>
      <c r="BJ863" s="7"/>
      <c r="BK863" s="7"/>
      <c r="BL863" s="7"/>
      <c r="BM863" s="7"/>
      <c r="BN863" s="7"/>
      <c r="BO863" s="7"/>
      <c r="BP863" s="7"/>
      <c r="BQ863" s="7"/>
      <c r="BR863" s="7"/>
      <c r="BS863" s="7"/>
      <c r="BT863" s="7"/>
      <c r="BU863" s="7"/>
      <c r="BV863" s="7"/>
      <c r="BW863" s="7"/>
      <c r="BX863" s="7"/>
      <c r="BY863" s="7"/>
      <c r="BZ863" s="7"/>
      <c r="CA863" s="7"/>
      <c r="CB863" s="7"/>
      <c r="CC863" s="7"/>
      <c r="CD863" s="7"/>
      <c r="CE863" s="7"/>
      <c r="CF863" s="7"/>
      <c r="CG863" s="7"/>
    </row>
    <row r="864" spans="3:85"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  <c r="BB864" s="7"/>
      <c r="BC864" s="7"/>
      <c r="BD864" s="7"/>
      <c r="BE864" s="7"/>
      <c r="BF864" s="7"/>
      <c r="BG864" s="7"/>
      <c r="BH864" s="7"/>
      <c r="BI864" s="7"/>
      <c r="BJ864" s="7"/>
      <c r="BK864" s="7"/>
      <c r="BL864" s="7"/>
      <c r="BM864" s="7"/>
      <c r="BN864" s="7"/>
      <c r="BO864" s="7"/>
      <c r="BP864" s="7"/>
      <c r="BQ864" s="7"/>
      <c r="BR864" s="7"/>
      <c r="BS864" s="7"/>
      <c r="BT864" s="7"/>
      <c r="BU864" s="7"/>
      <c r="BV864" s="7"/>
      <c r="BW864" s="7"/>
      <c r="BX864" s="7"/>
      <c r="BY864" s="7"/>
      <c r="BZ864" s="7"/>
      <c r="CA864" s="7"/>
      <c r="CB864" s="7"/>
      <c r="CC864" s="7"/>
      <c r="CD864" s="7"/>
      <c r="CE864" s="7"/>
      <c r="CF864" s="7"/>
      <c r="CG864" s="7"/>
    </row>
    <row r="865" spans="3:85"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  <c r="BB865" s="7"/>
      <c r="BC865" s="7"/>
      <c r="BD865" s="7"/>
      <c r="BE865" s="7"/>
      <c r="BF865" s="7"/>
      <c r="BG865" s="7"/>
      <c r="BH865" s="7"/>
      <c r="BI865" s="7"/>
      <c r="BJ865" s="7"/>
      <c r="BK865" s="7"/>
      <c r="BL865" s="7"/>
      <c r="BM865" s="7"/>
      <c r="BN865" s="7"/>
      <c r="BO865" s="7"/>
      <c r="BP865" s="7"/>
      <c r="BQ865" s="7"/>
      <c r="BR865" s="7"/>
      <c r="BS865" s="7"/>
      <c r="BT865" s="7"/>
      <c r="BU865" s="7"/>
      <c r="BV865" s="7"/>
      <c r="BW865" s="7"/>
      <c r="BX865" s="7"/>
      <c r="BY865" s="7"/>
      <c r="BZ865" s="7"/>
      <c r="CA865" s="7"/>
      <c r="CB865" s="7"/>
      <c r="CC865" s="7"/>
      <c r="CD865" s="7"/>
      <c r="CE865" s="7"/>
      <c r="CF865" s="7"/>
      <c r="CG865" s="7"/>
    </row>
    <row r="866" spans="3:85"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  <c r="BB866" s="7"/>
      <c r="BC866" s="7"/>
      <c r="BD866" s="7"/>
      <c r="BE866" s="7"/>
      <c r="BF866" s="7"/>
      <c r="BG866" s="7"/>
      <c r="BH866" s="7"/>
      <c r="BI866" s="7"/>
      <c r="BJ866" s="7"/>
      <c r="BK866" s="7"/>
      <c r="BL866" s="7"/>
      <c r="BM866" s="7"/>
      <c r="BN866" s="7"/>
      <c r="BO866" s="7"/>
      <c r="BP866" s="7"/>
      <c r="BQ866" s="7"/>
      <c r="BR866" s="7"/>
      <c r="BS866" s="7"/>
      <c r="BT866" s="7"/>
      <c r="BU866" s="7"/>
      <c r="BV866" s="7"/>
      <c r="BW866" s="7"/>
      <c r="BX866" s="7"/>
      <c r="BY866" s="7"/>
      <c r="BZ866" s="7"/>
      <c r="CA866" s="7"/>
      <c r="CB866" s="7"/>
      <c r="CC866" s="7"/>
      <c r="CD866" s="7"/>
      <c r="CE866" s="7"/>
      <c r="CF866" s="7"/>
      <c r="CG866" s="7"/>
    </row>
    <row r="867" spans="3:85"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  <c r="BB867" s="7"/>
      <c r="BC867" s="7"/>
      <c r="BD867" s="7"/>
      <c r="BE867" s="7"/>
      <c r="BF867" s="7"/>
      <c r="BG867" s="7"/>
      <c r="BH867" s="7"/>
      <c r="BI867" s="7"/>
      <c r="BJ867" s="7"/>
      <c r="BK867" s="7"/>
      <c r="BL867" s="7"/>
      <c r="BM867" s="7"/>
      <c r="BN867" s="7"/>
      <c r="BO867" s="7"/>
      <c r="BP867" s="7"/>
      <c r="BQ867" s="7"/>
      <c r="BR867" s="7"/>
      <c r="BS867" s="7"/>
      <c r="BT867" s="7"/>
      <c r="BU867" s="7"/>
      <c r="BV867" s="7"/>
      <c r="BW867" s="7"/>
      <c r="BX867" s="7"/>
      <c r="BY867" s="7"/>
      <c r="BZ867" s="7"/>
      <c r="CA867" s="7"/>
      <c r="CB867" s="7"/>
      <c r="CC867" s="7"/>
      <c r="CD867" s="7"/>
      <c r="CE867" s="7"/>
      <c r="CF867" s="7"/>
      <c r="CG867" s="7"/>
    </row>
    <row r="868" spans="3:85"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  <c r="BB868" s="7"/>
      <c r="BC868" s="7"/>
      <c r="BD868" s="7"/>
      <c r="BE868" s="7"/>
      <c r="BF868" s="7"/>
      <c r="BG868" s="7"/>
      <c r="BH868" s="7"/>
      <c r="BI868" s="7"/>
      <c r="BJ868" s="7"/>
      <c r="BK868" s="7"/>
      <c r="BL868" s="7"/>
      <c r="BM868" s="7"/>
      <c r="BN868" s="7"/>
      <c r="BO868" s="7"/>
      <c r="BP868" s="7"/>
      <c r="BQ868" s="7"/>
      <c r="BR868" s="7"/>
      <c r="BS868" s="7"/>
      <c r="BT868" s="7"/>
      <c r="BU868" s="7"/>
      <c r="BV868" s="7"/>
      <c r="BW868" s="7"/>
      <c r="BX868" s="7"/>
      <c r="BY868" s="7"/>
      <c r="BZ868" s="7"/>
      <c r="CA868" s="7"/>
      <c r="CB868" s="7"/>
      <c r="CC868" s="7"/>
      <c r="CD868" s="7"/>
      <c r="CE868" s="7"/>
      <c r="CF868" s="7"/>
      <c r="CG868" s="7"/>
    </row>
    <row r="869" spans="3:85"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  <c r="BB869" s="7"/>
      <c r="BC869" s="7"/>
      <c r="BD869" s="7"/>
      <c r="BE869" s="7"/>
      <c r="BF869" s="7"/>
      <c r="BG869" s="7"/>
      <c r="BH869" s="7"/>
      <c r="BI869" s="7"/>
      <c r="BJ869" s="7"/>
      <c r="BK869" s="7"/>
      <c r="BL869" s="7"/>
      <c r="BM869" s="7"/>
      <c r="BN869" s="7"/>
      <c r="BO869" s="7"/>
      <c r="BP869" s="7"/>
      <c r="BQ869" s="7"/>
      <c r="BR869" s="7"/>
      <c r="BS869" s="7"/>
      <c r="BT869" s="7"/>
      <c r="BU869" s="7"/>
      <c r="BV869" s="7"/>
      <c r="BW869" s="7"/>
      <c r="BX869" s="7"/>
      <c r="BY869" s="7"/>
      <c r="BZ869" s="7"/>
      <c r="CA869" s="7"/>
      <c r="CB869" s="7"/>
      <c r="CC869" s="7"/>
      <c r="CD869" s="7"/>
      <c r="CE869" s="7"/>
      <c r="CF869" s="7"/>
      <c r="CG869" s="7"/>
    </row>
    <row r="870" spans="3:85"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  <c r="BB870" s="7"/>
      <c r="BC870" s="7"/>
      <c r="BD870" s="7"/>
      <c r="BE870" s="7"/>
      <c r="BF870" s="7"/>
      <c r="BG870" s="7"/>
      <c r="BH870" s="7"/>
      <c r="BI870" s="7"/>
      <c r="BJ870" s="7"/>
      <c r="BK870" s="7"/>
      <c r="BL870" s="7"/>
      <c r="BM870" s="7"/>
      <c r="BN870" s="7"/>
      <c r="BO870" s="7"/>
      <c r="BP870" s="7"/>
      <c r="BQ870" s="7"/>
      <c r="BR870" s="7"/>
      <c r="BS870" s="7"/>
      <c r="BT870" s="7"/>
      <c r="BU870" s="7"/>
      <c r="BV870" s="7"/>
      <c r="BW870" s="7"/>
      <c r="BX870" s="7"/>
      <c r="BY870" s="7"/>
      <c r="BZ870" s="7"/>
      <c r="CA870" s="7"/>
      <c r="CB870" s="7"/>
      <c r="CC870" s="7"/>
      <c r="CD870" s="7"/>
      <c r="CE870" s="7"/>
      <c r="CF870" s="7"/>
      <c r="CG870" s="7"/>
    </row>
    <row r="871" spans="3:85"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  <c r="BB871" s="7"/>
      <c r="BC871" s="7"/>
      <c r="BD871" s="7"/>
      <c r="BE871" s="7"/>
      <c r="BF871" s="7"/>
      <c r="BG871" s="7"/>
      <c r="BH871" s="7"/>
      <c r="BI871" s="7"/>
      <c r="BJ871" s="7"/>
      <c r="BK871" s="7"/>
      <c r="BL871" s="7"/>
      <c r="BM871" s="7"/>
      <c r="BN871" s="7"/>
      <c r="BO871" s="7"/>
      <c r="BP871" s="7"/>
      <c r="BQ871" s="7"/>
      <c r="BR871" s="7"/>
      <c r="BS871" s="7"/>
      <c r="BT871" s="7"/>
      <c r="BU871" s="7"/>
      <c r="BV871" s="7"/>
      <c r="BW871" s="7"/>
      <c r="BX871" s="7"/>
      <c r="BY871" s="7"/>
      <c r="BZ871" s="7"/>
      <c r="CA871" s="7"/>
      <c r="CB871" s="7"/>
      <c r="CC871" s="7"/>
      <c r="CD871" s="7"/>
      <c r="CE871" s="7"/>
      <c r="CF871" s="7"/>
      <c r="CG871" s="7"/>
    </row>
    <row r="872" spans="3:85"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  <c r="BB872" s="7"/>
      <c r="BC872" s="7"/>
      <c r="BD872" s="7"/>
      <c r="BE872" s="7"/>
      <c r="BF872" s="7"/>
      <c r="BG872" s="7"/>
      <c r="BH872" s="7"/>
      <c r="BI872" s="7"/>
      <c r="BJ872" s="7"/>
      <c r="BK872" s="7"/>
      <c r="BL872" s="7"/>
      <c r="BM872" s="7"/>
      <c r="BN872" s="7"/>
      <c r="BO872" s="7"/>
      <c r="BP872" s="7"/>
      <c r="BQ872" s="7"/>
      <c r="BR872" s="7"/>
      <c r="BS872" s="7"/>
      <c r="BT872" s="7"/>
      <c r="BU872" s="7"/>
      <c r="BV872" s="7"/>
      <c r="BW872" s="7"/>
      <c r="BX872" s="7"/>
      <c r="BY872" s="7"/>
      <c r="BZ872" s="7"/>
      <c r="CA872" s="7"/>
      <c r="CB872" s="7"/>
      <c r="CC872" s="7"/>
      <c r="CD872" s="7"/>
      <c r="CE872" s="7"/>
      <c r="CF872" s="7"/>
      <c r="CG872" s="7"/>
    </row>
    <row r="873" spans="3:85"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  <c r="BB873" s="7"/>
      <c r="BC873" s="7"/>
      <c r="BD873" s="7"/>
      <c r="BE873" s="7"/>
      <c r="BF873" s="7"/>
      <c r="BG873" s="7"/>
      <c r="BH873" s="7"/>
      <c r="BI873" s="7"/>
      <c r="BJ873" s="7"/>
      <c r="BK873" s="7"/>
      <c r="BL873" s="7"/>
      <c r="BM873" s="7"/>
      <c r="BN873" s="7"/>
      <c r="BO873" s="7"/>
      <c r="BP873" s="7"/>
      <c r="BQ873" s="7"/>
      <c r="BR873" s="7"/>
      <c r="BS873" s="7"/>
      <c r="BT873" s="7"/>
      <c r="BU873" s="7"/>
      <c r="BV873" s="7"/>
      <c r="BW873" s="7"/>
      <c r="BX873" s="7"/>
      <c r="BY873" s="7"/>
      <c r="BZ873" s="7"/>
      <c r="CA873" s="7"/>
      <c r="CB873" s="7"/>
      <c r="CC873" s="7"/>
      <c r="CD873" s="7"/>
      <c r="CE873" s="7"/>
      <c r="CF873" s="7"/>
      <c r="CG873" s="7"/>
    </row>
    <row r="874" spans="3:85"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  <c r="BB874" s="7"/>
      <c r="BC874" s="7"/>
      <c r="BD874" s="7"/>
      <c r="BE874" s="7"/>
      <c r="BF874" s="7"/>
      <c r="BG874" s="7"/>
      <c r="BH874" s="7"/>
      <c r="BI874" s="7"/>
      <c r="BJ874" s="7"/>
      <c r="BK874" s="7"/>
      <c r="BL874" s="7"/>
      <c r="BM874" s="7"/>
      <c r="BN874" s="7"/>
      <c r="BO874" s="7"/>
      <c r="BP874" s="7"/>
      <c r="BQ874" s="7"/>
      <c r="BR874" s="7"/>
      <c r="BS874" s="7"/>
      <c r="BT874" s="7"/>
      <c r="BU874" s="7"/>
      <c r="BV874" s="7"/>
      <c r="BW874" s="7"/>
      <c r="BX874" s="7"/>
      <c r="BY874" s="7"/>
      <c r="BZ874" s="7"/>
      <c r="CA874" s="7"/>
      <c r="CB874" s="7"/>
      <c r="CC874" s="7"/>
      <c r="CD874" s="7"/>
      <c r="CE874" s="7"/>
      <c r="CF874" s="7"/>
      <c r="CG874" s="7"/>
    </row>
    <row r="875" spans="3:85"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  <c r="BB875" s="7"/>
      <c r="BC875" s="7"/>
      <c r="BD875" s="7"/>
      <c r="BE875" s="7"/>
      <c r="BF875" s="7"/>
      <c r="BG875" s="7"/>
      <c r="BH875" s="7"/>
      <c r="BI875" s="7"/>
      <c r="BJ875" s="7"/>
      <c r="BK875" s="7"/>
      <c r="BL875" s="7"/>
      <c r="BM875" s="7"/>
      <c r="BN875" s="7"/>
      <c r="BO875" s="7"/>
      <c r="BP875" s="7"/>
      <c r="BQ875" s="7"/>
      <c r="BR875" s="7"/>
      <c r="BS875" s="7"/>
      <c r="BT875" s="7"/>
      <c r="BU875" s="7"/>
      <c r="BV875" s="7"/>
      <c r="BW875" s="7"/>
      <c r="BX875" s="7"/>
      <c r="BY875" s="7"/>
      <c r="BZ875" s="7"/>
      <c r="CA875" s="7"/>
      <c r="CB875" s="7"/>
      <c r="CC875" s="7"/>
      <c r="CD875" s="7"/>
      <c r="CE875" s="7"/>
      <c r="CF875" s="7"/>
      <c r="CG875" s="7"/>
    </row>
    <row r="876" spans="3:85"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  <c r="BB876" s="7"/>
      <c r="BC876" s="7"/>
      <c r="BD876" s="7"/>
      <c r="BE876" s="7"/>
      <c r="BF876" s="7"/>
      <c r="BG876" s="7"/>
      <c r="BH876" s="7"/>
      <c r="BI876" s="7"/>
      <c r="BJ876" s="7"/>
      <c r="BK876" s="7"/>
      <c r="BL876" s="7"/>
      <c r="BM876" s="7"/>
      <c r="BN876" s="7"/>
      <c r="BO876" s="7"/>
      <c r="BP876" s="7"/>
      <c r="BQ876" s="7"/>
      <c r="BR876" s="7"/>
      <c r="BS876" s="7"/>
      <c r="BT876" s="7"/>
      <c r="BU876" s="7"/>
      <c r="BV876" s="7"/>
      <c r="BW876" s="7"/>
      <c r="BX876" s="7"/>
      <c r="BY876" s="7"/>
      <c r="BZ876" s="7"/>
      <c r="CA876" s="7"/>
      <c r="CB876" s="7"/>
      <c r="CC876" s="7"/>
      <c r="CD876" s="7"/>
      <c r="CE876" s="7"/>
      <c r="CF876" s="7"/>
      <c r="CG876" s="7"/>
    </row>
    <row r="877" spans="3:85"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  <c r="BB877" s="7"/>
      <c r="BC877" s="7"/>
      <c r="BD877" s="7"/>
      <c r="BE877" s="7"/>
      <c r="BF877" s="7"/>
      <c r="BG877" s="7"/>
      <c r="BH877" s="7"/>
      <c r="BI877" s="7"/>
      <c r="BJ877" s="7"/>
      <c r="BK877" s="7"/>
      <c r="BL877" s="7"/>
      <c r="BM877" s="7"/>
      <c r="BN877" s="7"/>
      <c r="BO877" s="7"/>
      <c r="BP877" s="7"/>
      <c r="BQ877" s="7"/>
      <c r="BR877" s="7"/>
      <c r="BS877" s="7"/>
      <c r="BT877" s="7"/>
      <c r="BU877" s="7"/>
      <c r="BV877" s="7"/>
      <c r="BW877" s="7"/>
      <c r="BX877" s="7"/>
      <c r="BY877" s="7"/>
      <c r="BZ877" s="7"/>
      <c r="CA877" s="7"/>
      <c r="CB877" s="7"/>
      <c r="CC877" s="7"/>
      <c r="CD877" s="7"/>
      <c r="CE877" s="7"/>
      <c r="CF877" s="7"/>
      <c r="CG877" s="7"/>
    </row>
    <row r="878" spans="3:85"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  <c r="BB878" s="7"/>
      <c r="BC878" s="7"/>
      <c r="BD878" s="7"/>
      <c r="BE878" s="7"/>
      <c r="BF878" s="7"/>
      <c r="BG878" s="7"/>
      <c r="BH878" s="7"/>
      <c r="BI878" s="7"/>
      <c r="BJ878" s="7"/>
      <c r="BK878" s="7"/>
      <c r="BL878" s="7"/>
      <c r="BM878" s="7"/>
      <c r="BN878" s="7"/>
      <c r="BO878" s="7"/>
      <c r="BP878" s="7"/>
      <c r="BQ878" s="7"/>
      <c r="BR878" s="7"/>
      <c r="BS878" s="7"/>
      <c r="BT878" s="7"/>
      <c r="BU878" s="7"/>
      <c r="BV878" s="7"/>
      <c r="BW878" s="7"/>
      <c r="BX878" s="7"/>
      <c r="BY878" s="7"/>
      <c r="BZ878" s="7"/>
      <c r="CA878" s="7"/>
      <c r="CB878" s="7"/>
      <c r="CC878" s="7"/>
      <c r="CD878" s="7"/>
      <c r="CE878" s="7"/>
      <c r="CF878" s="7"/>
      <c r="CG878" s="7"/>
    </row>
    <row r="879" spans="3:85"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  <c r="BB879" s="7"/>
      <c r="BC879" s="7"/>
      <c r="BD879" s="7"/>
      <c r="BE879" s="7"/>
      <c r="BF879" s="7"/>
      <c r="BG879" s="7"/>
      <c r="BH879" s="7"/>
      <c r="BI879" s="7"/>
      <c r="BJ879" s="7"/>
      <c r="BK879" s="7"/>
      <c r="BL879" s="7"/>
      <c r="BM879" s="7"/>
      <c r="BN879" s="7"/>
      <c r="BO879" s="7"/>
      <c r="BP879" s="7"/>
      <c r="BQ879" s="7"/>
      <c r="BR879" s="7"/>
      <c r="BS879" s="7"/>
      <c r="BT879" s="7"/>
      <c r="BU879" s="7"/>
      <c r="BV879" s="7"/>
      <c r="BW879" s="7"/>
      <c r="BX879" s="7"/>
      <c r="BY879" s="7"/>
      <c r="BZ879" s="7"/>
      <c r="CA879" s="7"/>
      <c r="CB879" s="7"/>
      <c r="CC879" s="7"/>
      <c r="CD879" s="7"/>
      <c r="CE879" s="7"/>
      <c r="CF879" s="7"/>
      <c r="CG879" s="7"/>
    </row>
    <row r="880" spans="3:85"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  <c r="BB880" s="7"/>
      <c r="BC880" s="7"/>
      <c r="BD880" s="7"/>
      <c r="BE880" s="7"/>
      <c r="BF880" s="7"/>
      <c r="BG880" s="7"/>
      <c r="BH880" s="7"/>
      <c r="BI880" s="7"/>
      <c r="BJ880" s="7"/>
      <c r="BK880" s="7"/>
      <c r="BL880" s="7"/>
      <c r="BM880" s="7"/>
      <c r="BN880" s="7"/>
      <c r="BO880" s="7"/>
      <c r="BP880" s="7"/>
      <c r="BQ880" s="7"/>
      <c r="BR880" s="7"/>
      <c r="BS880" s="7"/>
      <c r="BT880" s="7"/>
      <c r="BU880" s="7"/>
      <c r="BV880" s="7"/>
      <c r="BW880" s="7"/>
      <c r="BX880" s="7"/>
      <c r="BY880" s="7"/>
      <c r="BZ880" s="7"/>
      <c r="CA880" s="7"/>
      <c r="CB880" s="7"/>
      <c r="CC880" s="7"/>
      <c r="CD880" s="7"/>
      <c r="CE880" s="7"/>
      <c r="CF880" s="7"/>
      <c r="CG880" s="7"/>
    </row>
    <row r="881" spans="3:85"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  <c r="BB881" s="7"/>
      <c r="BC881" s="7"/>
      <c r="BD881" s="7"/>
      <c r="BE881" s="7"/>
      <c r="BF881" s="7"/>
      <c r="BG881" s="7"/>
      <c r="BH881" s="7"/>
      <c r="BI881" s="7"/>
      <c r="BJ881" s="7"/>
      <c r="BK881" s="7"/>
      <c r="BL881" s="7"/>
      <c r="BM881" s="7"/>
      <c r="BN881" s="7"/>
      <c r="BO881" s="7"/>
      <c r="BP881" s="7"/>
      <c r="BQ881" s="7"/>
      <c r="BR881" s="7"/>
      <c r="BS881" s="7"/>
      <c r="BT881" s="7"/>
      <c r="BU881" s="7"/>
      <c r="BV881" s="7"/>
      <c r="BW881" s="7"/>
      <c r="BX881" s="7"/>
      <c r="BY881" s="7"/>
      <c r="BZ881" s="7"/>
      <c r="CA881" s="7"/>
      <c r="CB881" s="7"/>
      <c r="CC881" s="7"/>
      <c r="CD881" s="7"/>
      <c r="CE881" s="7"/>
      <c r="CF881" s="7"/>
      <c r="CG881" s="7"/>
    </row>
    <row r="882" spans="3:85"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  <c r="BB882" s="7"/>
      <c r="BC882" s="7"/>
      <c r="BD882" s="7"/>
      <c r="BE882" s="7"/>
      <c r="BF882" s="7"/>
      <c r="BG882" s="7"/>
      <c r="BH882" s="7"/>
      <c r="BI882" s="7"/>
      <c r="BJ882" s="7"/>
      <c r="BK882" s="7"/>
      <c r="BL882" s="7"/>
      <c r="BM882" s="7"/>
      <c r="BN882" s="7"/>
      <c r="BO882" s="7"/>
      <c r="BP882" s="7"/>
      <c r="BQ882" s="7"/>
      <c r="BR882" s="7"/>
      <c r="BS882" s="7"/>
      <c r="BT882" s="7"/>
      <c r="BU882" s="7"/>
      <c r="BV882" s="7"/>
      <c r="BW882" s="7"/>
      <c r="BX882" s="7"/>
      <c r="BY882" s="7"/>
      <c r="BZ882" s="7"/>
      <c r="CA882" s="7"/>
      <c r="CB882" s="7"/>
      <c r="CC882" s="7"/>
      <c r="CD882" s="7"/>
      <c r="CE882" s="7"/>
      <c r="CF882" s="7"/>
      <c r="CG882" s="7"/>
    </row>
    <row r="883" spans="3:85"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  <c r="BB883" s="7"/>
      <c r="BC883" s="7"/>
      <c r="BD883" s="7"/>
      <c r="BE883" s="7"/>
      <c r="BF883" s="7"/>
      <c r="BG883" s="7"/>
      <c r="BH883" s="7"/>
      <c r="BI883" s="7"/>
      <c r="BJ883" s="7"/>
      <c r="BK883" s="7"/>
      <c r="BL883" s="7"/>
      <c r="BM883" s="7"/>
      <c r="BN883" s="7"/>
      <c r="BO883" s="7"/>
      <c r="BP883" s="7"/>
      <c r="BQ883" s="7"/>
      <c r="BR883" s="7"/>
      <c r="BS883" s="7"/>
      <c r="BT883" s="7"/>
      <c r="BU883" s="7"/>
      <c r="BV883" s="7"/>
      <c r="BW883" s="7"/>
      <c r="BX883" s="7"/>
      <c r="BY883" s="7"/>
      <c r="BZ883" s="7"/>
      <c r="CA883" s="7"/>
      <c r="CB883" s="7"/>
      <c r="CC883" s="7"/>
      <c r="CD883" s="7"/>
      <c r="CE883" s="7"/>
      <c r="CF883" s="7"/>
      <c r="CG883" s="7"/>
    </row>
    <row r="884" spans="3:85"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  <c r="BB884" s="7"/>
      <c r="BC884" s="7"/>
      <c r="BD884" s="7"/>
      <c r="BE884" s="7"/>
      <c r="BF884" s="7"/>
      <c r="BG884" s="7"/>
      <c r="BH884" s="7"/>
      <c r="BI884" s="7"/>
      <c r="BJ884" s="7"/>
      <c r="BK884" s="7"/>
      <c r="BL884" s="7"/>
      <c r="BM884" s="7"/>
      <c r="BN884" s="7"/>
      <c r="BO884" s="7"/>
      <c r="BP884" s="7"/>
      <c r="BQ884" s="7"/>
      <c r="BR884" s="7"/>
      <c r="BS884" s="7"/>
      <c r="BT884" s="7"/>
      <c r="BU884" s="7"/>
      <c r="BV884" s="7"/>
      <c r="BW884" s="7"/>
      <c r="BX884" s="7"/>
      <c r="BY884" s="7"/>
      <c r="BZ884" s="7"/>
      <c r="CA884" s="7"/>
      <c r="CB884" s="7"/>
      <c r="CC884" s="7"/>
      <c r="CD884" s="7"/>
      <c r="CE884" s="7"/>
      <c r="CF884" s="7"/>
      <c r="CG884" s="7"/>
    </row>
    <row r="885" spans="3:85"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  <c r="BB885" s="7"/>
      <c r="BC885" s="7"/>
      <c r="BD885" s="7"/>
      <c r="BE885" s="7"/>
      <c r="BF885" s="7"/>
      <c r="BG885" s="7"/>
      <c r="BH885" s="7"/>
      <c r="BI885" s="7"/>
      <c r="BJ885" s="7"/>
      <c r="BK885" s="7"/>
      <c r="BL885" s="7"/>
      <c r="BM885" s="7"/>
      <c r="BN885" s="7"/>
      <c r="BO885" s="7"/>
      <c r="BP885" s="7"/>
      <c r="BQ885" s="7"/>
      <c r="BR885" s="7"/>
      <c r="BS885" s="7"/>
      <c r="BT885" s="7"/>
      <c r="BU885" s="7"/>
      <c r="BV885" s="7"/>
      <c r="BW885" s="7"/>
      <c r="BX885" s="7"/>
      <c r="BY885" s="7"/>
      <c r="BZ885" s="7"/>
      <c r="CA885" s="7"/>
      <c r="CB885" s="7"/>
      <c r="CC885" s="7"/>
      <c r="CD885" s="7"/>
      <c r="CE885" s="7"/>
      <c r="CF885" s="7"/>
      <c r="CG885" s="7"/>
    </row>
    <row r="886" spans="3:85"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  <c r="BB886" s="7"/>
      <c r="BC886" s="7"/>
      <c r="BD886" s="7"/>
      <c r="BE886" s="7"/>
      <c r="BF886" s="7"/>
      <c r="BG886" s="7"/>
      <c r="BH886" s="7"/>
      <c r="BI886" s="7"/>
      <c r="BJ886" s="7"/>
      <c r="BK886" s="7"/>
      <c r="BL886" s="7"/>
      <c r="BM886" s="7"/>
      <c r="BN886" s="7"/>
      <c r="BO886" s="7"/>
      <c r="BP886" s="7"/>
      <c r="BQ886" s="7"/>
      <c r="BR886" s="7"/>
      <c r="BS886" s="7"/>
      <c r="BT886" s="7"/>
      <c r="BU886" s="7"/>
      <c r="BV886" s="7"/>
      <c r="BW886" s="7"/>
      <c r="BX886" s="7"/>
      <c r="BY886" s="7"/>
      <c r="BZ886" s="7"/>
      <c r="CA886" s="7"/>
      <c r="CB886" s="7"/>
      <c r="CC886" s="7"/>
      <c r="CD886" s="7"/>
      <c r="CE886" s="7"/>
      <c r="CF886" s="7"/>
      <c r="CG886" s="7"/>
    </row>
    <row r="887" spans="3:85"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  <c r="BB887" s="7"/>
      <c r="BC887" s="7"/>
      <c r="BD887" s="7"/>
      <c r="BE887" s="7"/>
      <c r="BF887" s="7"/>
      <c r="BG887" s="7"/>
      <c r="BH887" s="7"/>
      <c r="BI887" s="7"/>
      <c r="BJ887" s="7"/>
      <c r="BK887" s="7"/>
      <c r="BL887" s="7"/>
      <c r="BM887" s="7"/>
      <c r="BN887" s="7"/>
      <c r="BO887" s="7"/>
      <c r="BP887" s="7"/>
      <c r="BQ887" s="7"/>
      <c r="BR887" s="7"/>
      <c r="BS887" s="7"/>
      <c r="BT887" s="7"/>
      <c r="BU887" s="7"/>
      <c r="BV887" s="7"/>
      <c r="BW887" s="7"/>
      <c r="BX887" s="7"/>
      <c r="BY887" s="7"/>
      <c r="BZ887" s="7"/>
      <c r="CA887" s="7"/>
      <c r="CB887" s="7"/>
      <c r="CC887" s="7"/>
      <c r="CD887" s="7"/>
      <c r="CE887" s="7"/>
      <c r="CF887" s="7"/>
      <c r="CG887" s="7"/>
    </row>
    <row r="888" spans="3:85"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  <c r="BB888" s="7"/>
      <c r="BC888" s="7"/>
      <c r="BD888" s="7"/>
      <c r="BE888" s="7"/>
      <c r="BF888" s="7"/>
      <c r="BG888" s="7"/>
      <c r="BH888" s="7"/>
      <c r="BI888" s="7"/>
      <c r="BJ888" s="7"/>
      <c r="BK888" s="7"/>
      <c r="BL888" s="7"/>
      <c r="BM888" s="7"/>
      <c r="BN888" s="7"/>
      <c r="BO888" s="7"/>
      <c r="BP888" s="7"/>
      <c r="BQ888" s="7"/>
      <c r="BR888" s="7"/>
      <c r="BS888" s="7"/>
      <c r="BT888" s="7"/>
      <c r="BU888" s="7"/>
      <c r="BV888" s="7"/>
      <c r="BW888" s="7"/>
      <c r="BX888" s="7"/>
      <c r="BY888" s="7"/>
      <c r="BZ888" s="7"/>
      <c r="CA888" s="7"/>
      <c r="CB888" s="7"/>
      <c r="CC888" s="7"/>
      <c r="CD888" s="7"/>
      <c r="CE888" s="7"/>
      <c r="CF888" s="7"/>
      <c r="CG888" s="7"/>
    </row>
    <row r="889" spans="3:85"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  <c r="BB889" s="7"/>
      <c r="BC889" s="7"/>
      <c r="BD889" s="7"/>
      <c r="BE889" s="7"/>
      <c r="BF889" s="7"/>
      <c r="BG889" s="7"/>
      <c r="BH889" s="7"/>
      <c r="BI889" s="7"/>
      <c r="BJ889" s="7"/>
      <c r="BK889" s="7"/>
      <c r="BL889" s="7"/>
      <c r="BM889" s="7"/>
      <c r="BN889" s="7"/>
      <c r="BO889" s="7"/>
      <c r="BP889" s="7"/>
      <c r="BQ889" s="7"/>
      <c r="BR889" s="7"/>
      <c r="BS889" s="7"/>
      <c r="BT889" s="7"/>
      <c r="BU889" s="7"/>
      <c r="BV889" s="7"/>
      <c r="BW889" s="7"/>
      <c r="BX889" s="7"/>
      <c r="BY889" s="7"/>
      <c r="BZ889" s="7"/>
      <c r="CA889" s="7"/>
      <c r="CB889" s="7"/>
      <c r="CC889" s="7"/>
      <c r="CD889" s="7"/>
      <c r="CE889" s="7"/>
      <c r="CF889" s="7"/>
      <c r="CG889" s="7"/>
    </row>
    <row r="890" spans="3:85"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  <c r="BB890" s="7"/>
      <c r="BC890" s="7"/>
      <c r="BD890" s="7"/>
      <c r="BE890" s="7"/>
      <c r="BF890" s="7"/>
      <c r="BG890" s="7"/>
      <c r="BH890" s="7"/>
      <c r="BI890" s="7"/>
      <c r="BJ890" s="7"/>
      <c r="BK890" s="7"/>
      <c r="BL890" s="7"/>
      <c r="BM890" s="7"/>
      <c r="BN890" s="7"/>
      <c r="BO890" s="7"/>
      <c r="BP890" s="7"/>
      <c r="BQ890" s="7"/>
      <c r="BR890" s="7"/>
      <c r="BS890" s="7"/>
      <c r="BT890" s="7"/>
      <c r="BU890" s="7"/>
      <c r="BV890" s="7"/>
      <c r="BW890" s="7"/>
      <c r="BX890" s="7"/>
      <c r="BY890" s="7"/>
      <c r="BZ890" s="7"/>
      <c r="CA890" s="7"/>
      <c r="CB890" s="7"/>
      <c r="CC890" s="7"/>
      <c r="CD890" s="7"/>
      <c r="CE890" s="7"/>
      <c r="CF890" s="7"/>
      <c r="CG890" s="7"/>
    </row>
    <row r="891" spans="3:85"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  <c r="BB891" s="7"/>
      <c r="BC891" s="7"/>
      <c r="BD891" s="7"/>
      <c r="BE891" s="7"/>
      <c r="BF891" s="7"/>
      <c r="BG891" s="7"/>
      <c r="BH891" s="7"/>
      <c r="BI891" s="7"/>
      <c r="BJ891" s="7"/>
      <c r="BK891" s="7"/>
      <c r="BL891" s="7"/>
      <c r="BM891" s="7"/>
      <c r="BN891" s="7"/>
      <c r="BO891" s="7"/>
      <c r="BP891" s="7"/>
      <c r="BQ891" s="7"/>
      <c r="BR891" s="7"/>
      <c r="BS891" s="7"/>
      <c r="BT891" s="7"/>
      <c r="BU891" s="7"/>
      <c r="BV891" s="7"/>
      <c r="BW891" s="7"/>
      <c r="BX891" s="7"/>
      <c r="BY891" s="7"/>
      <c r="BZ891" s="7"/>
      <c r="CA891" s="7"/>
      <c r="CB891" s="7"/>
      <c r="CC891" s="7"/>
      <c r="CD891" s="7"/>
      <c r="CE891" s="7"/>
      <c r="CF891" s="7"/>
      <c r="CG891" s="7"/>
    </row>
    <row r="892" spans="3:85"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  <c r="BB892" s="7"/>
      <c r="BC892" s="7"/>
      <c r="BD892" s="7"/>
      <c r="BE892" s="7"/>
      <c r="BF892" s="7"/>
      <c r="BG892" s="7"/>
      <c r="BH892" s="7"/>
      <c r="BI892" s="7"/>
      <c r="BJ892" s="7"/>
      <c r="BK892" s="7"/>
      <c r="BL892" s="7"/>
      <c r="BM892" s="7"/>
      <c r="BN892" s="7"/>
      <c r="BO892" s="7"/>
      <c r="BP892" s="7"/>
      <c r="BQ892" s="7"/>
      <c r="BR892" s="7"/>
      <c r="BS892" s="7"/>
      <c r="BT892" s="7"/>
      <c r="BU892" s="7"/>
      <c r="BV892" s="7"/>
      <c r="BW892" s="7"/>
      <c r="BX892" s="7"/>
      <c r="BY892" s="7"/>
      <c r="BZ892" s="7"/>
      <c r="CA892" s="7"/>
      <c r="CB892" s="7"/>
      <c r="CC892" s="7"/>
      <c r="CD892" s="7"/>
      <c r="CE892" s="7"/>
      <c r="CF892" s="7"/>
      <c r="CG892" s="7"/>
    </row>
    <row r="893" spans="3:85"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  <c r="BB893" s="7"/>
      <c r="BC893" s="7"/>
      <c r="BD893" s="7"/>
      <c r="BE893" s="7"/>
      <c r="BF893" s="7"/>
      <c r="BG893" s="7"/>
      <c r="BH893" s="7"/>
      <c r="BI893" s="7"/>
      <c r="BJ893" s="7"/>
      <c r="BK893" s="7"/>
      <c r="BL893" s="7"/>
      <c r="BM893" s="7"/>
      <c r="BN893" s="7"/>
      <c r="BO893" s="7"/>
      <c r="BP893" s="7"/>
      <c r="BQ893" s="7"/>
      <c r="BR893" s="7"/>
      <c r="BS893" s="7"/>
      <c r="BT893" s="7"/>
      <c r="BU893" s="7"/>
      <c r="BV893" s="7"/>
      <c r="BW893" s="7"/>
      <c r="BX893" s="7"/>
      <c r="BY893" s="7"/>
      <c r="BZ893" s="7"/>
      <c r="CA893" s="7"/>
      <c r="CB893" s="7"/>
      <c r="CC893" s="7"/>
      <c r="CD893" s="7"/>
      <c r="CE893" s="7"/>
      <c r="CF893" s="7"/>
      <c r="CG893" s="7"/>
    </row>
    <row r="894" spans="3:85"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  <c r="BB894" s="7"/>
      <c r="BC894" s="7"/>
      <c r="BD894" s="7"/>
      <c r="BE894" s="7"/>
      <c r="BF894" s="7"/>
      <c r="BG894" s="7"/>
      <c r="BH894" s="7"/>
      <c r="BI894" s="7"/>
      <c r="BJ894" s="7"/>
      <c r="BK894" s="7"/>
      <c r="BL894" s="7"/>
      <c r="BM894" s="7"/>
      <c r="BN894" s="7"/>
      <c r="BO894" s="7"/>
      <c r="BP894" s="7"/>
      <c r="BQ894" s="7"/>
      <c r="BR894" s="7"/>
      <c r="BS894" s="7"/>
      <c r="BT894" s="7"/>
      <c r="BU894" s="7"/>
      <c r="BV894" s="7"/>
      <c r="BW894" s="7"/>
      <c r="BX894" s="7"/>
      <c r="BY894" s="7"/>
      <c r="BZ894" s="7"/>
      <c r="CA894" s="7"/>
      <c r="CB894" s="7"/>
      <c r="CC894" s="7"/>
      <c r="CD894" s="7"/>
      <c r="CE894" s="7"/>
      <c r="CF894" s="7"/>
      <c r="CG894" s="7"/>
    </row>
    <row r="895" spans="3:85"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  <c r="BB895" s="7"/>
      <c r="BC895" s="7"/>
      <c r="BD895" s="7"/>
      <c r="BE895" s="7"/>
      <c r="BF895" s="7"/>
      <c r="BG895" s="7"/>
      <c r="BH895" s="7"/>
      <c r="BI895" s="7"/>
      <c r="BJ895" s="7"/>
      <c r="BK895" s="7"/>
      <c r="BL895" s="7"/>
      <c r="BM895" s="7"/>
      <c r="BN895" s="7"/>
      <c r="BO895" s="7"/>
      <c r="BP895" s="7"/>
      <c r="BQ895" s="7"/>
      <c r="BR895" s="7"/>
      <c r="BS895" s="7"/>
      <c r="BT895" s="7"/>
      <c r="BU895" s="7"/>
      <c r="BV895" s="7"/>
      <c r="BW895" s="7"/>
      <c r="BX895" s="7"/>
      <c r="BY895" s="7"/>
      <c r="BZ895" s="7"/>
      <c r="CA895" s="7"/>
      <c r="CB895" s="7"/>
      <c r="CC895" s="7"/>
      <c r="CD895" s="7"/>
      <c r="CE895" s="7"/>
      <c r="CF895" s="7"/>
      <c r="CG895" s="7"/>
    </row>
    <row r="896" spans="3:85"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  <c r="BB896" s="7"/>
      <c r="BC896" s="7"/>
      <c r="BD896" s="7"/>
      <c r="BE896" s="7"/>
      <c r="BF896" s="7"/>
      <c r="BG896" s="7"/>
      <c r="BH896" s="7"/>
      <c r="BI896" s="7"/>
      <c r="BJ896" s="7"/>
      <c r="BK896" s="7"/>
      <c r="BL896" s="7"/>
      <c r="BM896" s="7"/>
      <c r="BN896" s="7"/>
      <c r="BO896" s="7"/>
      <c r="BP896" s="7"/>
      <c r="BQ896" s="7"/>
      <c r="BR896" s="7"/>
      <c r="BS896" s="7"/>
      <c r="BT896" s="7"/>
      <c r="BU896" s="7"/>
      <c r="BV896" s="7"/>
      <c r="BW896" s="7"/>
      <c r="BX896" s="7"/>
      <c r="BY896" s="7"/>
      <c r="BZ896" s="7"/>
      <c r="CA896" s="7"/>
      <c r="CB896" s="7"/>
      <c r="CC896" s="7"/>
      <c r="CD896" s="7"/>
      <c r="CE896" s="7"/>
      <c r="CF896" s="7"/>
      <c r="CG896" s="7"/>
    </row>
    <row r="897" spans="3:85"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  <c r="BB897" s="7"/>
      <c r="BC897" s="7"/>
      <c r="BD897" s="7"/>
      <c r="BE897" s="7"/>
      <c r="BF897" s="7"/>
      <c r="BG897" s="7"/>
      <c r="BH897" s="7"/>
      <c r="BI897" s="7"/>
      <c r="BJ897" s="7"/>
      <c r="BK897" s="7"/>
      <c r="BL897" s="7"/>
      <c r="BM897" s="7"/>
      <c r="BN897" s="7"/>
      <c r="BO897" s="7"/>
      <c r="BP897" s="7"/>
      <c r="BQ897" s="7"/>
      <c r="BR897" s="7"/>
      <c r="BS897" s="7"/>
      <c r="BT897" s="7"/>
      <c r="BU897" s="7"/>
      <c r="BV897" s="7"/>
      <c r="BW897" s="7"/>
      <c r="BX897" s="7"/>
      <c r="BY897" s="7"/>
      <c r="BZ897" s="7"/>
      <c r="CA897" s="7"/>
      <c r="CB897" s="7"/>
      <c r="CC897" s="7"/>
      <c r="CD897" s="7"/>
      <c r="CE897" s="7"/>
      <c r="CF897" s="7"/>
      <c r="CG897" s="7"/>
    </row>
    <row r="898" spans="3:85"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  <c r="BB898" s="7"/>
      <c r="BC898" s="7"/>
      <c r="BD898" s="7"/>
      <c r="BE898" s="7"/>
      <c r="BF898" s="7"/>
      <c r="BG898" s="7"/>
      <c r="BH898" s="7"/>
      <c r="BI898" s="7"/>
      <c r="BJ898" s="7"/>
      <c r="BK898" s="7"/>
      <c r="BL898" s="7"/>
      <c r="BM898" s="7"/>
      <c r="BN898" s="7"/>
      <c r="BO898" s="7"/>
      <c r="BP898" s="7"/>
      <c r="BQ898" s="7"/>
      <c r="BR898" s="7"/>
      <c r="BS898" s="7"/>
      <c r="BT898" s="7"/>
      <c r="BU898" s="7"/>
      <c r="BV898" s="7"/>
      <c r="BW898" s="7"/>
      <c r="BX898" s="7"/>
      <c r="BY898" s="7"/>
      <c r="BZ898" s="7"/>
      <c r="CA898" s="7"/>
      <c r="CB898" s="7"/>
      <c r="CC898" s="7"/>
      <c r="CD898" s="7"/>
      <c r="CE898" s="7"/>
      <c r="CF898" s="7"/>
      <c r="CG898" s="7"/>
    </row>
    <row r="899" spans="3:85"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  <c r="BB899" s="7"/>
      <c r="BC899" s="7"/>
      <c r="BD899" s="7"/>
      <c r="BE899" s="7"/>
      <c r="BF899" s="7"/>
      <c r="BG899" s="7"/>
      <c r="BH899" s="7"/>
      <c r="BI899" s="7"/>
      <c r="BJ899" s="7"/>
      <c r="BK899" s="7"/>
      <c r="BL899" s="7"/>
      <c r="BM899" s="7"/>
      <c r="BN899" s="7"/>
      <c r="BO899" s="7"/>
      <c r="BP899" s="7"/>
      <c r="BQ899" s="7"/>
      <c r="BR899" s="7"/>
      <c r="BS899" s="7"/>
      <c r="BT899" s="7"/>
      <c r="BU899" s="7"/>
      <c r="BV899" s="7"/>
      <c r="BW899" s="7"/>
      <c r="BX899" s="7"/>
      <c r="BY899" s="7"/>
      <c r="BZ899" s="7"/>
      <c r="CA899" s="7"/>
      <c r="CB899" s="7"/>
      <c r="CC899" s="7"/>
      <c r="CD899" s="7"/>
      <c r="CE899" s="7"/>
      <c r="CF899" s="7"/>
      <c r="CG899" s="7"/>
    </row>
    <row r="900" spans="3:85"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  <c r="BB900" s="7"/>
      <c r="BC900" s="7"/>
      <c r="BD900" s="7"/>
      <c r="BE900" s="7"/>
      <c r="BF900" s="7"/>
      <c r="BG900" s="7"/>
      <c r="BH900" s="7"/>
      <c r="BI900" s="7"/>
      <c r="BJ900" s="7"/>
      <c r="BK900" s="7"/>
      <c r="BL900" s="7"/>
      <c r="BM900" s="7"/>
      <c r="BN900" s="7"/>
      <c r="BO900" s="7"/>
      <c r="BP900" s="7"/>
      <c r="BQ900" s="7"/>
      <c r="BR900" s="7"/>
      <c r="BS900" s="7"/>
      <c r="BT900" s="7"/>
      <c r="BU900" s="7"/>
      <c r="BV900" s="7"/>
      <c r="BW900" s="7"/>
      <c r="BX900" s="7"/>
      <c r="BY900" s="7"/>
      <c r="BZ900" s="7"/>
      <c r="CA900" s="7"/>
      <c r="CB900" s="7"/>
      <c r="CC900" s="7"/>
      <c r="CD900" s="7"/>
      <c r="CE900" s="7"/>
      <c r="CF900" s="7"/>
      <c r="CG900" s="7"/>
    </row>
    <row r="901" spans="3:85"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  <c r="BB901" s="7"/>
      <c r="BC901" s="7"/>
      <c r="BD901" s="7"/>
      <c r="BE901" s="7"/>
      <c r="BF901" s="7"/>
      <c r="BG901" s="7"/>
      <c r="BH901" s="7"/>
      <c r="BI901" s="7"/>
      <c r="BJ901" s="7"/>
      <c r="BK901" s="7"/>
      <c r="BL901" s="7"/>
      <c r="BM901" s="7"/>
      <c r="BN901" s="7"/>
      <c r="BO901" s="7"/>
      <c r="BP901" s="7"/>
      <c r="BQ901" s="7"/>
      <c r="BR901" s="7"/>
      <c r="BS901" s="7"/>
      <c r="BT901" s="7"/>
      <c r="BU901" s="7"/>
      <c r="BV901" s="7"/>
      <c r="BW901" s="7"/>
      <c r="BX901" s="7"/>
      <c r="BY901" s="7"/>
      <c r="BZ901" s="7"/>
      <c r="CA901" s="7"/>
      <c r="CB901" s="7"/>
      <c r="CC901" s="7"/>
      <c r="CD901" s="7"/>
      <c r="CE901" s="7"/>
      <c r="CF901" s="7"/>
      <c r="CG901" s="7"/>
    </row>
    <row r="902" spans="3:85"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  <c r="BB902" s="7"/>
      <c r="BC902" s="7"/>
      <c r="BD902" s="7"/>
      <c r="BE902" s="7"/>
      <c r="BF902" s="7"/>
      <c r="BG902" s="7"/>
      <c r="BH902" s="7"/>
      <c r="BI902" s="7"/>
      <c r="BJ902" s="7"/>
      <c r="BK902" s="7"/>
      <c r="BL902" s="7"/>
      <c r="BM902" s="7"/>
      <c r="BN902" s="7"/>
      <c r="BO902" s="7"/>
      <c r="BP902" s="7"/>
      <c r="BQ902" s="7"/>
      <c r="BR902" s="7"/>
      <c r="BS902" s="7"/>
      <c r="BT902" s="7"/>
      <c r="BU902" s="7"/>
      <c r="BV902" s="7"/>
      <c r="BW902" s="7"/>
      <c r="BX902" s="7"/>
      <c r="BY902" s="7"/>
      <c r="BZ902" s="7"/>
      <c r="CA902" s="7"/>
      <c r="CB902" s="7"/>
      <c r="CC902" s="7"/>
      <c r="CD902" s="7"/>
      <c r="CE902" s="7"/>
      <c r="CF902" s="7"/>
      <c r="CG902" s="7"/>
    </row>
    <row r="903" spans="3:85"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  <c r="BB903" s="7"/>
      <c r="BC903" s="7"/>
      <c r="BD903" s="7"/>
      <c r="BE903" s="7"/>
      <c r="BF903" s="7"/>
      <c r="BG903" s="7"/>
      <c r="BH903" s="7"/>
      <c r="BI903" s="7"/>
      <c r="BJ903" s="7"/>
      <c r="BK903" s="7"/>
      <c r="BL903" s="7"/>
      <c r="BM903" s="7"/>
      <c r="BN903" s="7"/>
      <c r="BO903" s="7"/>
      <c r="BP903" s="7"/>
      <c r="BQ903" s="7"/>
      <c r="BR903" s="7"/>
      <c r="BS903" s="7"/>
      <c r="BT903" s="7"/>
      <c r="BU903" s="7"/>
      <c r="BV903" s="7"/>
      <c r="BW903" s="7"/>
      <c r="BX903" s="7"/>
      <c r="BY903" s="7"/>
      <c r="BZ903" s="7"/>
      <c r="CA903" s="7"/>
      <c r="CB903" s="7"/>
      <c r="CC903" s="7"/>
      <c r="CD903" s="7"/>
      <c r="CE903" s="7"/>
      <c r="CF903" s="7"/>
      <c r="CG903" s="7"/>
    </row>
    <row r="904" spans="3:85"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  <c r="BB904" s="7"/>
      <c r="BC904" s="7"/>
      <c r="BD904" s="7"/>
      <c r="BE904" s="7"/>
      <c r="BF904" s="7"/>
      <c r="BG904" s="7"/>
      <c r="BH904" s="7"/>
      <c r="BI904" s="7"/>
      <c r="BJ904" s="7"/>
      <c r="BK904" s="7"/>
      <c r="BL904" s="7"/>
      <c r="BM904" s="7"/>
      <c r="BN904" s="7"/>
      <c r="BO904" s="7"/>
      <c r="BP904" s="7"/>
      <c r="BQ904" s="7"/>
      <c r="BR904" s="7"/>
      <c r="BS904" s="7"/>
      <c r="BT904" s="7"/>
      <c r="BU904" s="7"/>
      <c r="BV904" s="7"/>
      <c r="BW904" s="7"/>
      <c r="BX904" s="7"/>
      <c r="BY904" s="7"/>
      <c r="BZ904" s="7"/>
      <c r="CA904" s="7"/>
      <c r="CB904" s="7"/>
      <c r="CC904" s="7"/>
      <c r="CD904" s="7"/>
      <c r="CE904" s="7"/>
      <c r="CF904" s="7"/>
      <c r="CG904" s="7"/>
    </row>
    <row r="905" spans="3:85"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  <c r="BB905" s="7"/>
      <c r="BC905" s="7"/>
      <c r="BD905" s="7"/>
      <c r="BE905" s="7"/>
      <c r="BF905" s="7"/>
      <c r="BG905" s="7"/>
      <c r="BH905" s="7"/>
      <c r="BI905" s="7"/>
      <c r="BJ905" s="7"/>
      <c r="BK905" s="7"/>
      <c r="BL905" s="7"/>
      <c r="BM905" s="7"/>
      <c r="BN905" s="7"/>
      <c r="BO905" s="7"/>
      <c r="BP905" s="7"/>
      <c r="BQ905" s="7"/>
      <c r="BR905" s="7"/>
      <c r="BS905" s="7"/>
      <c r="BT905" s="7"/>
      <c r="BU905" s="7"/>
      <c r="BV905" s="7"/>
      <c r="BW905" s="7"/>
      <c r="BX905" s="7"/>
      <c r="BY905" s="7"/>
      <c r="BZ905" s="7"/>
      <c r="CA905" s="7"/>
      <c r="CB905" s="7"/>
      <c r="CC905" s="7"/>
      <c r="CD905" s="7"/>
      <c r="CE905" s="7"/>
      <c r="CF905" s="7"/>
      <c r="CG905" s="7"/>
    </row>
    <row r="906" spans="3:85"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  <c r="BB906" s="7"/>
      <c r="BC906" s="7"/>
      <c r="BD906" s="7"/>
      <c r="BE906" s="7"/>
      <c r="BF906" s="7"/>
      <c r="BG906" s="7"/>
      <c r="BH906" s="7"/>
      <c r="BI906" s="7"/>
      <c r="BJ906" s="7"/>
      <c r="BK906" s="7"/>
      <c r="BL906" s="7"/>
      <c r="BM906" s="7"/>
      <c r="BN906" s="7"/>
      <c r="BO906" s="7"/>
      <c r="BP906" s="7"/>
      <c r="BQ906" s="7"/>
      <c r="BR906" s="7"/>
      <c r="BS906" s="7"/>
      <c r="BT906" s="7"/>
      <c r="BU906" s="7"/>
      <c r="BV906" s="7"/>
      <c r="BW906" s="7"/>
      <c r="BX906" s="7"/>
      <c r="BY906" s="7"/>
      <c r="BZ906" s="7"/>
      <c r="CA906" s="7"/>
      <c r="CB906" s="7"/>
      <c r="CC906" s="7"/>
      <c r="CD906" s="7"/>
      <c r="CE906" s="7"/>
      <c r="CF906" s="7"/>
      <c r="CG906" s="7"/>
    </row>
    <row r="907" spans="3:85"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  <c r="BB907" s="7"/>
      <c r="BC907" s="7"/>
      <c r="BD907" s="7"/>
      <c r="BE907" s="7"/>
      <c r="BF907" s="7"/>
      <c r="BG907" s="7"/>
      <c r="BH907" s="7"/>
      <c r="BI907" s="7"/>
      <c r="BJ907" s="7"/>
      <c r="BK907" s="7"/>
      <c r="BL907" s="7"/>
      <c r="BM907" s="7"/>
      <c r="BN907" s="7"/>
      <c r="BO907" s="7"/>
      <c r="BP907" s="7"/>
      <c r="BQ907" s="7"/>
      <c r="BR907" s="7"/>
      <c r="BS907" s="7"/>
      <c r="BT907" s="7"/>
      <c r="BU907" s="7"/>
      <c r="BV907" s="7"/>
      <c r="BW907" s="7"/>
      <c r="BX907" s="7"/>
      <c r="BY907" s="7"/>
      <c r="BZ907" s="7"/>
      <c r="CA907" s="7"/>
      <c r="CB907" s="7"/>
      <c r="CC907" s="7"/>
      <c r="CD907" s="7"/>
      <c r="CE907" s="7"/>
      <c r="CF907" s="7"/>
      <c r="CG907" s="7"/>
    </row>
    <row r="908" spans="3:85"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  <c r="BB908" s="7"/>
      <c r="BC908" s="7"/>
      <c r="BD908" s="7"/>
      <c r="BE908" s="7"/>
      <c r="BF908" s="7"/>
      <c r="BG908" s="7"/>
      <c r="BH908" s="7"/>
      <c r="BI908" s="7"/>
      <c r="BJ908" s="7"/>
      <c r="BK908" s="7"/>
      <c r="BL908" s="7"/>
      <c r="BM908" s="7"/>
      <c r="BN908" s="7"/>
      <c r="BO908" s="7"/>
      <c r="BP908" s="7"/>
      <c r="BQ908" s="7"/>
      <c r="BR908" s="7"/>
      <c r="BS908" s="7"/>
      <c r="BT908" s="7"/>
      <c r="BU908" s="7"/>
      <c r="BV908" s="7"/>
      <c r="BW908" s="7"/>
      <c r="BX908" s="7"/>
      <c r="BY908" s="7"/>
      <c r="BZ908" s="7"/>
      <c r="CA908" s="7"/>
      <c r="CB908" s="7"/>
      <c r="CC908" s="7"/>
      <c r="CD908" s="7"/>
      <c r="CE908" s="7"/>
      <c r="CF908" s="7"/>
      <c r="CG908" s="7"/>
    </row>
    <row r="909" spans="3:85"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  <c r="BB909" s="7"/>
      <c r="BC909" s="7"/>
      <c r="BD909" s="7"/>
      <c r="BE909" s="7"/>
      <c r="BF909" s="7"/>
      <c r="BG909" s="7"/>
      <c r="BH909" s="7"/>
      <c r="BI909" s="7"/>
      <c r="BJ909" s="7"/>
      <c r="BK909" s="7"/>
      <c r="BL909" s="7"/>
      <c r="BM909" s="7"/>
      <c r="BN909" s="7"/>
      <c r="BO909" s="7"/>
      <c r="BP909" s="7"/>
      <c r="BQ909" s="7"/>
      <c r="BR909" s="7"/>
      <c r="BS909" s="7"/>
      <c r="BT909" s="7"/>
      <c r="BU909" s="7"/>
      <c r="BV909" s="7"/>
      <c r="BW909" s="7"/>
      <c r="BX909" s="7"/>
      <c r="BY909" s="7"/>
      <c r="BZ909" s="7"/>
      <c r="CA909" s="7"/>
      <c r="CB909" s="7"/>
      <c r="CC909" s="7"/>
      <c r="CD909" s="7"/>
      <c r="CE909" s="7"/>
      <c r="CF909" s="7"/>
      <c r="CG909" s="7"/>
    </row>
    <row r="910" spans="3:85"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  <c r="BB910" s="7"/>
      <c r="BC910" s="7"/>
      <c r="BD910" s="7"/>
      <c r="BE910" s="7"/>
      <c r="BF910" s="7"/>
      <c r="BG910" s="7"/>
      <c r="BH910" s="7"/>
      <c r="BI910" s="7"/>
      <c r="BJ910" s="7"/>
      <c r="BK910" s="7"/>
      <c r="BL910" s="7"/>
      <c r="BM910" s="7"/>
      <c r="BN910" s="7"/>
      <c r="BO910" s="7"/>
      <c r="BP910" s="7"/>
      <c r="BQ910" s="7"/>
      <c r="BR910" s="7"/>
      <c r="BS910" s="7"/>
      <c r="BT910" s="7"/>
      <c r="BU910" s="7"/>
      <c r="BV910" s="7"/>
      <c r="BW910" s="7"/>
      <c r="BX910" s="7"/>
      <c r="BY910" s="7"/>
      <c r="BZ910" s="7"/>
      <c r="CA910" s="7"/>
      <c r="CB910" s="7"/>
      <c r="CC910" s="7"/>
      <c r="CD910" s="7"/>
      <c r="CE910" s="7"/>
      <c r="CF910" s="7"/>
      <c r="CG910" s="7"/>
    </row>
    <row r="911" spans="3:85"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  <c r="BB911" s="7"/>
      <c r="BC911" s="7"/>
      <c r="BD911" s="7"/>
      <c r="BE911" s="7"/>
      <c r="BF911" s="7"/>
      <c r="BG911" s="7"/>
      <c r="BH911" s="7"/>
      <c r="BI911" s="7"/>
      <c r="BJ911" s="7"/>
      <c r="BK911" s="7"/>
      <c r="BL911" s="7"/>
      <c r="BM911" s="7"/>
      <c r="BN911" s="7"/>
      <c r="BO911" s="7"/>
      <c r="BP911" s="7"/>
      <c r="BQ911" s="7"/>
      <c r="BR911" s="7"/>
      <c r="BS911" s="7"/>
      <c r="BT911" s="7"/>
      <c r="BU911" s="7"/>
      <c r="BV911" s="7"/>
      <c r="BW911" s="7"/>
      <c r="BX911" s="7"/>
      <c r="BY911" s="7"/>
      <c r="BZ911" s="7"/>
      <c r="CA911" s="7"/>
      <c r="CB911" s="7"/>
      <c r="CC911" s="7"/>
      <c r="CD911" s="7"/>
      <c r="CE911" s="7"/>
      <c r="CF911" s="7"/>
      <c r="CG911" s="7"/>
    </row>
    <row r="912" spans="3:85"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  <c r="BB912" s="7"/>
      <c r="BC912" s="7"/>
      <c r="BD912" s="7"/>
      <c r="BE912" s="7"/>
      <c r="BF912" s="7"/>
      <c r="BG912" s="7"/>
      <c r="BH912" s="7"/>
      <c r="BI912" s="7"/>
      <c r="BJ912" s="7"/>
      <c r="BK912" s="7"/>
      <c r="BL912" s="7"/>
      <c r="BM912" s="7"/>
      <c r="BN912" s="7"/>
      <c r="BO912" s="7"/>
      <c r="BP912" s="7"/>
      <c r="BQ912" s="7"/>
      <c r="BR912" s="7"/>
      <c r="BS912" s="7"/>
      <c r="BT912" s="7"/>
      <c r="BU912" s="7"/>
      <c r="BV912" s="7"/>
      <c r="BW912" s="7"/>
      <c r="BX912" s="7"/>
      <c r="BY912" s="7"/>
      <c r="BZ912" s="7"/>
      <c r="CA912" s="7"/>
      <c r="CB912" s="7"/>
      <c r="CC912" s="7"/>
      <c r="CD912" s="7"/>
      <c r="CE912" s="7"/>
      <c r="CF912" s="7"/>
      <c r="CG912" s="7"/>
    </row>
    <row r="913" spans="3:85"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  <c r="BB913" s="7"/>
      <c r="BC913" s="7"/>
      <c r="BD913" s="7"/>
      <c r="BE913" s="7"/>
      <c r="BF913" s="7"/>
      <c r="BG913" s="7"/>
      <c r="BH913" s="7"/>
      <c r="BI913" s="7"/>
      <c r="BJ913" s="7"/>
      <c r="BK913" s="7"/>
      <c r="BL913" s="7"/>
      <c r="BM913" s="7"/>
      <c r="BN913" s="7"/>
      <c r="BO913" s="7"/>
      <c r="BP913" s="7"/>
      <c r="BQ913" s="7"/>
      <c r="BR913" s="7"/>
      <c r="BS913" s="7"/>
      <c r="BT913" s="7"/>
      <c r="BU913" s="7"/>
      <c r="BV913" s="7"/>
      <c r="BW913" s="7"/>
      <c r="BX913" s="7"/>
      <c r="BY913" s="7"/>
      <c r="BZ913" s="7"/>
      <c r="CA913" s="7"/>
      <c r="CB913" s="7"/>
      <c r="CC913" s="7"/>
      <c r="CD913" s="7"/>
      <c r="CE913" s="7"/>
      <c r="CF913" s="7"/>
      <c r="CG913" s="7"/>
    </row>
    <row r="914" spans="3:85"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  <c r="BB914" s="7"/>
      <c r="BC914" s="7"/>
      <c r="BD914" s="7"/>
      <c r="BE914" s="7"/>
      <c r="BF914" s="7"/>
      <c r="BG914" s="7"/>
      <c r="BH914" s="7"/>
      <c r="BI914" s="7"/>
      <c r="BJ914" s="7"/>
      <c r="BK914" s="7"/>
      <c r="BL914" s="7"/>
      <c r="BM914" s="7"/>
      <c r="BN914" s="7"/>
      <c r="BO914" s="7"/>
      <c r="BP914" s="7"/>
      <c r="BQ914" s="7"/>
      <c r="BR914" s="7"/>
      <c r="BS914" s="7"/>
      <c r="BT914" s="7"/>
      <c r="BU914" s="7"/>
      <c r="BV914" s="7"/>
      <c r="BW914" s="7"/>
      <c r="BX914" s="7"/>
      <c r="BY914" s="7"/>
      <c r="BZ914" s="7"/>
      <c r="CA914" s="7"/>
      <c r="CB914" s="7"/>
      <c r="CC914" s="7"/>
      <c r="CD914" s="7"/>
      <c r="CE914" s="7"/>
      <c r="CF914" s="7"/>
      <c r="CG914" s="7"/>
    </row>
    <row r="915" spans="3:85"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  <c r="BB915" s="7"/>
      <c r="BC915" s="7"/>
      <c r="BD915" s="7"/>
      <c r="BE915" s="7"/>
      <c r="BF915" s="7"/>
      <c r="BG915" s="7"/>
      <c r="BH915" s="7"/>
      <c r="BI915" s="7"/>
      <c r="BJ915" s="7"/>
      <c r="BK915" s="7"/>
      <c r="BL915" s="7"/>
      <c r="BM915" s="7"/>
      <c r="BN915" s="7"/>
      <c r="BO915" s="7"/>
      <c r="BP915" s="7"/>
      <c r="BQ915" s="7"/>
      <c r="BR915" s="7"/>
      <c r="BS915" s="7"/>
      <c r="BT915" s="7"/>
      <c r="BU915" s="7"/>
      <c r="BV915" s="7"/>
      <c r="BW915" s="7"/>
      <c r="BX915" s="7"/>
      <c r="BY915" s="7"/>
      <c r="BZ915" s="7"/>
      <c r="CA915" s="7"/>
      <c r="CB915" s="7"/>
      <c r="CC915" s="7"/>
      <c r="CD915" s="7"/>
      <c r="CE915" s="7"/>
      <c r="CF915" s="7"/>
      <c r="CG915" s="7"/>
    </row>
    <row r="916" spans="3:85"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  <c r="BB916" s="7"/>
      <c r="BC916" s="7"/>
      <c r="BD916" s="7"/>
      <c r="BE916" s="7"/>
      <c r="BF916" s="7"/>
      <c r="BG916" s="7"/>
      <c r="BH916" s="7"/>
      <c r="BI916" s="7"/>
      <c r="BJ916" s="7"/>
      <c r="BK916" s="7"/>
      <c r="BL916" s="7"/>
      <c r="BM916" s="7"/>
      <c r="BN916" s="7"/>
      <c r="BO916" s="7"/>
      <c r="BP916" s="7"/>
      <c r="BQ916" s="7"/>
      <c r="BR916" s="7"/>
      <c r="BS916" s="7"/>
      <c r="BT916" s="7"/>
      <c r="BU916" s="7"/>
      <c r="BV916" s="7"/>
      <c r="BW916" s="7"/>
      <c r="BX916" s="7"/>
      <c r="BY916" s="7"/>
      <c r="BZ916" s="7"/>
      <c r="CA916" s="7"/>
      <c r="CB916" s="7"/>
      <c r="CC916" s="7"/>
      <c r="CD916" s="7"/>
      <c r="CE916" s="7"/>
      <c r="CF916" s="7"/>
      <c r="CG916" s="7"/>
    </row>
    <row r="917" spans="3:85"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  <c r="BB917" s="7"/>
      <c r="BC917" s="7"/>
      <c r="BD917" s="7"/>
      <c r="BE917" s="7"/>
      <c r="BF917" s="7"/>
      <c r="BG917" s="7"/>
      <c r="BH917" s="7"/>
      <c r="BI917" s="7"/>
      <c r="BJ917" s="7"/>
      <c r="BK917" s="7"/>
      <c r="BL917" s="7"/>
      <c r="BM917" s="7"/>
      <c r="BN917" s="7"/>
      <c r="BO917" s="7"/>
      <c r="BP917" s="7"/>
      <c r="BQ917" s="7"/>
      <c r="BR917" s="7"/>
      <c r="BS917" s="7"/>
      <c r="BT917" s="7"/>
      <c r="BU917" s="7"/>
      <c r="BV917" s="7"/>
      <c r="BW917" s="7"/>
      <c r="BX917" s="7"/>
      <c r="BY917" s="7"/>
      <c r="BZ917" s="7"/>
      <c r="CA917" s="7"/>
      <c r="CB917" s="7"/>
      <c r="CC917" s="7"/>
      <c r="CD917" s="7"/>
      <c r="CE917" s="7"/>
      <c r="CF917" s="7"/>
      <c r="CG917" s="7"/>
    </row>
    <row r="918" spans="3:85"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  <c r="BB918" s="7"/>
      <c r="BC918" s="7"/>
      <c r="BD918" s="7"/>
      <c r="BE918" s="7"/>
      <c r="BF918" s="7"/>
      <c r="BG918" s="7"/>
      <c r="BH918" s="7"/>
      <c r="BI918" s="7"/>
      <c r="BJ918" s="7"/>
      <c r="BK918" s="7"/>
      <c r="BL918" s="7"/>
      <c r="BM918" s="7"/>
      <c r="BN918" s="7"/>
      <c r="BO918" s="7"/>
      <c r="BP918" s="7"/>
      <c r="BQ918" s="7"/>
      <c r="BR918" s="7"/>
      <c r="BS918" s="7"/>
      <c r="BT918" s="7"/>
      <c r="BU918" s="7"/>
      <c r="BV918" s="7"/>
      <c r="BW918" s="7"/>
      <c r="BX918" s="7"/>
      <c r="BY918" s="7"/>
      <c r="BZ918" s="7"/>
      <c r="CA918" s="7"/>
      <c r="CB918" s="7"/>
      <c r="CC918" s="7"/>
      <c r="CD918" s="7"/>
      <c r="CE918" s="7"/>
      <c r="CF918" s="7"/>
      <c r="CG918" s="7"/>
    </row>
    <row r="919" spans="3:85"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  <c r="BB919" s="7"/>
      <c r="BC919" s="7"/>
      <c r="BD919" s="7"/>
      <c r="BE919" s="7"/>
      <c r="BF919" s="7"/>
      <c r="BG919" s="7"/>
      <c r="BH919" s="7"/>
      <c r="BI919" s="7"/>
      <c r="BJ919" s="7"/>
      <c r="BK919" s="7"/>
      <c r="BL919" s="7"/>
      <c r="BM919" s="7"/>
      <c r="BN919" s="7"/>
      <c r="BO919" s="7"/>
      <c r="BP919" s="7"/>
      <c r="BQ919" s="7"/>
      <c r="BR919" s="7"/>
      <c r="BS919" s="7"/>
      <c r="BT919" s="7"/>
      <c r="BU919" s="7"/>
      <c r="BV919" s="7"/>
      <c r="BW919" s="7"/>
      <c r="BX919" s="7"/>
      <c r="BY919" s="7"/>
      <c r="BZ919" s="7"/>
      <c r="CA919" s="7"/>
      <c r="CB919" s="7"/>
      <c r="CC919" s="7"/>
      <c r="CD919" s="7"/>
      <c r="CE919" s="7"/>
      <c r="CF919" s="7"/>
      <c r="CG919" s="7"/>
    </row>
    <row r="920" spans="3:85"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  <c r="BB920" s="7"/>
      <c r="BC920" s="7"/>
      <c r="BD920" s="7"/>
      <c r="BE920" s="7"/>
      <c r="BF920" s="7"/>
      <c r="BG920" s="7"/>
      <c r="BH920" s="7"/>
      <c r="BI920" s="7"/>
      <c r="BJ920" s="7"/>
      <c r="BK920" s="7"/>
      <c r="BL920" s="7"/>
      <c r="BM920" s="7"/>
      <c r="BN920" s="7"/>
      <c r="BO920" s="7"/>
      <c r="BP920" s="7"/>
      <c r="BQ920" s="7"/>
      <c r="BR920" s="7"/>
      <c r="BS920" s="7"/>
      <c r="BT920" s="7"/>
      <c r="BU920" s="7"/>
      <c r="BV920" s="7"/>
      <c r="BW920" s="7"/>
      <c r="BX920" s="7"/>
      <c r="BY920" s="7"/>
      <c r="BZ920" s="7"/>
      <c r="CA920" s="7"/>
      <c r="CB920" s="7"/>
      <c r="CC920" s="7"/>
      <c r="CD920" s="7"/>
      <c r="CE920" s="7"/>
      <c r="CF920" s="7"/>
      <c r="CG920" s="7"/>
    </row>
    <row r="921" spans="3:85"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  <c r="BB921" s="7"/>
      <c r="BC921" s="7"/>
      <c r="BD921" s="7"/>
      <c r="BE921" s="7"/>
      <c r="BF921" s="7"/>
      <c r="BG921" s="7"/>
      <c r="BH921" s="7"/>
      <c r="BI921" s="7"/>
      <c r="BJ921" s="7"/>
      <c r="BK921" s="7"/>
      <c r="BL921" s="7"/>
      <c r="BM921" s="7"/>
      <c r="BN921" s="7"/>
      <c r="BO921" s="7"/>
      <c r="BP921" s="7"/>
      <c r="BQ921" s="7"/>
      <c r="BR921" s="7"/>
      <c r="BS921" s="7"/>
      <c r="BT921" s="7"/>
      <c r="BU921" s="7"/>
      <c r="BV921" s="7"/>
      <c r="BW921" s="7"/>
      <c r="BX921" s="7"/>
      <c r="BY921" s="7"/>
      <c r="BZ921" s="7"/>
      <c r="CA921" s="7"/>
      <c r="CB921" s="7"/>
      <c r="CC921" s="7"/>
      <c r="CD921" s="7"/>
      <c r="CE921" s="7"/>
      <c r="CF921" s="7"/>
      <c r="CG921" s="7"/>
    </row>
    <row r="922" spans="3:85"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  <c r="BB922" s="7"/>
      <c r="BC922" s="7"/>
      <c r="BD922" s="7"/>
      <c r="BE922" s="7"/>
      <c r="BF922" s="7"/>
      <c r="BG922" s="7"/>
      <c r="BH922" s="7"/>
      <c r="BI922" s="7"/>
      <c r="BJ922" s="7"/>
      <c r="BK922" s="7"/>
      <c r="BL922" s="7"/>
      <c r="BM922" s="7"/>
      <c r="BN922" s="7"/>
      <c r="BO922" s="7"/>
      <c r="BP922" s="7"/>
      <c r="BQ922" s="7"/>
      <c r="BR922" s="7"/>
      <c r="BS922" s="7"/>
      <c r="BT922" s="7"/>
      <c r="BU922" s="7"/>
      <c r="BV922" s="7"/>
      <c r="BW922" s="7"/>
      <c r="BX922" s="7"/>
      <c r="BY922" s="7"/>
      <c r="BZ922" s="7"/>
      <c r="CA922" s="7"/>
      <c r="CB922" s="7"/>
      <c r="CC922" s="7"/>
      <c r="CD922" s="7"/>
      <c r="CE922" s="7"/>
      <c r="CF922" s="7"/>
      <c r="CG922" s="7"/>
    </row>
    <row r="923" spans="3:85"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  <c r="BB923" s="7"/>
      <c r="BC923" s="7"/>
      <c r="BD923" s="7"/>
      <c r="BE923" s="7"/>
      <c r="BF923" s="7"/>
      <c r="BG923" s="7"/>
      <c r="BH923" s="7"/>
      <c r="BI923" s="7"/>
      <c r="BJ923" s="7"/>
      <c r="BK923" s="7"/>
      <c r="BL923" s="7"/>
      <c r="BM923" s="7"/>
      <c r="BN923" s="7"/>
      <c r="BO923" s="7"/>
      <c r="BP923" s="7"/>
      <c r="BQ923" s="7"/>
      <c r="BR923" s="7"/>
      <c r="BS923" s="7"/>
      <c r="BT923" s="7"/>
      <c r="BU923" s="7"/>
      <c r="BV923" s="7"/>
      <c r="BW923" s="7"/>
      <c r="BX923" s="7"/>
      <c r="BY923" s="7"/>
      <c r="BZ923" s="7"/>
      <c r="CA923" s="7"/>
      <c r="CB923" s="7"/>
      <c r="CC923" s="7"/>
      <c r="CD923" s="7"/>
      <c r="CE923" s="7"/>
      <c r="CF923" s="7"/>
      <c r="CG923" s="7"/>
    </row>
    <row r="924" spans="3:85"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  <c r="BB924" s="7"/>
      <c r="BC924" s="7"/>
      <c r="BD924" s="7"/>
      <c r="BE924" s="7"/>
      <c r="BF924" s="7"/>
      <c r="BG924" s="7"/>
      <c r="BH924" s="7"/>
      <c r="BI924" s="7"/>
      <c r="BJ924" s="7"/>
      <c r="BK924" s="7"/>
      <c r="BL924" s="7"/>
      <c r="BM924" s="7"/>
      <c r="BN924" s="7"/>
      <c r="BO924" s="7"/>
      <c r="BP924" s="7"/>
      <c r="BQ924" s="7"/>
      <c r="BR924" s="7"/>
      <c r="BS924" s="7"/>
      <c r="BT924" s="7"/>
      <c r="BU924" s="7"/>
      <c r="BV924" s="7"/>
      <c r="BW924" s="7"/>
      <c r="BX924" s="7"/>
      <c r="BY924" s="7"/>
      <c r="BZ924" s="7"/>
      <c r="CA924" s="7"/>
      <c r="CB924" s="7"/>
      <c r="CC924" s="7"/>
      <c r="CD924" s="7"/>
      <c r="CE924" s="7"/>
      <c r="CF924" s="7"/>
      <c r="CG924" s="7"/>
    </row>
    <row r="925" spans="3:85"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  <c r="BB925" s="7"/>
      <c r="BC925" s="7"/>
      <c r="BD925" s="7"/>
      <c r="BE925" s="7"/>
      <c r="BF925" s="7"/>
      <c r="BG925" s="7"/>
      <c r="BH925" s="7"/>
      <c r="BI925" s="7"/>
      <c r="BJ925" s="7"/>
      <c r="BK925" s="7"/>
      <c r="BL925" s="7"/>
      <c r="BM925" s="7"/>
      <c r="BN925" s="7"/>
      <c r="BO925" s="7"/>
      <c r="BP925" s="7"/>
      <c r="BQ925" s="7"/>
      <c r="BR925" s="7"/>
      <c r="BS925" s="7"/>
      <c r="BT925" s="7"/>
      <c r="BU925" s="7"/>
      <c r="BV925" s="7"/>
      <c r="BW925" s="7"/>
      <c r="BX925" s="7"/>
      <c r="BY925" s="7"/>
      <c r="BZ925" s="7"/>
      <c r="CA925" s="7"/>
      <c r="CB925" s="7"/>
      <c r="CC925" s="7"/>
      <c r="CD925" s="7"/>
      <c r="CE925" s="7"/>
      <c r="CF925" s="7"/>
      <c r="CG925" s="7"/>
    </row>
    <row r="926" spans="3:85"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  <c r="BB926" s="7"/>
      <c r="BC926" s="7"/>
      <c r="BD926" s="7"/>
      <c r="BE926" s="7"/>
      <c r="BF926" s="7"/>
      <c r="BG926" s="7"/>
      <c r="BH926" s="7"/>
      <c r="BI926" s="7"/>
      <c r="BJ926" s="7"/>
      <c r="BK926" s="7"/>
      <c r="BL926" s="7"/>
      <c r="BM926" s="7"/>
      <c r="BN926" s="7"/>
      <c r="BO926" s="7"/>
      <c r="BP926" s="7"/>
      <c r="BQ926" s="7"/>
      <c r="BR926" s="7"/>
      <c r="BS926" s="7"/>
      <c r="BT926" s="7"/>
      <c r="BU926" s="7"/>
      <c r="BV926" s="7"/>
      <c r="BW926" s="7"/>
      <c r="BX926" s="7"/>
      <c r="BY926" s="7"/>
      <c r="BZ926" s="7"/>
      <c r="CA926" s="7"/>
      <c r="CB926" s="7"/>
      <c r="CC926" s="7"/>
      <c r="CD926" s="7"/>
      <c r="CE926" s="7"/>
      <c r="CF926" s="7"/>
      <c r="CG926" s="7"/>
    </row>
    <row r="927" spans="3:85"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  <c r="BB927" s="7"/>
      <c r="BC927" s="7"/>
      <c r="BD927" s="7"/>
      <c r="BE927" s="7"/>
      <c r="BF927" s="7"/>
      <c r="BG927" s="7"/>
      <c r="BH927" s="7"/>
      <c r="BI927" s="7"/>
      <c r="BJ927" s="7"/>
      <c r="BK927" s="7"/>
      <c r="BL927" s="7"/>
      <c r="BM927" s="7"/>
      <c r="BN927" s="7"/>
      <c r="BO927" s="7"/>
      <c r="BP927" s="7"/>
      <c r="BQ927" s="7"/>
      <c r="BR927" s="7"/>
      <c r="BS927" s="7"/>
      <c r="BT927" s="7"/>
      <c r="BU927" s="7"/>
      <c r="BV927" s="7"/>
      <c r="BW927" s="7"/>
      <c r="BX927" s="7"/>
      <c r="BY927" s="7"/>
      <c r="BZ927" s="7"/>
      <c r="CA927" s="7"/>
      <c r="CB927" s="7"/>
      <c r="CC927" s="7"/>
      <c r="CD927" s="7"/>
      <c r="CE927" s="7"/>
      <c r="CF927" s="7"/>
      <c r="CG927" s="7"/>
    </row>
    <row r="928" spans="3:85"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  <c r="BB928" s="7"/>
      <c r="BC928" s="7"/>
      <c r="BD928" s="7"/>
      <c r="BE928" s="7"/>
      <c r="BF928" s="7"/>
      <c r="BG928" s="7"/>
      <c r="BH928" s="7"/>
      <c r="BI928" s="7"/>
      <c r="BJ928" s="7"/>
      <c r="BK928" s="7"/>
      <c r="BL928" s="7"/>
      <c r="BM928" s="7"/>
      <c r="BN928" s="7"/>
      <c r="BO928" s="7"/>
      <c r="BP928" s="7"/>
      <c r="BQ928" s="7"/>
      <c r="BR928" s="7"/>
      <c r="BS928" s="7"/>
      <c r="BT928" s="7"/>
      <c r="BU928" s="7"/>
      <c r="BV928" s="7"/>
      <c r="BW928" s="7"/>
      <c r="BX928" s="7"/>
      <c r="BY928" s="7"/>
      <c r="BZ928" s="7"/>
      <c r="CA928" s="7"/>
      <c r="CB928" s="7"/>
      <c r="CC928" s="7"/>
      <c r="CD928" s="7"/>
      <c r="CE928" s="7"/>
      <c r="CF928" s="7"/>
      <c r="CG928" s="7"/>
    </row>
    <row r="929" spans="3:85"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  <c r="BB929" s="7"/>
      <c r="BC929" s="7"/>
      <c r="BD929" s="7"/>
      <c r="BE929" s="7"/>
      <c r="BF929" s="7"/>
      <c r="BG929" s="7"/>
      <c r="BH929" s="7"/>
      <c r="BI929" s="7"/>
      <c r="BJ929" s="7"/>
      <c r="BK929" s="7"/>
      <c r="BL929" s="7"/>
      <c r="BM929" s="7"/>
      <c r="BN929" s="7"/>
      <c r="BO929" s="7"/>
      <c r="BP929" s="7"/>
      <c r="BQ929" s="7"/>
      <c r="BR929" s="7"/>
      <c r="BS929" s="7"/>
      <c r="BT929" s="7"/>
      <c r="BU929" s="7"/>
      <c r="BV929" s="7"/>
      <c r="BW929" s="7"/>
      <c r="BX929" s="7"/>
      <c r="BY929" s="7"/>
      <c r="BZ929" s="7"/>
      <c r="CA929" s="7"/>
      <c r="CB929" s="7"/>
      <c r="CC929" s="7"/>
      <c r="CD929" s="7"/>
      <c r="CE929" s="7"/>
      <c r="CF929" s="7"/>
      <c r="CG929" s="7"/>
    </row>
    <row r="930" spans="3:85"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  <c r="BB930" s="7"/>
      <c r="BC930" s="7"/>
      <c r="BD930" s="7"/>
      <c r="BE930" s="7"/>
      <c r="BF930" s="7"/>
      <c r="BG930" s="7"/>
      <c r="BH930" s="7"/>
      <c r="BI930" s="7"/>
      <c r="BJ930" s="7"/>
      <c r="BK930" s="7"/>
      <c r="BL930" s="7"/>
      <c r="BM930" s="7"/>
      <c r="BN930" s="7"/>
      <c r="BO930" s="7"/>
      <c r="BP930" s="7"/>
      <c r="BQ930" s="7"/>
      <c r="BR930" s="7"/>
      <c r="BS930" s="7"/>
      <c r="BT930" s="7"/>
      <c r="BU930" s="7"/>
      <c r="BV930" s="7"/>
      <c r="BW930" s="7"/>
      <c r="BX930" s="7"/>
      <c r="BY930" s="7"/>
      <c r="BZ930" s="7"/>
      <c r="CA930" s="7"/>
      <c r="CB930" s="7"/>
      <c r="CC930" s="7"/>
      <c r="CD930" s="7"/>
      <c r="CE930" s="7"/>
      <c r="CF930" s="7"/>
      <c r="CG930" s="7"/>
    </row>
    <row r="931" spans="3:85"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  <c r="BB931" s="7"/>
      <c r="BC931" s="7"/>
      <c r="BD931" s="7"/>
      <c r="BE931" s="7"/>
      <c r="BF931" s="7"/>
      <c r="BG931" s="7"/>
      <c r="BH931" s="7"/>
      <c r="BI931" s="7"/>
      <c r="BJ931" s="7"/>
      <c r="BK931" s="7"/>
      <c r="BL931" s="7"/>
      <c r="BM931" s="7"/>
      <c r="BN931" s="7"/>
      <c r="BO931" s="7"/>
      <c r="BP931" s="7"/>
      <c r="BQ931" s="7"/>
      <c r="BR931" s="7"/>
      <c r="BS931" s="7"/>
      <c r="BT931" s="7"/>
      <c r="BU931" s="7"/>
      <c r="BV931" s="7"/>
      <c r="BW931" s="7"/>
      <c r="BX931" s="7"/>
      <c r="BY931" s="7"/>
      <c r="BZ931" s="7"/>
      <c r="CA931" s="7"/>
      <c r="CB931" s="7"/>
      <c r="CC931" s="7"/>
      <c r="CD931" s="7"/>
      <c r="CE931" s="7"/>
      <c r="CF931" s="7"/>
      <c r="CG931" s="7"/>
    </row>
    <row r="932" spans="3:85"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  <c r="BB932" s="7"/>
      <c r="BC932" s="7"/>
      <c r="BD932" s="7"/>
      <c r="BE932" s="7"/>
      <c r="BF932" s="7"/>
      <c r="BG932" s="7"/>
      <c r="BH932" s="7"/>
      <c r="BI932" s="7"/>
      <c r="BJ932" s="7"/>
      <c r="BK932" s="7"/>
      <c r="BL932" s="7"/>
      <c r="BM932" s="7"/>
      <c r="BN932" s="7"/>
      <c r="BO932" s="7"/>
      <c r="BP932" s="7"/>
      <c r="BQ932" s="7"/>
      <c r="BR932" s="7"/>
      <c r="BS932" s="7"/>
      <c r="BT932" s="7"/>
      <c r="BU932" s="7"/>
      <c r="BV932" s="7"/>
      <c r="BW932" s="7"/>
      <c r="BX932" s="7"/>
      <c r="BY932" s="7"/>
      <c r="BZ932" s="7"/>
      <c r="CA932" s="7"/>
      <c r="CB932" s="7"/>
      <c r="CC932" s="7"/>
      <c r="CD932" s="7"/>
      <c r="CE932" s="7"/>
      <c r="CF932" s="7"/>
      <c r="CG932" s="7"/>
    </row>
    <row r="933" spans="3:85"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  <c r="BB933" s="7"/>
      <c r="BC933" s="7"/>
      <c r="BD933" s="7"/>
      <c r="BE933" s="7"/>
      <c r="BF933" s="7"/>
      <c r="BG933" s="7"/>
      <c r="BH933" s="7"/>
      <c r="BI933" s="7"/>
      <c r="BJ933" s="7"/>
      <c r="BK933" s="7"/>
      <c r="BL933" s="7"/>
      <c r="BM933" s="7"/>
      <c r="BN933" s="7"/>
      <c r="BO933" s="7"/>
      <c r="BP933" s="7"/>
      <c r="BQ933" s="7"/>
      <c r="BR933" s="7"/>
      <c r="BS933" s="7"/>
      <c r="BT933" s="7"/>
      <c r="BU933" s="7"/>
      <c r="BV933" s="7"/>
      <c r="BW933" s="7"/>
      <c r="BX933" s="7"/>
      <c r="BY933" s="7"/>
      <c r="BZ933" s="7"/>
      <c r="CA933" s="7"/>
      <c r="CB933" s="7"/>
      <c r="CC933" s="7"/>
      <c r="CD933" s="7"/>
      <c r="CE933" s="7"/>
      <c r="CF933" s="7"/>
      <c r="CG933" s="7"/>
    </row>
    <row r="934" spans="3:85"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  <c r="BB934" s="7"/>
      <c r="BC934" s="7"/>
      <c r="BD934" s="7"/>
      <c r="BE934" s="7"/>
      <c r="BF934" s="7"/>
      <c r="BG934" s="7"/>
      <c r="BH934" s="7"/>
      <c r="BI934" s="7"/>
      <c r="BJ934" s="7"/>
      <c r="BK934" s="7"/>
      <c r="BL934" s="7"/>
      <c r="BM934" s="7"/>
      <c r="BN934" s="7"/>
      <c r="BO934" s="7"/>
      <c r="BP934" s="7"/>
      <c r="BQ934" s="7"/>
      <c r="BR934" s="7"/>
      <c r="BS934" s="7"/>
      <c r="BT934" s="7"/>
      <c r="BU934" s="7"/>
      <c r="BV934" s="7"/>
      <c r="BW934" s="7"/>
      <c r="BX934" s="7"/>
      <c r="BY934" s="7"/>
      <c r="BZ934" s="7"/>
      <c r="CA934" s="7"/>
      <c r="CB934" s="7"/>
      <c r="CC934" s="7"/>
      <c r="CD934" s="7"/>
      <c r="CE934" s="7"/>
      <c r="CF934" s="7"/>
      <c r="CG934" s="7"/>
    </row>
    <row r="935" spans="3:85"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  <c r="BB935" s="7"/>
      <c r="BC935" s="7"/>
      <c r="BD935" s="7"/>
      <c r="BE935" s="7"/>
      <c r="BF935" s="7"/>
      <c r="BG935" s="7"/>
      <c r="BH935" s="7"/>
      <c r="BI935" s="7"/>
      <c r="BJ935" s="7"/>
      <c r="BK935" s="7"/>
      <c r="BL935" s="7"/>
      <c r="BM935" s="7"/>
      <c r="BN935" s="7"/>
      <c r="BO935" s="7"/>
      <c r="BP935" s="7"/>
      <c r="BQ935" s="7"/>
      <c r="BR935" s="7"/>
      <c r="BS935" s="7"/>
      <c r="BT935" s="7"/>
      <c r="BU935" s="7"/>
      <c r="BV935" s="7"/>
      <c r="BW935" s="7"/>
      <c r="BX935" s="7"/>
      <c r="BY935" s="7"/>
      <c r="BZ935" s="7"/>
      <c r="CA935" s="7"/>
      <c r="CB935" s="7"/>
      <c r="CC935" s="7"/>
      <c r="CD935" s="7"/>
      <c r="CE935" s="7"/>
      <c r="CF935" s="7"/>
      <c r="CG935" s="7"/>
    </row>
    <row r="936" spans="3:85"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  <c r="BB936" s="7"/>
      <c r="BC936" s="7"/>
      <c r="BD936" s="7"/>
      <c r="BE936" s="7"/>
      <c r="BF936" s="7"/>
      <c r="BG936" s="7"/>
      <c r="BH936" s="7"/>
      <c r="BI936" s="7"/>
      <c r="BJ936" s="7"/>
      <c r="BK936" s="7"/>
      <c r="BL936" s="7"/>
      <c r="BM936" s="7"/>
      <c r="BN936" s="7"/>
      <c r="BO936" s="7"/>
      <c r="BP936" s="7"/>
      <c r="BQ936" s="7"/>
      <c r="BR936" s="7"/>
      <c r="BS936" s="7"/>
      <c r="BT936" s="7"/>
      <c r="BU936" s="7"/>
      <c r="BV936" s="7"/>
      <c r="BW936" s="7"/>
      <c r="BX936" s="7"/>
      <c r="BY936" s="7"/>
      <c r="BZ936" s="7"/>
      <c r="CA936" s="7"/>
      <c r="CB936" s="7"/>
      <c r="CC936" s="7"/>
      <c r="CD936" s="7"/>
      <c r="CE936" s="7"/>
      <c r="CF936" s="7"/>
      <c r="CG936" s="7"/>
    </row>
    <row r="937" spans="3:85"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  <c r="BB937" s="7"/>
      <c r="BC937" s="7"/>
      <c r="BD937" s="7"/>
      <c r="BE937" s="7"/>
      <c r="BF937" s="7"/>
      <c r="BG937" s="7"/>
      <c r="BH937" s="7"/>
      <c r="BI937" s="7"/>
      <c r="BJ937" s="7"/>
      <c r="BK937" s="7"/>
      <c r="BL937" s="7"/>
      <c r="BM937" s="7"/>
      <c r="BN937" s="7"/>
      <c r="BO937" s="7"/>
      <c r="BP937" s="7"/>
      <c r="BQ937" s="7"/>
      <c r="BR937" s="7"/>
      <c r="BS937" s="7"/>
      <c r="BT937" s="7"/>
      <c r="BU937" s="7"/>
      <c r="BV937" s="7"/>
      <c r="BW937" s="7"/>
      <c r="BX937" s="7"/>
      <c r="BY937" s="7"/>
      <c r="BZ937" s="7"/>
      <c r="CA937" s="7"/>
      <c r="CB937" s="7"/>
      <c r="CC937" s="7"/>
      <c r="CD937" s="7"/>
      <c r="CE937" s="7"/>
      <c r="CF937" s="7"/>
      <c r="CG937" s="7"/>
    </row>
    <row r="938" spans="3:85"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  <c r="BB938" s="7"/>
      <c r="BC938" s="7"/>
      <c r="BD938" s="7"/>
      <c r="BE938" s="7"/>
      <c r="BF938" s="7"/>
      <c r="BG938" s="7"/>
      <c r="BH938" s="7"/>
      <c r="BI938" s="7"/>
      <c r="BJ938" s="7"/>
      <c r="BK938" s="7"/>
      <c r="BL938" s="7"/>
      <c r="BM938" s="7"/>
      <c r="BN938" s="7"/>
      <c r="BO938" s="7"/>
      <c r="BP938" s="7"/>
      <c r="BQ938" s="7"/>
      <c r="BR938" s="7"/>
      <c r="BS938" s="7"/>
      <c r="BT938" s="7"/>
      <c r="BU938" s="7"/>
      <c r="BV938" s="7"/>
      <c r="BW938" s="7"/>
      <c r="BX938" s="7"/>
      <c r="BY938" s="7"/>
      <c r="BZ938" s="7"/>
      <c r="CA938" s="7"/>
      <c r="CB938" s="7"/>
      <c r="CC938" s="7"/>
      <c r="CD938" s="7"/>
      <c r="CE938" s="7"/>
      <c r="CF938" s="7"/>
      <c r="CG938" s="7"/>
    </row>
    <row r="939" spans="3:85"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  <c r="BB939" s="7"/>
      <c r="BC939" s="7"/>
      <c r="BD939" s="7"/>
      <c r="BE939" s="7"/>
      <c r="BF939" s="7"/>
      <c r="BG939" s="7"/>
      <c r="BH939" s="7"/>
      <c r="BI939" s="7"/>
      <c r="BJ939" s="7"/>
      <c r="BK939" s="7"/>
      <c r="BL939" s="7"/>
      <c r="BM939" s="7"/>
      <c r="BN939" s="7"/>
      <c r="BO939" s="7"/>
      <c r="BP939" s="7"/>
      <c r="BQ939" s="7"/>
      <c r="BR939" s="7"/>
      <c r="BS939" s="7"/>
      <c r="BT939" s="7"/>
      <c r="BU939" s="7"/>
      <c r="BV939" s="7"/>
      <c r="BW939" s="7"/>
      <c r="BX939" s="7"/>
      <c r="BY939" s="7"/>
      <c r="BZ939" s="7"/>
      <c r="CA939" s="7"/>
      <c r="CB939" s="7"/>
      <c r="CC939" s="7"/>
      <c r="CD939" s="7"/>
      <c r="CE939" s="7"/>
      <c r="CF939" s="7"/>
      <c r="CG939" s="7"/>
    </row>
    <row r="940" spans="3:85"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  <c r="BB940" s="7"/>
      <c r="BC940" s="7"/>
      <c r="BD940" s="7"/>
      <c r="BE940" s="7"/>
      <c r="BF940" s="7"/>
      <c r="BG940" s="7"/>
      <c r="BH940" s="7"/>
      <c r="BI940" s="7"/>
      <c r="BJ940" s="7"/>
      <c r="BK940" s="7"/>
      <c r="BL940" s="7"/>
      <c r="BM940" s="7"/>
      <c r="BN940" s="7"/>
      <c r="BO940" s="7"/>
      <c r="BP940" s="7"/>
      <c r="BQ940" s="7"/>
      <c r="BR940" s="7"/>
      <c r="BS940" s="7"/>
      <c r="BT940" s="7"/>
      <c r="BU940" s="7"/>
      <c r="BV940" s="7"/>
      <c r="BW940" s="7"/>
      <c r="BX940" s="7"/>
      <c r="BY940" s="7"/>
      <c r="BZ940" s="7"/>
      <c r="CA940" s="7"/>
      <c r="CB940" s="7"/>
      <c r="CC940" s="7"/>
      <c r="CD940" s="7"/>
      <c r="CE940" s="7"/>
      <c r="CF940" s="7"/>
      <c r="CG940" s="7"/>
    </row>
    <row r="941" spans="3:85"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  <c r="BB941" s="7"/>
      <c r="BC941" s="7"/>
      <c r="BD941" s="7"/>
      <c r="BE941" s="7"/>
      <c r="BF941" s="7"/>
      <c r="BG941" s="7"/>
      <c r="BH941" s="7"/>
      <c r="BI941" s="7"/>
      <c r="BJ941" s="7"/>
      <c r="BK941" s="7"/>
      <c r="BL941" s="7"/>
      <c r="BM941" s="7"/>
      <c r="BN941" s="7"/>
      <c r="BO941" s="7"/>
      <c r="BP941" s="7"/>
      <c r="BQ941" s="7"/>
      <c r="BR941" s="7"/>
      <c r="BS941" s="7"/>
      <c r="BT941" s="7"/>
      <c r="BU941" s="7"/>
      <c r="BV941" s="7"/>
      <c r="BW941" s="7"/>
      <c r="BX941" s="7"/>
      <c r="BY941" s="7"/>
      <c r="BZ941" s="7"/>
      <c r="CA941" s="7"/>
      <c r="CB941" s="7"/>
      <c r="CC941" s="7"/>
      <c r="CD941" s="7"/>
      <c r="CE941" s="7"/>
      <c r="CF941" s="7"/>
      <c r="CG941" s="7"/>
    </row>
    <row r="942" spans="3:85"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  <c r="BB942" s="7"/>
      <c r="BC942" s="7"/>
      <c r="BD942" s="7"/>
      <c r="BE942" s="7"/>
      <c r="BF942" s="7"/>
      <c r="BG942" s="7"/>
      <c r="BH942" s="7"/>
      <c r="BI942" s="7"/>
      <c r="BJ942" s="7"/>
      <c r="BK942" s="7"/>
      <c r="BL942" s="7"/>
      <c r="BM942" s="7"/>
      <c r="BN942" s="7"/>
      <c r="BO942" s="7"/>
      <c r="BP942" s="7"/>
      <c r="BQ942" s="7"/>
      <c r="BR942" s="7"/>
      <c r="BS942" s="7"/>
      <c r="BT942" s="7"/>
      <c r="BU942" s="7"/>
      <c r="BV942" s="7"/>
      <c r="BW942" s="7"/>
      <c r="BX942" s="7"/>
      <c r="BY942" s="7"/>
      <c r="BZ942" s="7"/>
      <c r="CA942" s="7"/>
      <c r="CB942" s="7"/>
      <c r="CC942" s="7"/>
      <c r="CD942" s="7"/>
      <c r="CE942" s="7"/>
      <c r="CF942" s="7"/>
      <c r="CG942" s="7"/>
    </row>
    <row r="943" spans="3:85"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  <c r="BB943" s="7"/>
      <c r="BC943" s="7"/>
      <c r="BD943" s="7"/>
      <c r="BE943" s="7"/>
      <c r="BF943" s="7"/>
      <c r="BG943" s="7"/>
      <c r="BH943" s="7"/>
      <c r="BI943" s="7"/>
      <c r="BJ943" s="7"/>
      <c r="BK943" s="7"/>
      <c r="BL943" s="7"/>
      <c r="BM943" s="7"/>
      <c r="BN943" s="7"/>
      <c r="BO943" s="7"/>
      <c r="BP943" s="7"/>
      <c r="BQ943" s="7"/>
      <c r="BR943" s="7"/>
      <c r="BS943" s="7"/>
      <c r="BT943" s="7"/>
      <c r="BU943" s="7"/>
      <c r="BV943" s="7"/>
      <c r="BW943" s="7"/>
      <c r="BX943" s="7"/>
      <c r="BY943" s="7"/>
      <c r="BZ943" s="7"/>
      <c r="CA943" s="7"/>
      <c r="CB943" s="7"/>
      <c r="CC943" s="7"/>
      <c r="CD943" s="7"/>
      <c r="CE943" s="7"/>
      <c r="CF943" s="7"/>
      <c r="CG943" s="7"/>
    </row>
    <row r="944" spans="3:85"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  <c r="BB944" s="7"/>
      <c r="BC944" s="7"/>
      <c r="BD944" s="7"/>
      <c r="BE944" s="7"/>
      <c r="BF944" s="7"/>
      <c r="BG944" s="7"/>
      <c r="BH944" s="7"/>
      <c r="BI944" s="7"/>
      <c r="BJ944" s="7"/>
      <c r="BK944" s="7"/>
      <c r="BL944" s="7"/>
      <c r="BM944" s="7"/>
      <c r="BN944" s="7"/>
      <c r="BO944" s="7"/>
      <c r="BP944" s="7"/>
      <c r="BQ944" s="7"/>
      <c r="BR944" s="7"/>
      <c r="BS944" s="7"/>
      <c r="BT944" s="7"/>
      <c r="BU944" s="7"/>
      <c r="BV944" s="7"/>
      <c r="BW944" s="7"/>
      <c r="BX944" s="7"/>
      <c r="BY944" s="7"/>
      <c r="BZ944" s="7"/>
      <c r="CA944" s="7"/>
      <c r="CB944" s="7"/>
      <c r="CC944" s="7"/>
      <c r="CD944" s="7"/>
      <c r="CE944" s="7"/>
      <c r="CF944" s="7"/>
      <c r="CG944" s="7"/>
    </row>
    <row r="945" spans="3:85"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  <c r="BB945" s="7"/>
      <c r="BC945" s="7"/>
      <c r="BD945" s="7"/>
      <c r="BE945" s="7"/>
      <c r="BF945" s="7"/>
      <c r="BG945" s="7"/>
      <c r="BH945" s="7"/>
      <c r="BI945" s="7"/>
      <c r="BJ945" s="7"/>
      <c r="BK945" s="7"/>
      <c r="BL945" s="7"/>
      <c r="BM945" s="7"/>
      <c r="BN945" s="7"/>
      <c r="BO945" s="7"/>
      <c r="BP945" s="7"/>
      <c r="BQ945" s="7"/>
      <c r="BR945" s="7"/>
      <c r="BS945" s="7"/>
      <c r="BT945" s="7"/>
      <c r="BU945" s="7"/>
      <c r="BV945" s="7"/>
      <c r="BW945" s="7"/>
      <c r="BX945" s="7"/>
      <c r="BY945" s="7"/>
      <c r="BZ945" s="7"/>
      <c r="CA945" s="7"/>
      <c r="CB945" s="7"/>
      <c r="CC945" s="7"/>
      <c r="CD945" s="7"/>
      <c r="CE945" s="7"/>
      <c r="CF945" s="7"/>
      <c r="CG945" s="7"/>
    </row>
    <row r="946" spans="3:85"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  <c r="BB946" s="7"/>
      <c r="BC946" s="7"/>
      <c r="BD946" s="7"/>
      <c r="BE946" s="7"/>
      <c r="BF946" s="7"/>
      <c r="BG946" s="7"/>
      <c r="BH946" s="7"/>
      <c r="BI946" s="7"/>
      <c r="BJ946" s="7"/>
      <c r="BK946" s="7"/>
      <c r="BL946" s="7"/>
      <c r="BM946" s="7"/>
      <c r="BN946" s="7"/>
      <c r="BO946" s="7"/>
      <c r="BP946" s="7"/>
      <c r="BQ946" s="7"/>
      <c r="BR946" s="7"/>
      <c r="BS946" s="7"/>
      <c r="BT946" s="7"/>
      <c r="BU946" s="7"/>
      <c r="BV946" s="7"/>
      <c r="BW946" s="7"/>
      <c r="BX946" s="7"/>
      <c r="BY946" s="7"/>
      <c r="BZ946" s="7"/>
      <c r="CA946" s="7"/>
      <c r="CB946" s="7"/>
      <c r="CC946" s="7"/>
      <c r="CD946" s="7"/>
      <c r="CE946" s="7"/>
      <c r="CF946" s="7"/>
      <c r="CG946" s="7"/>
    </row>
    <row r="947" spans="3:85"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  <c r="BB947" s="7"/>
      <c r="BC947" s="7"/>
      <c r="BD947" s="7"/>
      <c r="BE947" s="7"/>
      <c r="BF947" s="7"/>
      <c r="BG947" s="7"/>
      <c r="BH947" s="7"/>
      <c r="BI947" s="7"/>
      <c r="BJ947" s="7"/>
      <c r="BK947" s="7"/>
      <c r="BL947" s="7"/>
      <c r="BM947" s="7"/>
      <c r="BN947" s="7"/>
      <c r="BO947" s="7"/>
      <c r="BP947" s="7"/>
      <c r="BQ947" s="7"/>
      <c r="BR947" s="7"/>
      <c r="BS947" s="7"/>
      <c r="BT947" s="7"/>
      <c r="BU947" s="7"/>
      <c r="BV947" s="7"/>
      <c r="BW947" s="7"/>
      <c r="BX947" s="7"/>
      <c r="BY947" s="7"/>
      <c r="BZ947" s="7"/>
      <c r="CA947" s="7"/>
      <c r="CB947" s="7"/>
      <c r="CC947" s="7"/>
      <c r="CD947" s="7"/>
      <c r="CE947" s="7"/>
      <c r="CF947" s="7"/>
      <c r="CG947" s="7"/>
    </row>
    <row r="948" spans="3:85"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  <c r="BB948" s="7"/>
      <c r="BC948" s="7"/>
      <c r="BD948" s="7"/>
      <c r="BE948" s="7"/>
      <c r="BF948" s="7"/>
      <c r="BG948" s="7"/>
      <c r="BH948" s="7"/>
      <c r="BI948" s="7"/>
      <c r="BJ948" s="7"/>
      <c r="BK948" s="7"/>
      <c r="BL948" s="7"/>
      <c r="BM948" s="7"/>
      <c r="BN948" s="7"/>
      <c r="BO948" s="7"/>
      <c r="BP948" s="7"/>
      <c r="BQ948" s="7"/>
      <c r="BR948" s="7"/>
      <c r="BS948" s="7"/>
      <c r="BT948" s="7"/>
      <c r="BU948" s="7"/>
      <c r="BV948" s="7"/>
      <c r="BW948" s="7"/>
      <c r="BX948" s="7"/>
      <c r="BY948" s="7"/>
      <c r="BZ948" s="7"/>
      <c r="CA948" s="7"/>
      <c r="CB948" s="7"/>
      <c r="CC948" s="7"/>
      <c r="CD948" s="7"/>
      <c r="CE948" s="7"/>
      <c r="CF948" s="7"/>
      <c r="CG948" s="7"/>
    </row>
    <row r="949" spans="3:85"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  <c r="BB949" s="7"/>
      <c r="BC949" s="7"/>
      <c r="BD949" s="7"/>
      <c r="BE949" s="7"/>
      <c r="BF949" s="7"/>
      <c r="BG949" s="7"/>
      <c r="BH949" s="7"/>
      <c r="BI949" s="7"/>
      <c r="BJ949" s="7"/>
      <c r="BK949" s="7"/>
      <c r="BL949" s="7"/>
      <c r="BM949" s="7"/>
      <c r="BN949" s="7"/>
      <c r="BO949" s="7"/>
      <c r="BP949" s="7"/>
      <c r="BQ949" s="7"/>
      <c r="BR949" s="7"/>
      <c r="BS949" s="7"/>
      <c r="BT949" s="7"/>
      <c r="BU949" s="7"/>
      <c r="BV949" s="7"/>
      <c r="BW949" s="7"/>
      <c r="BX949" s="7"/>
      <c r="BY949" s="7"/>
      <c r="BZ949" s="7"/>
      <c r="CA949" s="7"/>
      <c r="CB949" s="7"/>
      <c r="CC949" s="7"/>
      <c r="CD949" s="7"/>
      <c r="CE949" s="7"/>
      <c r="CF949" s="7"/>
      <c r="CG949" s="7"/>
    </row>
    <row r="950" spans="3:85"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  <c r="BB950" s="7"/>
      <c r="BC950" s="7"/>
      <c r="BD950" s="7"/>
      <c r="BE950" s="7"/>
      <c r="BF950" s="7"/>
      <c r="BG950" s="7"/>
      <c r="BH950" s="7"/>
      <c r="BI950" s="7"/>
      <c r="BJ950" s="7"/>
      <c r="BK950" s="7"/>
      <c r="BL950" s="7"/>
      <c r="BM950" s="7"/>
      <c r="BN950" s="7"/>
      <c r="BO950" s="7"/>
      <c r="BP950" s="7"/>
      <c r="BQ950" s="7"/>
      <c r="BR950" s="7"/>
      <c r="BS950" s="7"/>
      <c r="BT950" s="7"/>
      <c r="BU950" s="7"/>
      <c r="BV950" s="7"/>
      <c r="BW950" s="7"/>
      <c r="BX950" s="7"/>
      <c r="BY950" s="7"/>
      <c r="BZ950" s="7"/>
      <c r="CA950" s="7"/>
      <c r="CB950" s="7"/>
      <c r="CC950" s="7"/>
      <c r="CD950" s="7"/>
      <c r="CE950" s="7"/>
      <c r="CF950" s="7"/>
      <c r="CG950" s="7"/>
    </row>
    <row r="951" spans="3:85"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  <c r="BB951" s="7"/>
      <c r="BC951" s="7"/>
      <c r="BD951" s="7"/>
      <c r="BE951" s="7"/>
      <c r="BF951" s="7"/>
      <c r="BG951" s="7"/>
      <c r="BH951" s="7"/>
      <c r="BI951" s="7"/>
      <c r="BJ951" s="7"/>
      <c r="BK951" s="7"/>
      <c r="BL951" s="7"/>
      <c r="BM951" s="7"/>
      <c r="BN951" s="7"/>
      <c r="BO951" s="7"/>
      <c r="BP951" s="7"/>
      <c r="BQ951" s="7"/>
      <c r="BR951" s="7"/>
      <c r="BS951" s="7"/>
      <c r="BT951" s="7"/>
      <c r="BU951" s="7"/>
      <c r="BV951" s="7"/>
      <c r="BW951" s="7"/>
      <c r="BX951" s="7"/>
      <c r="BY951" s="7"/>
      <c r="BZ951" s="7"/>
      <c r="CA951" s="7"/>
      <c r="CB951" s="7"/>
      <c r="CC951" s="7"/>
      <c r="CD951" s="7"/>
      <c r="CE951" s="7"/>
      <c r="CF951" s="7"/>
      <c r="CG951" s="7"/>
    </row>
    <row r="952" spans="3:85"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  <c r="BB952" s="7"/>
      <c r="BC952" s="7"/>
      <c r="BD952" s="7"/>
      <c r="BE952" s="7"/>
      <c r="BF952" s="7"/>
      <c r="BG952" s="7"/>
      <c r="BH952" s="7"/>
      <c r="BI952" s="7"/>
      <c r="BJ952" s="7"/>
      <c r="BK952" s="7"/>
      <c r="BL952" s="7"/>
      <c r="BM952" s="7"/>
      <c r="BN952" s="7"/>
      <c r="BO952" s="7"/>
      <c r="BP952" s="7"/>
      <c r="BQ952" s="7"/>
      <c r="BR952" s="7"/>
      <c r="BS952" s="7"/>
      <c r="BT952" s="7"/>
      <c r="BU952" s="7"/>
      <c r="BV952" s="7"/>
      <c r="BW952" s="7"/>
      <c r="BX952" s="7"/>
      <c r="BY952" s="7"/>
      <c r="BZ952" s="7"/>
      <c r="CA952" s="7"/>
      <c r="CB952" s="7"/>
      <c r="CC952" s="7"/>
      <c r="CD952" s="7"/>
      <c r="CE952" s="7"/>
      <c r="CF952" s="7"/>
      <c r="CG952" s="7"/>
    </row>
    <row r="953" spans="3:85"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  <c r="BB953" s="7"/>
      <c r="BC953" s="7"/>
      <c r="BD953" s="7"/>
      <c r="BE953" s="7"/>
      <c r="BF953" s="7"/>
      <c r="BG953" s="7"/>
      <c r="BH953" s="7"/>
      <c r="BI953" s="7"/>
      <c r="BJ953" s="7"/>
      <c r="BK953" s="7"/>
      <c r="BL953" s="7"/>
      <c r="BM953" s="7"/>
      <c r="BN953" s="7"/>
      <c r="BO953" s="7"/>
      <c r="BP953" s="7"/>
      <c r="BQ953" s="7"/>
      <c r="BR953" s="7"/>
      <c r="BS953" s="7"/>
      <c r="BT953" s="7"/>
      <c r="BU953" s="7"/>
      <c r="BV953" s="7"/>
      <c r="BW953" s="7"/>
      <c r="BX953" s="7"/>
      <c r="BY953" s="7"/>
      <c r="BZ953" s="7"/>
      <c r="CA953" s="7"/>
      <c r="CB953" s="7"/>
      <c r="CC953" s="7"/>
      <c r="CD953" s="7"/>
      <c r="CE953" s="7"/>
      <c r="CF953" s="7"/>
      <c r="CG953" s="7"/>
    </row>
    <row r="954" spans="3:85"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  <c r="BB954" s="7"/>
      <c r="BC954" s="7"/>
      <c r="BD954" s="7"/>
      <c r="BE954" s="7"/>
      <c r="BF954" s="7"/>
      <c r="BG954" s="7"/>
      <c r="BH954" s="7"/>
      <c r="BI954" s="7"/>
      <c r="BJ954" s="7"/>
      <c r="BK954" s="7"/>
      <c r="BL954" s="7"/>
      <c r="BM954" s="7"/>
      <c r="BN954" s="7"/>
      <c r="BO954" s="7"/>
      <c r="BP954" s="7"/>
      <c r="BQ954" s="7"/>
      <c r="BR954" s="7"/>
      <c r="BS954" s="7"/>
      <c r="BT954" s="7"/>
      <c r="BU954" s="7"/>
      <c r="BV954" s="7"/>
      <c r="BW954" s="7"/>
      <c r="BX954" s="7"/>
      <c r="BY954" s="7"/>
      <c r="BZ954" s="7"/>
      <c r="CA954" s="7"/>
      <c r="CB954" s="7"/>
      <c r="CC954" s="7"/>
      <c r="CD954" s="7"/>
      <c r="CE954" s="7"/>
      <c r="CF954" s="7"/>
      <c r="CG954" s="7"/>
    </row>
    <row r="955" spans="3:85"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  <c r="BB955" s="7"/>
      <c r="BC955" s="7"/>
      <c r="BD955" s="7"/>
      <c r="BE955" s="7"/>
      <c r="BF955" s="7"/>
      <c r="BG955" s="7"/>
      <c r="BH955" s="7"/>
      <c r="BI955" s="7"/>
      <c r="BJ955" s="7"/>
      <c r="BK955" s="7"/>
      <c r="BL955" s="7"/>
      <c r="BM955" s="7"/>
      <c r="BN955" s="7"/>
      <c r="BO955" s="7"/>
      <c r="BP955" s="7"/>
      <c r="BQ955" s="7"/>
      <c r="BR955" s="7"/>
      <c r="BS955" s="7"/>
      <c r="BT955" s="7"/>
      <c r="BU955" s="7"/>
      <c r="BV955" s="7"/>
      <c r="BW955" s="7"/>
      <c r="BX955" s="7"/>
      <c r="BY955" s="7"/>
      <c r="BZ955" s="7"/>
      <c r="CA955" s="7"/>
      <c r="CB955" s="7"/>
      <c r="CC955" s="7"/>
      <c r="CD955" s="7"/>
      <c r="CE955" s="7"/>
      <c r="CF955" s="7"/>
      <c r="CG955" s="7"/>
    </row>
    <row r="956" spans="3:85"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  <c r="BB956" s="7"/>
      <c r="BC956" s="7"/>
      <c r="BD956" s="7"/>
      <c r="BE956" s="7"/>
      <c r="BF956" s="7"/>
      <c r="BG956" s="7"/>
      <c r="BH956" s="7"/>
      <c r="BI956" s="7"/>
      <c r="BJ956" s="7"/>
      <c r="BK956" s="7"/>
      <c r="BL956" s="7"/>
      <c r="BM956" s="7"/>
      <c r="BN956" s="7"/>
      <c r="BO956" s="7"/>
      <c r="BP956" s="7"/>
      <c r="BQ956" s="7"/>
      <c r="BR956" s="7"/>
      <c r="BS956" s="7"/>
      <c r="BT956" s="7"/>
      <c r="BU956" s="7"/>
      <c r="BV956" s="7"/>
      <c r="BW956" s="7"/>
      <c r="BX956" s="7"/>
      <c r="BY956" s="7"/>
      <c r="BZ956" s="7"/>
      <c r="CA956" s="7"/>
      <c r="CB956" s="7"/>
      <c r="CC956" s="7"/>
      <c r="CD956" s="7"/>
      <c r="CE956" s="7"/>
      <c r="CF956" s="7"/>
      <c r="CG956" s="7"/>
    </row>
    <row r="957" spans="3:85"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  <c r="BB957" s="7"/>
      <c r="BC957" s="7"/>
      <c r="BD957" s="7"/>
      <c r="BE957" s="7"/>
      <c r="BF957" s="7"/>
      <c r="BG957" s="7"/>
      <c r="BH957" s="7"/>
      <c r="BI957" s="7"/>
      <c r="BJ957" s="7"/>
      <c r="BK957" s="7"/>
      <c r="BL957" s="7"/>
      <c r="BM957" s="7"/>
      <c r="BN957" s="7"/>
      <c r="BO957" s="7"/>
      <c r="BP957" s="7"/>
      <c r="BQ957" s="7"/>
      <c r="BR957" s="7"/>
      <c r="BS957" s="7"/>
      <c r="BT957" s="7"/>
      <c r="BU957" s="7"/>
      <c r="BV957" s="7"/>
      <c r="BW957" s="7"/>
      <c r="BX957" s="7"/>
      <c r="BY957" s="7"/>
      <c r="BZ957" s="7"/>
      <c r="CA957" s="7"/>
      <c r="CB957" s="7"/>
      <c r="CC957" s="7"/>
      <c r="CD957" s="7"/>
      <c r="CE957" s="7"/>
      <c r="CF957" s="7"/>
      <c r="CG957" s="7"/>
    </row>
    <row r="958" spans="3:85"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  <c r="BB958" s="7"/>
      <c r="BC958" s="7"/>
      <c r="BD958" s="7"/>
      <c r="BE958" s="7"/>
      <c r="BF958" s="7"/>
      <c r="BG958" s="7"/>
      <c r="BH958" s="7"/>
      <c r="BI958" s="7"/>
      <c r="BJ958" s="7"/>
      <c r="BK958" s="7"/>
      <c r="BL958" s="7"/>
      <c r="BM958" s="7"/>
      <c r="BN958" s="7"/>
      <c r="BO958" s="7"/>
      <c r="BP958" s="7"/>
      <c r="BQ958" s="7"/>
      <c r="BR958" s="7"/>
      <c r="BS958" s="7"/>
      <c r="BT958" s="7"/>
      <c r="BU958" s="7"/>
      <c r="BV958" s="7"/>
      <c r="BW958" s="7"/>
      <c r="BX958" s="7"/>
      <c r="BY958" s="7"/>
      <c r="BZ958" s="7"/>
      <c r="CA958" s="7"/>
      <c r="CB958" s="7"/>
      <c r="CC958" s="7"/>
      <c r="CD958" s="7"/>
      <c r="CE958" s="7"/>
      <c r="CF958" s="7"/>
      <c r="CG958" s="7"/>
    </row>
    <row r="959" spans="3:85"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  <c r="BB959" s="7"/>
      <c r="BC959" s="7"/>
      <c r="BD959" s="7"/>
      <c r="BE959" s="7"/>
      <c r="BF959" s="7"/>
      <c r="BG959" s="7"/>
      <c r="BH959" s="7"/>
      <c r="BI959" s="7"/>
      <c r="BJ959" s="7"/>
      <c r="BK959" s="7"/>
      <c r="BL959" s="7"/>
      <c r="BM959" s="7"/>
      <c r="BN959" s="7"/>
      <c r="BO959" s="7"/>
      <c r="BP959" s="7"/>
      <c r="BQ959" s="7"/>
      <c r="BR959" s="7"/>
      <c r="BS959" s="7"/>
      <c r="BT959" s="7"/>
      <c r="BU959" s="7"/>
      <c r="BV959" s="7"/>
      <c r="BW959" s="7"/>
      <c r="BX959" s="7"/>
      <c r="BY959" s="7"/>
      <c r="BZ959" s="7"/>
      <c r="CA959" s="7"/>
      <c r="CB959" s="7"/>
      <c r="CC959" s="7"/>
      <c r="CD959" s="7"/>
      <c r="CE959" s="7"/>
      <c r="CF959" s="7"/>
      <c r="CG959" s="7"/>
    </row>
    <row r="960" spans="3:85"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  <c r="BB960" s="7"/>
      <c r="BC960" s="7"/>
      <c r="BD960" s="7"/>
      <c r="BE960" s="7"/>
      <c r="BF960" s="7"/>
      <c r="BG960" s="7"/>
      <c r="BH960" s="7"/>
      <c r="BI960" s="7"/>
      <c r="BJ960" s="7"/>
      <c r="BK960" s="7"/>
      <c r="BL960" s="7"/>
      <c r="BM960" s="7"/>
      <c r="BN960" s="7"/>
      <c r="BO960" s="7"/>
      <c r="BP960" s="7"/>
      <c r="BQ960" s="7"/>
      <c r="BR960" s="7"/>
      <c r="BS960" s="7"/>
      <c r="BT960" s="7"/>
      <c r="BU960" s="7"/>
      <c r="BV960" s="7"/>
      <c r="BW960" s="7"/>
      <c r="BX960" s="7"/>
      <c r="BY960" s="7"/>
      <c r="BZ960" s="7"/>
      <c r="CA960" s="7"/>
      <c r="CB960" s="7"/>
      <c r="CC960" s="7"/>
      <c r="CD960" s="7"/>
      <c r="CE960" s="7"/>
      <c r="CF960" s="7"/>
      <c r="CG960" s="7"/>
    </row>
    <row r="961" spans="3:85"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  <c r="BB961" s="7"/>
      <c r="BC961" s="7"/>
      <c r="BD961" s="7"/>
      <c r="BE961" s="7"/>
      <c r="BF961" s="7"/>
      <c r="BG961" s="7"/>
      <c r="BH961" s="7"/>
      <c r="BI961" s="7"/>
      <c r="BJ961" s="7"/>
      <c r="BK961" s="7"/>
      <c r="BL961" s="7"/>
      <c r="BM961" s="7"/>
      <c r="BN961" s="7"/>
      <c r="BO961" s="7"/>
      <c r="BP961" s="7"/>
      <c r="BQ961" s="7"/>
      <c r="BR961" s="7"/>
      <c r="BS961" s="7"/>
      <c r="BT961" s="7"/>
      <c r="BU961" s="7"/>
      <c r="BV961" s="7"/>
      <c r="BW961" s="7"/>
      <c r="BX961" s="7"/>
      <c r="BY961" s="7"/>
      <c r="BZ961" s="7"/>
      <c r="CA961" s="7"/>
      <c r="CB961" s="7"/>
      <c r="CC961" s="7"/>
      <c r="CD961" s="7"/>
      <c r="CE961" s="7"/>
      <c r="CF961" s="7"/>
      <c r="CG961" s="7"/>
    </row>
    <row r="962" spans="3:85"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  <c r="BB962" s="7"/>
      <c r="BC962" s="7"/>
      <c r="BD962" s="7"/>
      <c r="BE962" s="7"/>
      <c r="BF962" s="7"/>
      <c r="BG962" s="7"/>
      <c r="BH962" s="7"/>
      <c r="BI962" s="7"/>
      <c r="BJ962" s="7"/>
      <c r="BK962" s="7"/>
      <c r="BL962" s="7"/>
      <c r="BM962" s="7"/>
      <c r="BN962" s="7"/>
      <c r="BO962" s="7"/>
      <c r="BP962" s="7"/>
      <c r="BQ962" s="7"/>
      <c r="BR962" s="7"/>
      <c r="BS962" s="7"/>
      <c r="BT962" s="7"/>
      <c r="BU962" s="7"/>
      <c r="BV962" s="7"/>
      <c r="BW962" s="7"/>
      <c r="BX962" s="7"/>
      <c r="BY962" s="7"/>
      <c r="BZ962" s="7"/>
      <c r="CA962" s="7"/>
      <c r="CB962" s="7"/>
      <c r="CC962" s="7"/>
      <c r="CD962" s="7"/>
      <c r="CE962" s="7"/>
      <c r="CF962" s="7"/>
      <c r="CG962" s="7"/>
    </row>
    <row r="963" spans="3:85"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  <c r="BB963" s="7"/>
      <c r="BC963" s="7"/>
      <c r="BD963" s="7"/>
      <c r="BE963" s="7"/>
      <c r="BF963" s="7"/>
      <c r="BG963" s="7"/>
      <c r="BH963" s="7"/>
      <c r="BI963" s="7"/>
      <c r="BJ963" s="7"/>
      <c r="BK963" s="7"/>
      <c r="BL963" s="7"/>
      <c r="BM963" s="7"/>
      <c r="BN963" s="7"/>
      <c r="BO963" s="7"/>
      <c r="BP963" s="7"/>
      <c r="BQ963" s="7"/>
      <c r="BR963" s="7"/>
      <c r="BS963" s="7"/>
      <c r="BT963" s="7"/>
      <c r="BU963" s="7"/>
      <c r="BV963" s="7"/>
      <c r="BW963" s="7"/>
      <c r="BX963" s="7"/>
      <c r="BY963" s="7"/>
      <c r="BZ963" s="7"/>
      <c r="CA963" s="7"/>
      <c r="CB963" s="7"/>
      <c r="CC963" s="7"/>
      <c r="CD963" s="7"/>
      <c r="CE963" s="7"/>
      <c r="CF963" s="7"/>
      <c r="CG963" s="7"/>
    </row>
    <row r="964" spans="3:85"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  <c r="BB964" s="7"/>
      <c r="BC964" s="7"/>
      <c r="BD964" s="7"/>
      <c r="BE964" s="7"/>
      <c r="BF964" s="7"/>
      <c r="BG964" s="7"/>
      <c r="BH964" s="7"/>
      <c r="BI964" s="7"/>
      <c r="BJ964" s="7"/>
      <c r="BK964" s="7"/>
      <c r="BL964" s="7"/>
      <c r="BM964" s="7"/>
      <c r="BN964" s="7"/>
      <c r="BO964" s="7"/>
      <c r="BP964" s="7"/>
      <c r="BQ964" s="7"/>
      <c r="BR964" s="7"/>
      <c r="BS964" s="7"/>
      <c r="BT964" s="7"/>
      <c r="BU964" s="7"/>
      <c r="BV964" s="7"/>
      <c r="BW964" s="7"/>
      <c r="BX964" s="7"/>
      <c r="BY964" s="7"/>
      <c r="BZ964" s="7"/>
      <c r="CA964" s="7"/>
      <c r="CB964" s="7"/>
      <c r="CC964" s="7"/>
      <c r="CD964" s="7"/>
      <c r="CE964" s="7"/>
      <c r="CF964" s="7"/>
      <c r="CG964" s="7"/>
    </row>
    <row r="965" spans="3:85"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  <c r="BB965" s="7"/>
      <c r="BC965" s="7"/>
      <c r="BD965" s="7"/>
      <c r="BE965" s="7"/>
      <c r="BF965" s="7"/>
      <c r="BG965" s="7"/>
      <c r="BH965" s="7"/>
      <c r="BI965" s="7"/>
      <c r="BJ965" s="7"/>
      <c r="BK965" s="7"/>
      <c r="BL965" s="7"/>
      <c r="BM965" s="7"/>
      <c r="BN965" s="7"/>
      <c r="BO965" s="7"/>
      <c r="BP965" s="7"/>
      <c r="BQ965" s="7"/>
      <c r="BR965" s="7"/>
      <c r="BS965" s="7"/>
      <c r="BT965" s="7"/>
      <c r="BU965" s="7"/>
      <c r="BV965" s="7"/>
      <c r="BW965" s="7"/>
      <c r="BX965" s="7"/>
      <c r="BY965" s="7"/>
      <c r="BZ965" s="7"/>
      <c r="CA965" s="7"/>
      <c r="CB965" s="7"/>
      <c r="CC965" s="7"/>
      <c r="CD965" s="7"/>
      <c r="CE965" s="7"/>
      <c r="CF965" s="7"/>
      <c r="CG965" s="7"/>
    </row>
    <row r="966" spans="3:85"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  <c r="BB966" s="7"/>
      <c r="BC966" s="7"/>
      <c r="BD966" s="7"/>
      <c r="BE966" s="7"/>
      <c r="BF966" s="7"/>
      <c r="BG966" s="7"/>
      <c r="BH966" s="7"/>
      <c r="BI966" s="7"/>
      <c r="BJ966" s="7"/>
      <c r="BK966" s="7"/>
      <c r="BL966" s="7"/>
      <c r="BM966" s="7"/>
      <c r="BN966" s="7"/>
      <c r="BO966" s="7"/>
      <c r="BP966" s="7"/>
      <c r="BQ966" s="7"/>
      <c r="BR966" s="7"/>
      <c r="BS966" s="7"/>
      <c r="BT966" s="7"/>
      <c r="BU966" s="7"/>
      <c r="BV966" s="7"/>
      <c r="BW966" s="7"/>
      <c r="BX966" s="7"/>
      <c r="BY966" s="7"/>
      <c r="BZ966" s="7"/>
      <c r="CA966" s="7"/>
      <c r="CB966" s="7"/>
      <c r="CC966" s="7"/>
      <c r="CD966" s="7"/>
      <c r="CE966" s="7"/>
      <c r="CF966" s="7"/>
      <c r="CG966" s="7"/>
    </row>
    <row r="967" spans="3:85"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  <c r="BB967" s="7"/>
      <c r="BC967" s="7"/>
      <c r="BD967" s="7"/>
      <c r="BE967" s="7"/>
      <c r="BF967" s="7"/>
      <c r="BG967" s="7"/>
      <c r="BH967" s="7"/>
      <c r="BI967" s="7"/>
      <c r="BJ967" s="7"/>
      <c r="BK967" s="7"/>
      <c r="BL967" s="7"/>
      <c r="BM967" s="7"/>
      <c r="BN967" s="7"/>
      <c r="BO967" s="7"/>
      <c r="BP967" s="7"/>
      <c r="BQ967" s="7"/>
      <c r="BR967" s="7"/>
      <c r="BS967" s="7"/>
      <c r="BT967" s="7"/>
      <c r="BU967" s="7"/>
      <c r="BV967" s="7"/>
      <c r="BW967" s="7"/>
      <c r="BX967" s="7"/>
      <c r="BY967" s="7"/>
      <c r="BZ967" s="7"/>
      <c r="CA967" s="7"/>
      <c r="CB967" s="7"/>
      <c r="CC967" s="7"/>
      <c r="CD967" s="7"/>
      <c r="CE967" s="7"/>
      <c r="CF967" s="7"/>
      <c r="CG967" s="7"/>
    </row>
    <row r="968" spans="3:85"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  <c r="BB968" s="7"/>
      <c r="BC968" s="7"/>
      <c r="BD968" s="7"/>
      <c r="BE968" s="7"/>
      <c r="BF968" s="7"/>
      <c r="BG968" s="7"/>
      <c r="BH968" s="7"/>
      <c r="BI968" s="7"/>
      <c r="BJ968" s="7"/>
      <c r="BK968" s="7"/>
      <c r="BL968" s="7"/>
      <c r="BM968" s="7"/>
      <c r="BN968" s="7"/>
      <c r="BO968" s="7"/>
      <c r="BP968" s="7"/>
      <c r="BQ968" s="7"/>
      <c r="BR968" s="7"/>
      <c r="BS968" s="7"/>
      <c r="BT968" s="7"/>
      <c r="BU968" s="7"/>
      <c r="BV968" s="7"/>
      <c r="BW968" s="7"/>
      <c r="BX968" s="7"/>
      <c r="BY968" s="7"/>
      <c r="BZ968" s="7"/>
      <c r="CA968" s="7"/>
      <c r="CB968" s="7"/>
      <c r="CC968" s="7"/>
      <c r="CD968" s="7"/>
      <c r="CE968" s="7"/>
      <c r="CF968" s="7"/>
      <c r="CG968" s="7"/>
    </row>
    <row r="969" spans="3:85"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  <c r="BB969" s="7"/>
      <c r="BC969" s="7"/>
      <c r="BD969" s="7"/>
      <c r="BE969" s="7"/>
      <c r="BF969" s="7"/>
      <c r="BG969" s="7"/>
      <c r="BH969" s="7"/>
      <c r="BI969" s="7"/>
      <c r="BJ969" s="7"/>
      <c r="BK969" s="7"/>
      <c r="BL969" s="7"/>
      <c r="BM969" s="7"/>
      <c r="BN969" s="7"/>
      <c r="BO969" s="7"/>
      <c r="BP969" s="7"/>
      <c r="BQ969" s="7"/>
      <c r="BR969" s="7"/>
      <c r="BS969" s="7"/>
      <c r="BT969" s="7"/>
      <c r="BU969" s="7"/>
      <c r="BV969" s="7"/>
      <c r="BW969" s="7"/>
      <c r="BX969" s="7"/>
      <c r="BY969" s="7"/>
      <c r="BZ969" s="7"/>
      <c r="CA969" s="7"/>
      <c r="CB969" s="7"/>
      <c r="CC969" s="7"/>
      <c r="CD969" s="7"/>
      <c r="CE969" s="7"/>
      <c r="CF969" s="7"/>
      <c r="CG969" s="7"/>
    </row>
    <row r="970" spans="3:85"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  <c r="BB970" s="7"/>
      <c r="BC970" s="7"/>
      <c r="BD970" s="7"/>
      <c r="BE970" s="7"/>
      <c r="BF970" s="7"/>
      <c r="BG970" s="7"/>
      <c r="BH970" s="7"/>
      <c r="BI970" s="7"/>
      <c r="BJ970" s="7"/>
      <c r="BK970" s="7"/>
      <c r="BL970" s="7"/>
      <c r="BM970" s="7"/>
      <c r="BN970" s="7"/>
      <c r="BO970" s="7"/>
      <c r="BP970" s="7"/>
      <c r="BQ970" s="7"/>
      <c r="BR970" s="7"/>
      <c r="BS970" s="7"/>
      <c r="BT970" s="7"/>
      <c r="BU970" s="7"/>
      <c r="BV970" s="7"/>
      <c r="BW970" s="7"/>
      <c r="BX970" s="7"/>
      <c r="BY970" s="7"/>
      <c r="BZ970" s="7"/>
      <c r="CA970" s="7"/>
      <c r="CB970" s="7"/>
      <c r="CC970" s="7"/>
      <c r="CD970" s="7"/>
      <c r="CE970" s="7"/>
      <c r="CF970" s="7"/>
      <c r="CG970" s="7"/>
    </row>
    <row r="971" spans="3:85"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  <c r="BB971" s="7"/>
      <c r="BC971" s="7"/>
      <c r="BD971" s="7"/>
      <c r="BE971" s="7"/>
      <c r="BF971" s="7"/>
      <c r="BG971" s="7"/>
      <c r="BH971" s="7"/>
      <c r="BI971" s="7"/>
      <c r="BJ971" s="7"/>
      <c r="BK971" s="7"/>
      <c r="BL971" s="7"/>
      <c r="BM971" s="7"/>
      <c r="BN971" s="7"/>
      <c r="BO971" s="7"/>
      <c r="BP971" s="7"/>
      <c r="BQ971" s="7"/>
      <c r="BR971" s="7"/>
      <c r="BS971" s="7"/>
      <c r="BT971" s="7"/>
      <c r="BU971" s="7"/>
      <c r="BV971" s="7"/>
      <c r="BW971" s="7"/>
      <c r="BX971" s="7"/>
      <c r="BY971" s="7"/>
      <c r="BZ971" s="7"/>
      <c r="CA971" s="7"/>
      <c r="CB971" s="7"/>
      <c r="CC971" s="7"/>
      <c r="CD971" s="7"/>
      <c r="CE971" s="7"/>
      <c r="CF971" s="7"/>
      <c r="CG971" s="7"/>
    </row>
    <row r="972" spans="3:85"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  <c r="BB972" s="7"/>
      <c r="BC972" s="7"/>
      <c r="BD972" s="7"/>
      <c r="BE972" s="7"/>
      <c r="BF972" s="7"/>
      <c r="BG972" s="7"/>
      <c r="BH972" s="7"/>
      <c r="BI972" s="7"/>
      <c r="BJ972" s="7"/>
      <c r="BK972" s="7"/>
      <c r="BL972" s="7"/>
      <c r="BM972" s="7"/>
      <c r="BN972" s="7"/>
      <c r="BO972" s="7"/>
      <c r="BP972" s="7"/>
      <c r="BQ972" s="7"/>
      <c r="BR972" s="7"/>
      <c r="BS972" s="7"/>
      <c r="BT972" s="7"/>
      <c r="BU972" s="7"/>
      <c r="BV972" s="7"/>
      <c r="BW972" s="7"/>
      <c r="BX972" s="7"/>
      <c r="BY972" s="7"/>
      <c r="BZ972" s="7"/>
      <c r="CA972" s="7"/>
      <c r="CB972" s="7"/>
      <c r="CC972" s="7"/>
      <c r="CD972" s="7"/>
      <c r="CE972" s="7"/>
      <c r="CF972" s="7"/>
      <c r="CG972" s="7"/>
    </row>
    <row r="973" spans="3:85"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  <c r="BB973" s="7"/>
      <c r="BC973" s="7"/>
      <c r="BD973" s="7"/>
      <c r="BE973" s="7"/>
      <c r="BF973" s="7"/>
      <c r="BG973" s="7"/>
      <c r="BH973" s="7"/>
      <c r="BI973" s="7"/>
      <c r="BJ973" s="7"/>
      <c r="BK973" s="7"/>
      <c r="BL973" s="7"/>
      <c r="BM973" s="7"/>
      <c r="BN973" s="7"/>
      <c r="BO973" s="7"/>
      <c r="BP973" s="7"/>
      <c r="BQ973" s="7"/>
      <c r="BR973" s="7"/>
      <c r="BS973" s="7"/>
      <c r="BT973" s="7"/>
      <c r="BU973" s="7"/>
      <c r="BV973" s="7"/>
      <c r="BW973" s="7"/>
      <c r="BX973" s="7"/>
      <c r="BY973" s="7"/>
      <c r="BZ973" s="7"/>
      <c r="CA973" s="7"/>
      <c r="CB973" s="7"/>
      <c r="CC973" s="7"/>
      <c r="CD973" s="7"/>
      <c r="CE973" s="7"/>
      <c r="CF973" s="7"/>
      <c r="CG973" s="7"/>
    </row>
    <row r="974" spans="3:85"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  <c r="BB974" s="7"/>
      <c r="BC974" s="7"/>
      <c r="BD974" s="7"/>
      <c r="BE974" s="7"/>
      <c r="BF974" s="7"/>
      <c r="BG974" s="7"/>
      <c r="BH974" s="7"/>
      <c r="BI974" s="7"/>
      <c r="BJ974" s="7"/>
      <c r="BK974" s="7"/>
      <c r="BL974" s="7"/>
      <c r="BM974" s="7"/>
      <c r="BN974" s="7"/>
      <c r="BO974" s="7"/>
      <c r="BP974" s="7"/>
      <c r="BQ974" s="7"/>
      <c r="BR974" s="7"/>
      <c r="BS974" s="7"/>
      <c r="BT974" s="7"/>
      <c r="BU974" s="7"/>
      <c r="BV974" s="7"/>
      <c r="BW974" s="7"/>
      <c r="BX974" s="7"/>
      <c r="BY974" s="7"/>
      <c r="BZ974" s="7"/>
      <c r="CA974" s="7"/>
      <c r="CB974" s="7"/>
      <c r="CC974" s="7"/>
      <c r="CD974" s="7"/>
      <c r="CE974" s="7"/>
      <c r="CF974" s="7"/>
      <c r="CG974" s="7"/>
    </row>
    <row r="975" spans="3:85"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  <c r="BB975" s="7"/>
      <c r="BC975" s="7"/>
      <c r="BD975" s="7"/>
      <c r="BE975" s="7"/>
      <c r="BF975" s="7"/>
      <c r="BG975" s="7"/>
      <c r="BH975" s="7"/>
      <c r="BI975" s="7"/>
      <c r="BJ975" s="7"/>
      <c r="BK975" s="7"/>
      <c r="BL975" s="7"/>
      <c r="BM975" s="7"/>
      <c r="BN975" s="7"/>
      <c r="BO975" s="7"/>
      <c r="BP975" s="7"/>
      <c r="BQ975" s="7"/>
      <c r="BR975" s="7"/>
      <c r="BS975" s="7"/>
      <c r="BT975" s="7"/>
      <c r="BU975" s="7"/>
      <c r="BV975" s="7"/>
      <c r="BW975" s="7"/>
      <c r="BX975" s="7"/>
      <c r="BY975" s="7"/>
      <c r="BZ975" s="7"/>
      <c r="CA975" s="7"/>
      <c r="CB975" s="7"/>
      <c r="CC975" s="7"/>
      <c r="CD975" s="7"/>
      <c r="CE975" s="7"/>
      <c r="CF975" s="7"/>
      <c r="CG975" s="7"/>
    </row>
    <row r="976" spans="3:85"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  <c r="BB976" s="7"/>
      <c r="BC976" s="7"/>
      <c r="BD976" s="7"/>
      <c r="BE976" s="7"/>
      <c r="BF976" s="7"/>
      <c r="BG976" s="7"/>
      <c r="BH976" s="7"/>
      <c r="BI976" s="7"/>
      <c r="BJ976" s="7"/>
      <c r="BK976" s="7"/>
      <c r="BL976" s="7"/>
      <c r="BM976" s="7"/>
      <c r="BN976" s="7"/>
      <c r="BO976" s="7"/>
      <c r="BP976" s="7"/>
      <c r="BQ976" s="7"/>
      <c r="BR976" s="7"/>
      <c r="BS976" s="7"/>
      <c r="BT976" s="7"/>
      <c r="BU976" s="7"/>
      <c r="BV976" s="7"/>
      <c r="BW976" s="7"/>
      <c r="BX976" s="7"/>
      <c r="BY976" s="7"/>
      <c r="BZ976" s="7"/>
      <c r="CA976" s="7"/>
      <c r="CB976" s="7"/>
      <c r="CC976" s="7"/>
      <c r="CD976" s="7"/>
      <c r="CE976" s="7"/>
      <c r="CF976" s="7"/>
      <c r="CG976" s="7"/>
    </row>
    <row r="977" spans="3:85"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  <c r="BB977" s="7"/>
      <c r="BC977" s="7"/>
      <c r="BD977" s="7"/>
      <c r="BE977" s="7"/>
      <c r="BF977" s="7"/>
      <c r="BG977" s="7"/>
      <c r="BH977" s="7"/>
      <c r="BI977" s="7"/>
      <c r="BJ977" s="7"/>
      <c r="BK977" s="7"/>
      <c r="BL977" s="7"/>
      <c r="BM977" s="7"/>
      <c r="BN977" s="7"/>
      <c r="BO977" s="7"/>
      <c r="BP977" s="7"/>
      <c r="BQ977" s="7"/>
      <c r="BR977" s="7"/>
      <c r="BS977" s="7"/>
      <c r="BT977" s="7"/>
      <c r="BU977" s="7"/>
      <c r="BV977" s="7"/>
      <c r="BW977" s="7"/>
      <c r="BX977" s="7"/>
      <c r="BY977" s="7"/>
      <c r="BZ977" s="7"/>
      <c r="CA977" s="7"/>
      <c r="CB977" s="7"/>
      <c r="CC977" s="7"/>
      <c r="CD977" s="7"/>
      <c r="CE977" s="7"/>
      <c r="CF977" s="7"/>
      <c r="CG977" s="7"/>
    </row>
    <row r="978" spans="3:85"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  <c r="BB978" s="7"/>
      <c r="BC978" s="7"/>
      <c r="BD978" s="7"/>
      <c r="BE978" s="7"/>
      <c r="BF978" s="7"/>
      <c r="BG978" s="7"/>
      <c r="BH978" s="7"/>
      <c r="BI978" s="7"/>
      <c r="BJ978" s="7"/>
      <c r="BK978" s="7"/>
      <c r="BL978" s="7"/>
      <c r="BM978" s="7"/>
      <c r="BN978" s="7"/>
      <c r="BO978" s="7"/>
      <c r="BP978" s="7"/>
      <c r="BQ978" s="7"/>
      <c r="BR978" s="7"/>
      <c r="BS978" s="7"/>
      <c r="BT978" s="7"/>
      <c r="BU978" s="7"/>
      <c r="BV978" s="7"/>
      <c r="BW978" s="7"/>
      <c r="BX978" s="7"/>
      <c r="BY978" s="7"/>
      <c r="BZ978" s="7"/>
      <c r="CA978" s="7"/>
      <c r="CB978" s="7"/>
      <c r="CC978" s="7"/>
      <c r="CD978" s="7"/>
      <c r="CE978" s="7"/>
      <c r="CF978" s="7"/>
      <c r="CG978" s="7"/>
    </row>
    <row r="979" spans="3:85"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  <c r="BB979" s="7"/>
      <c r="BC979" s="7"/>
      <c r="BD979" s="7"/>
      <c r="BE979" s="7"/>
      <c r="BF979" s="7"/>
      <c r="BG979" s="7"/>
      <c r="BH979" s="7"/>
      <c r="BI979" s="7"/>
      <c r="BJ979" s="7"/>
      <c r="BK979" s="7"/>
      <c r="BL979" s="7"/>
      <c r="BM979" s="7"/>
      <c r="BN979" s="7"/>
      <c r="BO979" s="7"/>
      <c r="BP979" s="7"/>
      <c r="BQ979" s="7"/>
      <c r="BR979" s="7"/>
      <c r="BS979" s="7"/>
      <c r="BT979" s="7"/>
      <c r="BU979" s="7"/>
      <c r="BV979" s="7"/>
      <c r="BW979" s="7"/>
      <c r="BX979" s="7"/>
      <c r="BY979" s="7"/>
      <c r="BZ979" s="7"/>
      <c r="CA979" s="7"/>
      <c r="CB979" s="7"/>
      <c r="CC979" s="7"/>
      <c r="CD979" s="7"/>
      <c r="CE979" s="7"/>
      <c r="CF979" s="7"/>
      <c r="CG979" s="7"/>
    </row>
    <row r="980" spans="3:85"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  <c r="BB980" s="7"/>
      <c r="BC980" s="7"/>
      <c r="BD980" s="7"/>
      <c r="BE980" s="7"/>
      <c r="BF980" s="7"/>
      <c r="BG980" s="7"/>
      <c r="BH980" s="7"/>
      <c r="BI980" s="7"/>
      <c r="BJ980" s="7"/>
      <c r="BK980" s="7"/>
      <c r="BL980" s="7"/>
      <c r="BM980" s="7"/>
      <c r="BN980" s="7"/>
      <c r="BO980" s="7"/>
      <c r="BP980" s="7"/>
      <c r="BQ980" s="7"/>
      <c r="BR980" s="7"/>
      <c r="BS980" s="7"/>
      <c r="BT980" s="7"/>
      <c r="BU980" s="7"/>
      <c r="BV980" s="7"/>
      <c r="BW980" s="7"/>
      <c r="BX980" s="7"/>
      <c r="BY980" s="7"/>
      <c r="BZ980" s="7"/>
      <c r="CA980" s="7"/>
      <c r="CB980" s="7"/>
      <c r="CC980" s="7"/>
      <c r="CD980" s="7"/>
      <c r="CE980" s="7"/>
      <c r="CF980" s="7"/>
      <c r="CG980" s="7"/>
    </row>
    <row r="981" spans="3:85"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  <c r="BB981" s="7"/>
      <c r="BC981" s="7"/>
      <c r="BD981" s="7"/>
      <c r="BE981" s="7"/>
      <c r="BF981" s="7"/>
      <c r="BG981" s="7"/>
      <c r="BH981" s="7"/>
      <c r="BI981" s="7"/>
      <c r="BJ981" s="7"/>
      <c r="BK981" s="7"/>
      <c r="BL981" s="7"/>
      <c r="BM981" s="7"/>
      <c r="BN981" s="7"/>
      <c r="BO981" s="7"/>
      <c r="BP981" s="7"/>
      <c r="BQ981" s="7"/>
      <c r="BR981" s="7"/>
      <c r="BS981" s="7"/>
      <c r="BT981" s="7"/>
      <c r="BU981" s="7"/>
      <c r="BV981" s="7"/>
      <c r="BW981" s="7"/>
      <c r="BX981" s="7"/>
      <c r="BY981" s="7"/>
      <c r="BZ981" s="7"/>
      <c r="CA981" s="7"/>
      <c r="CB981" s="7"/>
      <c r="CC981" s="7"/>
      <c r="CD981" s="7"/>
      <c r="CE981" s="7"/>
      <c r="CF981" s="7"/>
      <c r="CG981" s="7"/>
    </row>
    <row r="982" spans="3:85"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  <c r="BB982" s="7"/>
      <c r="BC982" s="7"/>
      <c r="BD982" s="7"/>
      <c r="BE982" s="7"/>
      <c r="BF982" s="7"/>
      <c r="BG982" s="7"/>
      <c r="BH982" s="7"/>
      <c r="BI982" s="7"/>
      <c r="BJ982" s="7"/>
      <c r="BK982" s="7"/>
      <c r="BL982" s="7"/>
      <c r="BM982" s="7"/>
      <c r="BN982" s="7"/>
      <c r="BO982" s="7"/>
      <c r="BP982" s="7"/>
      <c r="BQ982" s="7"/>
      <c r="BR982" s="7"/>
      <c r="BS982" s="7"/>
      <c r="BT982" s="7"/>
      <c r="BU982" s="7"/>
      <c r="BV982" s="7"/>
      <c r="BW982" s="7"/>
      <c r="BX982" s="7"/>
      <c r="BY982" s="7"/>
      <c r="BZ982" s="7"/>
      <c r="CA982" s="7"/>
      <c r="CB982" s="7"/>
      <c r="CC982" s="7"/>
      <c r="CD982" s="7"/>
      <c r="CE982" s="7"/>
      <c r="CF982" s="7"/>
      <c r="CG982" s="7"/>
    </row>
    <row r="983" spans="3:85"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  <c r="BB983" s="7"/>
      <c r="BC983" s="7"/>
      <c r="BD983" s="7"/>
      <c r="BE983" s="7"/>
      <c r="BF983" s="7"/>
      <c r="BG983" s="7"/>
      <c r="BH983" s="7"/>
      <c r="BI983" s="7"/>
      <c r="BJ983" s="7"/>
      <c r="BK983" s="7"/>
      <c r="BL983" s="7"/>
      <c r="BM983" s="7"/>
      <c r="BN983" s="7"/>
      <c r="BO983" s="7"/>
      <c r="BP983" s="7"/>
      <c r="BQ983" s="7"/>
      <c r="BR983" s="7"/>
      <c r="BS983" s="7"/>
      <c r="BT983" s="7"/>
      <c r="BU983" s="7"/>
      <c r="BV983" s="7"/>
      <c r="BW983" s="7"/>
      <c r="BX983" s="7"/>
      <c r="BY983" s="7"/>
      <c r="BZ983" s="7"/>
      <c r="CA983" s="7"/>
      <c r="CB983" s="7"/>
      <c r="CC983" s="7"/>
      <c r="CD983" s="7"/>
      <c r="CE983" s="7"/>
      <c r="CF983" s="7"/>
      <c r="CG983" s="7"/>
    </row>
    <row r="984" spans="3:85"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  <c r="BB984" s="7"/>
      <c r="BC984" s="7"/>
      <c r="BD984" s="7"/>
      <c r="BE984" s="7"/>
      <c r="BF984" s="7"/>
      <c r="BG984" s="7"/>
      <c r="BH984" s="7"/>
      <c r="BI984" s="7"/>
      <c r="BJ984" s="7"/>
      <c r="BK984" s="7"/>
      <c r="BL984" s="7"/>
      <c r="BM984" s="7"/>
      <c r="BN984" s="7"/>
      <c r="BO984" s="7"/>
      <c r="BP984" s="7"/>
      <c r="BQ984" s="7"/>
      <c r="BR984" s="7"/>
      <c r="BS984" s="7"/>
      <c r="BT984" s="7"/>
      <c r="BU984" s="7"/>
      <c r="BV984" s="7"/>
      <c r="BW984" s="7"/>
      <c r="BX984" s="7"/>
      <c r="BY984" s="7"/>
      <c r="BZ984" s="7"/>
      <c r="CA984" s="7"/>
      <c r="CB984" s="7"/>
      <c r="CC984" s="7"/>
      <c r="CD984" s="7"/>
      <c r="CE984" s="7"/>
      <c r="CF984" s="7"/>
      <c r="CG984" s="7"/>
    </row>
    <row r="985" spans="3:85"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  <c r="BB985" s="7"/>
      <c r="BC985" s="7"/>
      <c r="BD985" s="7"/>
      <c r="BE985" s="7"/>
      <c r="BF985" s="7"/>
      <c r="BG985" s="7"/>
      <c r="BH985" s="7"/>
      <c r="BI985" s="7"/>
      <c r="BJ985" s="7"/>
      <c r="BK985" s="7"/>
      <c r="BL985" s="7"/>
      <c r="BM985" s="7"/>
      <c r="BN985" s="7"/>
      <c r="BO985" s="7"/>
      <c r="BP985" s="7"/>
      <c r="BQ985" s="7"/>
      <c r="BR985" s="7"/>
      <c r="BS985" s="7"/>
      <c r="BT985" s="7"/>
      <c r="BU985" s="7"/>
      <c r="BV985" s="7"/>
      <c r="BW985" s="7"/>
      <c r="BX985" s="7"/>
      <c r="BY985" s="7"/>
      <c r="BZ985" s="7"/>
      <c r="CA985" s="7"/>
      <c r="CB985" s="7"/>
      <c r="CC985" s="7"/>
      <c r="CD985" s="7"/>
      <c r="CE985" s="7"/>
      <c r="CF985" s="7"/>
      <c r="CG985" s="7"/>
    </row>
    <row r="986" spans="3:85"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  <c r="BB986" s="7"/>
      <c r="BC986" s="7"/>
      <c r="BD986" s="7"/>
      <c r="BE986" s="7"/>
      <c r="BF986" s="7"/>
      <c r="BG986" s="7"/>
      <c r="BH986" s="7"/>
      <c r="BI986" s="7"/>
      <c r="BJ986" s="7"/>
      <c r="BK986" s="7"/>
      <c r="BL986" s="7"/>
      <c r="BM986" s="7"/>
      <c r="BN986" s="7"/>
      <c r="BO986" s="7"/>
      <c r="BP986" s="7"/>
      <c r="BQ986" s="7"/>
      <c r="BR986" s="7"/>
      <c r="BS986" s="7"/>
      <c r="BT986" s="7"/>
      <c r="BU986" s="7"/>
      <c r="BV986" s="7"/>
      <c r="BW986" s="7"/>
      <c r="BX986" s="7"/>
      <c r="BY986" s="7"/>
      <c r="BZ986" s="7"/>
      <c r="CA986" s="7"/>
      <c r="CB986" s="7"/>
      <c r="CC986" s="7"/>
      <c r="CD986" s="7"/>
      <c r="CE986" s="7"/>
      <c r="CF986" s="7"/>
      <c r="CG986" s="7"/>
    </row>
    <row r="987" spans="3:85"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  <c r="BB987" s="7"/>
      <c r="BC987" s="7"/>
      <c r="BD987" s="7"/>
      <c r="BE987" s="7"/>
      <c r="BF987" s="7"/>
      <c r="BG987" s="7"/>
      <c r="BH987" s="7"/>
      <c r="BI987" s="7"/>
      <c r="BJ987" s="7"/>
      <c r="BK987" s="7"/>
      <c r="BL987" s="7"/>
      <c r="BM987" s="7"/>
      <c r="BN987" s="7"/>
      <c r="BO987" s="7"/>
      <c r="BP987" s="7"/>
      <c r="BQ987" s="7"/>
      <c r="BR987" s="7"/>
      <c r="BS987" s="7"/>
      <c r="BT987" s="7"/>
      <c r="BU987" s="7"/>
      <c r="BV987" s="7"/>
      <c r="BW987" s="7"/>
      <c r="BX987" s="7"/>
      <c r="BY987" s="7"/>
      <c r="BZ987" s="7"/>
      <c r="CA987" s="7"/>
      <c r="CB987" s="7"/>
      <c r="CC987" s="7"/>
      <c r="CD987" s="7"/>
      <c r="CE987" s="7"/>
      <c r="CF987" s="7"/>
      <c r="CG987" s="7"/>
    </row>
    <row r="988" spans="3:85"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  <c r="BB988" s="7"/>
      <c r="BC988" s="7"/>
      <c r="BD988" s="7"/>
      <c r="BE988" s="7"/>
      <c r="BF988" s="7"/>
      <c r="BG988" s="7"/>
      <c r="BH988" s="7"/>
      <c r="BI988" s="7"/>
      <c r="BJ988" s="7"/>
      <c r="BK988" s="7"/>
      <c r="BL988" s="7"/>
      <c r="BM988" s="7"/>
      <c r="BN988" s="7"/>
      <c r="BO988" s="7"/>
      <c r="BP988" s="7"/>
      <c r="BQ988" s="7"/>
      <c r="BR988" s="7"/>
      <c r="BS988" s="7"/>
      <c r="BT988" s="7"/>
      <c r="BU988" s="7"/>
      <c r="BV988" s="7"/>
      <c r="BW988" s="7"/>
      <c r="BX988" s="7"/>
      <c r="BY988" s="7"/>
      <c r="BZ988" s="7"/>
      <c r="CA988" s="7"/>
      <c r="CB988" s="7"/>
      <c r="CC988" s="7"/>
      <c r="CD988" s="7"/>
      <c r="CE988" s="7"/>
      <c r="CF988" s="7"/>
      <c r="CG988" s="7"/>
    </row>
    <row r="989" spans="3:85"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  <c r="BB989" s="7"/>
      <c r="BC989" s="7"/>
      <c r="BD989" s="7"/>
      <c r="BE989" s="7"/>
      <c r="BF989" s="7"/>
      <c r="BG989" s="7"/>
      <c r="BH989" s="7"/>
      <c r="BI989" s="7"/>
      <c r="BJ989" s="7"/>
      <c r="BK989" s="7"/>
      <c r="BL989" s="7"/>
      <c r="BM989" s="7"/>
      <c r="BN989" s="7"/>
      <c r="BO989" s="7"/>
      <c r="BP989" s="7"/>
      <c r="BQ989" s="7"/>
      <c r="BR989" s="7"/>
      <c r="BS989" s="7"/>
      <c r="BT989" s="7"/>
      <c r="BU989" s="7"/>
      <c r="BV989" s="7"/>
      <c r="BW989" s="7"/>
      <c r="BX989" s="7"/>
      <c r="BY989" s="7"/>
      <c r="BZ989" s="7"/>
      <c r="CA989" s="7"/>
      <c r="CB989" s="7"/>
      <c r="CC989" s="7"/>
      <c r="CD989" s="7"/>
      <c r="CE989" s="7"/>
      <c r="CF989" s="7"/>
      <c r="CG989" s="7"/>
    </row>
    <row r="990" spans="3:85"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  <c r="BB990" s="7"/>
      <c r="BC990" s="7"/>
      <c r="BD990" s="7"/>
      <c r="BE990" s="7"/>
      <c r="BF990" s="7"/>
      <c r="BG990" s="7"/>
      <c r="BH990" s="7"/>
      <c r="BI990" s="7"/>
      <c r="BJ990" s="7"/>
      <c r="BK990" s="7"/>
      <c r="BL990" s="7"/>
      <c r="BM990" s="7"/>
      <c r="BN990" s="7"/>
      <c r="BO990" s="7"/>
      <c r="BP990" s="7"/>
      <c r="BQ990" s="7"/>
      <c r="BR990" s="7"/>
      <c r="BS990" s="7"/>
      <c r="BT990" s="7"/>
      <c r="BU990" s="7"/>
      <c r="BV990" s="7"/>
      <c r="BW990" s="7"/>
      <c r="BX990" s="7"/>
      <c r="BY990" s="7"/>
      <c r="BZ990" s="7"/>
      <c r="CA990" s="7"/>
      <c r="CB990" s="7"/>
      <c r="CC990" s="7"/>
      <c r="CD990" s="7"/>
      <c r="CE990" s="7"/>
      <c r="CF990" s="7"/>
      <c r="CG990" s="7"/>
    </row>
    <row r="991" spans="3:85"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  <c r="BB991" s="7"/>
      <c r="BC991" s="7"/>
      <c r="BD991" s="7"/>
      <c r="BE991" s="7"/>
      <c r="BF991" s="7"/>
      <c r="BG991" s="7"/>
      <c r="BH991" s="7"/>
      <c r="BI991" s="7"/>
      <c r="BJ991" s="7"/>
      <c r="BK991" s="7"/>
      <c r="BL991" s="7"/>
      <c r="BM991" s="7"/>
      <c r="BN991" s="7"/>
      <c r="BO991" s="7"/>
      <c r="BP991" s="7"/>
      <c r="BQ991" s="7"/>
      <c r="BR991" s="7"/>
      <c r="BS991" s="7"/>
      <c r="BT991" s="7"/>
      <c r="BU991" s="7"/>
      <c r="BV991" s="7"/>
      <c r="BW991" s="7"/>
      <c r="BX991" s="7"/>
      <c r="BY991" s="7"/>
      <c r="BZ991" s="7"/>
      <c r="CA991" s="7"/>
      <c r="CB991" s="7"/>
      <c r="CC991" s="7"/>
      <c r="CD991" s="7"/>
      <c r="CE991" s="7"/>
      <c r="CF991" s="7"/>
      <c r="CG991" s="7"/>
    </row>
    <row r="992" spans="3:85"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  <c r="BB992" s="7"/>
      <c r="BC992" s="7"/>
      <c r="BD992" s="7"/>
      <c r="BE992" s="7"/>
      <c r="BF992" s="7"/>
      <c r="BG992" s="7"/>
      <c r="BH992" s="7"/>
      <c r="BI992" s="7"/>
      <c r="BJ992" s="7"/>
      <c r="BK992" s="7"/>
      <c r="BL992" s="7"/>
      <c r="BM992" s="7"/>
      <c r="BN992" s="7"/>
      <c r="BO992" s="7"/>
      <c r="BP992" s="7"/>
      <c r="BQ992" s="7"/>
      <c r="BR992" s="7"/>
      <c r="BS992" s="7"/>
      <c r="BT992" s="7"/>
      <c r="BU992" s="7"/>
      <c r="BV992" s="7"/>
      <c r="BW992" s="7"/>
      <c r="BX992" s="7"/>
      <c r="BY992" s="7"/>
      <c r="BZ992" s="7"/>
      <c r="CA992" s="7"/>
      <c r="CB992" s="7"/>
      <c r="CC992" s="7"/>
      <c r="CD992" s="7"/>
      <c r="CE992" s="7"/>
      <c r="CF992" s="7"/>
      <c r="CG992" s="7"/>
    </row>
    <row r="993" spans="3:85"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  <c r="BB993" s="7"/>
      <c r="BC993" s="7"/>
      <c r="BD993" s="7"/>
      <c r="BE993" s="7"/>
      <c r="BF993" s="7"/>
      <c r="BG993" s="7"/>
      <c r="BH993" s="7"/>
      <c r="BI993" s="7"/>
      <c r="BJ993" s="7"/>
      <c r="BK993" s="7"/>
      <c r="BL993" s="7"/>
      <c r="BM993" s="7"/>
      <c r="BN993" s="7"/>
      <c r="BO993" s="7"/>
      <c r="BP993" s="7"/>
      <c r="BQ993" s="7"/>
      <c r="BR993" s="7"/>
      <c r="BS993" s="7"/>
      <c r="BT993" s="7"/>
      <c r="BU993" s="7"/>
      <c r="BV993" s="7"/>
      <c r="BW993" s="7"/>
      <c r="BX993" s="7"/>
      <c r="BY993" s="7"/>
      <c r="BZ993" s="7"/>
      <c r="CA993" s="7"/>
      <c r="CB993" s="7"/>
      <c r="CC993" s="7"/>
      <c r="CD993" s="7"/>
      <c r="CE993" s="7"/>
      <c r="CF993" s="7"/>
      <c r="CG993" s="7"/>
    </row>
    <row r="994" spans="3:85"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  <c r="BB994" s="7"/>
      <c r="BC994" s="7"/>
      <c r="BD994" s="7"/>
      <c r="BE994" s="7"/>
      <c r="BF994" s="7"/>
      <c r="BG994" s="7"/>
      <c r="BH994" s="7"/>
      <c r="BI994" s="7"/>
      <c r="BJ994" s="7"/>
      <c r="BK994" s="7"/>
      <c r="BL994" s="7"/>
      <c r="BM994" s="7"/>
      <c r="BN994" s="7"/>
      <c r="BO994" s="7"/>
      <c r="BP994" s="7"/>
      <c r="BQ994" s="7"/>
      <c r="BR994" s="7"/>
      <c r="BS994" s="7"/>
      <c r="BT994" s="7"/>
      <c r="BU994" s="7"/>
      <c r="BV994" s="7"/>
      <c r="BW994" s="7"/>
      <c r="BX994" s="7"/>
      <c r="BY994" s="7"/>
      <c r="BZ994" s="7"/>
      <c r="CA994" s="7"/>
      <c r="CB994" s="7"/>
      <c r="CC994" s="7"/>
      <c r="CD994" s="7"/>
      <c r="CE994" s="7"/>
      <c r="CF994" s="7"/>
      <c r="CG994" s="7"/>
    </row>
    <row r="995" spans="3:85"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  <c r="BB995" s="7"/>
      <c r="BC995" s="7"/>
      <c r="BD995" s="7"/>
      <c r="BE995" s="7"/>
      <c r="BF995" s="7"/>
      <c r="BG995" s="7"/>
      <c r="BH995" s="7"/>
      <c r="BI995" s="7"/>
      <c r="BJ995" s="7"/>
      <c r="BK995" s="7"/>
      <c r="BL995" s="7"/>
      <c r="BM995" s="7"/>
      <c r="BN995" s="7"/>
      <c r="BO995" s="7"/>
      <c r="BP995" s="7"/>
      <c r="BQ995" s="7"/>
      <c r="BR995" s="7"/>
      <c r="BS995" s="7"/>
      <c r="BT995" s="7"/>
      <c r="BU995" s="7"/>
      <c r="BV995" s="7"/>
      <c r="BW995" s="7"/>
      <c r="BX995" s="7"/>
      <c r="BY995" s="7"/>
      <c r="BZ995" s="7"/>
      <c r="CA995" s="7"/>
      <c r="CB995" s="7"/>
      <c r="CC995" s="7"/>
      <c r="CD995" s="7"/>
      <c r="CE995" s="7"/>
      <c r="CF995" s="7"/>
      <c r="CG995" s="7"/>
    </row>
    <row r="996" spans="3:85"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  <c r="BB996" s="7"/>
      <c r="BC996" s="7"/>
      <c r="BD996" s="7"/>
      <c r="BE996" s="7"/>
      <c r="BF996" s="7"/>
      <c r="BG996" s="7"/>
      <c r="BH996" s="7"/>
      <c r="BI996" s="7"/>
      <c r="BJ996" s="7"/>
      <c r="BK996" s="7"/>
      <c r="BL996" s="7"/>
      <c r="BM996" s="7"/>
      <c r="BN996" s="7"/>
      <c r="BO996" s="7"/>
      <c r="BP996" s="7"/>
      <c r="BQ996" s="7"/>
      <c r="BR996" s="7"/>
      <c r="BS996" s="7"/>
      <c r="BT996" s="7"/>
      <c r="BU996" s="7"/>
      <c r="BV996" s="7"/>
      <c r="BW996" s="7"/>
      <c r="BX996" s="7"/>
      <c r="BY996" s="7"/>
      <c r="BZ996" s="7"/>
      <c r="CA996" s="7"/>
      <c r="CB996" s="7"/>
      <c r="CC996" s="7"/>
      <c r="CD996" s="7"/>
      <c r="CE996" s="7"/>
      <c r="CF996" s="7"/>
      <c r="CG996" s="7"/>
    </row>
    <row r="997" spans="3:85"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  <c r="BB997" s="7"/>
      <c r="BC997" s="7"/>
      <c r="BD997" s="7"/>
      <c r="BE997" s="7"/>
      <c r="BF997" s="7"/>
      <c r="BG997" s="7"/>
      <c r="BH997" s="7"/>
      <c r="BI997" s="7"/>
      <c r="BJ997" s="7"/>
      <c r="BK997" s="7"/>
      <c r="BL997" s="7"/>
      <c r="BM997" s="7"/>
      <c r="BN997" s="7"/>
      <c r="BO997" s="7"/>
      <c r="BP997" s="7"/>
      <c r="BQ997" s="7"/>
      <c r="BR997" s="7"/>
      <c r="BS997" s="7"/>
      <c r="BT997" s="7"/>
      <c r="BU997" s="7"/>
      <c r="BV997" s="7"/>
      <c r="BW997" s="7"/>
      <c r="BX997" s="7"/>
      <c r="BY997" s="7"/>
      <c r="BZ997" s="7"/>
      <c r="CA997" s="7"/>
      <c r="CB997" s="7"/>
      <c r="CC997" s="7"/>
      <c r="CD997" s="7"/>
      <c r="CE997" s="7"/>
      <c r="CF997" s="7"/>
      <c r="CG997" s="7"/>
    </row>
    <row r="998" spans="3:85"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  <c r="BB998" s="7"/>
      <c r="BC998" s="7"/>
      <c r="BD998" s="7"/>
      <c r="BE998" s="7"/>
      <c r="BF998" s="7"/>
      <c r="BG998" s="7"/>
      <c r="BH998" s="7"/>
      <c r="BI998" s="7"/>
      <c r="BJ998" s="7"/>
      <c r="BK998" s="7"/>
      <c r="BL998" s="7"/>
      <c r="BM998" s="7"/>
      <c r="BN998" s="7"/>
      <c r="BO998" s="7"/>
      <c r="BP998" s="7"/>
      <c r="BQ998" s="7"/>
      <c r="BR998" s="7"/>
      <c r="BS998" s="7"/>
      <c r="BT998" s="7"/>
      <c r="BU998" s="7"/>
      <c r="BV998" s="7"/>
      <c r="BW998" s="7"/>
      <c r="BX998" s="7"/>
      <c r="BY998" s="7"/>
      <c r="BZ998" s="7"/>
      <c r="CA998" s="7"/>
      <c r="CB998" s="7"/>
      <c r="CC998" s="7"/>
      <c r="CD998" s="7"/>
      <c r="CE998" s="7"/>
      <c r="CF998" s="7"/>
      <c r="CG998" s="7"/>
    </row>
    <row r="999" spans="3:85"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  <c r="BB999" s="7"/>
      <c r="BC999" s="7"/>
      <c r="BD999" s="7"/>
      <c r="BE999" s="7"/>
      <c r="BF999" s="7"/>
      <c r="BG999" s="7"/>
      <c r="BH999" s="7"/>
      <c r="BI999" s="7"/>
      <c r="BJ999" s="7"/>
      <c r="BK999" s="7"/>
      <c r="BL999" s="7"/>
      <c r="BM999" s="7"/>
      <c r="BN999" s="7"/>
      <c r="BO999" s="7"/>
      <c r="BP999" s="7"/>
      <c r="BQ999" s="7"/>
      <c r="BR999" s="7"/>
      <c r="BS999" s="7"/>
      <c r="BT999" s="7"/>
      <c r="BU999" s="7"/>
      <c r="BV999" s="7"/>
      <c r="BW999" s="7"/>
      <c r="BX999" s="7"/>
      <c r="BY999" s="7"/>
      <c r="BZ999" s="7"/>
      <c r="CA999" s="7"/>
      <c r="CB999" s="7"/>
      <c r="CC999" s="7"/>
      <c r="CD999" s="7"/>
      <c r="CE999" s="7"/>
      <c r="CF999" s="7"/>
      <c r="CG999" s="7"/>
    </row>
    <row r="1000" spans="3:85"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  <c r="BB1000" s="7"/>
      <c r="BC1000" s="7"/>
      <c r="BD1000" s="7"/>
      <c r="BE1000" s="7"/>
      <c r="BF1000" s="7"/>
      <c r="BG1000" s="7"/>
      <c r="BH1000" s="7"/>
      <c r="BI1000" s="7"/>
      <c r="BJ1000" s="7"/>
      <c r="BK1000" s="7"/>
      <c r="BL1000" s="7"/>
      <c r="BM1000" s="7"/>
      <c r="BN1000" s="7"/>
      <c r="BO1000" s="7"/>
      <c r="BP1000" s="7"/>
      <c r="BQ1000" s="7"/>
      <c r="BR1000" s="7"/>
      <c r="BS1000" s="7"/>
      <c r="BT1000" s="7"/>
      <c r="BU1000" s="7"/>
      <c r="BV1000" s="7"/>
      <c r="BW1000" s="7"/>
      <c r="BX1000" s="7"/>
      <c r="BY1000" s="7"/>
      <c r="BZ1000" s="7"/>
      <c r="CA1000" s="7"/>
      <c r="CB1000" s="7"/>
      <c r="CC1000" s="7"/>
      <c r="CD1000" s="7"/>
      <c r="CE1000" s="7"/>
      <c r="CF1000" s="7"/>
      <c r="CG1000" s="7"/>
    </row>
    <row r="1001" spans="3:85"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  <c r="BB1001" s="7"/>
      <c r="BC1001" s="7"/>
      <c r="BD1001" s="7"/>
      <c r="BE1001" s="7"/>
      <c r="BF1001" s="7"/>
      <c r="BG1001" s="7"/>
      <c r="BH1001" s="7"/>
      <c r="BI1001" s="7"/>
      <c r="BJ1001" s="7"/>
      <c r="BK1001" s="7"/>
      <c r="BL1001" s="7"/>
      <c r="BM1001" s="7"/>
      <c r="BN1001" s="7"/>
      <c r="BO1001" s="7"/>
      <c r="BP1001" s="7"/>
      <c r="BQ1001" s="7"/>
      <c r="BR1001" s="7"/>
      <c r="BS1001" s="7"/>
      <c r="BT1001" s="7"/>
      <c r="BU1001" s="7"/>
      <c r="BV1001" s="7"/>
      <c r="BW1001" s="7"/>
      <c r="BX1001" s="7"/>
      <c r="BY1001" s="7"/>
      <c r="BZ1001" s="7"/>
      <c r="CA1001" s="7"/>
      <c r="CB1001" s="7"/>
      <c r="CC1001" s="7"/>
      <c r="CD1001" s="7"/>
      <c r="CE1001" s="7"/>
      <c r="CF1001" s="7"/>
      <c r="CG1001" s="7"/>
    </row>
    <row r="1002" spans="3:85"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  <c r="BB1002" s="7"/>
      <c r="BC1002" s="7"/>
      <c r="BD1002" s="7"/>
      <c r="BE1002" s="7"/>
      <c r="BF1002" s="7"/>
      <c r="BG1002" s="7"/>
      <c r="BH1002" s="7"/>
      <c r="BI1002" s="7"/>
      <c r="BJ1002" s="7"/>
      <c r="BK1002" s="7"/>
      <c r="BL1002" s="7"/>
      <c r="BM1002" s="7"/>
      <c r="BN1002" s="7"/>
      <c r="BO1002" s="7"/>
      <c r="BP1002" s="7"/>
      <c r="BQ1002" s="7"/>
      <c r="BR1002" s="7"/>
      <c r="BS1002" s="7"/>
      <c r="BT1002" s="7"/>
      <c r="BU1002" s="7"/>
      <c r="BV1002" s="7"/>
      <c r="BW1002" s="7"/>
      <c r="BX1002" s="7"/>
      <c r="BY1002" s="7"/>
      <c r="BZ1002" s="7"/>
      <c r="CA1002" s="7"/>
      <c r="CB1002" s="7"/>
      <c r="CC1002" s="7"/>
      <c r="CD1002" s="7"/>
      <c r="CE1002" s="7"/>
      <c r="CF1002" s="7"/>
      <c r="CG1002" s="7"/>
    </row>
    <row r="1003" spans="3:85"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  <c r="BB1003" s="7"/>
      <c r="BC1003" s="7"/>
      <c r="BD1003" s="7"/>
      <c r="BE1003" s="7"/>
      <c r="BF1003" s="7"/>
      <c r="BG1003" s="7"/>
      <c r="BH1003" s="7"/>
      <c r="BI1003" s="7"/>
      <c r="BJ1003" s="7"/>
      <c r="BK1003" s="7"/>
      <c r="BL1003" s="7"/>
      <c r="BM1003" s="7"/>
      <c r="BN1003" s="7"/>
      <c r="BO1003" s="7"/>
      <c r="BP1003" s="7"/>
      <c r="BQ1003" s="7"/>
      <c r="BR1003" s="7"/>
      <c r="BS1003" s="7"/>
      <c r="BT1003" s="7"/>
      <c r="BU1003" s="7"/>
      <c r="BV1003" s="7"/>
      <c r="BW1003" s="7"/>
      <c r="BX1003" s="7"/>
      <c r="BY1003" s="7"/>
      <c r="BZ1003" s="7"/>
      <c r="CA1003" s="7"/>
      <c r="CB1003" s="7"/>
      <c r="CC1003" s="7"/>
      <c r="CD1003" s="7"/>
      <c r="CE1003" s="7"/>
      <c r="CF1003" s="7"/>
      <c r="CG1003" s="7"/>
    </row>
    <row r="1004" spans="3:85"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  <c r="BB1004" s="7"/>
      <c r="BC1004" s="7"/>
      <c r="BD1004" s="7"/>
      <c r="BE1004" s="7"/>
      <c r="BF1004" s="7"/>
      <c r="BG1004" s="7"/>
      <c r="BH1004" s="7"/>
      <c r="BI1004" s="7"/>
      <c r="BJ1004" s="7"/>
      <c r="BK1004" s="7"/>
      <c r="BL1004" s="7"/>
      <c r="BM1004" s="7"/>
      <c r="BN1004" s="7"/>
      <c r="BO1004" s="7"/>
      <c r="BP1004" s="7"/>
      <c r="BQ1004" s="7"/>
      <c r="BR1004" s="7"/>
      <c r="BS1004" s="7"/>
      <c r="BT1004" s="7"/>
      <c r="BU1004" s="7"/>
      <c r="BV1004" s="7"/>
      <c r="BW1004" s="7"/>
      <c r="BX1004" s="7"/>
      <c r="BY1004" s="7"/>
      <c r="BZ1004" s="7"/>
      <c r="CA1004" s="7"/>
      <c r="CB1004" s="7"/>
      <c r="CC1004" s="7"/>
      <c r="CD1004" s="7"/>
      <c r="CE1004" s="7"/>
      <c r="CF1004" s="7"/>
      <c r="CG1004" s="7"/>
    </row>
    <row r="1005" spans="3:85"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  <c r="BB1005" s="7"/>
      <c r="BC1005" s="7"/>
      <c r="BD1005" s="7"/>
      <c r="BE1005" s="7"/>
      <c r="BF1005" s="7"/>
      <c r="BG1005" s="7"/>
      <c r="BH1005" s="7"/>
      <c r="BI1005" s="7"/>
      <c r="BJ1005" s="7"/>
      <c r="BK1005" s="7"/>
      <c r="BL1005" s="7"/>
      <c r="BM1005" s="7"/>
      <c r="BN1005" s="7"/>
      <c r="BO1005" s="7"/>
      <c r="BP1005" s="7"/>
      <c r="BQ1005" s="7"/>
      <c r="BR1005" s="7"/>
      <c r="BS1005" s="7"/>
      <c r="BT1005" s="7"/>
      <c r="BU1005" s="7"/>
      <c r="BV1005" s="7"/>
      <c r="BW1005" s="7"/>
      <c r="BX1005" s="7"/>
      <c r="BY1005" s="7"/>
      <c r="BZ1005" s="7"/>
      <c r="CA1005" s="7"/>
      <c r="CB1005" s="7"/>
      <c r="CC1005" s="7"/>
      <c r="CD1005" s="7"/>
      <c r="CE1005" s="7"/>
      <c r="CF1005" s="7"/>
      <c r="CG1005" s="7"/>
    </row>
    <row r="1006" spans="3:85"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  <c r="BB1006" s="7"/>
      <c r="BC1006" s="7"/>
      <c r="BD1006" s="7"/>
      <c r="BE1006" s="7"/>
      <c r="BF1006" s="7"/>
      <c r="BG1006" s="7"/>
      <c r="BH1006" s="7"/>
      <c r="BI1006" s="7"/>
      <c r="BJ1006" s="7"/>
      <c r="BK1006" s="7"/>
      <c r="BL1006" s="7"/>
      <c r="BM1006" s="7"/>
      <c r="BN1006" s="7"/>
      <c r="BO1006" s="7"/>
      <c r="BP1006" s="7"/>
      <c r="BQ1006" s="7"/>
      <c r="BR1006" s="7"/>
      <c r="BS1006" s="7"/>
      <c r="BT1006" s="7"/>
      <c r="BU1006" s="7"/>
      <c r="BV1006" s="7"/>
      <c r="BW1006" s="7"/>
      <c r="BX1006" s="7"/>
      <c r="BY1006" s="7"/>
      <c r="BZ1006" s="7"/>
      <c r="CA1006" s="7"/>
      <c r="CB1006" s="7"/>
      <c r="CC1006" s="7"/>
      <c r="CD1006" s="7"/>
      <c r="CE1006" s="7"/>
      <c r="CF1006" s="7"/>
      <c r="CG1006" s="7"/>
    </row>
    <row r="1007" spans="3:85"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  <c r="BB1007" s="7"/>
      <c r="BC1007" s="7"/>
      <c r="BD1007" s="7"/>
      <c r="BE1007" s="7"/>
      <c r="BF1007" s="7"/>
      <c r="BG1007" s="7"/>
      <c r="BH1007" s="7"/>
      <c r="BI1007" s="7"/>
      <c r="BJ1007" s="7"/>
      <c r="BK1007" s="7"/>
      <c r="BL1007" s="7"/>
      <c r="BM1007" s="7"/>
      <c r="BN1007" s="7"/>
      <c r="BO1007" s="7"/>
      <c r="BP1007" s="7"/>
      <c r="BQ1007" s="7"/>
      <c r="BR1007" s="7"/>
      <c r="BS1007" s="7"/>
      <c r="BT1007" s="7"/>
      <c r="BU1007" s="7"/>
      <c r="BV1007" s="7"/>
      <c r="BW1007" s="7"/>
      <c r="BX1007" s="7"/>
      <c r="BY1007" s="7"/>
      <c r="BZ1007" s="7"/>
      <c r="CA1007" s="7"/>
      <c r="CB1007" s="7"/>
      <c r="CC1007" s="7"/>
      <c r="CD1007" s="7"/>
      <c r="CE1007" s="7"/>
      <c r="CF1007" s="7"/>
      <c r="CG1007" s="7"/>
    </row>
    <row r="1008" spans="3:85"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  <c r="BB1008" s="7"/>
      <c r="BC1008" s="7"/>
      <c r="BD1008" s="7"/>
      <c r="BE1008" s="7"/>
      <c r="BF1008" s="7"/>
      <c r="BG1008" s="7"/>
      <c r="BH1008" s="7"/>
      <c r="BI1008" s="7"/>
      <c r="BJ1008" s="7"/>
      <c r="BK1008" s="7"/>
      <c r="BL1008" s="7"/>
      <c r="BM1008" s="7"/>
      <c r="BN1008" s="7"/>
      <c r="BO1008" s="7"/>
      <c r="BP1008" s="7"/>
      <c r="BQ1008" s="7"/>
      <c r="BR1008" s="7"/>
      <c r="BS1008" s="7"/>
      <c r="BT1008" s="7"/>
      <c r="BU1008" s="7"/>
      <c r="BV1008" s="7"/>
      <c r="BW1008" s="7"/>
      <c r="BX1008" s="7"/>
      <c r="BY1008" s="7"/>
      <c r="BZ1008" s="7"/>
      <c r="CA1008" s="7"/>
      <c r="CB1008" s="7"/>
      <c r="CC1008" s="7"/>
      <c r="CD1008" s="7"/>
      <c r="CE1008" s="7"/>
      <c r="CF1008" s="7"/>
      <c r="CG1008" s="7"/>
    </row>
    <row r="1009" spans="3:85"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  <c r="BB1009" s="7"/>
      <c r="BC1009" s="7"/>
      <c r="BD1009" s="7"/>
      <c r="BE1009" s="7"/>
      <c r="BF1009" s="7"/>
      <c r="BG1009" s="7"/>
      <c r="BH1009" s="7"/>
      <c r="BI1009" s="7"/>
      <c r="BJ1009" s="7"/>
      <c r="BK1009" s="7"/>
      <c r="BL1009" s="7"/>
      <c r="BM1009" s="7"/>
      <c r="BN1009" s="7"/>
      <c r="BO1009" s="7"/>
      <c r="BP1009" s="7"/>
      <c r="BQ1009" s="7"/>
      <c r="BR1009" s="7"/>
      <c r="BS1009" s="7"/>
      <c r="BT1009" s="7"/>
      <c r="BU1009" s="7"/>
      <c r="BV1009" s="7"/>
      <c r="BW1009" s="7"/>
      <c r="BX1009" s="7"/>
      <c r="BY1009" s="7"/>
      <c r="BZ1009" s="7"/>
      <c r="CA1009" s="7"/>
      <c r="CB1009" s="7"/>
      <c r="CC1009" s="7"/>
      <c r="CD1009" s="7"/>
      <c r="CE1009" s="7"/>
      <c r="CF1009" s="7"/>
      <c r="CG1009" s="7"/>
    </row>
    <row r="1010" spans="3:85"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  <c r="BB1010" s="7"/>
      <c r="BC1010" s="7"/>
      <c r="BD1010" s="7"/>
      <c r="BE1010" s="7"/>
      <c r="BF1010" s="7"/>
      <c r="BG1010" s="7"/>
      <c r="BH1010" s="7"/>
      <c r="BI1010" s="7"/>
      <c r="BJ1010" s="7"/>
      <c r="BK1010" s="7"/>
      <c r="BL1010" s="7"/>
      <c r="BM1010" s="7"/>
      <c r="BN1010" s="7"/>
      <c r="BO1010" s="7"/>
      <c r="BP1010" s="7"/>
      <c r="BQ1010" s="7"/>
      <c r="BR1010" s="7"/>
      <c r="BS1010" s="7"/>
      <c r="BT1010" s="7"/>
      <c r="BU1010" s="7"/>
      <c r="BV1010" s="7"/>
      <c r="BW1010" s="7"/>
      <c r="BX1010" s="7"/>
      <c r="BY1010" s="7"/>
      <c r="BZ1010" s="7"/>
      <c r="CA1010" s="7"/>
      <c r="CB1010" s="7"/>
      <c r="CC1010" s="7"/>
      <c r="CD1010" s="7"/>
      <c r="CE1010" s="7"/>
      <c r="CF1010" s="7"/>
      <c r="CG1010" s="7"/>
    </row>
    <row r="1011" spans="3:85"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  <c r="BB1011" s="7"/>
      <c r="BC1011" s="7"/>
      <c r="BD1011" s="7"/>
      <c r="BE1011" s="7"/>
      <c r="BF1011" s="7"/>
      <c r="BG1011" s="7"/>
      <c r="BH1011" s="7"/>
      <c r="BI1011" s="7"/>
      <c r="BJ1011" s="7"/>
      <c r="BK1011" s="7"/>
      <c r="BL1011" s="7"/>
      <c r="BM1011" s="7"/>
      <c r="BN1011" s="7"/>
      <c r="BO1011" s="7"/>
      <c r="BP1011" s="7"/>
      <c r="BQ1011" s="7"/>
      <c r="BR1011" s="7"/>
      <c r="BS1011" s="7"/>
      <c r="BT1011" s="7"/>
      <c r="BU1011" s="7"/>
      <c r="BV1011" s="7"/>
      <c r="BW1011" s="7"/>
      <c r="BX1011" s="7"/>
      <c r="BY1011" s="7"/>
      <c r="BZ1011" s="7"/>
      <c r="CA1011" s="7"/>
      <c r="CB1011" s="7"/>
      <c r="CC1011" s="7"/>
      <c r="CD1011" s="7"/>
      <c r="CE1011" s="7"/>
      <c r="CF1011" s="7"/>
      <c r="CG1011" s="7"/>
    </row>
    <row r="1012" spans="3:85"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  <c r="BB1012" s="7"/>
      <c r="BC1012" s="7"/>
      <c r="BD1012" s="7"/>
      <c r="BE1012" s="7"/>
      <c r="BF1012" s="7"/>
      <c r="BG1012" s="7"/>
      <c r="BH1012" s="7"/>
      <c r="BI1012" s="7"/>
      <c r="BJ1012" s="7"/>
      <c r="BK1012" s="7"/>
      <c r="BL1012" s="7"/>
      <c r="BM1012" s="7"/>
      <c r="BN1012" s="7"/>
      <c r="BO1012" s="7"/>
      <c r="BP1012" s="7"/>
      <c r="BQ1012" s="7"/>
      <c r="BR1012" s="7"/>
      <c r="BS1012" s="7"/>
      <c r="BT1012" s="7"/>
      <c r="BU1012" s="7"/>
      <c r="BV1012" s="7"/>
      <c r="BW1012" s="7"/>
      <c r="BX1012" s="7"/>
      <c r="BY1012" s="7"/>
      <c r="BZ1012" s="7"/>
      <c r="CA1012" s="7"/>
      <c r="CB1012" s="7"/>
      <c r="CC1012" s="7"/>
      <c r="CD1012" s="7"/>
      <c r="CE1012" s="7"/>
      <c r="CF1012" s="7"/>
      <c r="CG1012" s="7"/>
    </row>
    <row r="1013" spans="3:85"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  <c r="BB1013" s="7"/>
      <c r="BC1013" s="7"/>
      <c r="BD1013" s="7"/>
      <c r="BE1013" s="7"/>
      <c r="BF1013" s="7"/>
      <c r="BG1013" s="7"/>
      <c r="BH1013" s="7"/>
      <c r="BI1013" s="7"/>
      <c r="BJ1013" s="7"/>
      <c r="BK1013" s="7"/>
      <c r="BL1013" s="7"/>
      <c r="BM1013" s="7"/>
      <c r="BN1013" s="7"/>
      <c r="BO1013" s="7"/>
      <c r="BP1013" s="7"/>
      <c r="BQ1013" s="7"/>
      <c r="BR1013" s="7"/>
      <c r="BS1013" s="7"/>
      <c r="BT1013" s="7"/>
      <c r="BU1013" s="7"/>
      <c r="BV1013" s="7"/>
      <c r="BW1013" s="7"/>
      <c r="BX1013" s="7"/>
      <c r="BY1013" s="7"/>
      <c r="BZ1013" s="7"/>
      <c r="CA1013" s="7"/>
      <c r="CB1013" s="7"/>
      <c r="CC1013" s="7"/>
      <c r="CD1013" s="7"/>
      <c r="CE1013" s="7"/>
      <c r="CF1013" s="7"/>
      <c r="CG1013" s="7"/>
    </row>
    <row r="1014" spans="3:85"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  <c r="BB1014" s="7"/>
      <c r="BC1014" s="7"/>
      <c r="BD1014" s="7"/>
      <c r="BE1014" s="7"/>
      <c r="BF1014" s="7"/>
      <c r="BG1014" s="7"/>
      <c r="BH1014" s="7"/>
      <c r="BI1014" s="7"/>
      <c r="BJ1014" s="7"/>
      <c r="BK1014" s="7"/>
      <c r="BL1014" s="7"/>
      <c r="BM1014" s="7"/>
      <c r="BN1014" s="7"/>
      <c r="BO1014" s="7"/>
      <c r="BP1014" s="7"/>
      <c r="BQ1014" s="7"/>
      <c r="BR1014" s="7"/>
      <c r="BS1014" s="7"/>
      <c r="BT1014" s="7"/>
      <c r="BU1014" s="7"/>
      <c r="BV1014" s="7"/>
      <c r="BW1014" s="7"/>
      <c r="BX1014" s="7"/>
      <c r="BY1014" s="7"/>
      <c r="BZ1014" s="7"/>
      <c r="CA1014" s="7"/>
      <c r="CB1014" s="7"/>
      <c r="CC1014" s="7"/>
      <c r="CD1014" s="7"/>
      <c r="CE1014" s="7"/>
      <c r="CF1014" s="7"/>
      <c r="CG1014" s="7"/>
    </row>
    <row r="1015" spans="3:85"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  <c r="BB1015" s="7"/>
      <c r="BC1015" s="7"/>
      <c r="BD1015" s="7"/>
      <c r="BE1015" s="7"/>
      <c r="BF1015" s="7"/>
      <c r="BG1015" s="7"/>
      <c r="BH1015" s="7"/>
      <c r="BI1015" s="7"/>
      <c r="BJ1015" s="7"/>
      <c r="BK1015" s="7"/>
      <c r="BL1015" s="7"/>
      <c r="BM1015" s="7"/>
      <c r="BN1015" s="7"/>
      <c r="BO1015" s="7"/>
      <c r="BP1015" s="7"/>
      <c r="BQ1015" s="7"/>
      <c r="BR1015" s="7"/>
      <c r="BS1015" s="7"/>
      <c r="BT1015" s="7"/>
      <c r="BU1015" s="7"/>
      <c r="BV1015" s="7"/>
      <c r="BW1015" s="7"/>
      <c r="BX1015" s="7"/>
      <c r="BY1015" s="7"/>
      <c r="BZ1015" s="7"/>
      <c r="CA1015" s="7"/>
      <c r="CB1015" s="7"/>
      <c r="CC1015" s="7"/>
      <c r="CD1015" s="7"/>
      <c r="CE1015" s="7"/>
      <c r="CF1015" s="7"/>
      <c r="CG1015" s="7"/>
    </row>
    <row r="1016" spans="3:85"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  <c r="BB1016" s="7"/>
      <c r="BC1016" s="7"/>
      <c r="BD1016" s="7"/>
      <c r="BE1016" s="7"/>
      <c r="BF1016" s="7"/>
      <c r="BG1016" s="7"/>
      <c r="BH1016" s="7"/>
      <c r="BI1016" s="7"/>
      <c r="BJ1016" s="7"/>
      <c r="BK1016" s="7"/>
      <c r="BL1016" s="7"/>
      <c r="BM1016" s="7"/>
      <c r="BN1016" s="7"/>
      <c r="BO1016" s="7"/>
      <c r="BP1016" s="7"/>
      <c r="BQ1016" s="7"/>
      <c r="BR1016" s="7"/>
      <c r="BS1016" s="7"/>
      <c r="BT1016" s="7"/>
      <c r="BU1016" s="7"/>
      <c r="BV1016" s="7"/>
      <c r="BW1016" s="7"/>
      <c r="BX1016" s="7"/>
      <c r="BY1016" s="7"/>
      <c r="BZ1016" s="7"/>
      <c r="CA1016" s="7"/>
      <c r="CB1016" s="7"/>
      <c r="CC1016" s="7"/>
      <c r="CD1016" s="7"/>
      <c r="CE1016" s="7"/>
      <c r="CF1016" s="7"/>
      <c r="CG1016" s="7"/>
    </row>
    <row r="1017" spans="3:85"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  <c r="BB1017" s="7"/>
      <c r="BC1017" s="7"/>
      <c r="BD1017" s="7"/>
      <c r="BE1017" s="7"/>
      <c r="BF1017" s="7"/>
      <c r="BG1017" s="7"/>
      <c r="BH1017" s="7"/>
      <c r="BI1017" s="7"/>
      <c r="BJ1017" s="7"/>
      <c r="BK1017" s="7"/>
      <c r="BL1017" s="7"/>
      <c r="BM1017" s="7"/>
      <c r="BN1017" s="7"/>
      <c r="BO1017" s="7"/>
      <c r="BP1017" s="7"/>
      <c r="BQ1017" s="7"/>
      <c r="BR1017" s="7"/>
      <c r="BS1017" s="7"/>
      <c r="BT1017" s="7"/>
      <c r="BU1017" s="7"/>
      <c r="BV1017" s="7"/>
      <c r="BW1017" s="7"/>
      <c r="BX1017" s="7"/>
      <c r="BY1017" s="7"/>
      <c r="BZ1017" s="7"/>
      <c r="CA1017" s="7"/>
      <c r="CB1017" s="7"/>
      <c r="CC1017" s="7"/>
      <c r="CD1017" s="7"/>
      <c r="CE1017" s="7"/>
      <c r="CF1017" s="7"/>
      <c r="CG1017" s="7"/>
    </row>
    <row r="1018" spans="3:85"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  <c r="BB1018" s="7"/>
      <c r="BC1018" s="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7"/>
      <c r="BW1018" s="7"/>
      <c r="BX1018" s="7"/>
      <c r="BY1018" s="7"/>
      <c r="BZ1018" s="7"/>
      <c r="CA1018" s="7"/>
      <c r="CB1018" s="7"/>
      <c r="CC1018" s="7"/>
      <c r="CD1018" s="7"/>
      <c r="CE1018" s="7"/>
      <c r="CF1018" s="7"/>
      <c r="CG1018" s="7"/>
    </row>
    <row r="1019" spans="3:85"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  <c r="BB1019" s="7"/>
      <c r="BC1019" s="7"/>
      <c r="BD1019" s="7"/>
      <c r="BE1019" s="7"/>
      <c r="BF1019" s="7"/>
      <c r="BG1019" s="7"/>
      <c r="BH1019" s="7"/>
      <c r="BI1019" s="7"/>
      <c r="BJ1019" s="7"/>
      <c r="BK1019" s="7"/>
      <c r="BL1019" s="7"/>
      <c r="BM1019" s="7"/>
      <c r="BN1019" s="7"/>
      <c r="BO1019" s="7"/>
      <c r="BP1019" s="7"/>
      <c r="BQ1019" s="7"/>
      <c r="BR1019" s="7"/>
      <c r="BS1019" s="7"/>
      <c r="BT1019" s="7"/>
      <c r="BU1019" s="7"/>
      <c r="BV1019" s="7"/>
      <c r="BW1019" s="7"/>
      <c r="BX1019" s="7"/>
      <c r="BY1019" s="7"/>
      <c r="BZ1019" s="7"/>
      <c r="CA1019" s="7"/>
      <c r="CB1019" s="7"/>
      <c r="CC1019" s="7"/>
      <c r="CD1019" s="7"/>
      <c r="CE1019" s="7"/>
      <c r="CF1019" s="7"/>
      <c r="CG1019" s="7"/>
    </row>
    <row r="1020" spans="3:85"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  <c r="BB1020" s="7"/>
      <c r="BC1020" s="7"/>
      <c r="BD1020" s="7"/>
      <c r="BE1020" s="7"/>
      <c r="BF1020" s="7"/>
      <c r="BG1020" s="7"/>
      <c r="BH1020" s="7"/>
      <c r="BI1020" s="7"/>
      <c r="BJ1020" s="7"/>
      <c r="BK1020" s="7"/>
      <c r="BL1020" s="7"/>
      <c r="BM1020" s="7"/>
      <c r="BN1020" s="7"/>
      <c r="BO1020" s="7"/>
      <c r="BP1020" s="7"/>
      <c r="BQ1020" s="7"/>
      <c r="BR1020" s="7"/>
      <c r="BS1020" s="7"/>
      <c r="BT1020" s="7"/>
      <c r="BU1020" s="7"/>
      <c r="BV1020" s="7"/>
      <c r="BW1020" s="7"/>
      <c r="BX1020" s="7"/>
      <c r="BY1020" s="7"/>
      <c r="BZ1020" s="7"/>
      <c r="CA1020" s="7"/>
      <c r="CB1020" s="7"/>
      <c r="CC1020" s="7"/>
      <c r="CD1020" s="7"/>
      <c r="CE1020" s="7"/>
      <c r="CF1020" s="7"/>
      <c r="CG1020" s="7"/>
    </row>
    <row r="1021" spans="3:85"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7"/>
      <c r="CD1021" s="7"/>
      <c r="CE1021" s="7"/>
      <c r="CF1021" s="7"/>
      <c r="CG1021" s="7"/>
    </row>
    <row r="1022" spans="3:85"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  <c r="BB1022" s="7"/>
      <c r="BC1022" s="7"/>
      <c r="BD1022" s="7"/>
      <c r="BE1022" s="7"/>
      <c r="BF1022" s="7"/>
      <c r="BG1022" s="7"/>
      <c r="BH1022" s="7"/>
      <c r="BI1022" s="7"/>
      <c r="BJ1022" s="7"/>
      <c r="BK1022" s="7"/>
      <c r="BL1022" s="7"/>
      <c r="BM1022" s="7"/>
      <c r="BN1022" s="7"/>
      <c r="BO1022" s="7"/>
      <c r="BP1022" s="7"/>
      <c r="BQ1022" s="7"/>
      <c r="BR1022" s="7"/>
      <c r="BS1022" s="7"/>
      <c r="BT1022" s="7"/>
      <c r="BU1022" s="7"/>
      <c r="BV1022" s="7"/>
      <c r="BW1022" s="7"/>
      <c r="BX1022" s="7"/>
      <c r="BY1022" s="7"/>
      <c r="BZ1022" s="7"/>
      <c r="CA1022" s="7"/>
      <c r="CB1022" s="7"/>
      <c r="CC1022" s="7"/>
      <c r="CD1022" s="7"/>
      <c r="CE1022" s="7"/>
      <c r="CF1022" s="7"/>
      <c r="CG1022" s="7"/>
    </row>
    <row r="1023" spans="3:85"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F1023" s="7"/>
      <c r="AG1023" s="7"/>
      <c r="AH1023" s="7"/>
      <c r="AI1023" s="7"/>
      <c r="AJ1023" s="7"/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  <c r="BB1023" s="7"/>
      <c r="BC1023" s="7"/>
      <c r="BD1023" s="7"/>
      <c r="BE1023" s="7"/>
      <c r="BF1023" s="7"/>
      <c r="BG1023" s="7"/>
      <c r="BH1023" s="7"/>
      <c r="BI1023" s="7"/>
      <c r="BJ1023" s="7"/>
      <c r="BK1023" s="7"/>
      <c r="BL1023" s="7"/>
      <c r="BM1023" s="7"/>
      <c r="BN1023" s="7"/>
      <c r="BO1023" s="7"/>
      <c r="BP1023" s="7"/>
      <c r="BQ1023" s="7"/>
      <c r="BR1023" s="7"/>
      <c r="BS1023" s="7"/>
      <c r="BT1023" s="7"/>
      <c r="BU1023" s="7"/>
      <c r="BV1023" s="7"/>
      <c r="BW1023" s="7"/>
      <c r="BX1023" s="7"/>
      <c r="BY1023" s="7"/>
      <c r="BZ1023" s="7"/>
      <c r="CA1023" s="7"/>
      <c r="CB1023" s="7"/>
      <c r="CC1023" s="7"/>
      <c r="CD1023" s="7"/>
      <c r="CE1023" s="7"/>
      <c r="CF1023" s="7"/>
      <c r="CG1023" s="7"/>
    </row>
    <row r="1024" spans="3:85"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F1024" s="7"/>
      <c r="AG1024" s="7"/>
      <c r="AH1024" s="7"/>
      <c r="AI1024" s="7"/>
      <c r="AJ1024" s="7"/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  <c r="BB1024" s="7"/>
      <c r="BC1024" s="7"/>
      <c r="BD1024" s="7"/>
      <c r="BE1024" s="7"/>
      <c r="BF1024" s="7"/>
      <c r="BG1024" s="7"/>
      <c r="BH1024" s="7"/>
      <c r="BI1024" s="7"/>
      <c r="BJ1024" s="7"/>
      <c r="BK1024" s="7"/>
      <c r="BL1024" s="7"/>
      <c r="BM1024" s="7"/>
      <c r="BN1024" s="7"/>
      <c r="BO1024" s="7"/>
      <c r="BP1024" s="7"/>
      <c r="BQ1024" s="7"/>
      <c r="BR1024" s="7"/>
      <c r="BS1024" s="7"/>
      <c r="BT1024" s="7"/>
      <c r="BU1024" s="7"/>
      <c r="BV1024" s="7"/>
      <c r="BW1024" s="7"/>
      <c r="BX1024" s="7"/>
      <c r="BY1024" s="7"/>
      <c r="BZ1024" s="7"/>
      <c r="CA1024" s="7"/>
      <c r="CB1024" s="7"/>
      <c r="CC1024" s="7"/>
      <c r="CD1024" s="7"/>
      <c r="CE1024" s="7"/>
      <c r="CF1024" s="7"/>
      <c r="CG1024" s="7"/>
    </row>
    <row r="1025" spans="3:85"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F1025" s="7"/>
      <c r="AG1025" s="7"/>
      <c r="AH1025" s="7"/>
      <c r="AI1025" s="7"/>
      <c r="AJ1025" s="7"/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  <c r="BB1025" s="7"/>
      <c r="BC1025" s="7"/>
      <c r="BD1025" s="7"/>
      <c r="BE1025" s="7"/>
      <c r="BF1025" s="7"/>
      <c r="BG1025" s="7"/>
      <c r="BH1025" s="7"/>
      <c r="BI1025" s="7"/>
      <c r="BJ1025" s="7"/>
      <c r="BK1025" s="7"/>
      <c r="BL1025" s="7"/>
      <c r="BM1025" s="7"/>
      <c r="BN1025" s="7"/>
      <c r="BO1025" s="7"/>
      <c r="BP1025" s="7"/>
      <c r="BQ1025" s="7"/>
      <c r="BR1025" s="7"/>
      <c r="BS1025" s="7"/>
      <c r="BT1025" s="7"/>
      <c r="BU1025" s="7"/>
      <c r="BV1025" s="7"/>
      <c r="BW1025" s="7"/>
      <c r="BX1025" s="7"/>
      <c r="BY1025" s="7"/>
      <c r="BZ1025" s="7"/>
      <c r="CA1025" s="7"/>
      <c r="CB1025" s="7"/>
      <c r="CC1025" s="7"/>
      <c r="CD1025" s="7"/>
      <c r="CE1025" s="7"/>
      <c r="CF1025" s="7"/>
      <c r="CG1025" s="7"/>
    </row>
    <row r="1026" spans="3:85"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F1026" s="7"/>
      <c r="AG1026" s="7"/>
      <c r="AH1026" s="7"/>
      <c r="AI1026" s="7"/>
      <c r="AJ1026" s="7"/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  <c r="BB1026" s="7"/>
      <c r="BC1026" s="7"/>
      <c r="BD1026" s="7"/>
      <c r="BE1026" s="7"/>
      <c r="BF1026" s="7"/>
      <c r="BG1026" s="7"/>
      <c r="BH1026" s="7"/>
      <c r="BI1026" s="7"/>
      <c r="BJ1026" s="7"/>
      <c r="BK1026" s="7"/>
      <c r="BL1026" s="7"/>
      <c r="BM1026" s="7"/>
      <c r="BN1026" s="7"/>
      <c r="BO1026" s="7"/>
      <c r="BP1026" s="7"/>
      <c r="BQ1026" s="7"/>
      <c r="BR1026" s="7"/>
      <c r="BS1026" s="7"/>
      <c r="BT1026" s="7"/>
      <c r="BU1026" s="7"/>
      <c r="BV1026" s="7"/>
      <c r="BW1026" s="7"/>
      <c r="BX1026" s="7"/>
      <c r="BY1026" s="7"/>
      <c r="BZ1026" s="7"/>
      <c r="CA1026" s="7"/>
      <c r="CB1026" s="7"/>
      <c r="CC1026" s="7"/>
      <c r="CD1026" s="7"/>
      <c r="CE1026" s="7"/>
      <c r="CF1026" s="7"/>
      <c r="CG1026" s="7"/>
    </row>
    <row r="1027" spans="3:85"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F1027" s="7"/>
      <c r="AG1027" s="7"/>
      <c r="AH1027" s="7"/>
      <c r="AI1027" s="7"/>
      <c r="AJ1027" s="7"/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  <c r="BB1027" s="7"/>
      <c r="BC1027" s="7"/>
      <c r="BD1027" s="7"/>
      <c r="BE1027" s="7"/>
      <c r="BF1027" s="7"/>
      <c r="BG1027" s="7"/>
      <c r="BH1027" s="7"/>
      <c r="BI1027" s="7"/>
      <c r="BJ1027" s="7"/>
      <c r="BK1027" s="7"/>
      <c r="BL1027" s="7"/>
      <c r="BM1027" s="7"/>
      <c r="BN1027" s="7"/>
      <c r="BO1027" s="7"/>
      <c r="BP1027" s="7"/>
      <c r="BQ1027" s="7"/>
      <c r="BR1027" s="7"/>
      <c r="BS1027" s="7"/>
      <c r="BT1027" s="7"/>
      <c r="BU1027" s="7"/>
      <c r="BV1027" s="7"/>
      <c r="BW1027" s="7"/>
      <c r="BX1027" s="7"/>
      <c r="BY1027" s="7"/>
      <c r="BZ1027" s="7"/>
      <c r="CA1027" s="7"/>
      <c r="CB1027" s="7"/>
      <c r="CC1027" s="7"/>
      <c r="CD1027" s="7"/>
      <c r="CE1027" s="7"/>
      <c r="CF1027" s="7"/>
      <c r="CG1027" s="7"/>
    </row>
    <row r="1028" spans="3:85"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F1028" s="7"/>
      <c r="AG1028" s="7"/>
      <c r="AH1028" s="7"/>
      <c r="AI1028" s="7"/>
      <c r="AJ1028" s="7"/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  <c r="BB1028" s="7"/>
      <c r="BC1028" s="7"/>
      <c r="BD1028" s="7"/>
      <c r="BE1028" s="7"/>
      <c r="BF1028" s="7"/>
      <c r="BG1028" s="7"/>
      <c r="BH1028" s="7"/>
      <c r="BI1028" s="7"/>
      <c r="BJ1028" s="7"/>
      <c r="BK1028" s="7"/>
      <c r="BL1028" s="7"/>
      <c r="BM1028" s="7"/>
      <c r="BN1028" s="7"/>
      <c r="BO1028" s="7"/>
      <c r="BP1028" s="7"/>
      <c r="BQ1028" s="7"/>
      <c r="BR1028" s="7"/>
      <c r="BS1028" s="7"/>
      <c r="BT1028" s="7"/>
      <c r="BU1028" s="7"/>
      <c r="BV1028" s="7"/>
      <c r="BW1028" s="7"/>
      <c r="BX1028" s="7"/>
      <c r="BY1028" s="7"/>
      <c r="BZ1028" s="7"/>
      <c r="CA1028" s="7"/>
      <c r="CB1028" s="7"/>
      <c r="CC1028" s="7"/>
      <c r="CD1028" s="7"/>
      <c r="CE1028" s="7"/>
      <c r="CF1028" s="7"/>
      <c r="CG1028" s="7"/>
    </row>
    <row r="1029" spans="3:85"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F1029" s="7"/>
      <c r="AG1029" s="7"/>
      <c r="AH1029" s="7"/>
      <c r="AI1029" s="7"/>
      <c r="AJ1029" s="7"/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  <c r="BB1029" s="7"/>
      <c r="BC1029" s="7"/>
      <c r="BD1029" s="7"/>
      <c r="BE1029" s="7"/>
      <c r="BF1029" s="7"/>
      <c r="BG1029" s="7"/>
      <c r="BH1029" s="7"/>
      <c r="BI1029" s="7"/>
      <c r="BJ1029" s="7"/>
      <c r="BK1029" s="7"/>
      <c r="BL1029" s="7"/>
      <c r="BM1029" s="7"/>
      <c r="BN1029" s="7"/>
      <c r="BO1029" s="7"/>
      <c r="BP1029" s="7"/>
      <c r="BQ1029" s="7"/>
      <c r="BR1029" s="7"/>
      <c r="BS1029" s="7"/>
      <c r="BT1029" s="7"/>
      <c r="BU1029" s="7"/>
      <c r="BV1029" s="7"/>
      <c r="BW1029" s="7"/>
      <c r="BX1029" s="7"/>
      <c r="BY1029" s="7"/>
      <c r="BZ1029" s="7"/>
      <c r="CA1029" s="7"/>
      <c r="CB1029" s="7"/>
      <c r="CC1029" s="7"/>
      <c r="CD1029" s="7"/>
      <c r="CE1029" s="7"/>
      <c r="CF1029" s="7"/>
      <c r="CG1029" s="7"/>
    </row>
    <row r="1030" spans="3:85"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F1030" s="7"/>
      <c r="AG1030" s="7"/>
      <c r="AH1030" s="7"/>
      <c r="AI1030" s="7"/>
      <c r="AJ1030" s="7"/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  <c r="BB1030" s="7"/>
      <c r="BC1030" s="7"/>
      <c r="BD1030" s="7"/>
      <c r="BE1030" s="7"/>
      <c r="BF1030" s="7"/>
      <c r="BG1030" s="7"/>
      <c r="BH1030" s="7"/>
      <c r="BI1030" s="7"/>
      <c r="BJ1030" s="7"/>
      <c r="BK1030" s="7"/>
      <c r="BL1030" s="7"/>
      <c r="BM1030" s="7"/>
      <c r="BN1030" s="7"/>
      <c r="BO1030" s="7"/>
      <c r="BP1030" s="7"/>
      <c r="BQ1030" s="7"/>
      <c r="BR1030" s="7"/>
      <c r="BS1030" s="7"/>
      <c r="BT1030" s="7"/>
      <c r="BU1030" s="7"/>
      <c r="BV1030" s="7"/>
      <c r="BW1030" s="7"/>
      <c r="BX1030" s="7"/>
      <c r="BY1030" s="7"/>
      <c r="BZ1030" s="7"/>
      <c r="CA1030" s="7"/>
      <c r="CB1030" s="7"/>
      <c r="CC1030" s="7"/>
      <c r="CD1030" s="7"/>
      <c r="CE1030" s="7"/>
      <c r="CF1030" s="7"/>
      <c r="CG1030" s="7"/>
    </row>
    <row r="1031" spans="3:85"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F1031" s="7"/>
      <c r="AG1031" s="7"/>
      <c r="AH1031" s="7"/>
      <c r="AI1031" s="7"/>
      <c r="AJ1031" s="7"/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  <c r="BB1031" s="7"/>
      <c r="BC1031" s="7"/>
      <c r="BD1031" s="7"/>
      <c r="BE1031" s="7"/>
      <c r="BF1031" s="7"/>
      <c r="BG1031" s="7"/>
      <c r="BH1031" s="7"/>
      <c r="BI1031" s="7"/>
      <c r="BJ1031" s="7"/>
      <c r="BK1031" s="7"/>
      <c r="BL1031" s="7"/>
      <c r="BM1031" s="7"/>
      <c r="BN1031" s="7"/>
      <c r="BO1031" s="7"/>
      <c r="BP1031" s="7"/>
      <c r="BQ1031" s="7"/>
      <c r="BR1031" s="7"/>
      <c r="BS1031" s="7"/>
      <c r="BT1031" s="7"/>
      <c r="BU1031" s="7"/>
      <c r="BV1031" s="7"/>
      <c r="BW1031" s="7"/>
      <c r="BX1031" s="7"/>
      <c r="BY1031" s="7"/>
      <c r="BZ1031" s="7"/>
      <c r="CA1031" s="7"/>
      <c r="CB1031" s="7"/>
      <c r="CC1031" s="7"/>
      <c r="CD1031" s="7"/>
      <c r="CE1031" s="7"/>
      <c r="CF1031" s="7"/>
      <c r="CG1031" s="7"/>
    </row>
    <row r="1032" spans="3:85"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F1032" s="7"/>
      <c r="AG1032" s="7"/>
      <c r="AH1032" s="7"/>
      <c r="AI1032" s="7"/>
      <c r="AJ1032" s="7"/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  <c r="BB1032" s="7"/>
      <c r="BC1032" s="7"/>
      <c r="BD1032" s="7"/>
      <c r="BE1032" s="7"/>
      <c r="BF1032" s="7"/>
      <c r="BG1032" s="7"/>
      <c r="BH1032" s="7"/>
      <c r="BI1032" s="7"/>
      <c r="BJ1032" s="7"/>
      <c r="BK1032" s="7"/>
      <c r="BL1032" s="7"/>
      <c r="BM1032" s="7"/>
      <c r="BN1032" s="7"/>
      <c r="BO1032" s="7"/>
      <c r="BP1032" s="7"/>
      <c r="BQ1032" s="7"/>
      <c r="BR1032" s="7"/>
      <c r="BS1032" s="7"/>
      <c r="BT1032" s="7"/>
      <c r="BU1032" s="7"/>
      <c r="BV1032" s="7"/>
      <c r="BW1032" s="7"/>
      <c r="BX1032" s="7"/>
      <c r="BY1032" s="7"/>
      <c r="BZ1032" s="7"/>
      <c r="CA1032" s="7"/>
      <c r="CB1032" s="7"/>
      <c r="CC1032" s="7"/>
      <c r="CD1032" s="7"/>
      <c r="CE1032" s="7"/>
      <c r="CF1032" s="7"/>
      <c r="CG1032" s="7"/>
    </row>
    <row r="1033" spans="3:85"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F1033" s="7"/>
      <c r="AG1033" s="7"/>
      <c r="AH1033" s="7"/>
      <c r="AI1033" s="7"/>
      <c r="AJ1033" s="7"/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  <c r="BB1033" s="7"/>
      <c r="BC1033" s="7"/>
      <c r="BD1033" s="7"/>
      <c r="BE1033" s="7"/>
      <c r="BF1033" s="7"/>
      <c r="BG1033" s="7"/>
      <c r="BH1033" s="7"/>
      <c r="BI1033" s="7"/>
      <c r="BJ1033" s="7"/>
      <c r="BK1033" s="7"/>
      <c r="BL1033" s="7"/>
      <c r="BM1033" s="7"/>
      <c r="BN1033" s="7"/>
      <c r="BO1033" s="7"/>
      <c r="BP1033" s="7"/>
      <c r="BQ1033" s="7"/>
      <c r="BR1033" s="7"/>
      <c r="BS1033" s="7"/>
      <c r="BT1033" s="7"/>
      <c r="BU1033" s="7"/>
      <c r="BV1033" s="7"/>
      <c r="BW1033" s="7"/>
      <c r="BX1033" s="7"/>
      <c r="BY1033" s="7"/>
      <c r="BZ1033" s="7"/>
      <c r="CA1033" s="7"/>
      <c r="CB1033" s="7"/>
      <c r="CC1033" s="7"/>
      <c r="CD1033" s="7"/>
      <c r="CE1033" s="7"/>
      <c r="CF1033" s="7"/>
      <c r="CG1033" s="7"/>
    </row>
    <row r="1034" spans="3:85"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F1034" s="7"/>
      <c r="AG1034" s="7"/>
      <c r="AH1034" s="7"/>
      <c r="AI1034" s="7"/>
      <c r="AJ1034" s="7"/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  <c r="BB1034" s="7"/>
      <c r="BC1034" s="7"/>
      <c r="BD1034" s="7"/>
      <c r="BE1034" s="7"/>
      <c r="BF1034" s="7"/>
      <c r="BG1034" s="7"/>
      <c r="BH1034" s="7"/>
      <c r="BI1034" s="7"/>
      <c r="BJ1034" s="7"/>
      <c r="BK1034" s="7"/>
      <c r="BL1034" s="7"/>
      <c r="BM1034" s="7"/>
      <c r="BN1034" s="7"/>
      <c r="BO1034" s="7"/>
      <c r="BP1034" s="7"/>
      <c r="BQ1034" s="7"/>
      <c r="BR1034" s="7"/>
      <c r="BS1034" s="7"/>
      <c r="BT1034" s="7"/>
      <c r="BU1034" s="7"/>
      <c r="BV1034" s="7"/>
      <c r="BW1034" s="7"/>
      <c r="BX1034" s="7"/>
      <c r="BY1034" s="7"/>
      <c r="BZ1034" s="7"/>
      <c r="CA1034" s="7"/>
      <c r="CB1034" s="7"/>
      <c r="CC1034" s="7"/>
      <c r="CD1034" s="7"/>
      <c r="CE1034" s="7"/>
      <c r="CF1034" s="7"/>
      <c r="CG1034" s="7"/>
    </row>
    <row r="1035" spans="3:85"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F1035" s="7"/>
      <c r="AG1035" s="7"/>
      <c r="AH1035" s="7"/>
      <c r="AI1035" s="7"/>
      <c r="AJ1035" s="7"/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  <c r="BB1035" s="7"/>
      <c r="BC1035" s="7"/>
      <c r="BD1035" s="7"/>
      <c r="BE1035" s="7"/>
      <c r="BF1035" s="7"/>
      <c r="BG1035" s="7"/>
      <c r="BH1035" s="7"/>
      <c r="BI1035" s="7"/>
      <c r="BJ1035" s="7"/>
      <c r="BK1035" s="7"/>
      <c r="BL1035" s="7"/>
      <c r="BM1035" s="7"/>
      <c r="BN1035" s="7"/>
      <c r="BO1035" s="7"/>
      <c r="BP1035" s="7"/>
      <c r="BQ1035" s="7"/>
      <c r="BR1035" s="7"/>
      <c r="BS1035" s="7"/>
      <c r="BT1035" s="7"/>
      <c r="BU1035" s="7"/>
      <c r="BV1035" s="7"/>
      <c r="BW1035" s="7"/>
      <c r="BX1035" s="7"/>
      <c r="BY1035" s="7"/>
      <c r="BZ1035" s="7"/>
      <c r="CA1035" s="7"/>
      <c r="CB1035" s="7"/>
      <c r="CC1035" s="7"/>
      <c r="CD1035" s="7"/>
      <c r="CE1035" s="7"/>
      <c r="CF1035" s="7"/>
      <c r="CG1035" s="7"/>
    </row>
    <row r="1036" spans="3:85"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F1036" s="7"/>
      <c r="AG1036" s="7"/>
      <c r="AH1036" s="7"/>
      <c r="AI1036" s="7"/>
      <c r="AJ1036" s="7"/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  <c r="BB1036" s="7"/>
      <c r="BC1036" s="7"/>
      <c r="BD1036" s="7"/>
      <c r="BE1036" s="7"/>
      <c r="BF1036" s="7"/>
      <c r="BG1036" s="7"/>
      <c r="BH1036" s="7"/>
      <c r="BI1036" s="7"/>
      <c r="BJ1036" s="7"/>
      <c r="BK1036" s="7"/>
      <c r="BL1036" s="7"/>
      <c r="BM1036" s="7"/>
      <c r="BN1036" s="7"/>
      <c r="BO1036" s="7"/>
      <c r="BP1036" s="7"/>
      <c r="BQ1036" s="7"/>
      <c r="BR1036" s="7"/>
      <c r="BS1036" s="7"/>
      <c r="BT1036" s="7"/>
      <c r="BU1036" s="7"/>
      <c r="BV1036" s="7"/>
      <c r="BW1036" s="7"/>
      <c r="BX1036" s="7"/>
      <c r="BY1036" s="7"/>
      <c r="BZ1036" s="7"/>
      <c r="CA1036" s="7"/>
      <c r="CB1036" s="7"/>
      <c r="CC1036" s="7"/>
      <c r="CD1036" s="7"/>
      <c r="CE1036" s="7"/>
      <c r="CF1036" s="7"/>
      <c r="CG1036" s="7"/>
    </row>
    <row r="1037" spans="3:85"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F1037" s="7"/>
      <c r="AG1037" s="7"/>
      <c r="AH1037" s="7"/>
      <c r="AI1037" s="7"/>
      <c r="AJ1037" s="7"/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  <c r="BB1037" s="7"/>
      <c r="BC1037" s="7"/>
      <c r="BD1037" s="7"/>
      <c r="BE1037" s="7"/>
      <c r="BF1037" s="7"/>
      <c r="BG1037" s="7"/>
      <c r="BH1037" s="7"/>
      <c r="BI1037" s="7"/>
      <c r="BJ1037" s="7"/>
      <c r="BK1037" s="7"/>
      <c r="BL1037" s="7"/>
      <c r="BM1037" s="7"/>
      <c r="BN1037" s="7"/>
      <c r="BO1037" s="7"/>
      <c r="BP1037" s="7"/>
      <c r="BQ1037" s="7"/>
      <c r="BR1037" s="7"/>
      <c r="BS1037" s="7"/>
      <c r="BT1037" s="7"/>
      <c r="BU1037" s="7"/>
      <c r="BV1037" s="7"/>
      <c r="BW1037" s="7"/>
      <c r="BX1037" s="7"/>
      <c r="BY1037" s="7"/>
      <c r="BZ1037" s="7"/>
      <c r="CA1037" s="7"/>
      <c r="CB1037" s="7"/>
      <c r="CC1037" s="7"/>
      <c r="CD1037" s="7"/>
      <c r="CE1037" s="7"/>
      <c r="CF1037" s="7"/>
      <c r="CG1037" s="7"/>
    </row>
    <row r="1038" spans="3:85"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F1038" s="7"/>
      <c r="AG1038" s="7"/>
      <c r="AH1038" s="7"/>
      <c r="AI1038" s="7"/>
      <c r="AJ1038" s="7"/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  <c r="BB1038" s="7"/>
      <c r="BC1038" s="7"/>
      <c r="BD1038" s="7"/>
      <c r="BE1038" s="7"/>
      <c r="BF1038" s="7"/>
      <c r="BG1038" s="7"/>
      <c r="BH1038" s="7"/>
      <c r="BI1038" s="7"/>
      <c r="BJ1038" s="7"/>
      <c r="BK1038" s="7"/>
      <c r="BL1038" s="7"/>
      <c r="BM1038" s="7"/>
      <c r="BN1038" s="7"/>
      <c r="BO1038" s="7"/>
      <c r="BP1038" s="7"/>
      <c r="BQ1038" s="7"/>
      <c r="BR1038" s="7"/>
      <c r="BS1038" s="7"/>
      <c r="BT1038" s="7"/>
      <c r="BU1038" s="7"/>
      <c r="BV1038" s="7"/>
      <c r="BW1038" s="7"/>
      <c r="BX1038" s="7"/>
      <c r="BY1038" s="7"/>
      <c r="BZ1038" s="7"/>
      <c r="CA1038" s="7"/>
      <c r="CB1038" s="7"/>
      <c r="CC1038" s="7"/>
      <c r="CD1038" s="7"/>
      <c r="CE1038" s="7"/>
      <c r="CF1038" s="7"/>
      <c r="CG1038" s="7"/>
    </row>
    <row r="1039" spans="3:85"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F1039" s="7"/>
      <c r="AG1039" s="7"/>
      <c r="AH1039" s="7"/>
      <c r="AI1039" s="7"/>
      <c r="AJ1039" s="7"/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  <c r="BB1039" s="7"/>
      <c r="BC1039" s="7"/>
      <c r="BD1039" s="7"/>
      <c r="BE1039" s="7"/>
      <c r="BF1039" s="7"/>
      <c r="BG1039" s="7"/>
      <c r="BH1039" s="7"/>
      <c r="BI1039" s="7"/>
      <c r="BJ1039" s="7"/>
      <c r="BK1039" s="7"/>
      <c r="BL1039" s="7"/>
      <c r="BM1039" s="7"/>
      <c r="BN1039" s="7"/>
      <c r="BO1039" s="7"/>
      <c r="BP1039" s="7"/>
      <c r="BQ1039" s="7"/>
      <c r="BR1039" s="7"/>
      <c r="BS1039" s="7"/>
      <c r="BT1039" s="7"/>
      <c r="BU1039" s="7"/>
      <c r="BV1039" s="7"/>
      <c r="BW1039" s="7"/>
      <c r="BX1039" s="7"/>
      <c r="BY1039" s="7"/>
      <c r="BZ1039" s="7"/>
      <c r="CA1039" s="7"/>
      <c r="CB1039" s="7"/>
      <c r="CC1039" s="7"/>
      <c r="CD1039" s="7"/>
      <c r="CE1039" s="7"/>
      <c r="CF1039" s="7"/>
      <c r="CG1039" s="7"/>
    </row>
    <row r="1040" spans="3:85"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F1040" s="7"/>
      <c r="AG1040" s="7"/>
      <c r="AH1040" s="7"/>
      <c r="AI1040" s="7"/>
      <c r="AJ1040" s="7"/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  <c r="BB1040" s="7"/>
      <c r="BC1040" s="7"/>
      <c r="BD1040" s="7"/>
      <c r="BE1040" s="7"/>
      <c r="BF1040" s="7"/>
      <c r="BG1040" s="7"/>
      <c r="BH1040" s="7"/>
      <c r="BI1040" s="7"/>
      <c r="BJ1040" s="7"/>
      <c r="BK1040" s="7"/>
      <c r="BL1040" s="7"/>
      <c r="BM1040" s="7"/>
      <c r="BN1040" s="7"/>
      <c r="BO1040" s="7"/>
      <c r="BP1040" s="7"/>
      <c r="BQ1040" s="7"/>
      <c r="BR1040" s="7"/>
      <c r="BS1040" s="7"/>
      <c r="BT1040" s="7"/>
      <c r="BU1040" s="7"/>
      <c r="BV1040" s="7"/>
      <c r="BW1040" s="7"/>
      <c r="BX1040" s="7"/>
      <c r="BY1040" s="7"/>
      <c r="BZ1040" s="7"/>
      <c r="CA1040" s="7"/>
      <c r="CB1040" s="7"/>
      <c r="CC1040" s="7"/>
      <c r="CD1040" s="7"/>
      <c r="CE1040" s="7"/>
      <c r="CF1040" s="7"/>
      <c r="CG1040" s="7"/>
    </row>
    <row r="1041" spans="3:85"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F1041" s="7"/>
      <c r="AG1041" s="7"/>
      <c r="AH1041" s="7"/>
      <c r="AI1041" s="7"/>
      <c r="AJ1041" s="7"/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  <c r="BB1041" s="7"/>
      <c r="BC1041" s="7"/>
      <c r="BD1041" s="7"/>
      <c r="BE1041" s="7"/>
      <c r="BF1041" s="7"/>
      <c r="BG1041" s="7"/>
      <c r="BH1041" s="7"/>
      <c r="BI1041" s="7"/>
      <c r="BJ1041" s="7"/>
      <c r="BK1041" s="7"/>
      <c r="BL1041" s="7"/>
      <c r="BM1041" s="7"/>
      <c r="BN1041" s="7"/>
      <c r="BO1041" s="7"/>
      <c r="BP1041" s="7"/>
      <c r="BQ1041" s="7"/>
      <c r="BR1041" s="7"/>
      <c r="BS1041" s="7"/>
      <c r="BT1041" s="7"/>
      <c r="BU1041" s="7"/>
      <c r="BV1041" s="7"/>
      <c r="BW1041" s="7"/>
      <c r="BX1041" s="7"/>
      <c r="BY1041" s="7"/>
      <c r="BZ1041" s="7"/>
      <c r="CA1041" s="7"/>
      <c r="CB1041" s="7"/>
      <c r="CC1041" s="7"/>
      <c r="CD1041" s="7"/>
      <c r="CE1041" s="7"/>
      <c r="CF1041" s="7"/>
      <c r="CG1041" s="7"/>
    </row>
    <row r="1042" spans="3:85"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F1042" s="7"/>
      <c r="AG1042" s="7"/>
      <c r="AH1042" s="7"/>
      <c r="AI1042" s="7"/>
      <c r="AJ1042" s="7"/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  <c r="BB1042" s="7"/>
      <c r="BC1042" s="7"/>
      <c r="BD1042" s="7"/>
      <c r="BE1042" s="7"/>
      <c r="BF1042" s="7"/>
      <c r="BG1042" s="7"/>
      <c r="BH1042" s="7"/>
      <c r="BI1042" s="7"/>
      <c r="BJ1042" s="7"/>
      <c r="BK1042" s="7"/>
      <c r="BL1042" s="7"/>
      <c r="BM1042" s="7"/>
      <c r="BN1042" s="7"/>
      <c r="BO1042" s="7"/>
      <c r="BP1042" s="7"/>
      <c r="BQ1042" s="7"/>
      <c r="BR1042" s="7"/>
      <c r="BS1042" s="7"/>
      <c r="BT1042" s="7"/>
      <c r="BU1042" s="7"/>
      <c r="BV1042" s="7"/>
      <c r="BW1042" s="7"/>
      <c r="BX1042" s="7"/>
      <c r="BY1042" s="7"/>
      <c r="BZ1042" s="7"/>
      <c r="CA1042" s="7"/>
      <c r="CB1042" s="7"/>
      <c r="CC1042" s="7"/>
      <c r="CD1042" s="7"/>
      <c r="CE1042" s="7"/>
      <c r="CF1042" s="7"/>
      <c r="CG1042" s="7"/>
    </row>
    <row r="1043" spans="3:85"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F1043" s="7"/>
      <c r="AG1043" s="7"/>
      <c r="AH1043" s="7"/>
      <c r="AI1043" s="7"/>
      <c r="AJ1043" s="7"/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  <c r="BB1043" s="7"/>
      <c r="BC1043" s="7"/>
      <c r="BD1043" s="7"/>
      <c r="BE1043" s="7"/>
      <c r="BF1043" s="7"/>
      <c r="BG1043" s="7"/>
      <c r="BH1043" s="7"/>
      <c r="BI1043" s="7"/>
      <c r="BJ1043" s="7"/>
      <c r="BK1043" s="7"/>
      <c r="BL1043" s="7"/>
      <c r="BM1043" s="7"/>
      <c r="BN1043" s="7"/>
      <c r="BO1043" s="7"/>
      <c r="BP1043" s="7"/>
      <c r="BQ1043" s="7"/>
      <c r="BR1043" s="7"/>
      <c r="BS1043" s="7"/>
      <c r="BT1043" s="7"/>
      <c r="BU1043" s="7"/>
      <c r="BV1043" s="7"/>
      <c r="BW1043" s="7"/>
      <c r="BX1043" s="7"/>
      <c r="BY1043" s="7"/>
      <c r="BZ1043" s="7"/>
      <c r="CA1043" s="7"/>
      <c r="CB1043" s="7"/>
      <c r="CC1043" s="7"/>
      <c r="CD1043" s="7"/>
      <c r="CE1043" s="7"/>
      <c r="CF1043" s="7"/>
      <c r="CG1043" s="7"/>
    </row>
    <row r="1044" spans="3:85"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F1044" s="7"/>
      <c r="AG1044" s="7"/>
      <c r="AH1044" s="7"/>
      <c r="AI1044" s="7"/>
      <c r="AJ1044" s="7"/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  <c r="BB1044" s="7"/>
      <c r="BC1044" s="7"/>
      <c r="BD1044" s="7"/>
      <c r="BE1044" s="7"/>
      <c r="BF1044" s="7"/>
      <c r="BG1044" s="7"/>
      <c r="BH1044" s="7"/>
      <c r="BI1044" s="7"/>
      <c r="BJ1044" s="7"/>
      <c r="BK1044" s="7"/>
      <c r="BL1044" s="7"/>
      <c r="BM1044" s="7"/>
      <c r="BN1044" s="7"/>
      <c r="BO1044" s="7"/>
      <c r="BP1044" s="7"/>
      <c r="BQ1044" s="7"/>
      <c r="BR1044" s="7"/>
      <c r="BS1044" s="7"/>
      <c r="BT1044" s="7"/>
      <c r="BU1044" s="7"/>
      <c r="BV1044" s="7"/>
      <c r="BW1044" s="7"/>
      <c r="BX1044" s="7"/>
      <c r="BY1044" s="7"/>
      <c r="BZ1044" s="7"/>
      <c r="CA1044" s="7"/>
      <c r="CB1044" s="7"/>
      <c r="CC1044" s="7"/>
      <c r="CD1044" s="7"/>
      <c r="CE1044" s="7"/>
      <c r="CF1044" s="7"/>
      <c r="CG1044" s="7"/>
    </row>
    <row r="1045" spans="3:85"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F1045" s="7"/>
      <c r="AG1045" s="7"/>
      <c r="AH1045" s="7"/>
      <c r="AI1045" s="7"/>
      <c r="AJ1045" s="7"/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  <c r="BB1045" s="7"/>
      <c r="BC1045" s="7"/>
      <c r="BD1045" s="7"/>
      <c r="BE1045" s="7"/>
      <c r="BF1045" s="7"/>
      <c r="BG1045" s="7"/>
      <c r="BH1045" s="7"/>
      <c r="BI1045" s="7"/>
      <c r="BJ1045" s="7"/>
      <c r="BK1045" s="7"/>
      <c r="BL1045" s="7"/>
      <c r="BM1045" s="7"/>
      <c r="BN1045" s="7"/>
      <c r="BO1045" s="7"/>
      <c r="BP1045" s="7"/>
      <c r="BQ1045" s="7"/>
      <c r="BR1045" s="7"/>
      <c r="BS1045" s="7"/>
      <c r="BT1045" s="7"/>
      <c r="BU1045" s="7"/>
      <c r="BV1045" s="7"/>
      <c r="BW1045" s="7"/>
      <c r="BX1045" s="7"/>
      <c r="BY1045" s="7"/>
      <c r="BZ1045" s="7"/>
      <c r="CA1045" s="7"/>
      <c r="CB1045" s="7"/>
      <c r="CC1045" s="7"/>
      <c r="CD1045" s="7"/>
      <c r="CE1045" s="7"/>
      <c r="CF1045" s="7"/>
      <c r="CG1045" s="7"/>
    </row>
    <row r="1046" spans="3:85"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F1046" s="7"/>
      <c r="AG1046" s="7"/>
      <c r="AH1046" s="7"/>
      <c r="AI1046" s="7"/>
      <c r="AJ1046" s="7"/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  <c r="BB1046" s="7"/>
      <c r="BC1046" s="7"/>
      <c r="BD1046" s="7"/>
      <c r="BE1046" s="7"/>
      <c r="BF1046" s="7"/>
      <c r="BG1046" s="7"/>
      <c r="BH1046" s="7"/>
      <c r="BI1046" s="7"/>
      <c r="BJ1046" s="7"/>
      <c r="BK1046" s="7"/>
      <c r="BL1046" s="7"/>
      <c r="BM1046" s="7"/>
      <c r="BN1046" s="7"/>
      <c r="BO1046" s="7"/>
      <c r="BP1046" s="7"/>
      <c r="BQ1046" s="7"/>
      <c r="BR1046" s="7"/>
      <c r="BS1046" s="7"/>
      <c r="BT1046" s="7"/>
      <c r="BU1046" s="7"/>
      <c r="BV1046" s="7"/>
      <c r="BW1046" s="7"/>
      <c r="BX1046" s="7"/>
      <c r="BY1046" s="7"/>
      <c r="BZ1046" s="7"/>
      <c r="CA1046" s="7"/>
      <c r="CB1046" s="7"/>
      <c r="CC1046" s="7"/>
      <c r="CD1046" s="7"/>
      <c r="CE1046" s="7"/>
      <c r="CF1046" s="7"/>
      <c r="CG1046" s="7"/>
    </row>
    <row r="1047" spans="3:85"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F1047" s="7"/>
      <c r="AG1047" s="7"/>
      <c r="AH1047" s="7"/>
      <c r="AI1047" s="7"/>
      <c r="AJ1047" s="7"/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  <c r="BB1047" s="7"/>
      <c r="BC1047" s="7"/>
      <c r="BD1047" s="7"/>
      <c r="BE1047" s="7"/>
      <c r="BF1047" s="7"/>
      <c r="BG1047" s="7"/>
      <c r="BH1047" s="7"/>
      <c r="BI1047" s="7"/>
      <c r="BJ1047" s="7"/>
      <c r="BK1047" s="7"/>
      <c r="BL1047" s="7"/>
      <c r="BM1047" s="7"/>
      <c r="BN1047" s="7"/>
      <c r="BO1047" s="7"/>
      <c r="BP1047" s="7"/>
      <c r="BQ1047" s="7"/>
      <c r="BR1047" s="7"/>
      <c r="BS1047" s="7"/>
      <c r="BT1047" s="7"/>
      <c r="BU1047" s="7"/>
      <c r="BV1047" s="7"/>
      <c r="BW1047" s="7"/>
      <c r="BX1047" s="7"/>
      <c r="BY1047" s="7"/>
      <c r="BZ1047" s="7"/>
      <c r="CA1047" s="7"/>
      <c r="CB1047" s="7"/>
      <c r="CC1047" s="7"/>
      <c r="CD1047" s="7"/>
      <c r="CE1047" s="7"/>
      <c r="CF1047" s="7"/>
      <c r="CG1047" s="7"/>
    </row>
    <row r="1048" spans="3:85"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F1048" s="7"/>
      <c r="AG1048" s="7"/>
      <c r="AH1048" s="7"/>
      <c r="AI1048" s="7"/>
      <c r="AJ1048" s="7"/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  <c r="BB1048" s="7"/>
      <c r="BC1048" s="7"/>
      <c r="BD1048" s="7"/>
      <c r="BE1048" s="7"/>
      <c r="BF1048" s="7"/>
      <c r="BG1048" s="7"/>
      <c r="BH1048" s="7"/>
      <c r="BI1048" s="7"/>
      <c r="BJ1048" s="7"/>
      <c r="BK1048" s="7"/>
      <c r="BL1048" s="7"/>
      <c r="BM1048" s="7"/>
      <c r="BN1048" s="7"/>
      <c r="BO1048" s="7"/>
      <c r="BP1048" s="7"/>
      <c r="BQ1048" s="7"/>
      <c r="BR1048" s="7"/>
      <c r="BS1048" s="7"/>
      <c r="BT1048" s="7"/>
      <c r="BU1048" s="7"/>
      <c r="BV1048" s="7"/>
      <c r="BW1048" s="7"/>
      <c r="BX1048" s="7"/>
      <c r="BY1048" s="7"/>
      <c r="BZ1048" s="7"/>
      <c r="CA1048" s="7"/>
      <c r="CB1048" s="7"/>
      <c r="CC1048" s="7"/>
      <c r="CD1048" s="7"/>
      <c r="CE1048" s="7"/>
      <c r="CF1048" s="7"/>
      <c r="CG1048" s="7"/>
    </row>
    <row r="1049" spans="3:85"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F1049" s="7"/>
      <c r="AG1049" s="7"/>
      <c r="AH1049" s="7"/>
      <c r="AI1049" s="7"/>
      <c r="AJ1049" s="7"/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  <c r="BB1049" s="7"/>
      <c r="BC1049" s="7"/>
      <c r="BD1049" s="7"/>
      <c r="BE1049" s="7"/>
      <c r="BF1049" s="7"/>
      <c r="BG1049" s="7"/>
      <c r="BH1049" s="7"/>
      <c r="BI1049" s="7"/>
      <c r="BJ1049" s="7"/>
      <c r="BK1049" s="7"/>
      <c r="BL1049" s="7"/>
      <c r="BM1049" s="7"/>
      <c r="BN1049" s="7"/>
      <c r="BO1049" s="7"/>
      <c r="BP1049" s="7"/>
      <c r="BQ1049" s="7"/>
      <c r="BR1049" s="7"/>
      <c r="BS1049" s="7"/>
      <c r="BT1049" s="7"/>
      <c r="BU1049" s="7"/>
      <c r="BV1049" s="7"/>
      <c r="BW1049" s="7"/>
      <c r="BX1049" s="7"/>
      <c r="BY1049" s="7"/>
      <c r="BZ1049" s="7"/>
      <c r="CA1049" s="7"/>
      <c r="CB1049" s="7"/>
      <c r="CC1049" s="7"/>
      <c r="CD1049" s="7"/>
      <c r="CE1049" s="7"/>
      <c r="CF1049" s="7"/>
      <c r="CG1049" s="7"/>
    </row>
    <row r="1050" spans="3:85"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F1050" s="7"/>
      <c r="AG1050" s="7"/>
      <c r="AH1050" s="7"/>
      <c r="AI1050" s="7"/>
      <c r="AJ1050" s="7"/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  <c r="BB1050" s="7"/>
      <c r="BC1050" s="7"/>
      <c r="BD1050" s="7"/>
      <c r="BE1050" s="7"/>
      <c r="BF1050" s="7"/>
      <c r="BG1050" s="7"/>
      <c r="BH1050" s="7"/>
      <c r="BI1050" s="7"/>
      <c r="BJ1050" s="7"/>
      <c r="BK1050" s="7"/>
      <c r="BL1050" s="7"/>
      <c r="BM1050" s="7"/>
      <c r="BN1050" s="7"/>
      <c r="BO1050" s="7"/>
      <c r="BP1050" s="7"/>
      <c r="BQ1050" s="7"/>
      <c r="BR1050" s="7"/>
      <c r="BS1050" s="7"/>
      <c r="BT1050" s="7"/>
      <c r="BU1050" s="7"/>
      <c r="BV1050" s="7"/>
      <c r="BW1050" s="7"/>
      <c r="BX1050" s="7"/>
      <c r="BY1050" s="7"/>
      <c r="BZ1050" s="7"/>
      <c r="CA1050" s="7"/>
      <c r="CB1050" s="7"/>
      <c r="CC1050" s="7"/>
      <c r="CD1050" s="7"/>
      <c r="CE1050" s="7"/>
      <c r="CF1050" s="7"/>
      <c r="CG1050" s="7"/>
    </row>
    <row r="1051" spans="3:85"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F1051" s="7"/>
      <c r="AG1051" s="7"/>
      <c r="AH1051" s="7"/>
      <c r="AI1051" s="7"/>
      <c r="AJ1051" s="7"/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  <c r="BB1051" s="7"/>
      <c r="BC1051" s="7"/>
      <c r="BD1051" s="7"/>
      <c r="BE1051" s="7"/>
      <c r="BF1051" s="7"/>
      <c r="BG1051" s="7"/>
      <c r="BH1051" s="7"/>
      <c r="BI1051" s="7"/>
      <c r="BJ1051" s="7"/>
      <c r="BK1051" s="7"/>
      <c r="BL1051" s="7"/>
      <c r="BM1051" s="7"/>
      <c r="BN1051" s="7"/>
      <c r="BO1051" s="7"/>
      <c r="BP1051" s="7"/>
      <c r="BQ1051" s="7"/>
      <c r="BR1051" s="7"/>
      <c r="BS1051" s="7"/>
      <c r="BT1051" s="7"/>
      <c r="BU1051" s="7"/>
      <c r="BV1051" s="7"/>
      <c r="BW1051" s="7"/>
      <c r="BX1051" s="7"/>
      <c r="BY1051" s="7"/>
      <c r="BZ1051" s="7"/>
      <c r="CA1051" s="7"/>
      <c r="CB1051" s="7"/>
      <c r="CC1051" s="7"/>
      <c r="CD1051" s="7"/>
      <c r="CE1051" s="7"/>
      <c r="CF1051" s="7"/>
      <c r="CG1051" s="7"/>
    </row>
    <row r="1052" spans="3:85"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F1052" s="7"/>
      <c r="AG1052" s="7"/>
      <c r="AH1052" s="7"/>
      <c r="AI1052" s="7"/>
      <c r="AJ1052" s="7"/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  <c r="BB1052" s="7"/>
      <c r="BC1052" s="7"/>
      <c r="BD1052" s="7"/>
      <c r="BE1052" s="7"/>
      <c r="BF1052" s="7"/>
      <c r="BG1052" s="7"/>
      <c r="BH1052" s="7"/>
      <c r="BI1052" s="7"/>
      <c r="BJ1052" s="7"/>
      <c r="BK1052" s="7"/>
      <c r="BL1052" s="7"/>
      <c r="BM1052" s="7"/>
      <c r="BN1052" s="7"/>
      <c r="BO1052" s="7"/>
      <c r="BP1052" s="7"/>
      <c r="BQ1052" s="7"/>
      <c r="BR1052" s="7"/>
      <c r="BS1052" s="7"/>
      <c r="BT1052" s="7"/>
      <c r="BU1052" s="7"/>
      <c r="BV1052" s="7"/>
      <c r="BW1052" s="7"/>
      <c r="BX1052" s="7"/>
      <c r="BY1052" s="7"/>
      <c r="BZ1052" s="7"/>
      <c r="CA1052" s="7"/>
      <c r="CB1052" s="7"/>
      <c r="CC1052" s="7"/>
      <c r="CD1052" s="7"/>
      <c r="CE1052" s="7"/>
      <c r="CF1052" s="7"/>
      <c r="CG1052" s="7"/>
    </row>
    <row r="1053" spans="3:85"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F1053" s="7"/>
      <c r="AG1053" s="7"/>
      <c r="AH1053" s="7"/>
      <c r="AI1053" s="7"/>
      <c r="AJ1053" s="7"/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  <c r="BB1053" s="7"/>
      <c r="BC1053" s="7"/>
      <c r="BD1053" s="7"/>
      <c r="BE1053" s="7"/>
      <c r="BF1053" s="7"/>
      <c r="BG1053" s="7"/>
      <c r="BH1053" s="7"/>
      <c r="BI1053" s="7"/>
      <c r="BJ1053" s="7"/>
      <c r="BK1053" s="7"/>
      <c r="BL1053" s="7"/>
      <c r="BM1053" s="7"/>
      <c r="BN1053" s="7"/>
      <c r="BO1053" s="7"/>
      <c r="BP1053" s="7"/>
      <c r="BQ1053" s="7"/>
      <c r="BR1053" s="7"/>
      <c r="BS1053" s="7"/>
      <c r="BT1053" s="7"/>
      <c r="BU1053" s="7"/>
      <c r="BV1053" s="7"/>
      <c r="BW1053" s="7"/>
      <c r="BX1053" s="7"/>
      <c r="BY1053" s="7"/>
      <c r="BZ1053" s="7"/>
      <c r="CA1053" s="7"/>
      <c r="CB1053" s="7"/>
      <c r="CC1053" s="7"/>
      <c r="CD1053" s="7"/>
      <c r="CE1053" s="7"/>
      <c r="CF1053" s="7"/>
      <c r="CG1053" s="7"/>
    </row>
    <row r="1054" spans="3:85"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F1054" s="7"/>
      <c r="AG1054" s="7"/>
      <c r="AH1054" s="7"/>
      <c r="AI1054" s="7"/>
      <c r="AJ1054" s="7"/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  <c r="BB1054" s="7"/>
      <c r="BC1054" s="7"/>
      <c r="BD1054" s="7"/>
      <c r="BE1054" s="7"/>
      <c r="BF1054" s="7"/>
      <c r="BG1054" s="7"/>
      <c r="BH1054" s="7"/>
      <c r="BI1054" s="7"/>
      <c r="BJ1054" s="7"/>
      <c r="BK1054" s="7"/>
      <c r="BL1054" s="7"/>
      <c r="BM1054" s="7"/>
      <c r="BN1054" s="7"/>
      <c r="BO1054" s="7"/>
      <c r="BP1054" s="7"/>
      <c r="BQ1054" s="7"/>
      <c r="BR1054" s="7"/>
      <c r="BS1054" s="7"/>
      <c r="BT1054" s="7"/>
      <c r="BU1054" s="7"/>
      <c r="BV1054" s="7"/>
      <c r="BW1054" s="7"/>
      <c r="BX1054" s="7"/>
      <c r="BY1054" s="7"/>
      <c r="BZ1054" s="7"/>
      <c r="CA1054" s="7"/>
      <c r="CB1054" s="7"/>
      <c r="CC1054" s="7"/>
      <c r="CD1054" s="7"/>
      <c r="CE1054" s="7"/>
      <c r="CF1054" s="7"/>
      <c r="CG1054" s="7"/>
    </row>
    <row r="1055" spans="3:85"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F1055" s="7"/>
      <c r="AG1055" s="7"/>
      <c r="AH1055" s="7"/>
      <c r="AI1055" s="7"/>
      <c r="AJ1055" s="7"/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  <c r="BB1055" s="7"/>
      <c r="BC1055" s="7"/>
      <c r="BD1055" s="7"/>
      <c r="BE1055" s="7"/>
      <c r="BF1055" s="7"/>
      <c r="BG1055" s="7"/>
      <c r="BH1055" s="7"/>
      <c r="BI1055" s="7"/>
      <c r="BJ1055" s="7"/>
      <c r="BK1055" s="7"/>
      <c r="BL1055" s="7"/>
      <c r="BM1055" s="7"/>
      <c r="BN1055" s="7"/>
      <c r="BO1055" s="7"/>
      <c r="BP1055" s="7"/>
      <c r="BQ1055" s="7"/>
      <c r="BR1055" s="7"/>
      <c r="BS1055" s="7"/>
      <c r="BT1055" s="7"/>
      <c r="BU1055" s="7"/>
      <c r="BV1055" s="7"/>
      <c r="BW1055" s="7"/>
      <c r="BX1055" s="7"/>
      <c r="BY1055" s="7"/>
      <c r="BZ1055" s="7"/>
      <c r="CA1055" s="7"/>
      <c r="CB1055" s="7"/>
      <c r="CC1055" s="7"/>
      <c r="CD1055" s="7"/>
      <c r="CE1055" s="7"/>
      <c r="CF1055" s="7"/>
      <c r="CG1055" s="7"/>
    </row>
    <row r="1056" spans="3:85"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F1056" s="7"/>
      <c r="AG1056" s="7"/>
      <c r="AH1056" s="7"/>
      <c r="AI1056" s="7"/>
      <c r="AJ1056" s="7"/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  <c r="BB1056" s="7"/>
      <c r="BC1056" s="7"/>
      <c r="BD1056" s="7"/>
      <c r="BE1056" s="7"/>
      <c r="BF1056" s="7"/>
      <c r="BG1056" s="7"/>
      <c r="BH1056" s="7"/>
      <c r="BI1056" s="7"/>
      <c r="BJ1056" s="7"/>
      <c r="BK1056" s="7"/>
      <c r="BL1056" s="7"/>
      <c r="BM1056" s="7"/>
      <c r="BN1056" s="7"/>
      <c r="BO1056" s="7"/>
      <c r="BP1056" s="7"/>
      <c r="BQ1056" s="7"/>
      <c r="BR1056" s="7"/>
      <c r="BS1056" s="7"/>
      <c r="BT1056" s="7"/>
      <c r="BU1056" s="7"/>
      <c r="BV1056" s="7"/>
      <c r="BW1056" s="7"/>
      <c r="BX1056" s="7"/>
      <c r="BY1056" s="7"/>
      <c r="BZ1056" s="7"/>
      <c r="CA1056" s="7"/>
      <c r="CB1056" s="7"/>
      <c r="CC1056" s="7"/>
      <c r="CD1056" s="7"/>
      <c r="CE1056" s="7"/>
      <c r="CF1056" s="7"/>
      <c r="CG1056" s="7"/>
    </row>
    <row r="1057" spans="3:85"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F1057" s="7"/>
      <c r="AG1057" s="7"/>
      <c r="AH1057" s="7"/>
      <c r="AI1057" s="7"/>
      <c r="AJ1057" s="7"/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  <c r="BB1057" s="7"/>
      <c r="BC1057" s="7"/>
      <c r="BD1057" s="7"/>
      <c r="BE1057" s="7"/>
      <c r="BF1057" s="7"/>
      <c r="BG1057" s="7"/>
      <c r="BH1057" s="7"/>
      <c r="BI1057" s="7"/>
      <c r="BJ1057" s="7"/>
      <c r="BK1057" s="7"/>
      <c r="BL1057" s="7"/>
      <c r="BM1057" s="7"/>
      <c r="BN1057" s="7"/>
      <c r="BO1057" s="7"/>
      <c r="BP1057" s="7"/>
      <c r="BQ1057" s="7"/>
      <c r="BR1057" s="7"/>
      <c r="BS1057" s="7"/>
      <c r="BT1057" s="7"/>
      <c r="BU1057" s="7"/>
      <c r="BV1057" s="7"/>
      <c r="BW1057" s="7"/>
      <c r="BX1057" s="7"/>
      <c r="BY1057" s="7"/>
      <c r="BZ1057" s="7"/>
      <c r="CA1057" s="7"/>
      <c r="CB1057" s="7"/>
      <c r="CC1057" s="7"/>
      <c r="CD1057" s="7"/>
      <c r="CE1057" s="7"/>
      <c r="CF1057" s="7"/>
      <c r="CG1057" s="7"/>
    </row>
    <row r="1058" spans="3:85"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F1058" s="7"/>
      <c r="AG1058" s="7"/>
      <c r="AH1058" s="7"/>
      <c r="AI1058" s="7"/>
      <c r="AJ1058" s="7"/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  <c r="BB1058" s="7"/>
      <c r="BC1058" s="7"/>
      <c r="BD1058" s="7"/>
      <c r="BE1058" s="7"/>
      <c r="BF1058" s="7"/>
      <c r="BG1058" s="7"/>
      <c r="BH1058" s="7"/>
      <c r="BI1058" s="7"/>
      <c r="BJ1058" s="7"/>
      <c r="BK1058" s="7"/>
      <c r="BL1058" s="7"/>
      <c r="BM1058" s="7"/>
      <c r="BN1058" s="7"/>
      <c r="BO1058" s="7"/>
      <c r="BP1058" s="7"/>
      <c r="BQ1058" s="7"/>
      <c r="BR1058" s="7"/>
      <c r="BS1058" s="7"/>
      <c r="BT1058" s="7"/>
      <c r="BU1058" s="7"/>
      <c r="BV1058" s="7"/>
      <c r="BW1058" s="7"/>
      <c r="BX1058" s="7"/>
      <c r="BY1058" s="7"/>
      <c r="BZ1058" s="7"/>
      <c r="CA1058" s="7"/>
      <c r="CB1058" s="7"/>
      <c r="CC1058" s="7"/>
      <c r="CD1058" s="7"/>
      <c r="CE1058" s="7"/>
      <c r="CF1058" s="7"/>
      <c r="CG1058" s="7"/>
    </row>
    <row r="1059" spans="3:85"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F1059" s="7"/>
      <c r="AG1059" s="7"/>
      <c r="AH1059" s="7"/>
      <c r="AI1059" s="7"/>
      <c r="AJ1059" s="7"/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  <c r="BB1059" s="7"/>
      <c r="BC1059" s="7"/>
      <c r="BD1059" s="7"/>
      <c r="BE1059" s="7"/>
      <c r="BF1059" s="7"/>
      <c r="BG1059" s="7"/>
      <c r="BH1059" s="7"/>
      <c r="BI1059" s="7"/>
      <c r="BJ1059" s="7"/>
      <c r="BK1059" s="7"/>
      <c r="BL1059" s="7"/>
      <c r="BM1059" s="7"/>
      <c r="BN1059" s="7"/>
      <c r="BO1059" s="7"/>
      <c r="BP1059" s="7"/>
      <c r="BQ1059" s="7"/>
      <c r="BR1059" s="7"/>
      <c r="BS1059" s="7"/>
      <c r="BT1059" s="7"/>
      <c r="BU1059" s="7"/>
      <c r="BV1059" s="7"/>
      <c r="BW1059" s="7"/>
      <c r="BX1059" s="7"/>
      <c r="BY1059" s="7"/>
      <c r="BZ1059" s="7"/>
      <c r="CA1059" s="7"/>
      <c r="CB1059" s="7"/>
      <c r="CC1059" s="7"/>
      <c r="CD1059" s="7"/>
      <c r="CE1059" s="7"/>
      <c r="CF1059" s="7"/>
      <c r="CG1059" s="7"/>
    </row>
    <row r="1060" spans="3:85"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F1060" s="7"/>
      <c r="AG1060" s="7"/>
      <c r="AH1060" s="7"/>
      <c r="AI1060" s="7"/>
      <c r="AJ1060" s="7"/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  <c r="BB1060" s="7"/>
      <c r="BC1060" s="7"/>
      <c r="BD1060" s="7"/>
      <c r="BE1060" s="7"/>
      <c r="BF1060" s="7"/>
      <c r="BG1060" s="7"/>
      <c r="BH1060" s="7"/>
      <c r="BI1060" s="7"/>
      <c r="BJ1060" s="7"/>
      <c r="BK1060" s="7"/>
      <c r="BL1060" s="7"/>
      <c r="BM1060" s="7"/>
      <c r="BN1060" s="7"/>
      <c r="BO1060" s="7"/>
      <c r="BP1060" s="7"/>
      <c r="BQ1060" s="7"/>
      <c r="BR1060" s="7"/>
      <c r="BS1060" s="7"/>
      <c r="BT1060" s="7"/>
      <c r="BU1060" s="7"/>
      <c r="BV1060" s="7"/>
      <c r="BW1060" s="7"/>
      <c r="BX1060" s="7"/>
      <c r="BY1060" s="7"/>
      <c r="BZ1060" s="7"/>
      <c r="CA1060" s="7"/>
      <c r="CB1060" s="7"/>
      <c r="CC1060" s="7"/>
      <c r="CD1060" s="7"/>
      <c r="CE1060" s="7"/>
      <c r="CF1060" s="7"/>
      <c r="CG1060" s="7"/>
    </row>
    <row r="1061" spans="3:85"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F1061" s="7"/>
      <c r="AG1061" s="7"/>
      <c r="AH1061" s="7"/>
      <c r="AI1061" s="7"/>
      <c r="AJ1061" s="7"/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  <c r="BB1061" s="7"/>
      <c r="BC1061" s="7"/>
      <c r="BD1061" s="7"/>
      <c r="BE1061" s="7"/>
      <c r="BF1061" s="7"/>
      <c r="BG1061" s="7"/>
      <c r="BH1061" s="7"/>
      <c r="BI1061" s="7"/>
      <c r="BJ1061" s="7"/>
      <c r="BK1061" s="7"/>
      <c r="BL1061" s="7"/>
      <c r="BM1061" s="7"/>
      <c r="BN1061" s="7"/>
      <c r="BO1061" s="7"/>
      <c r="BP1061" s="7"/>
      <c r="BQ1061" s="7"/>
      <c r="BR1061" s="7"/>
      <c r="BS1061" s="7"/>
      <c r="BT1061" s="7"/>
      <c r="BU1061" s="7"/>
      <c r="BV1061" s="7"/>
      <c r="BW1061" s="7"/>
      <c r="BX1061" s="7"/>
      <c r="BY1061" s="7"/>
      <c r="BZ1061" s="7"/>
      <c r="CA1061" s="7"/>
      <c r="CB1061" s="7"/>
      <c r="CC1061" s="7"/>
      <c r="CD1061" s="7"/>
      <c r="CE1061" s="7"/>
      <c r="CF1061" s="7"/>
      <c r="CG1061" s="7"/>
    </row>
    <row r="1062" spans="3:85"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F1062" s="7"/>
      <c r="AG1062" s="7"/>
      <c r="AH1062" s="7"/>
      <c r="AI1062" s="7"/>
      <c r="AJ1062" s="7"/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  <c r="BB1062" s="7"/>
      <c r="BC1062" s="7"/>
      <c r="BD1062" s="7"/>
      <c r="BE1062" s="7"/>
      <c r="BF1062" s="7"/>
      <c r="BG1062" s="7"/>
      <c r="BH1062" s="7"/>
      <c r="BI1062" s="7"/>
      <c r="BJ1062" s="7"/>
      <c r="BK1062" s="7"/>
      <c r="BL1062" s="7"/>
      <c r="BM1062" s="7"/>
      <c r="BN1062" s="7"/>
      <c r="BO1062" s="7"/>
      <c r="BP1062" s="7"/>
      <c r="BQ1062" s="7"/>
      <c r="BR1062" s="7"/>
      <c r="BS1062" s="7"/>
      <c r="BT1062" s="7"/>
      <c r="BU1062" s="7"/>
      <c r="BV1062" s="7"/>
      <c r="BW1062" s="7"/>
      <c r="BX1062" s="7"/>
      <c r="BY1062" s="7"/>
      <c r="BZ1062" s="7"/>
      <c r="CA1062" s="7"/>
      <c r="CB1062" s="7"/>
      <c r="CC1062" s="7"/>
      <c r="CD1062" s="7"/>
      <c r="CE1062" s="7"/>
      <c r="CF1062" s="7"/>
      <c r="CG1062" s="7"/>
    </row>
    <row r="1063" spans="3:85"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F1063" s="7"/>
      <c r="AG1063" s="7"/>
      <c r="AH1063" s="7"/>
      <c r="AI1063" s="7"/>
      <c r="AJ1063" s="7"/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  <c r="BB1063" s="7"/>
      <c r="BC1063" s="7"/>
      <c r="BD1063" s="7"/>
      <c r="BE1063" s="7"/>
      <c r="BF1063" s="7"/>
      <c r="BG1063" s="7"/>
      <c r="BH1063" s="7"/>
      <c r="BI1063" s="7"/>
      <c r="BJ1063" s="7"/>
      <c r="BK1063" s="7"/>
      <c r="BL1063" s="7"/>
      <c r="BM1063" s="7"/>
      <c r="BN1063" s="7"/>
      <c r="BO1063" s="7"/>
      <c r="BP1063" s="7"/>
      <c r="BQ1063" s="7"/>
      <c r="BR1063" s="7"/>
      <c r="BS1063" s="7"/>
      <c r="BT1063" s="7"/>
      <c r="BU1063" s="7"/>
      <c r="BV1063" s="7"/>
      <c r="BW1063" s="7"/>
      <c r="BX1063" s="7"/>
      <c r="BY1063" s="7"/>
      <c r="BZ1063" s="7"/>
      <c r="CA1063" s="7"/>
      <c r="CB1063" s="7"/>
      <c r="CC1063" s="7"/>
      <c r="CD1063" s="7"/>
      <c r="CE1063" s="7"/>
      <c r="CF1063" s="7"/>
      <c r="CG1063" s="7"/>
    </row>
    <row r="1064" spans="3:85"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F1064" s="7"/>
      <c r="AG1064" s="7"/>
      <c r="AH1064" s="7"/>
      <c r="AI1064" s="7"/>
      <c r="AJ1064" s="7"/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  <c r="BB1064" s="7"/>
      <c r="BC1064" s="7"/>
      <c r="BD1064" s="7"/>
      <c r="BE1064" s="7"/>
      <c r="BF1064" s="7"/>
      <c r="BG1064" s="7"/>
      <c r="BH1064" s="7"/>
      <c r="BI1064" s="7"/>
      <c r="BJ1064" s="7"/>
      <c r="BK1064" s="7"/>
      <c r="BL1064" s="7"/>
      <c r="BM1064" s="7"/>
      <c r="BN1064" s="7"/>
      <c r="BO1064" s="7"/>
      <c r="BP1064" s="7"/>
      <c r="BQ1064" s="7"/>
      <c r="BR1064" s="7"/>
      <c r="BS1064" s="7"/>
      <c r="BT1064" s="7"/>
      <c r="BU1064" s="7"/>
      <c r="BV1064" s="7"/>
      <c r="BW1064" s="7"/>
      <c r="BX1064" s="7"/>
      <c r="BY1064" s="7"/>
      <c r="BZ1064" s="7"/>
      <c r="CA1064" s="7"/>
      <c r="CB1064" s="7"/>
      <c r="CC1064" s="7"/>
      <c r="CD1064" s="7"/>
      <c r="CE1064" s="7"/>
      <c r="CF1064" s="7"/>
      <c r="CG1064" s="7"/>
    </row>
    <row r="1065" spans="3:85"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F1065" s="7"/>
      <c r="AG1065" s="7"/>
      <c r="AH1065" s="7"/>
      <c r="AI1065" s="7"/>
      <c r="AJ1065" s="7"/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  <c r="BB1065" s="7"/>
      <c r="BC1065" s="7"/>
      <c r="BD1065" s="7"/>
      <c r="BE1065" s="7"/>
      <c r="BF1065" s="7"/>
      <c r="BG1065" s="7"/>
      <c r="BH1065" s="7"/>
      <c r="BI1065" s="7"/>
      <c r="BJ1065" s="7"/>
      <c r="BK1065" s="7"/>
      <c r="BL1065" s="7"/>
      <c r="BM1065" s="7"/>
      <c r="BN1065" s="7"/>
      <c r="BO1065" s="7"/>
      <c r="BP1065" s="7"/>
      <c r="BQ1065" s="7"/>
      <c r="BR1065" s="7"/>
      <c r="BS1065" s="7"/>
      <c r="BT1065" s="7"/>
      <c r="BU1065" s="7"/>
      <c r="BV1065" s="7"/>
      <c r="BW1065" s="7"/>
      <c r="BX1065" s="7"/>
      <c r="BY1065" s="7"/>
      <c r="BZ1065" s="7"/>
      <c r="CA1065" s="7"/>
      <c r="CB1065" s="7"/>
      <c r="CC1065" s="7"/>
      <c r="CD1065" s="7"/>
      <c r="CE1065" s="7"/>
      <c r="CF1065" s="7"/>
      <c r="CG1065" s="7"/>
    </row>
    <row r="1066" spans="3:85"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F1066" s="7"/>
      <c r="AG1066" s="7"/>
      <c r="AH1066" s="7"/>
      <c r="AI1066" s="7"/>
      <c r="AJ1066" s="7"/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  <c r="BB1066" s="7"/>
      <c r="BC1066" s="7"/>
      <c r="BD1066" s="7"/>
      <c r="BE1066" s="7"/>
      <c r="BF1066" s="7"/>
      <c r="BG1066" s="7"/>
      <c r="BH1066" s="7"/>
      <c r="BI1066" s="7"/>
      <c r="BJ1066" s="7"/>
      <c r="BK1066" s="7"/>
      <c r="BL1066" s="7"/>
      <c r="BM1066" s="7"/>
      <c r="BN1066" s="7"/>
      <c r="BO1066" s="7"/>
      <c r="BP1066" s="7"/>
      <c r="BQ1066" s="7"/>
      <c r="BR1066" s="7"/>
      <c r="BS1066" s="7"/>
      <c r="BT1066" s="7"/>
      <c r="BU1066" s="7"/>
      <c r="BV1066" s="7"/>
      <c r="BW1066" s="7"/>
      <c r="BX1066" s="7"/>
      <c r="BY1066" s="7"/>
      <c r="BZ1066" s="7"/>
      <c r="CA1066" s="7"/>
      <c r="CB1066" s="7"/>
      <c r="CC1066" s="7"/>
      <c r="CD1066" s="7"/>
      <c r="CE1066" s="7"/>
      <c r="CF1066" s="7"/>
      <c r="CG1066" s="7"/>
    </row>
    <row r="1067" spans="3:85"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F1067" s="7"/>
      <c r="AG1067" s="7"/>
      <c r="AH1067" s="7"/>
      <c r="AI1067" s="7"/>
      <c r="AJ1067" s="7"/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  <c r="BB1067" s="7"/>
      <c r="BC1067" s="7"/>
      <c r="BD1067" s="7"/>
      <c r="BE1067" s="7"/>
      <c r="BF1067" s="7"/>
      <c r="BG1067" s="7"/>
      <c r="BH1067" s="7"/>
      <c r="BI1067" s="7"/>
      <c r="BJ1067" s="7"/>
      <c r="BK1067" s="7"/>
      <c r="BL1067" s="7"/>
      <c r="BM1067" s="7"/>
      <c r="BN1067" s="7"/>
      <c r="BO1067" s="7"/>
      <c r="BP1067" s="7"/>
      <c r="BQ1067" s="7"/>
      <c r="BR1067" s="7"/>
      <c r="BS1067" s="7"/>
      <c r="BT1067" s="7"/>
      <c r="BU1067" s="7"/>
      <c r="BV1067" s="7"/>
      <c r="BW1067" s="7"/>
      <c r="BX1067" s="7"/>
      <c r="BY1067" s="7"/>
      <c r="BZ1067" s="7"/>
      <c r="CA1067" s="7"/>
      <c r="CB1067" s="7"/>
      <c r="CC1067" s="7"/>
      <c r="CD1067" s="7"/>
      <c r="CE1067" s="7"/>
      <c r="CF1067" s="7"/>
      <c r="CG1067" s="7"/>
    </row>
    <row r="1068" spans="3:85"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F1068" s="7"/>
      <c r="AG1068" s="7"/>
      <c r="AH1068" s="7"/>
      <c r="AI1068" s="7"/>
      <c r="AJ1068" s="7"/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  <c r="BB1068" s="7"/>
      <c r="BC1068" s="7"/>
      <c r="BD1068" s="7"/>
      <c r="BE1068" s="7"/>
      <c r="BF1068" s="7"/>
      <c r="BG1068" s="7"/>
      <c r="BH1068" s="7"/>
      <c r="BI1068" s="7"/>
      <c r="BJ1068" s="7"/>
      <c r="BK1068" s="7"/>
      <c r="BL1068" s="7"/>
      <c r="BM1068" s="7"/>
      <c r="BN1068" s="7"/>
      <c r="BO1068" s="7"/>
      <c r="BP1068" s="7"/>
      <c r="BQ1068" s="7"/>
      <c r="BR1068" s="7"/>
      <c r="BS1068" s="7"/>
      <c r="BT1068" s="7"/>
      <c r="BU1068" s="7"/>
      <c r="BV1068" s="7"/>
      <c r="BW1068" s="7"/>
      <c r="BX1068" s="7"/>
      <c r="BY1068" s="7"/>
      <c r="BZ1068" s="7"/>
      <c r="CA1068" s="7"/>
      <c r="CB1068" s="7"/>
      <c r="CC1068" s="7"/>
      <c r="CD1068" s="7"/>
      <c r="CE1068" s="7"/>
      <c r="CF1068" s="7"/>
      <c r="CG1068" s="7"/>
    </row>
    <row r="1069" spans="3:85"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F1069" s="7"/>
      <c r="AG1069" s="7"/>
      <c r="AH1069" s="7"/>
      <c r="AI1069" s="7"/>
      <c r="AJ1069" s="7"/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  <c r="BB1069" s="7"/>
      <c r="BC1069" s="7"/>
      <c r="BD1069" s="7"/>
      <c r="BE1069" s="7"/>
      <c r="BF1069" s="7"/>
      <c r="BG1069" s="7"/>
      <c r="BH1069" s="7"/>
      <c r="BI1069" s="7"/>
      <c r="BJ1069" s="7"/>
      <c r="BK1069" s="7"/>
      <c r="BL1069" s="7"/>
      <c r="BM1069" s="7"/>
      <c r="BN1069" s="7"/>
      <c r="BO1069" s="7"/>
      <c r="BP1069" s="7"/>
      <c r="BQ1069" s="7"/>
      <c r="BR1069" s="7"/>
      <c r="BS1069" s="7"/>
      <c r="BT1069" s="7"/>
      <c r="BU1069" s="7"/>
      <c r="BV1069" s="7"/>
      <c r="BW1069" s="7"/>
      <c r="BX1069" s="7"/>
      <c r="BY1069" s="7"/>
      <c r="BZ1069" s="7"/>
      <c r="CA1069" s="7"/>
      <c r="CB1069" s="7"/>
      <c r="CC1069" s="7"/>
      <c r="CD1069" s="7"/>
      <c r="CE1069" s="7"/>
      <c r="CF1069" s="7"/>
      <c r="CG1069" s="7"/>
    </row>
    <row r="1070" spans="3:85"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F1070" s="7"/>
      <c r="AG1070" s="7"/>
      <c r="AH1070" s="7"/>
      <c r="AI1070" s="7"/>
      <c r="AJ1070" s="7"/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  <c r="BB1070" s="7"/>
      <c r="BC1070" s="7"/>
      <c r="BD1070" s="7"/>
      <c r="BE1070" s="7"/>
      <c r="BF1070" s="7"/>
      <c r="BG1070" s="7"/>
      <c r="BH1070" s="7"/>
      <c r="BI1070" s="7"/>
      <c r="BJ1070" s="7"/>
      <c r="BK1070" s="7"/>
      <c r="BL1070" s="7"/>
      <c r="BM1070" s="7"/>
      <c r="BN1070" s="7"/>
      <c r="BO1070" s="7"/>
      <c r="BP1070" s="7"/>
      <c r="BQ1070" s="7"/>
      <c r="BR1070" s="7"/>
      <c r="BS1070" s="7"/>
      <c r="BT1070" s="7"/>
      <c r="BU1070" s="7"/>
      <c r="BV1070" s="7"/>
      <c r="BW1070" s="7"/>
      <c r="BX1070" s="7"/>
      <c r="BY1070" s="7"/>
      <c r="BZ1070" s="7"/>
      <c r="CA1070" s="7"/>
      <c r="CB1070" s="7"/>
      <c r="CC1070" s="7"/>
      <c r="CD1070" s="7"/>
      <c r="CE1070" s="7"/>
      <c r="CF1070" s="7"/>
      <c r="CG1070" s="7"/>
    </row>
    <row r="1071" spans="3:85"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F1071" s="7"/>
      <c r="AG1071" s="7"/>
      <c r="AH1071" s="7"/>
      <c r="AI1071" s="7"/>
      <c r="AJ1071" s="7"/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  <c r="BB1071" s="7"/>
      <c r="BC1071" s="7"/>
      <c r="BD1071" s="7"/>
      <c r="BE1071" s="7"/>
      <c r="BF1071" s="7"/>
      <c r="BG1071" s="7"/>
      <c r="BH1071" s="7"/>
      <c r="BI1071" s="7"/>
      <c r="BJ1071" s="7"/>
      <c r="BK1071" s="7"/>
      <c r="BL1071" s="7"/>
      <c r="BM1071" s="7"/>
      <c r="BN1071" s="7"/>
      <c r="BO1071" s="7"/>
      <c r="BP1071" s="7"/>
      <c r="BQ1071" s="7"/>
      <c r="BR1071" s="7"/>
      <c r="BS1071" s="7"/>
      <c r="BT1071" s="7"/>
      <c r="BU1071" s="7"/>
      <c r="BV1071" s="7"/>
      <c r="BW1071" s="7"/>
      <c r="BX1071" s="7"/>
      <c r="BY1071" s="7"/>
      <c r="BZ1071" s="7"/>
      <c r="CA1071" s="7"/>
      <c r="CB1071" s="7"/>
      <c r="CC1071" s="7"/>
      <c r="CD1071" s="7"/>
      <c r="CE1071" s="7"/>
      <c r="CF1071" s="7"/>
      <c r="CG1071" s="7"/>
    </row>
    <row r="1072" spans="3:85"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F1072" s="7"/>
      <c r="AG1072" s="7"/>
      <c r="AH1072" s="7"/>
      <c r="AI1072" s="7"/>
      <c r="AJ1072" s="7"/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  <c r="BB1072" s="7"/>
      <c r="BC1072" s="7"/>
      <c r="BD1072" s="7"/>
      <c r="BE1072" s="7"/>
      <c r="BF1072" s="7"/>
      <c r="BG1072" s="7"/>
      <c r="BH1072" s="7"/>
      <c r="BI1072" s="7"/>
      <c r="BJ1072" s="7"/>
      <c r="BK1072" s="7"/>
      <c r="BL1072" s="7"/>
      <c r="BM1072" s="7"/>
      <c r="BN1072" s="7"/>
      <c r="BO1072" s="7"/>
      <c r="BP1072" s="7"/>
      <c r="BQ1072" s="7"/>
      <c r="BR1072" s="7"/>
      <c r="BS1072" s="7"/>
      <c r="BT1072" s="7"/>
      <c r="BU1072" s="7"/>
      <c r="BV1072" s="7"/>
      <c r="BW1072" s="7"/>
      <c r="BX1072" s="7"/>
      <c r="BY1072" s="7"/>
      <c r="BZ1072" s="7"/>
      <c r="CA1072" s="7"/>
      <c r="CB1072" s="7"/>
      <c r="CC1072" s="7"/>
      <c r="CD1072" s="7"/>
      <c r="CE1072" s="7"/>
      <c r="CF1072" s="7"/>
      <c r="CG1072" s="7"/>
    </row>
    <row r="1073" spans="3:85"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F1073" s="7"/>
      <c r="AG1073" s="7"/>
      <c r="AH1073" s="7"/>
      <c r="AI1073" s="7"/>
      <c r="AJ1073" s="7"/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  <c r="BB1073" s="7"/>
      <c r="BC1073" s="7"/>
      <c r="BD1073" s="7"/>
      <c r="BE1073" s="7"/>
      <c r="BF1073" s="7"/>
      <c r="BG1073" s="7"/>
      <c r="BH1073" s="7"/>
      <c r="BI1073" s="7"/>
      <c r="BJ1073" s="7"/>
      <c r="BK1073" s="7"/>
      <c r="BL1073" s="7"/>
      <c r="BM1073" s="7"/>
      <c r="BN1073" s="7"/>
      <c r="BO1073" s="7"/>
      <c r="BP1073" s="7"/>
      <c r="BQ1073" s="7"/>
      <c r="BR1073" s="7"/>
      <c r="BS1073" s="7"/>
      <c r="BT1073" s="7"/>
      <c r="BU1073" s="7"/>
      <c r="BV1073" s="7"/>
      <c r="BW1073" s="7"/>
      <c r="BX1073" s="7"/>
      <c r="BY1073" s="7"/>
      <c r="BZ1073" s="7"/>
      <c r="CA1073" s="7"/>
      <c r="CB1073" s="7"/>
      <c r="CC1073" s="7"/>
      <c r="CD1073" s="7"/>
      <c r="CE1073" s="7"/>
      <c r="CF1073" s="7"/>
      <c r="CG1073" s="7"/>
    </row>
    <row r="1074" spans="3:85"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F1074" s="7"/>
      <c r="AG1074" s="7"/>
      <c r="AH1074" s="7"/>
      <c r="AI1074" s="7"/>
      <c r="AJ1074" s="7"/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  <c r="BB1074" s="7"/>
      <c r="BC1074" s="7"/>
      <c r="BD1074" s="7"/>
      <c r="BE1074" s="7"/>
      <c r="BF1074" s="7"/>
      <c r="BG1074" s="7"/>
      <c r="BH1074" s="7"/>
      <c r="BI1074" s="7"/>
      <c r="BJ1074" s="7"/>
      <c r="BK1074" s="7"/>
      <c r="BL1074" s="7"/>
      <c r="BM1074" s="7"/>
      <c r="BN1074" s="7"/>
      <c r="BO1074" s="7"/>
      <c r="BP1074" s="7"/>
      <c r="BQ1074" s="7"/>
      <c r="BR1074" s="7"/>
      <c r="BS1074" s="7"/>
      <c r="BT1074" s="7"/>
      <c r="BU1074" s="7"/>
      <c r="BV1074" s="7"/>
      <c r="BW1074" s="7"/>
      <c r="BX1074" s="7"/>
      <c r="BY1074" s="7"/>
      <c r="BZ1074" s="7"/>
      <c r="CA1074" s="7"/>
      <c r="CB1074" s="7"/>
      <c r="CC1074" s="7"/>
      <c r="CD1074" s="7"/>
      <c r="CE1074" s="7"/>
      <c r="CF1074" s="7"/>
      <c r="CG1074" s="7"/>
    </row>
    <row r="1075" spans="3:85"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F1075" s="7"/>
      <c r="AG1075" s="7"/>
      <c r="AH1075" s="7"/>
      <c r="AI1075" s="7"/>
      <c r="AJ1075" s="7"/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  <c r="BB1075" s="7"/>
      <c r="BC1075" s="7"/>
      <c r="BD1075" s="7"/>
      <c r="BE1075" s="7"/>
      <c r="BF1075" s="7"/>
      <c r="BG1075" s="7"/>
      <c r="BH1075" s="7"/>
      <c r="BI1075" s="7"/>
      <c r="BJ1075" s="7"/>
      <c r="BK1075" s="7"/>
      <c r="BL1075" s="7"/>
      <c r="BM1075" s="7"/>
      <c r="BN1075" s="7"/>
      <c r="BO1075" s="7"/>
      <c r="BP1075" s="7"/>
      <c r="BQ1075" s="7"/>
      <c r="BR1075" s="7"/>
      <c r="BS1075" s="7"/>
      <c r="BT1075" s="7"/>
      <c r="BU1075" s="7"/>
      <c r="BV1075" s="7"/>
      <c r="BW1075" s="7"/>
      <c r="BX1075" s="7"/>
      <c r="BY1075" s="7"/>
      <c r="BZ1075" s="7"/>
      <c r="CA1075" s="7"/>
      <c r="CB1075" s="7"/>
      <c r="CC1075" s="7"/>
      <c r="CD1075" s="7"/>
      <c r="CE1075" s="7"/>
      <c r="CF1075" s="7"/>
      <c r="CG1075" s="7"/>
    </row>
    <row r="1076" spans="3:85"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F1076" s="7"/>
      <c r="AG1076" s="7"/>
      <c r="AH1076" s="7"/>
      <c r="AI1076" s="7"/>
      <c r="AJ1076" s="7"/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  <c r="BB1076" s="7"/>
      <c r="BC1076" s="7"/>
      <c r="BD1076" s="7"/>
      <c r="BE1076" s="7"/>
      <c r="BF1076" s="7"/>
      <c r="BG1076" s="7"/>
      <c r="BH1076" s="7"/>
      <c r="BI1076" s="7"/>
      <c r="BJ1076" s="7"/>
      <c r="BK1076" s="7"/>
      <c r="BL1076" s="7"/>
      <c r="BM1076" s="7"/>
      <c r="BN1076" s="7"/>
      <c r="BO1076" s="7"/>
      <c r="BP1076" s="7"/>
      <c r="BQ1076" s="7"/>
      <c r="BR1076" s="7"/>
      <c r="BS1076" s="7"/>
      <c r="BT1076" s="7"/>
      <c r="BU1076" s="7"/>
      <c r="BV1076" s="7"/>
      <c r="BW1076" s="7"/>
      <c r="BX1076" s="7"/>
      <c r="BY1076" s="7"/>
      <c r="BZ1076" s="7"/>
      <c r="CA1076" s="7"/>
      <c r="CB1076" s="7"/>
      <c r="CC1076" s="7"/>
      <c r="CD1076" s="7"/>
      <c r="CE1076" s="7"/>
      <c r="CF1076" s="7"/>
      <c r="CG1076" s="7"/>
    </row>
    <row r="1077" spans="3:85"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F1077" s="7"/>
      <c r="AG1077" s="7"/>
      <c r="AH1077" s="7"/>
      <c r="AI1077" s="7"/>
      <c r="AJ1077" s="7"/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  <c r="BB1077" s="7"/>
      <c r="BC1077" s="7"/>
      <c r="BD1077" s="7"/>
      <c r="BE1077" s="7"/>
      <c r="BF1077" s="7"/>
      <c r="BG1077" s="7"/>
      <c r="BH1077" s="7"/>
      <c r="BI1077" s="7"/>
      <c r="BJ1077" s="7"/>
      <c r="BK1077" s="7"/>
      <c r="BL1077" s="7"/>
      <c r="BM1077" s="7"/>
      <c r="BN1077" s="7"/>
      <c r="BO1077" s="7"/>
      <c r="BP1077" s="7"/>
      <c r="BQ1077" s="7"/>
      <c r="BR1077" s="7"/>
      <c r="BS1077" s="7"/>
      <c r="BT1077" s="7"/>
      <c r="BU1077" s="7"/>
      <c r="BV1077" s="7"/>
      <c r="BW1077" s="7"/>
      <c r="BX1077" s="7"/>
      <c r="BY1077" s="7"/>
      <c r="BZ1077" s="7"/>
      <c r="CA1077" s="7"/>
      <c r="CB1077" s="7"/>
      <c r="CC1077" s="7"/>
      <c r="CD1077" s="7"/>
      <c r="CE1077" s="7"/>
      <c r="CF1077" s="7"/>
      <c r="CG1077" s="7"/>
    </row>
    <row r="1078" spans="3:85"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F1078" s="7"/>
      <c r="AG1078" s="7"/>
      <c r="AH1078" s="7"/>
      <c r="AI1078" s="7"/>
      <c r="AJ1078" s="7"/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  <c r="BB1078" s="7"/>
      <c r="BC1078" s="7"/>
      <c r="BD1078" s="7"/>
      <c r="BE1078" s="7"/>
      <c r="BF1078" s="7"/>
      <c r="BG1078" s="7"/>
      <c r="BH1078" s="7"/>
      <c r="BI1078" s="7"/>
      <c r="BJ1078" s="7"/>
      <c r="BK1078" s="7"/>
      <c r="BL1078" s="7"/>
      <c r="BM1078" s="7"/>
      <c r="BN1078" s="7"/>
      <c r="BO1078" s="7"/>
      <c r="BP1078" s="7"/>
      <c r="BQ1078" s="7"/>
      <c r="BR1078" s="7"/>
      <c r="BS1078" s="7"/>
      <c r="BT1078" s="7"/>
      <c r="BU1078" s="7"/>
      <c r="BV1078" s="7"/>
      <c r="BW1078" s="7"/>
      <c r="BX1078" s="7"/>
      <c r="BY1078" s="7"/>
      <c r="BZ1078" s="7"/>
      <c r="CA1078" s="7"/>
      <c r="CB1078" s="7"/>
      <c r="CC1078" s="7"/>
      <c r="CD1078" s="7"/>
      <c r="CE1078" s="7"/>
      <c r="CF1078" s="7"/>
      <c r="CG1078" s="7"/>
    </row>
    <row r="1079" spans="3:85"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F1079" s="7"/>
      <c r="AG1079" s="7"/>
      <c r="AH1079" s="7"/>
      <c r="AI1079" s="7"/>
      <c r="AJ1079" s="7"/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  <c r="BB1079" s="7"/>
      <c r="BC1079" s="7"/>
      <c r="BD1079" s="7"/>
      <c r="BE1079" s="7"/>
      <c r="BF1079" s="7"/>
      <c r="BG1079" s="7"/>
      <c r="BH1079" s="7"/>
      <c r="BI1079" s="7"/>
      <c r="BJ1079" s="7"/>
      <c r="BK1079" s="7"/>
      <c r="BL1079" s="7"/>
      <c r="BM1079" s="7"/>
      <c r="BN1079" s="7"/>
      <c r="BO1079" s="7"/>
      <c r="BP1079" s="7"/>
      <c r="BQ1079" s="7"/>
      <c r="BR1079" s="7"/>
      <c r="BS1079" s="7"/>
      <c r="BT1079" s="7"/>
      <c r="BU1079" s="7"/>
      <c r="BV1079" s="7"/>
      <c r="BW1079" s="7"/>
      <c r="BX1079" s="7"/>
      <c r="BY1079" s="7"/>
      <c r="BZ1079" s="7"/>
      <c r="CA1079" s="7"/>
      <c r="CB1079" s="7"/>
      <c r="CC1079" s="7"/>
      <c r="CD1079" s="7"/>
      <c r="CE1079" s="7"/>
      <c r="CF1079" s="7"/>
      <c r="CG1079" s="7"/>
    </row>
    <row r="1080" spans="3:85"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F1080" s="7"/>
      <c r="AG1080" s="7"/>
      <c r="AH1080" s="7"/>
      <c r="AI1080" s="7"/>
      <c r="AJ1080" s="7"/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  <c r="BB1080" s="7"/>
      <c r="BC1080" s="7"/>
      <c r="BD1080" s="7"/>
      <c r="BE1080" s="7"/>
      <c r="BF1080" s="7"/>
      <c r="BG1080" s="7"/>
      <c r="BH1080" s="7"/>
      <c r="BI1080" s="7"/>
      <c r="BJ1080" s="7"/>
      <c r="BK1080" s="7"/>
      <c r="BL1080" s="7"/>
      <c r="BM1080" s="7"/>
      <c r="BN1080" s="7"/>
      <c r="BO1080" s="7"/>
      <c r="BP1080" s="7"/>
      <c r="BQ1080" s="7"/>
      <c r="BR1080" s="7"/>
      <c r="BS1080" s="7"/>
      <c r="BT1080" s="7"/>
      <c r="BU1080" s="7"/>
      <c r="BV1080" s="7"/>
      <c r="BW1080" s="7"/>
      <c r="BX1080" s="7"/>
      <c r="BY1080" s="7"/>
      <c r="BZ1080" s="7"/>
      <c r="CA1080" s="7"/>
      <c r="CB1080" s="7"/>
      <c r="CC1080" s="7"/>
      <c r="CD1080" s="7"/>
      <c r="CE1080" s="7"/>
      <c r="CF1080" s="7"/>
      <c r="CG1080" s="7"/>
    </row>
    <row r="1081" spans="3:85"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F1081" s="7"/>
      <c r="AG1081" s="7"/>
      <c r="AH1081" s="7"/>
      <c r="AI1081" s="7"/>
      <c r="AJ1081" s="7"/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  <c r="BB1081" s="7"/>
      <c r="BC1081" s="7"/>
      <c r="BD1081" s="7"/>
      <c r="BE1081" s="7"/>
      <c r="BF1081" s="7"/>
      <c r="BG1081" s="7"/>
      <c r="BH1081" s="7"/>
      <c r="BI1081" s="7"/>
      <c r="BJ1081" s="7"/>
      <c r="BK1081" s="7"/>
      <c r="BL1081" s="7"/>
      <c r="BM1081" s="7"/>
      <c r="BN1081" s="7"/>
      <c r="BO1081" s="7"/>
      <c r="BP1081" s="7"/>
      <c r="BQ1081" s="7"/>
      <c r="BR1081" s="7"/>
      <c r="BS1081" s="7"/>
      <c r="BT1081" s="7"/>
      <c r="BU1081" s="7"/>
      <c r="BV1081" s="7"/>
      <c r="BW1081" s="7"/>
      <c r="BX1081" s="7"/>
      <c r="BY1081" s="7"/>
      <c r="BZ1081" s="7"/>
      <c r="CA1081" s="7"/>
      <c r="CB1081" s="7"/>
      <c r="CC1081" s="7"/>
      <c r="CD1081" s="7"/>
      <c r="CE1081" s="7"/>
      <c r="CF1081" s="7"/>
      <c r="CG1081" s="7"/>
    </row>
    <row r="1082" spans="3:85"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F1082" s="7"/>
      <c r="AG1082" s="7"/>
      <c r="AH1082" s="7"/>
      <c r="AI1082" s="7"/>
      <c r="AJ1082" s="7"/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  <c r="BB1082" s="7"/>
      <c r="BC1082" s="7"/>
      <c r="BD1082" s="7"/>
      <c r="BE1082" s="7"/>
      <c r="BF1082" s="7"/>
      <c r="BG1082" s="7"/>
      <c r="BH1082" s="7"/>
      <c r="BI1082" s="7"/>
      <c r="BJ1082" s="7"/>
      <c r="BK1082" s="7"/>
      <c r="BL1082" s="7"/>
      <c r="BM1082" s="7"/>
      <c r="BN1082" s="7"/>
      <c r="BO1082" s="7"/>
      <c r="BP1082" s="7"/>
      <c r="BQ1082" s="7"/>
      <c r="BR1082" s="7"/>
      <c r="BS1082" s="7"/>
      <c r="BT1082" s="7"/>
      <c r="BU1082" s="7"/>
      <c r="BV1082" s="7"/>
      <c r="BW1082" s="7"/>
      <c r="BX1082" s="7"/>
      <c r="BY1082" s="7"/>
      <c r="BZ1082" s="7"/>
      <c r="CA1082" s="7"/>
      <c r="CB1082" s="7"/>
      <c r="CC1082" s="7"/>
      <c r="CD1082" s="7"/>
      <c r="CE1082" s="7"/>
      <c r="CF1082" s="7"/>
      <c r="CG1082" s="7"/>
    </row>
    <row r="1083" spans="3:85"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F1083" s="7"/>
      <c r="AG1083" s="7"/>
      <c r="AH1083" s="7"/>
      <c r="AI1083" s="7"/>
      <c r="AJ1083" s="7"/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  <c r="BB1083" s="7"/>
      <c r="BC1083" s="7"/>
      <c r="BD1083" s="7"/>
      <c r="BE1083" s="7"/>
      <c r="BF1083" s="7"/>
      <c r="BG1083" s="7"/>
      <c r="BH1083" s="7"/>
      <c r="BI1083" s="7"/>
      <c r="BJ1083" s="7"/>
      <c r="BK1083" s="7"/>
      <c r="BL1083" s="7"/>
      <c r="BM1083" s="7"/>
      <c r="BN1083" s="7"/>
      <c r="BO1083" s="7"/>
      <c r="BP1083" s="7"/>
      <c r="BQ1083" s="7"/>
      <c r="BR1083" s="7"/>
      <c r="BS1083" s="7"/>
      <c r="BT1083" s="7"/>
      <c r="BU1083" s="7"/>
      <c r="BV1083" s="7"/>
      <c r="BW1083" s="7"/>
      <c r="BX1083" s="7"/>
      <c r="BY1083" s="7"/>
      <c r="BZ1083" s="7"/>
      <c r="CA1083" s="7"/>
      <c r="CB1083" s="7"/>
      <c r="CC1083" s="7"/>
      <c r="CD1083" s="7"/>
      <c r="CE1083" s="7"/>
      <c r="CF1083" s="7"/>
      <c r="CG1083" s="7"/>
    </row>
    <row r="1084" spans="3:85"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F1084" s="7"/>
      <c r="AG1084" s="7"/>
      <c r="AH1084" s="7"/>
      <c r="AI1084" s="7"/>
      <c r="AJ1084" s="7"/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  <c r="BB1084" s="7"/>
      <c r="BC1084" s="7"/>
      <c r="BD1084" s="7"/>
      <c r="BE1084" s="7"/>
      <c r="BF1084" s="7"/>
      <c r="BG1084" s="7"/>
      <c r="BH1084" s="7"/>
      <c r="BI1084" s="7"/>
      <c r="BJ1084" s="7"/>
      <c r="BK1084" s="7"/>
      <c r="BL1084" s="7"/>
      <c r="BM1084" s="7"/>
      <c r="BN1084" s="7"/>
      <c r="BO1084" s="7"/>
      <c r="BP1084" s="7"/>
      <c r="BQ1084" s="7"/>
      <c r="BR1084" s="7"/>
      <c r="BS1084" s="7"/>
      <c r="BT1084" s="7"/>
      <c r="BU1084" s="7"/>
      <c r="BV1084" s="7"/>
      <c r="BW1084" s="7"/>
      <c r="BX1084" s="7"/>
      <c r="BY1084" s="7"/>
      <c r="BZ1084" s="7"/>
      <c r="CA1084" s="7"/>
      <c r="CB1084" s="7"/>
      <c r="CC1084" s="7"/>
      <c r="CD1084" s="7"/>
      <c r="CE1084" s="7"/>
      <c r="CF1084" s="7"/>
      <c r="CG1084" s="7"/>
    </row>
    <row r="1085" spans="3:85"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F1085" s="7"/>
      <c r="AG1085" s="7"/>
      <c r="AH1085" s="7"/>
      <c r="AI1085" s="7"/>
      <c r="AJ1085" s="7"/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  <c r="BB1085" s="7"/>
      <c r="BC1085" s="7"/>
      <c r="BD1085" s="7"/>
      <c r="BE1085" s="7"/>
      <c r="BF1085" s="7"/>
      <c r="BG1085" s="7"/>
      <c r="BH1085" s="7"/>
      <c r="BI1085" s="7"/>
      <c r="BJ1085" s="7"/>
      <c r="BK1085" s="7"/>
      <c r="BL1085" s="7"/>
      <c r="BM1085" s="7"/>
      <c r="BN1085" s="7"/>
      <c r="BO1085" s="7"/>
      <c r="BP1085" s="7"/>
      <c r="BQ1085" s="7"/>
      <c r="BR1085" s="7"/>
      <c r="BS1085" s="7"/>
      <c r="BT1085" s="7"/>
      <c r="BU1085" s="7"/>
      <c r="BV1085" s="7"/>
      <c r="BW1085" s="7"/>
      <c r="BX1085" s="7"/>
      <c r="BY1085" s="7"/>
      <c r="BZ1085" s="7"/>
      <c r="CA1085" s="7"/>
      <c r="CB1085" s="7"/>
      <c r="CC1085" s="7"/>
      <c r="CD1085" s="7"/>
      <c r="CE1085" s="7"/>
      <c r="CF1085" s="7"/>
      <c r="CG1085" s="7"/>
    </row>
    <row r="1086" spans="3:85"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F1086" s="7"/>
      <c r="AG1086" s="7"/>
      <c r="AH1086" s="7"/>
      <c r="AI1086" s="7"/>
      <c r="AJ1086" s="7"/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  <c r="BB1086" s="7"/>
      <c r="BC1086" s="7"/>
      <c r="BD1086" s="7"/>
      <c r="BE1086" s="7"/>
      <c r="BF1086" s="7"/>
      <c r="BG1086" s="7"/>
      <c r="BH1086" s="7"/>
      <c r="BI1086" s="7"/>
      <c r="BJ1086" s="7"/>
      <c r="BK1086" s="7"/>
      <c r="BL1086" s="7"/>
      <c r="BM1086" s="7"/>
      <c r="BN1086" s="7"/>
      <c r="BO1086" s="7"/>
      <c r="BP1086" s="7"/>
      <c r="BQ1086" s="7"/>
      <c r="BR1086" s="7"/>
      <c r="BS1086" s="7"/>
      <c r="BT1086" s="7"/>
      <c r="BU1086" s="7"/>
      <c r="BV1086" s="7"/>
      <c r="BW1086" s="7"/>
      <c r="BX1086" s="7"/>
      <c r="BY1086" s="7"/>
      <c r="BZ1086" s="7"/>
      <c r="CA1086" s="7"/>
      <c r="CB1086" s="7"/>
      <c r="CC1086" s="7"/>
      <c r="CD1086" s="7"/>
      <c r="CE1086" s="7"/>
      <c r="CF1086" s="7"/>
      <c r="CG1086" s="7"/>
    </row>
    <row r="1087" spans="3:85"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F1087" s="7"/>
      <c r="AG1087" s="7"/>
      <c r="AH1087" s="7"/>
      <c r="AI1087" s="7"/>
      <c r="AJ1087" s="7"/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  <c r="BB1087" s="7"/>
      <c r="BC1087" s="7"/>
      <c r="BD1087" s="7"/>
      <c r="BE1087" s="7"/>
      <c r="BF1087" s="7"/>
      <c r="BG1087" s="7"/>
      <c r="BH1087" s="7"/>
      <c r="BI1087" s="7"/>
      <c r="BJ1087" s="7"/>
      <c r="BK1087" s="7"/>
      <c r="BL1087" s="7"/>
      <c r="BM1087" s="7"/>
      <c r="BN1087" s="7"/>
      <c r="BO1087" s="7"/>
      <c r="BP1087" s="7"/>
      <c r="BQ1087" s="7"/>
      <c r="BR1087" s="7"/>
      <c r="BS1087" s="7"/>
      <c r="BT1087" s="7"/>
      <c r="BU1087" s="7"/>
      <c r="BV1087" s="7"/>
      <c r="BW1087" s="7"/>
      <c r="BX1087" s="7"/>
      <c r="BY1087" s="7"/>
      <c r="BZ1087" s="7"/>
      <c r="CA1087" s="7"/>
      <c r="CB1087" s="7"/>
      <c r="CC1087" s="7"/>
      <c r="CD1087" s="7"/>
      <c r="CE1087" s="7"/>
      <c r="CF1087" s="7"/>
      <c r="CG1087" s="7"/>
    </row>
    <row r="1088" spans="3:85"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F1088" s="7"/>
      <c r="AG1088" s="7"/>
      <c r="AH1088" s="7"/>
      <c r="AI1088" s="7"/>
      <c r="AJ1088" s="7"/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  <c r="BB1088" s="7"/>
      <c r="BC1088" s="7"/>
      <c r="BD1088" s="7"/>
      <c r="BE1088" s="7"/>
      <c r="BF1088" s="7"/>
      <c r="BG1088" s="7"/>
      <c r="BH1088" s="7"/>
      <c r="BI1088" s="7"/>
      <c r="BJ1088" s="7"/>
      <c r="BK1088" s="7"/>
      <c r="BL1088" s="7"/>
      <c r="BM1088" s="7"/>
      <c r="BN1088" s="7"/>
      <c r="BO1088" s="7"/>
      <c r="BP1088" s="7"/>
      <c r="BQ1088" s="7"/>
      <c r="BR1088" s="7"/>
      <c r="BS1088" s="7"/>
      <c r="BT1088" s="7"/>
      <c r="BU1088" s="7"/>
      <c r="BV1088" s="7"/>
      <c r="BW1088" s="7"/>
      <c r="BX1088" s="7"/>
      <c r="BY1088" s="7"/>
      <c r="BZ1088" s="7"/>
      <c r="CA1088" s="7"/>
      <c r="CB1088" s="7"/>
      <c r="CC1088" s="7"/>
      <c r="CD1088" s="7"/>
      <c r="CE1088" s="7"/>
      <c r="CF1088" s="7"/>
      <c r="CG1088" s="7"/>
    </row>
    <row r="1089" spans="3:85"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F1089" s="7"/>
      <c r="AG1089" s="7"/>
      <c r="AH1089" s="7"/>
      <c r="AI1089" s="7"/>
      <c r="AJ1089" s="7"/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  <c r="BB1089" s="7"/>
      <c r="BC1089" s="7"/>
      <c r="BD1089" s="7"/>
      <c r="BE1089" s="7"/>
      <c r="BF1089" s="7"/>
      <c r="BG1089" s="7"/>
      <c r="BH1089" s="7"/>
      <c r="BI1089" s="7"/>
      <c r="BJ1089" s="7"/>
      <c r="BK1089" s="7"/>
      <c r="BL1089" s="7"/>
      <c r="BM1089" s="7"/>
      <c r="BN1089" s="7"/>
      <c r="BO1089" s="7"/>
      <c r="BP1089" s="7"/>
      <c r="BQ1089" s="7"/>
      <c r="BR1089" s="7"/>
      <c r="BS1089" s="7"/>
      <c r="BT1089" s="7"/>
      <c r="BU1089" s="7"/>
      <c r="BV1089" s="7"/>
      <c r="BW1089" s="7"/>
      <c r="BX1089" s="7"/>
      <c r="BY1089" s="7"/>
      <c r="BZ1089" s="7"/>
      <c r="CA1089" s="7"/>
      <c r="CB1089" s="7"/>
      <c r="CC1089" s="7"/>
      <c r="CD1089" s="7"/>
      <c r="CE1089" s="7"/>
      <c r="CF1089" s="7"/>
      <c r="CG1089" s="7"/>
    </row>
    <row r="1090" spans="3:85"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F1090" s="7"/>
      <c r="AG1090" s="7"/>
      <c r="AH1090" s="7"/>
      <c r="AI1090" s="7"/>
      <c r="AJ1090" s="7"/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  <c r="BB1090" s="7"/>
      <c r="BC1090" s="7"/>
      <c r="BD1090" s="7"/>
      <c r="BE1090" s="7"/>
      <c r="BF1090" s="7"/>
      <c r="BG1090" s="7"/>
      <c r="BH1090" s="7"/>
      <c r="BI1090" s="7"/>
      <c r="BJ1090" s="7"/>
      <c r="BK1090" s="7"/>
      <c r="BL1090" s="7"/>
      <c r="BM1090" s="7"/>
      <c r="BN1090" s="7"/>
      <c r="BO1090" s="7"/>
      <c r="BP1090" s="7"/>
      <c r="BQ1090" s="7"/>
      <c r="BR1090" s="7"/>
      <c r="BS1090" s="7"/>
      <c r="BT1090" s="7"/>
      <c r="BU1090" s="7"/>
      <c r="BV1090" s="7"/>
      <c r="BW1090" s="7"/>
      <c r="BX1090" s="7"/>
      <c r="BY1090" s="7"/>
      <c r="BZ1090" s="7"/>
      <c r="CA1090" s="7"/>
      <c r="CB1090" s="7"/>
      <c r="CC1090" s="7"/>
      <c r="CD1090" s="7"/>
      <c r="CE1090" s="7"/>
      <c r="CF1090" s="7"/>
      <c r="CG1090" s="7"/>
    </row>
    <row r="1091" spans="3:85"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F1091" s="7"/>
      <c r="AG1091" s="7"/>
      <c r="AH1091" s="7"/>
      <c r="AI1091" s="7"/>
      <c r="AJ1091" s="7"/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  <c r="BB1091" s="7"/>
      <c r="BC1091" s="7"/>
      <c r="BD1091" s="7"/>
      <c r="BE1091" s="7"/>
      <c r="BF1091" s="7"/>
      <c r="BG1091" s="7"/>
      <c r="BH1091" s="7"/>
      <c r="BI1091" s="7"/>
      <c r="BJ1091" s="7"/>
      <c r="BK1091" s="7"/>
      <c r="BL1091" s="7"/>
      <c r="BM1091" s="7"/>
      <c r="BN1091" s="7"/>
      <c r="BO1091" s="7"/>
      <c r="BP1091" s="7"/>
      <c r="BQ1091" s="7"/>
      <c r="BR1091" s="7"/>
      <c r="BS1091" s="7"/>
      <c r="BT1091" s="7"/>
      <c r="BU1091" s="7"/>
      <c r="BV1091" s="7"/>
      <c r="BW1091" s="7"/>
      <c r="BX1091" s="7"/>
      <c r="BY1091" s="7"/>
      <c r="BZ1091" s="7"/>
      <c r="CA1091" s="7"/>
      <c r="CB1091" s="7"/>
      <c r="CC1091" s="7"/>
      <c r="CD1091" s="7"/>
      <c r="CE1091" s="7"/>
      <c r="CF1091" s="7"/>
      <c r="CG1091" s="7"/>
    </row>
    <row r="1092" spans="3:85"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F1092" s="7"/>
      <c r="AG1092" s="7"/>
      <c r="AH1092" s="7"/>
      <c r="AI1092" s="7"/>
      <c r="AJ1092" s="7"/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  <c r="BB1092" s="7"/>
      <c r="BC1092" s="7"/>
      <c r="BD1092" s="7"/>
      <c r="BE1092" s="7"/>
      <c r="BF1092" s="7"/>
      <c r="BG1092" s="7"/>
      <c r="BH1092" s="7"/>
      <c r="BI1092" s="7"/>
      <c r="BJ1092" s="7"/>
      <c r="BK1092" s="7"/>
      <c r="BL1092" s="7"/>
      <c r="BM1092" s="7"/>
      <c r="BN1092" s="7"/>
      <c r="BO1092" s="7"/>
      <c r="BP1092" s="7"/>
      <c r="BQ1092" s="7"/>
      <c r="BR1092" s="7"/>
      <c r="BS1092" s="7"/>
      <c r="BT1092" s="7"/>
      <c r="BU1092" s="7"/>
      <c r="BV1092" s="7"/>
      <c r="BW1092" s="7"/>
      <c r="BX1092" s="7"/>
      <c r="BY1092" s="7"/>
      <c r="BZ1092" s="7"/>
      <c r="CA1092" s="7"/>
      <c r="CB1092" s="7"/>
      <c r="CC1092" s="7"/>
      <c r="CD1092" s="7"/>
      <c r="CE1092" s="7"/>
      <c r="CF1092" s="7"/>
      <c r="CG1092" s="7"/>
    </row>
    <row r="1093" spans="3:85"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F1093" s="7"/>
      <c r="AG1093" s="7"/>
      <c r="AH1093" s="7"/>
      <c r="AI1093" s="7"/>
      <c r="AJ1093" s="7"/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  <c r="BB1093" s="7"/>
      <c r="BC1093" s="7"/>
      <c r="BD1093" s="7"/>
      <c r="BE1093" s="7"/>
      <c r="BF1093" s="7"/>
      <c r="BG1093" s="7"/>
      <c r="BH1093" s="7"/>
      <c r="BI1093" s="7"/>
      <c r="BJ1093" s="7"/>
      <c r="BK1093" s="7"/>
      <c r="BL1093" s="7"/>
      <c r="BM1093" s="7"/>
      <c r="BN1093" s="7"/>
      <c r="BO1093" s="7"/>
      <c r="BP1093" s="7"/>
      <c r="BQ1093" s="7"/>
      <c r="BR1093" s="7"/>
      <c r="BS1093" s="7"/>
      <c r="BT1093" s="7"/>
      <c r="BU1093" s="7"/>
      <c r="BV1093" s="7"/>
      <c r="BW1093" s="7"/>
      <c r="BX1093" s="7"/>
      <c r="BY1093" s="7"/>
      <c r="BZ1093" s="7"/>
      <c r="CA1093" s="7"/>
      <c r="CB1093" s="7"/>
      <c r="CC1093" s="7"/>
      <c r="CD1093" s="7"/>
      <c r="CE1093" s="7"/>
      <c r="CF1093" s="7"/>
      <c r="CG1093" s="7"/>
    </row>
    <row r="1094" spans="3:85"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F1094" s="7"/>
      <c r="AG1094" s="7"/>
      <c r="AH1094" s="7"/>
      <c r="AI1094" s="7"/>
      <c r="AJ1094" s="7"/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  <c r="BB1094" s="7"/>
      <c r="BC1094" s="7"/>
      <c r="BD1094" s="7"/>
      <c r="BE1094" s="7"/>
      <c r="BF1094" s="7"/>
      <c r="BG1094" s="7"/>
      <c r="BH1094" s="7"/>
      <c r="BI1094" s="7"/>
      <c r="BJ1094" s="7"/>
      <c r="BK1094" s="7"/>
      <c r="BL1094" s="7"/>
      <c r="BM1094" s="7"/>
      <c r="BN1094" s="7"/>
      <c r="BO1094" s="7"/>
      <c r="BP1094" s="7"/>
      <c r="BQ1094" s="7"/>
      <c r="BR1094" s="7"/>
      <c r="BS1094" s="7"/>
      <c r="BT1094" s="7"/>
      <c r="BU1094" s="7"/>
      <c r="BV1094" s="7"/>
      <c r="BW1094" s="7"/>
      <c r="BX1094" s="7"/>
      <c r="BY1094" s="7"/>
      <c r="BZ1094" s="7"/>
      <c r="CA1094" s="7"/>
      <c r="CB1094" s="7"/>
      <c r="CC1094" s="7"/>
      <c r="CD1094" s="7"/>
      <c r="CE1094" s="7"/>
      <c r="CF1094" s="7"/>
      <c r="CG1094" s="7"/>
    </row>
    <row r="1095" spans="3:85"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F1095" s="7"/>
      <c r="AG1095" s="7"/>
      <c r="AH1095" s="7"/>
      <c r="AI1095" s="7"/>
      <c r="AJ1095" s="7"/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  <c r="BB1095" s="7"/>
      <c r="BC1095" s="7"/>
      <c r="BD1095" s="7"/>
      <c r="BE1095" s="7"/>
      <c r="BF1095" s="7"/>
      <c r="BG1095" s="7"/>
      <c r="BH1095" s="7"/>
      <c r="BI1095" s="7"/>
      <c r="BJ1095" s="7"/>
      <c r="BK1095" s="7"/>
      <c r="BL1095" s="7"/>
      <c r="BM1095" s="7"/>
      <c r="BN1095" s="7"/>
      <c r="BO1095" s="7"/>
      <c r="BP1095" s="7"/>
      <c r="BQ1095" s="7"/>
      <c r="BR1095" s="7"/>
      <c r="BS1095" s="7"/>
      <c r="BT1095" s="7"/>
      <c r="BU1095" s="7"/>
      <c r="BV1095" s="7"/>
      <c r="BW1095" s="7"/>
      <c r="BX1095" s="7"/>
      <c r="BY1095" s="7"/>
      <c r="BZ1095" s="7"/>
      <c r="CA1095" s="7"/>
      <c r="CB1095" s="7"/>
      <c r="CC1095" s="7"/>
      <c r="CD1095" s="7"/>
      <c r="CE1095" s="7"/>
      <c r="CF1095" s="7"/>
      <c r="CG1095" s="7"/>
    </row>
    <row r="1096" spans="3:85"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F1096" s="7"/>
      <c r="AG1096" s="7"/>
      <c r="AH1096" s="7"/>
      <c r="AI1096" s="7"/>
      <c r="AJ1096" s="7"/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  <c r="BB1096" s="7"/>
      <c r="BC1096" s="7"/>
      <c r="BD1096" s="7"/>
      <c r="BE1096" s="7"/>
      <c r="BF1096" s="7"/>
      <c r="BG1096" s="7"/>
      <c r="BH1096" s="7"/>
      <c r="BI1096" s="7"/>
      <c r="BJ1096" s="7"/>
      <c r="BK1096" s="7"/>
      <c r="BL1096" s="7"/>
      <c r="BM1096" s="7"/>
      <c r="BN1096" s="7"/>
      <c r="BO1096" s="7"/>
      <c r="BP1096" s="7"/>
      <c r="BQ1096" s="7"/>
      <c r="BR1096" s="7"/>
      <c r="BS1096" s="7"/>
      <c r="BT1096" s="7"/>
      <c r="BU1096" s="7"/>
      <c r="BV1096" s="7"/>
      <c r="BW1096" s="7"/>
      <c r="BX1096" s="7"/>
      <c r="BY1096" s="7"/>
      <c r="BZ1096" s="7"/>
      <c r="CA1096" s="7"/>
      <c r="CB1096" s="7"/>
      <c r="CC1096" s="7"/>
      <c r="CD1096" s="7"/>
      <c r="CE1096" s="7"/>
      <c r="CF1096" s="7"/>
      <c r="CG1096" s="7"/>
    </row>
    <row r="1097" spans="3:85"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F1097" s="7"/>
      <c r="AG1097" s="7"/>
      <c r="AH1097" s="7"/>
      <c r="AI1097" s="7"/>
      <c r="AJ1097" s="7"/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  <c r="BB1097" s="7"/>
      <c r="BC1097" s="7"/>
      <c r="BD1097" s="7"/>
      <c r="BE1097" s="7"/>
      <c r="BF1097" s="7"/>
      <c r="BG1097" s="7"/>
      <c r="BH1097" s="7"/>
      <c r="BI1097" s="7"/>
      <c r="BJ1097" s="7"/>
      <c r="BK1097" s="7"/>
      <c r="BL1097" s="7"/>
      <c r="BM1097" s="7"/>
      <c r="BN1097" s="7"/>
      <c r="BO1097" s="7"/>
      <c r="BP1097" s="7"/>
      <c r="BQ1097" s="7"/>
      <c r="BR1097" s="7"/>
      <c r="BS1097" s="7"/>
      <c r="BT1097" s="7"/>
      <c r="BU1097" s="7"/>
      <c r="BV1097" s="7"/>
      <c r="BW1097" s="7"/>
      <c r="BX1097" s="7"/>
      <c r="BY1097" s="7"/>
      <c r="BZ1097" s="7"/>
      <c r="CA1097" s="7"/>
      <c r="CB1097" s="7"/>
      <c r="CC1097" s="7"/>
      <c r="CD1097" s="7"/>
      <c r="CE1097" s="7"/>
      <c r="CF1097" s="7"/>
      <c r="CG1097" s="7"/>
    </row>
    <row r="1098" spans="3:85"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F1098" s="7"/>
      <c r="AG1098" s="7"/>
      <c r="AH1098" s="7"/>
      <c r="AI1098" s="7"/>
      <c r="AJ1098" s="7"/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  <c r="BB1098" s="7"/>
      <c r="BC1098" s="7"/>
      <c r="BD1098" s="7"/>
      <c r="BE1098" s="7"/>
      <c r="BF1098" s="7"/>
      <c r="BG1098" s="7"/>
      <c r="BH1098" s="7"/>
      <c r="BI1098" s="7"/>
      <c r="BJ1098" s="7"/>
      <c r="BK1098" s="7"/>
      <c r="BL1098" s="7"/>
      <c r="BM1098" s="7"/>
      <c r="BN1098" s="7"/>
      <c r="BO1098" s="7"/>
      <c r="BP1098" s="7"/>
      <c r="BQ1098" s="7"/>
      <c r="BR1098" s="7"/>
      <c r="BS1098" s="7"/>
      <c r="BT1098" s="7"/>
      <c r="BU1098" s="7"/>
      <c r="BV1098" s="7"/>
      <c r="BW1098" s="7"/>
      <c r="BX1098" s="7"/>
      <c r="BY1098" s="7"/>
      <c r="BZ1098" s="7"/>
      <c r="CA1098" s="7"/>
      <c r="CB1098" s="7"/>
      <c r="CC1098" s="7"/>
      <c r="CD1098" s="7"/>
      <c r="CE1098" s="7"/>
      <c r="CF1098" s="7"/>
      <c r="CG1098" s="7"/>
    </row>
    <row r="1099" spans="3:85"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F1099" s="7"/>
      <c r="AG1099" s="7"/>
      <c r="AH1099" s="7"/>
      <c r="AI1099" s="7"/>
      <c r="AJ1099" s="7"/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  <c r="BB1099" s="7"/>
      <c r="BC1099" s="7"/>
      <c r="BD1099" s="7"/>
      <c r="BE1099" s="7"/>
      <c r="BF1099" s="7"/>
      <c r="BG1099" s="7"/>
      <c r="BH1099" s="7"/>
      <c r="BI1099" s="7"/>
      <c r="BJ1099" s="7"/>
      <c r="BK1099" s="7"/>
      <c r="BL1099" s="7"/>
      <c r="BM1099" s="7"/>
      <c r="BN1099" s="7"/>
      <c r="BO1099" s="7"/>
      <c r="BP1099" s="7"/>
      <c r="BQ1099" s="7"/>
      <c r="BR1099" s="7"/>
      <c r="BS1099" s="7"/>
      <c r="BT1099" s="7"/>
      <c r="BU1099" s="7"/>
      <c r="BV1099" s="7"/>
      <c r="BW1099" s="7"/>
      <c r="BX1099" s="7"/>
      <c r="BY1099" s="7"/>
      <c r="BZ1099" s="7"/>
      <c r="CA1099" s="7"/>
      <c r="CB1099" s="7"/>
      <c r="CC1099" s="7"/>
      <c r="CD1099" s="7"/>
      <c r="CE1099" s="7"/>
      <c r="CF1099" s="7"/>
      <c r="CG1099" s="7"/>
    </row>
    <row r="1100" spans="3:85"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F1100" s="7"/>
      <c r="AG1100" s="7"/>
      <c r="AH1100" s="7"/>
      <c r="AI1100" s="7"/>
      <c r="AJ1100" s="7"/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  <c r="BB1100" s="7"/>
      <c r="BC1100" s="7"/>
      <c r="BD1100" s="7"/>
      <c r="BE1100" s="7"/>
      <c r="BF1100" s="7"/>
      <c r="BG1100" s="7"/>
      <c r="BH1100" s="7"/>
      <c r="BI1100" s="7"/>
      <c r="BJ1100" s="7"/>
      <c r="BK1100" s="7"/>
      <c r="BL1100" s="7"/>
      <c r="BM1100" s="7"/>
      <c r="BN1100" s="7"/>
      <c r="BO1100" s="7"/>
      <c r="BP1100" s="7"/>
      <c r="BQ1100" s="7"/>
      <c r="BR1100" s="7"/>
      <c r="BS1100" s="7"/>
      <c r="BT1100" s="7"/>
      <c r="BU1100" s="7"/>
      <c r="BV1100" s="7"/>
      <c r="BW1100" s="7"/>
      <c r="BX1100" s="7"/>
      <c r="BY1100" s="7"/>
      <c r="BZ1100" s="7"/>
      <c r="CA1100" s="7"/>
      <c r="CB1100" s="7"/>
      <c r="CC1100" s="7"/>
      <c r="CD1100" s="7"/>
      <c r="CE1100" s="7"/>
      <c r="CF1100" s="7"/>
      <c r="CG1100" s="7"/>
    </row>
    <row r="1101" spans="3:85"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F1101" s="7"/>
      <c r="AG1101" s="7"/>
      <c r="AH1101" s="7"/>
      <c r="AI1101" s="7"/>
      <c r="AJ1101" s="7"/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  <c r="BB1101" s="7"/>
      <c r="BC1101" s="7"/>
      <c r="BD1101" s="7"/>
      <c r="BE1101" s="7"/>
      <c r="BF1101" s="7"/>
      <c r="BG1101" s="7"/>
      <c r="BH1101" s="7"/>
      <c r="BI1101" s="7"/>
      <c r="BJ1101" s="7"/>
      <c r="BK1101" s="7"/>
      <c r="BL1101" s="7"/>
      <c r="BM1101" s="7"/>
      <c r="BN1101" s="7"/>
      <c r="BO1101" s="7"/>
      <c r="BP1101" s="7"/>
      <c r="BQ1101" s="7"/>
      <c r="BR1101" s="7"/>
      <c r="BS1101" s="7"/>
      <c r="BT1101" s="7"/>
      <c r="BU1101" s="7"/>
      <c r="BV1101" s="7"/>
      <c r="BW1101" s="7"/>
      <c r="BX1101" s="7"/>
      <c r="BY1101" s="7"/>
      <c r="BZ1101" s="7"/>
      <c r="CA1101" s="7"/>
      <c r="CB1101" s="7"/>
      <c r="CC1101" s="7"/>
      <c r="CD1101" s="7"/>
      <c r="CE1101" s="7"/>
      <c r="CF1101" s="7"/>
      <c r="CG1101" s="7"/>
    </row>
    <row r="1102" spans="3:85"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F1102" s="7"/>
      <c r="AG1102" s="7"/>
      <c r="AH1102" s="7"/>
      <c r="AI1102" s="7"/>
      <c r="AJ1102" s="7"/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  <c r="BB1102" s="7"/>
      <c r="BC1102" s="7"/>
      <c r="BD1102" s="7"/>
      <c r="BE1102" s="7"/>
      <c r="BF1102" s="7"/>
      <c r="BG1102" s="7"/>
      <c r="BH1102" s="7"/>
      <c r="BI1102" s="7"/>
      <c r="BJ1102" s="7"/>
      <c r="BK1102" s="7"/>
      <c r="BL1102" s="7"/>
      <c r="BM1102" s="7"/>
      <c r="BN1102" s="7"/>
      <c r="BO1102" s="7"/>
      <c r="BP1102" s="7"/>
      <c r="BQ1102" s="7"/>
      <c r="BR1102" s="7"/>
      <c r="BS1102" s="7"/>
      <c r="BT1102" s="7"/>
      <c r="BU1102" s="7"/>
      <c r="BV1102" s="7"/>
      <c r="BW1102" s="7"/>
      <c r="BX1102" s="7"/>
      <c r="BY1102" s="7"/>
      <c r="BZ1102" s="7"/>
      <c r="CA1102" s="7"/>
      <c r="CB1102" s="7"/>
      <c r="CC1102" s="7"/>
      <c r="CD1102" s="7"/>
      <c r="CE1102" s="7"/>
      <c r="CF1102" s="7"/>
      <c r="CG1102" s="7"/>
    </row>
    <row r="1103" spans="3:85"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F1103" s="7"/>
      <c r="AG1103" s="7"/>
      <c r="AH1103" s="7"/>
      <c r="AI1103" s="7"/>
      <c r="AJ1103" s="7"/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  <c r="BB1103" s="7"/>
      <c r="BC1103" s="7"/>
      <c r="BD1103" s="7"/>
      <c r="BE1103" s="7"/>
      <c r="BF1103" s="7"/>
      <c r="BG1103" s="7"/>
      <c r="BH1103" s="7"/>
      <c r="BI1103" s="7"/>
      <c r="BJ1103" s="7"/>
      <c r="BK1103" s="7"/>
      <c r="BL1103" s="7"/>
      <c r="BM1103" s="7"/>
      <c r="BN1103" s="7"/>
      <c r="BO1103" s="7"/>
      <c r="BP1103" s="7"/>
      <c r="BQ1103" s="7"/>
      <c r="BR1103" s="7"/>
      <c r="BS1103" s="7"/>
      <c r="BT1103" s="7"/>
      <c r="BU1103" s="7"/>
      <c r="BV1103" s="7"/>
      <c r="BW1103" s="7"/>
      <c r="BX1103" s="7"/>
      <c r="BY1103" s="7"/>
      <c r="BZ1103" s="7"/>
      <c r="CA1103" s="7"/>
      <c r="CB1103" s="7"/>
      <c r="CC1103" s="7"/>
      <c r="CD1103" s="7"/>
      <c r="CE1103" s="7"/>
      <c r="CF1103" s="7"/>
      <c r="CG1103" s="7"/>
    </row>
    <row r="1104" spans="3:85"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F1104" s="7"/>
      <c r="AG1104" s="7"/>
      <c r="AH1104" s="7"/>
      <c r="AI1104" s="7"/>
      <c r="AJ1104" s="7"/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  <c r="BB1104" s="7"/>
      <c r="BC1104" s="7"/>
      <c r="BD1104" s="7"/>
      <c r="BE1104" s="7"/>
      <c r="BF1104" s="7"/>
      <c r="BG1104" s="7"/>
      <c r="BH1104" s="7"/>
      <c r="BI1104" s="7"/>
      <c r="BJ1104" s="7"/>
      <c r="BK1104" s="7"/>
      <c r="BL1104" s="7"/>
      <c r="BM1104" s="7"/>
      <c r="BN1104" s="7"/>
      <c r="BO1104" s="7"/>
      <c r="BP1104" s="7"/>
      <c r="BQ1104" s="7"/>
      <c r="BR1104" s="7"/>
      <c r="BS1104" s="7"/>
      <c r="BT1104" s="7"/>
      <c r="BU1104" s="7"/>
      <c r="BV1104" s="7"/>
      <c r="BW1104" s="7"/>
      <c r="BX1104" s="7"/>
      <c r="BY1104" s="7"/>
      <c r="BZ1104" s="7"/>
      <c r="CA1104" s="7"/>
      <c r="CB1104" s="7"/>
      <c r="CC1104" s="7"/>
      <c r="CD1104" s="7"/>
      <c r="CE1104" s="7"/>
      <c r="CF1104" s="7"/>
      <c r="CG1104" s="7"/>
    </row>
    <row r="1105" spans="3:85"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F1105" s="7"/>
      <c r="AG1105" s="7"/>
      <c r="AH1105" s="7"/>
      <c r="AI1105" s="7"/>
      <c r="AJ1105" s="7"/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  <c r="BB1105" s="7"/>
      <c r="BC1105" s="7"/>
      <c r="BD1105" s="7"/>
      <c r="BE1105" s="7"/>
      <c r="BF1105" s="7"/>
      <c r="BG1105" s="7"/>
      <c r="BH1105" s="7"/>
      <c r="BI1105" s="7"/>
      <c r="BJ1105" s="7"/>
      <c r="BK1105" s="7"/>
      <c r="BL1105" s="7"/>
      <c r="BM1105" s="7"/>
      <c r="BN1105" s="7"/>
      <c r="BO1105" s="7"/>
      <c r="BP1105" s="7"/>
      <c r="BQ1105" s="7"/>
      <c r="BR1105" s="7"/>
      <c r="BS1105" s="7"/>
      <c r="BT1105" s="7"/>
      <c r="BU1105" s="7"/>
      <c r="BV1105" s="7"/>
      <c r="BW1105" s="7"/>
      <c r="BX1105" s="7"/>
      <c r="BY1105" s="7"/>
      <c r="BZ1105" s="7"/>
      <c r="CA1105" s="7"/>
      <c r="CB1105" s="7"/>
      <c r="CC1105" s="7"/>
      <c r="CD1105" s="7"/>
      <c r="CE1105" s="7"/>
      <c r="CF1105" s="7"/>
      <c r="CG1105" s="7"/>
    </row>
    <row r="1106" spans="3:85"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F1106" s="7"/>
      <c r="AG1106" s="7"/>
      <c r="AH1106" s="7"/>
      <c r="AI1106" s="7"/>
      <c r="AJ1106" s="7"/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  <c r="BB1106" s="7"/>
      <c r="BC1106" s="7"/>
      <c r="BD1106" s="7"/>
      <c r="BE1106" s="7"/>
      <c r="BF1106" s="7"/>
      <c r="BG1106" s="7"/>
      <c r="BH1106" s="7"/>
      <c r="BI1106" s="7"/>
      <c r="BJ1106" s="7"/>
      <c r="BK1106" s="7"/>
      <c r="BL1106" s="7"/>
      <c r="BM1106" s="7"/>
      <c r="BN1106" s="7"/>
      <c r="BO1106" s="7"/>
      <c r="BP1106" s="7"/>
      <c r="BQ1106" s="7"/>
      <c r="BR1106" s="7"/>
      <c r="BS1106" s="7"/>
      <c r="BT1106" s="7"/>
      <c r="BU1106" s="7"/>
      <c r="BV1106" s="7"/>
      <c r="BW1106" s="7"/>
      <c r="BX1106" s="7"/>
      <c r="BY1106" s="7"/>
      <c r="BZ1106" s="7"/>
      <c r="CA1106" s="7"/>
      <c r="CB1106" s="7"/>
      <c r="CC1106" s="7"/>
      <c r="CD1106" s="7"/>
      <c r="CE1106" s="7"/>
      <c r="CF1106" s="7"/>
      <c r="CG1106" s="7"/>
    </row>
    <row r="1107" spans="3:85"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F1107" s="7"/>
      <c r="AG1107" s="7"/>
      <c r="AH1107" s="7"/>
      <c r="AI1107" s="7"/>
      <c r="AJ1107" s="7"/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  <c r="BB1107" s="7"/>
      <c r="BC1107" s="7"/>
      <c r="BD1107" s="7"/>
      <c r="BE1107" s="7"/>
      <c r="BF1107" s="7"/>
      <c r="BG1107" s="7"/>
      <c r="BH1107" s="7"/>
      <c r="BI1107" s="7"/>
      <c r="BJ1107" s="7"/>
      <c r="BK1107" s="7"/>
      <c r="BL1107" s="7"/>
      <c r="BM1107" s="7"/>
      <c r="BN1107" s="7"/>
      <c r="BO1107" s="7"/>
      <c r="BP1107" s="7"/>
      <c r="BQ1107" s="7"/>
      <c r="BR1107" s="7"/>
      <c r="BS1107" s="7"/>
      <c r="BT1107" s="7"/>
      <c r="BU1107" s="7"/>
      <c r="BV1107" s="7"/>
      <c r="BW1107" s="7"/>
      <c r="BX1107" s="7"/>
      <c r="BY1107" s="7"/>
      <c r="BZ1107" s="7"/>
      <c r="CA1107" s="7"/>
      <c r="CB1107" s="7"/>
      <c r="CC1107" s="7"/>
      <c r="CD1107" s="7"/>
      <c r="CE1107" s="7"/>
      <c r="CF1107" s="7"/>
      <c r="CG1107" s="7"/>
    </row>
    <row r="1108" spans="3:85"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F1108" s="7"/>
      <c r="AG1108" s="7"/>
      <c r="AH1108" s="7"/>
      <c r="AI1108" s="7"/>
      <c r="AJ1108" s="7"/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  <c r="BB1108" s="7"/>
      <c r="BC1108" s="7"/>
      <c r="BD1108" s="7"/>
      <c r="BE1108" s="7"/>
      <c r="BF1108" s="7"/>
      <c r="BG1108" s="7"/>
      <c r="BH1108" s="7"/>
      <c r="BI1108" s="7"/>
      <c r="BJ1108" s="7"/>
      <c r="BK1108" s="7"/>
      <c r="BL1108" s="7"/>
      <c r="BM1108" s="7"/>
      <c r="BN1108" s="7"/>
      <c r="BO1108" s="7"/>
      <c r="BP1108" s="7"/>
      <c r="BQ1108" s="7"/>
      <c r="BR1108" s="7"/>
      <c r="BS1108" s="7"/>
      <c r="BT1108" s="7"/>
      <c r="BU1108" s="7"/>
      <c r="BV1108" s="7"/>
      <c r="BW1108" s="7"/>
      <c r="BX1108" s="7"/>
      <c r="BY1108" s="7"/>
      <c r="BZ1108" s="7"/>
      <c r="CA1108" s="7"/>
      <c r="CB1108" s="7"/>
      <c r="CC1108" s="7"/>
      <c r="CD1108" s="7"/>
      <c r="CE1108" s="7"/>
      <c r="CF1108" s="7"/>
      <c r="CG1108" s="7"/>
    </row>
    <row r="1109" spans="3:85"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F1109" s="7"/>
      <c r="AG1109" s="7"/>
      <c r="AH1109" s="7"/>
      <c r="AI1109" s="7"/>
      <c r="AJ1109" s="7"/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  <c r="BB1109" s="7"/>
      <c r="BC1109" s="7"/>
      <c r="BD1109" s="7"/>
      <c r="BE1109" s="7"/>
      <c r="BF1109" s="7"/>
      <c r="BG1109" s="7"/>
      <c r="BH1109" s="7"/>
      <c r="BI1109" s="7"/>
      <c r="BJ1109" s="7"/>
      <c r="BK1109" s="7"/>
      <c r="BL1109" s="7"/>
      <c r="BM1109" s="7"/>
      <c r="BN1109" s="7"/>
      <c r="BO1109" s="7"/>
      <c r="BP1109" s="7"/>
      <c r="BQ1109" s="7"/>
      <c r="BR1109" s="7"/>
      <c r="BS1109" s="7"/>
      <c r="BT1109" s="7"/>
      <c r="BU1109" s="7"/>
      <c r="BV1109" s="7"/>
      <c r="BW1109" s="7"/>
      <c r="BX1109" s="7"/>
      <c r="BY1109" s="7"/>
      <c r="BZ1109" s="7"/>
      <c r="CA1109" s="7"/>
      <c r="CB1109" s="7"/>
      <c r="CC1109" s="7"/>
      <c r="CD1109" s="7"/>
      <c r="CE1109" s="7"/>
      <c r="CF1109" s="7"/>
      <c r="CG1109" s="7"/>
    </row>
    <row r="1110" spans="3:85"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F1110" s="7"/>
      <c r="AG1110" s="7"/>
      <c r="AH1110" s="7"/>
      <c r="AI1110" s="7"/>
      <c r="AJ1110" s="7"/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  <c r="BB1110" s="7"/>
      <c r="BC1110" s="7"/>
      <c r="BD1110" s="7"/>
      <c r="BE1110" s="7"/>
      <c r="BF1110" s="7"/>
      <c r="BG1110" s="7"/>
      <c r="BH1110" s="7"/>
      <c r="BI1110" s="7"/>
      <c r="BJ1110" s="7"/>
      <c r="BK1110" s="7"/>
      <c r="BL1110" s="7"/>
      <c r="BM1110" s="7"/>
      <c r="BN1110" s="7"/>
      <c r="BO1110" s="7"/>
      <c r="BP1110" s="7"/>
      <c r="BQ1110" s="7"/>
      <c r="BR1110" s="7"/>
      <c r="BS1110" s="7"/>
      <c r="BT1110" s="7"/>
      <c r="BU1110" s="7"/>
      <c r="BV1110" s="7"/>
      <c r="BW1110" s="7"/>
      <c r="BX1110" s="7"/>
      <c r="BY1110" s="7"/>
      <c r="BZ1110" s="7"/>
      <c r="CA1110" s="7"/>
      <c r="CB1110" s="7"/>
      <c r="CC1110" s="7"/>
      <c r="CD1110" s="7"/>
      <c r="CE1110" s="7"/>
      <c r="CF1110" s="7"/>
      <c r="CG1110" s="7"/>
    </row>
    <row r="1111" spans="3:85"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F1111" s="7"/>
      <c r="AG1111" s="7"/>
      <c r="AH1111" s="7"/>
      <c r="AI1111" s="7"/>
      <c r="AJ1111" s="7"/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  <c r="BB1111" s="7"/>
      <c r="BC1111" s="7"/>
      <c r="BD1111" s="7"/>
      <c r="BE1111" s="7"/>
      <c r="BF1111" s="7"/>
      <c r="BG1111" s="7"/>
      <c r="BH1111" s="7"/>
      <c r="BI1111" s="7"/>
      <c r="BJ1111" s="7"/>
      <c r="BK1111" s="7"/>
      <c r="BL1111" s="7"/>
      <c r="BM1111" s="7"/>
      <c r="BN1111" s="7"/>
      <c r="BO1111" s="7"/>
      <c r="BP1111" s="7"/>
      <c r="BQ1111" s="7"/>
      <c r="BR1111" s="7"/>
      <c r="BS1111" s="7"/>
      <c r="BT1111" s="7"/>
      <c r="BU1111" s="7"/>
      <c r="BV1111" s="7"/>
      <c r="BW1111" s="7"/>
      <c r="BX1111" s="7"/>
      <c r="BY1111" s="7"/>
      <c r="BZ1111" s="7"/>
      <c r="CA1111" s="7"/>
      <c r="CB1111" s="7"/>
      <c r="CC1111" s="7"/>
      <c r="CD1111" s="7"/>
      <c r="CE1111" s="7"/>
      <c r="CF1111" s="7"/>
      <c r="CG1111" s="7"/>
    </row>
    <row r="1112" spans="3:85"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F1112" s="7"/>
      <c r="AG1112" s="7"/>
      <c r="AH1112" s="7"/>
      <c r="AI1112" s="7"/>
      <c r="AJ1112" s="7"/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  <c r="BB1112" s="7"/>
      <c r="BC1112" s="7"/>
      <c r="BD1112" s="7"/>
      <c r="BE1112" s="7"/>
      <c r="BF1112" s="7"/>
      <c r="BG1112" s="7"/>
      <c r="BH1112" s="7"/>
      <c r="BI1112" s="7"/>
      <c r="BJ1112" s="7"/>
      <c r="BK1112" s="7"/>
      <c r="BL1112" s="7"/>
      <c r="BM1112" s="7"/>
      <c r="BN1112" s="7"/>
      <c r="BO1112" s="7"/>
      <c r="BP1112" s="7"/>
      <c r="BQ1112" s="7"/>
      <c r="BR1112" s="7"/>
      <c r="BS1112" s="7"/>
      <c r="BT1112" s="7"/>
      <c r="BU1112" s="7"/>
      <c r="BV1112" s="7"/>
      <c r="BW1112" s="7"/>
      <c r="BX1112" s="7"/>
      <c r="BY1112" s="7"/>
      <c r="BZ1112" s="7"/>
      <c r="CA1112" s="7"/>
      <c r="CB1112" s="7"/>
      <c r="CC1112" s="7"/>
      <c r="CD1112" s="7"/>
      <c r="CE1112" s="7"/>
      <c r="CF1112" s="7"/>
      <c r="CG1112" s="7"/>
    </row>
    <row r="1113" spans="3:85"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F1113" s="7"/>
      <c r="AG1113" s="7"/>
      <c r="AH1113" s="7"/>
      <c r="AI1113" s="7"/>
      <c r="AJ1113" s="7"/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  <c r="BB1113" s="7"/>
      <c r="BC1113" s="7"/>
      <c r="BD1113" s="7"/>
      <c r="BE1113" s="7"/>
      <c r="BF1113" s="7"/>
      <c r="BG1113" s="7"/>
      <c r="BH1113" s="7"/>
      <c r="BI1113" s="7"/>
      <c r="BJ1113" s="7"/>
      <c r="BK1113" s="7"/>
      <c r="BL1113" s="7"/>
      <c r="BM1113" s="7"/>
      <c r="BN1113" s="7"/>
      <c r="BO1113" s="7"/>
      <c r="BP1113" s="7"/>
      <c r="BQ1113" s="7"/>
      <c r="BR1113" s="7"/>
      <c r="BS1113" s="7"/>
      <c r="BT1113" s="7"/>
      <c r="BU1113" s="7"/>
      <c r="BV1113" s="7"/>
      <c r="BW1113" s="7"/>
      <c r="BX1113" s="7"/>
      <c r="BY1113" s="7"/>
      <c r="BZ1113" s="7"/>
      <c r="CA1113" s="7"/>
      <c r="CB1113" s="7"/>
      <c r="CC1113" s="7"/>
      <c r="CD1113" s="7"/>
      <c r="CE1113" s="7"/>
      <c r="CF1113" s="7"/>
      <c r="CG1113" s="7"/>
    </row>
    <row r="1114" spans="3:85"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F1114" s="7"/>
      <c r="AG1114" s="7"/>
      <c r="AH1114" s="7"/>
      <c r="AI1114" s="7"/>
      <c r="AJ1114" s="7"/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  <c r="BB1114" s="7"/>
      <c r="BC1114" s="7"/>
      <c r="BD1114" s="7"/>
      <c r="BE1114" s="7"/>
      <c r="BF1114" s="7"/>
      <c r="BG1114" s="7"/>
      <c r="BH1114" s="7"/>
      <c r="BI1114" s="7"/>
      <c r="BJ1114" s="7"/>
      <c r="BK1114" s="7"/>
      <c r="BL1114" s="7"/>
      <c r="BM1114" s="7"/>
      <c r="BN1114" s="7"/>
      <c r="BO1114" s="7"/>
      <c r="BP1114" s="7"/>
      <c r="BQ1114" s="7"/>
      <c r="BR1114" s="7"/>
      <c r="BS1114" s="7"/>
      <c r="BT1114" s="7"/>
      <c r="BU1114" s="7"/>
      <c r="BV1114" s="7"/>
      <c r="BW1114" s="7"/>
      <c r="BX1114" s="7"/>
      <c r="BY1114" s="7"/>
      <c r="BZ1114" s="7"/>
      <c r="CA1114" s="7"/>
      <c r="CB1114" s="7"/>
      <c r="CC1114" s="7"/>
      <c r="CD1114" s="7"/>
      <c r="CE1114" s="7"/>
      <c r="CF1114" s="7"/>
      <c r="CG1114" s="7"/>
    </row>
    <row r="1115" spans="3:85"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F1115" s="7"/>
      <c r="AG1115" s="7"/>
      <c r="AH1115" s="7"/>
      <c r="AI1115" s="7"/>
      <c r="AJ1115" s="7"/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  <c r="BB1115" s="7"/>
      <c r="BC1115" s="7"/>
      <c r="BD1115" s="7"/>
      <c r="BE1115" s="7"/>
      <c r="BF1115" s="7"/>
      <c r="BG1115" s="7"/>
      <c r="BH1115" s="7"/>
      <c r="BI1115" s="7"/>
      <c r="BJ1115" s="7"/>
      <c r="BK1115" s="7"/>
      <c r="BL1115" s="7"/>
      <c r="BM1115" s="7"/>
      <c r="BN1115" s="7"/>
      <c r="BO1115" s="7"/>
      <c r="BP1115" s="7"/>
      <c r="BQ1115" s="7"/>
      <c r="BR1115" s="7"/>
      <c r="BS1115" s="7"/>
      <c r="BT1115" s="7"/>
      <c r="BU1115" s="7"/>
      <c r="BV1115" s="7"/>
      <c r="BW1115" s="7"/>
      <c r="BX1115" s="7"/>
      <c r="BY1115" s="7"/>
      <c r="BZ1115" s="7"/>
      <c r="CA1115" s="7"/>
      <c r="CB1115" s="7"/>
      <c r="CC1115" s="7"/>
      <c r="CD1115" s="7"/>
      <c r="CE1115" s="7"/>
      <c r="CF1115" s="7"/>
      <c r="CG1115" s="7"/>
    </row>
    <row r="1116" spans="3:85"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F1116" s="7"/>
      <c r="AG1116" s="7"/>
      <c r="AH1116" s="7"/>
      <c r="AI1116" s="7"/>
      <c r="AJ1116" s="7"/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  <c r="BB1116" s="7"/>
      <c r="BC1116" s="7"/>
      <c r="BD1116" s="7"/>
      <c r="BE1116" s="7"/>
      <c r="BF1116" s="7"/>
      <c r="BG1116" s="7"/>
      <c r="BH1116" s="7"/>
      <c r="BI1116" s="7"/>
      <c r="BJ1116" s="7"/>
      <c r="BK1116" s="7"/>
      <c r="BL1116" s="7"/>
      <c r="BM1116" s="7"/>
      <c r="BN1116" s="7"/>
      <c r="BO1116" s="7"/>
      <c r="BP1116" s="7"/>
      <c r="BQ1116" s="7"/>
      <c r="BR1116" s="7"/>
      <c r="BS1116" s="7"/>
      <c r="BT1116" s="7"/>
      <c r="BU1116" s="7"/>
      <c r="BV1116" s="7"/>
      <c r="BW1116" s="7"/>
      <c r="BX1116" s="7"/>
      <c r="BY1116" s="7"/>
      <c r="BZ1116" s="7"/>
      <c r="CA1116" s="7"/>
      <c r="CB1116" s="7"/>
      <c r="CC1116" s="7"/>
      <c r="CD1116" s="7"/>
      <c r="CE1116" s="7"/>
      <c r="CF1116" s="7"/>
      <c r="CG1116" s="7"/>
    </row>
    <row r="1117" spans="3:85"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F1117" s="7"/>
      <c r="AG1117" s="7"/>
      <c r="AH1117" s="7"/>
      <c r="AI1117" s="7"/>
      <c r="AJ1117" s="7"/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  <c r="BB1117" s="7"/>
      <c r="BC1117" s="7"/>
      <c r="BD1117" s="7"/>
      <c r="BE1117" s="7"/>
      <c r="BF1117" s="7"/>
      <c r="BG1117" s="7"/>
      <c r="BH1117" s="7"/>
      <c r="BI1117" s="7"/>
      <c r="BJ1117" s="7"/>
      <c r="BK1117" s="7"/>
      <c r="BL1117" s="7"/>
      <c r="BM1117" s="7"/>
      <c r="BN1117" s="7"/>
      <c r="BO1117" s="7"/>
      <c r="BP1117" s="7"/>
      <c r="BQ1117" s="7"/>
      <c r="BR1117" s="7"/>
      <c r="BS1117" s="7"/>
      <c r="BT1117" s="7"/>
      <c r="BU1117" s="7"/>
      <c r="BV1117" s="7"/>
      <c r="BW1117" s="7"/>
      <c r="BX1117" s="7"/>
      <c r="BY1117" s="7"/>
      <c r="BZ1117" s="7"/>
      <c r="CA1117" s="7"/>
      <c r="CB1117" s="7"/>
      <c r="CC1117" s="7"/>
      <c r="CD1117" s="7"/>
      <c r="CE1117" s="7"/>
      <c r="CF1117" s="7"/>
      <c r="CG1117" s="7"/>
    </row>
    <row r="1118" spans="3:85"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F1118" s="7"/>
      <c r="AG1118" s="7"/>
      <c r="AH1118" s="7"/>
      <c r="AI1118" s="7"/>
      <c r="AJ1118" s="7"/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  <c r="BB1118" s="7"/>
      <c r="BC1118" s="7"/>
      <c r="BD1118" s="7"/>
      <c r="BE1118" s="7"/>
      <c r="BF1118" s="7"/>
      <c r="BG1118" s="7"/>
      <c r="BH1118" s="7"/>
      <c r="BI1118" s="7"/>
      <c r="BJ1118" s="7"/>
      <c r="BK1118" s="7"/>
      <c r="BL1118" s="7"/>
      <c r="BM1118" s="7"/>
      <c r="BN1118" s="7"/>
      <c r="BO1118" s="7"/>
      <c r="BP1118" s="7"/>
      <c r="BQ1118" s="7"/>
      <c r="BR1118" s="7"/>
      <c r="BS1118" s="7"/>
      <c r="BT1118" s="7"/>
      <c r="BU1118" s="7"/>
      <c r="BV1118" s="7"/>
      <c r="BW1118" s="7"/>
      <c r="BX1118" s="7"/>
      <c r="BY1118" s="7"/>
      <c r="BZ1118" s="7"/>
      <c r="CA1118" s="7"/>
      <c r="CB1118" s="7"/>
      <c r="CC1118" s="7"/>
      <c r="CD1118" s="7"/>
      <c r="CE1118" s="7"/>
      <c r="CF1118" s="7"/>
      <c r="CG1118" s="7"/>
    </row>
    <row r="1119" spans="3:85"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F1119" s="7"/>
      <c r="AG1119" s="7"/>
      <c r="AH1119" s="7"/>
      <c r="AI1119" s="7"/>
      <c r="AJ1119" s="7"/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  <c r="BB1119" s="7"/>
      <c r="BC1119" s="7"/>
      <c r="BD1119" s="7"/>
      <c r="BE1119" s="7"/>
      <c r="BF1119" s="7"/>
      <c r="BG1119" s="7"/>
      <c r="BH1119" s="7"/>
      <c r="BI1119" s="7"/>
      <c r="BJ1119" s="7"/>
      <c r="BK1119" s="7"/>
      <c r="BL1119" s="7"/>
      <c r="BM1119" s="7"/>
      <c r="BN1119" s="7"/>
      <c r="BO1119" s="7"/>
      <c r="BP1119" s="7"/>
      <c r="BQ1119" s="7"/>
      <c r="BR1119" s="7"/>
      <c r="BS1119" s="7"/>
      <c r="BT1119" s="7"/>
      <c r="BU1119" s="7"/>
      <c r="BV1119" s="7"/>
      <c r="BW1119" s="7"/>
      <c r="BX1119" s="7"/>
      <c r="BY1119" s="7"/>
      <c r="BZ1119" s="7"/>
      <c r="CA1119" s="7"/>
      <c r="CB1119" s="7"/>
      <c r="CC1119" s="7"/>
      <c r="CD1119" s="7"/>
      <c r="CE1119" s="7"/>
      <c r="CF1119" s="7"/>
      <c r="CG1119" s="7"/>
    </row>
    <row r="1120" spans="3:85"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F1120" s="7"/>
      <c r="AG1120" s="7"/>
      <c r="AH1120" s="7"/>
      <c r="AI1120" s="7"/>
      <c r="AJ1120" s="7"/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  <c r="BB1120" s="7"/>
      <c r="BC1120" s="7"/>
      <c r="BD1120" s="7"/>
      <c r="BE1120" s="7"/>
      <c r="BF1120" s="7"/>
      <c r="BG1120" s="7"/>
      <c r="BH1120" s="7"/>
      <c r="BI1120" s="7"/>
      <c r="BJ1120" s="7"/>
      <c r="BK1120" s="7"/>
      <c r="BL1120" s="7"/>
      <c r="BM1120" s="7"/>
      <c r="BN1120" s="7"/>
      <c r="BO1120" s="7"/>
      <c r="BP1120" s="7"/>
      <c r="BQ1120" s="7"/>
      <c r="BR1120" s="7"/>
      <c r="BS1120" s="7"/>
      <c r="BT1120" s="7"/>
      <c r="BU1120" s="7"/>
      <c r="BV1120" s="7"/>
      <c r="BW1120" s="7"/>
      <c r="BX1120" s="7"/>
      <c r="BY1120" s="7"/>
      <c r="BZ1120" s="7"/>
      <c r="CA1120" s="7"/>
      <c r="CB1120" s="7"/>
      <c r="CC1120" s="7"/>
      <c r="CD1120" s="7"/>
      <c r="CE1120" s="7"/>
      <c r="CF1120" s="7"/>
      <c r="CG1120" s="7"/>
    </row>
    <row r="1121" spans="3:85"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F1121" s="7"/>
      <c r="AG1121" s="7"/>
      <c r="AH1121" s="7"/>
      <c r="AI1121" s="7"/>
      <c r="AJ1121" s="7"/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  <c r="BB1121" s="7"/>
      <c r="BC1121" s="7"/>
      <c r="BD1121" s="7"/>
      <c r="BE1121" s="7"/>
      <c r="BF1121" s="7"/>
      <c r="BG1121" s="7"/>
      <c r="BH1121" s="7"/>
      <c r="BI1121" s="7"/>
      <c r="BJ1121" s="7"/>
      <c r="BK1121" s="7"/>
      <c r="BL1121" s="7"/>
      <c r="BM1121" s="7"/>
      <c r="BN1121" s="7"/>
      <c r="BO1121" s="7"/>
      <c r="BP1121" s="7"/>
      <c r="BQ1121" s="7"/>
      <c r="BR1121" s="7"/>
      <c r="BS1121" s="7"/>
      <c r="BT1121" s="7"/>
      <c r="BU1121" s="7"/>
      <c r="BV1121" s="7"/>
      <c r="BW1121" s="7"/>
      <c r="BX1121" s="7"/>
      <c r="BY1121" s="7"/>
      <c r="BZ1121" s="7"/>
      <c r="CA1121" s="7"/>
      <c r="CB1121" s="7"/>
      <c r="CC1121" s="7"/>
      <c r="CD1121" s="7"/>
      <c r="CE1121" s="7"/>
      <c r="CF1121" s="7"/>
      <c r="CG1121" s="7"/>
    </row>
    <row r="1122" spans="3:85"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F1122" s="7"/>
      <c r="AG1122" s="7"/>
      <c r="AH1122" s="7"/>
      <c r="AI1122" s="7"/>
      <c r="AJ1122" s="7"/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  <c r="BB1122" s="7"/>
      <c r="BC1122" s="7"/>
      <c r="BD1122" s="7"/>
      <c r="BE1122" s="7"/>
      <c r="BF1122" s="7"/>
      <c r="BG1122" s="7"/>
      <c r="BH1122" s="7"/>
      <c r="BI1122" s="7"/>
      <c r="BJ1122" s="7"/>
      <c r="BK1122" s="7"/>
      <c r="BL1122" s="7"/>
      <c r="BM1122" s="7"/>
      <c r="BN1122" s="7"/>
      <c r="BO1122" s="7"/>
      <c r="BP1122" s="7"/>
      <c r="BQ1122" s="7"/>
      <c r="BR1122" s="7"/>
      <c r="BS1122" s="7"/>
      <c r="BT1122" s="7"/>
      <c r="BU1122" s="7"/>
      <c r="BV1122" s="7"/>
      <c r="BW1122" s="7"/>
      <c r="BX1122" s="7"/>
      <c r="BY1122" s="7"/>
      <c r="BZ1122" s="7"/>
      <c r="CA1122" s="7"/>
      <c r="CB1122" s="7"/>
      <c r="CC1122" s="7"/>
      <c r="CD1122" s="7"/>
      <c r="CE1122" s="7"/>
      <c r="CF1122" s="7"/>
      <c r="CG1122" s="7"/>
    </row>
    <row r="1123" spans="3:85"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F1123" s="7"/>
      <c r="AG1123" s="7"/>
      <c r="AH1123" s="7"/>
      <c r="AI1123" s="7"/>
      <c r="AJ1123" s="7"/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  <c r="BB1123" s="7"/>
      <c r="BC1123" s="7"/>
      <c r="BD1123" s="7"/>
      <c r="BE1123" s="7"/>
      <c r="BF1123" s="7"/>
      <c r="BG1123" s="7"/>
      <c r="BH1123" s="7"/>
      <c r="BI1123" s="7"/>
      <c r="BJ1123" s="7"/>
      <c r="BK1123" s="7"/>
      <c r="BL1123" s="7"/>
      <c r="BM1123" s="7"/>
      <c r="BN1123" s="7"/>
      <c r="BO1123" s="7"/>
      <c r="BP1123" s="7"/>
      <c r="BQ1123" s="7"/>
      <c r="BR1123" s="7"/>
      <c r="BS1123" s="7"/>
      <c r="BT1123" s="7"/>
      <c r="BU1123" s="7"/>
      <c r="BV1123" s="7"/>
      <c r="BW1123" s="7"/>
      <c r="BX1123" s="7"/>
      <c r="BY1123" s="7"/>
      <c r="BZ1123" s="7"/>
      <c r="CA1123" s="7"/>
      <c r="CB1123" s="7"/>
      <c r="CC1123" s="7"/>
      <c r="CD1123" s="7"/>
      <c r="CE1123" s="7"/>
      <c r="CF1123" s="7"/>
      <c r="CG1123" s="7"/>
    </row>
    <row r="1124" spans="3:85"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F1124" s="7"/>
      <c r="AG1124" s="7"/>
      <c r="AH1124" s="7"/>
      <c r="AI1124" s="7"/>
      <c r="AJ1124" s="7"/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  <c r="BB1124" s="7"/>
      <c r="BC1124" s="7"/>
      <c r="BD1124" s="7"/>
      <c r="BE1124" s="7"/>
      <c r="BF1124" s="7"/>
      <c r="BG1124" s="7"/>
      <c r="BH1124" s="7"/>
      <c r="BI1124" s="7"/>
      <c r="BJ1124" s="7"/>
      <c r="BK1124" s="7"/>
      <c r="BL1124" s="7"/>
      <c r="BM1124" s="7"/>
      <c r="BN1124" s="7"/>
      <c r="BO1124" s="7"/>
      <c r="BP1124" s="7"/>
      <c r="BQ1124" s="7"/>
      <c r="BR1124" s="7"/>
      <c r="BS1124" s="7"/>
      <c r="BT1124" s="7"/>
      <c r="BU1124" s="7"/>
      <c r="BV1124" s="7"/>
      <c r="BW1124" s="7"/>
      <c r="BX1124" s="7"/>
      <c r="BY1124" s="7"/>
      <c r="BZ1124" s="7"/>
      <c r="CA1124" s="7"/>
      <c r="CB1124" s="7"/>
      <c r="CC1124" s="7"/>
      <c r="CD1124" s="7"/>
      <c r="CE1124" s="7"/>
      <c r="CF1124" s="7"/>
      <c r="CG1124" s="7"/>
    </row>
    <row r="1125" spans="3:85"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F1125" s="7"/>
      <c r="AG1125" s="7"/>
      <c r="AH1125" s="7"/>
      <c r="AI1125" s="7"/>
      <c r="AJ1125" s="7"/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  <c r="BB1125" s="7"/>
      <c r="BC1125" s="7"/>
      <c r="BD1125" s="7"/>
      <c r="BE1125" s="7"/>
      <c r="BF1125" s="7"/>
      <c r="BG1125" s="7"/>
      <c r="BH1125" s="7"/>
      <c r="BI1125" s="7"/>
      <c r="BJ1125" s="7"/>
      <c r="BK1125" s="7"/>
      <c r="BL1125" s="7"/>
      <c r="BM1125" s="7"/>
      <c r="BN1125" s="7"/>
      <c r="BO1125" s="7"/>
      <c r="BP1125" s="7"/>
      <c r="BQ1125" s="7"/>
      <c r="BR1125" s="7"/>
      <c r="BS1125" s="7"/>
      <c r="BT1125" s="7"/>
      <c r="BU1125" s="7"/>
      <c r="BV1125" s="7"/>
      <c r="BW1125" s="7"/>
      <c r="BX1125" s="7"/>
      <c r="BY1125" s="7"/>
      <c r="BZ1125" s="7"/>
      <c r="CA1125" s="7"/>
      <c r="CB1125" s="7"/>
      <c r="CC1125" s="7"/>
      <c r="CD1125" s="7"/>
      <c r="CE1125" s="7"/>
      <c r="CF1125" s="7"/>
      <c r="CG1125" s="7"/>
    </row>
    <row r="1126" spans="3:85"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F1126" s="7"/>
      <c r="AG1126" s="7"/>
      <c r="AH1126" s="7"/>
      <c r="AI1126" s="7"/>
      <c r="AJ1126" s="7"/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  <c r="BB1126" s="7"/>
      <c r="BC1126" s="7"/>
      <c r="BD1126" s="7"/>
      <c r="BE1126" s="7"/>
      <c r="BF1126" s="7"/>
      <c r="BG1126" s="7"/>
      <c r="BH1126" s="7"/>
      <c r="BI1126" s="7"/>
      <c r="BJ1126" s="7"/>
      <c r="BK1126" s="7"/>
      <c r="BL1126" s="7"/>
      <c r="BM1126" s="7"/>
      <c r="BN1126" s="7"/>
      <c r="BO1126" s="7"/>
      <c r="BP1126" s="7"/>
      <c r="BQ1126" s="7"/>
      <c r="BR1126" s="7"/>
      <c r="BS1126" s="7"/>
      <c r="BT1126" s="7"/>
      <c r="BU1126" s="7"/>
      <c r="BV1126" s="7"/>
      <c r="BW1126" s="7"/>
      <c r="BX1126" s="7"/>
      <c r="BY1126" s="7"/>
      <c r="BZ1126" s="7"/>
      <c r="CA1126" s="7"/>
      <c r="CB1126" s="7"/>
      <c r="CC1126" s="7"/>
      <c r="CD1126" s="7"/>
      <c r="CE1126" s="7"/>
      <c r="CF1126" s="7"/>
      <c r="CG1126" s="7"/>
    </row>
    <row r="1127" spans="3:85"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F1127" s="7"/>
      <c r="AG1127" s="7"/>
      <c r="AH1127" s="7"/>
      <c r="AI1127" s="7"/>
      <c r="AJ1127" s="7"/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  <c r="BB1127" s="7"/>
      <c r="BC1127" s="7"/>
      <c r="BD1127" s="7"/>
      <c r="BE1127" s="7"/>
      <c r="BF1127" s="7"/>
      <c r="BG1127" s="7"/>
      <c r="BH1127" s="7"/>
      <c r="BI1127" s="7"/>
      <c r="BJ1127" s="7"/>
      <c r="BK1127" s="7"/>
      <c r="BL1127" s="7"/>
      <c r="BM1127" s="7"/>
      <c r="BN1127" s="7"/>
      <c r="BO1127" s="7"/>
      <c r="BP1127" s="7"/>
      <c r="BQ1127" s="7"/>
      <c r="BR1127" s="7"/>
      <c r="BS1127" s="7"/>
      <c r="BT1127" s="7"/>
      <c r="BU1127" s="7"/>
      <c r="BV1127" s="7"/>
      <c r="BW1127" s="7"/>
      <c r="BX1127" s="7"/>
      <c r="BY1127" s="7"/>
      <c r="BZ1127" s="7"/>
      <c r="CA1127" s="7"/>
      <c r="CB1127" s="7"/>
      <c r="CC1127" s="7"/>
      <c r="CD1127" s="7"/>
      <c r="CE1127" s="7"/>
      <c r="CF1127" s="7"/>
      <c r="CG1127" s="7"/>
    </row>
    <row r="1128" spans="3:85"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F1128" s="7"/>
      <c r="AG1128" s="7"/>
      <c r="AH1128" s="7"/>
      <c r="AI1128" s="7"/>
      <c r="AJ1128" s="7"/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  <c r="BB1128" s="7"/>
      <c r="BC1128" s="7"/>
      <c r="BD1128" s="7"/>
      <c r="BE1128" s="7"/>
      <c r="BF1128" s="7"/>
      <c r="BG1128" s="7"/>
      <c r="BH1128" s="7"/>
      <c r="BI1128" s="7"/>
      <c r="BJ1128" s="7"/>
      <c r="BK1128" s="7"/>
      <c r="BL1128" s="7"/>
      <c r="BM1128" s="7"/>
      <c r="BN1128" s="7"/>
      <c r="BO1128" s="7"/>
      <c r="BP1128" s="7"/>
      <c r="BQ1128" s="7"/>
      <c r="BR1128" s="7"/>
      <c r="BS1128" s="7"/>
      <c r="BT1128" s="7"/>
      <c r="BU1128" s="7"/>
      <c r="BV1128" s="7"/>
      <c r="BW1128" s="7"/>
      <c r="BX1128" s="7"/>
      <c r="BY1128" s="7"/>
      <c r="BZ1128" s="7"/>
      <c r="CA1128" s="7"/>
      <c r="CB1128" s="7"/>
      <c r="CC1128" s="7"/>
      <c r="CD1128" s="7"/>
      <c r="CE1128" s="7"/>
      <c r="CF1128" s="7"/>
      <c r="CG1128" s="7"/>
    </row>
    <row r="1129" spans="3:85"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F1129" s="7"/>
      <c r="AG1129" s="7"/>
      <c r="AH1129" s="7"/>
      <c r="AI1129" s="7"/>
      <c r="AJ1129" s="7"/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  <c r="BB1129" s="7"/>
      <c r="BC1129" s="7"/>
      <c r="BD1129" s="7"/>
      <c r="BE1129" s="7"/>
      <c r="BF1129" s="7"/>
      <c r="BG1129" s="7"/>
      <c r="BH1129" s="7"/>
      <c r="BI1129" s="7"/>
      <c r="BJ1129" s="7"/>
      <c r="BK1129" s="7"/>
      <c r="BL1129" s="7"/>
      <c r="BM1129" s="7"/>
      <c r="BN1129" s="7"/>
      <c r="BO1129" s="7"/>
      <c r="BP1129" s="7"/>
      <c r="BQ1129" s="7"/>
      <c r="BR1129" s="7"/>
      <c r="BS1129" s="7"/>
      <c r="BT1129" s="7"/>
      <c r="BU1129" s="7"/>
      <c r="BV1129" s="7"/>
      <c r="BW1129" s="7"/>
      <c r="BX1129" s="7"/>
      <c r="BY1129" s="7"/>
      <c r="BZ1129" s="7"/>
      <c r="CA1129" s="7"/>
      <c r="CB1129" s="7"/>
      <c r="CC1129" s="7"/>
      <c r="CD1129" s="7"/>
      <c r="CE1129" s="7"/>
      <c r="CF1129" s="7"/>
      <c r="CG1129" s="7"/>
    </row>
    <row r="1130" spans="3:85"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F1130" s="7"/>
      <c r="AG1130" s="7"/>
      <c r="AH1130" s="7"/>
      <c r="AI1130" s="7"/>
      <c r="AJ1130" s="7"/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  <c r="BB1130" s="7"/>
      <c r="BC1130" s="7"/>
      <c r="BD1130" s="7"/>
      <c r="BE1130" s="7"/>
      <c r="BF1130" s="7"/>
      <c r="BG1130" s="7"/>
      <c r="BH1130" s="7"/>
      <c r="BI1130" s="7"/>
      <c r="BJ1130" s="7"/>
      <c r="BK1130" s="7"/>
      <c r="BL1130" s="7"/>
      <c r="BM1130" s="7"/>
      <c r="BN1130" s="7"/>
      <c r="BO1130" s="7"/>
      <c r="BP1130" s="7"/>
      <c r="BQ1130" s="7"/>
      <c r="BR1130" s="7"/>
      <c r="BS1130" s="7"/>
      <c r="BT1130" s="7"/>
      <c r="BU1130" s="7"/>
      <c r="BV1130" s="7"/>
      <c r="BW1130" s="7"/>
      <c r="BX1130" s="7"/>
      <c r="BY1130" s="7"/>
      <c r="BZ1130" s="7"/>
      <c r="CA1130" s="7"/>
      <c r="CB1130" s="7"/>
      <c r="CC1130" s="7"/>
      <c r="CD1130" s="7"/>
      <c r="CE1130" s="7"/>
      <c r="CF1130" s="7"/>
      <c r="CG1130" s="7"/>
    </row>
    <row r="1131" spans="3:85"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F1131" s="7"/>
      <c r="AG1131" s="7"/>
      <c r="AH1131" s="7"/>
      <c r="AI1131" s="7"/>
      <c r="AJ1131" s="7"/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  <c r="BB1131" s="7"/>
      <c r="BC1131" s="7"/>
      <c r="BD1131" s="7"/>
      <c r="BE1131" s="7"/>
      <c r="BF1131" s="7"/>
      <c r="BG1131" s="7"/>
      <c r="BH1131" s="7"/>
      <c r="BI1131" s="7"/>
      <c r="BJ1131" s="7"/>
      <c r="BK1131" s="7"/>
      <c r="BL1131" s="7"/>
      <c r="BM1131" s="7"/>
      <c r="BN1131" s="7"/>
      <c r="BO1131" s="7"/>
      <c r="BP1131" s="7"/>
      <c r="BQ1131" s="7"/>
      <c r="BR1131" s="7"/>
      <c r="BS1131" s="7"/>
      <c r="BT1131" s="7"/>
      <c r="BU1131" s="7"/>
      <c r="BV1131" s="7"/>
      <c r="BW1131" s="7"/>
      <c r="BX1131" s="7"/>
      <c r="BY1131" s="7"/>
      <c r="BZ1131" s="7"/>
      <c r="CA1131" s="7"/>
      <c r="CB1131" s="7"/>
      <c r="CC1131" s="7"/>
      <c r="CD1131" s="7"/>
      <c r="CE1131" s="7"/>
      <c r="CF1131" s="7"/>
      <c r="CG1131" s="7"/>
    </row>
    <row r="1132" spans="3:85"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F1132" s="7"/>
      <c r="AG1132" s="7"/>
      <c r="AH1132" s="7"/>
      <c r="AI1132" s="7"/>
      <c r="AJ1132" s="7"/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  <c r="BB1132" s="7"/>
      <c r="BC1132" s="7"/>
      <c r="BD1132" s="7"/>
      <c r="BE1132" s="7"/>
      <c r="BF1132" s="7"/>
      <c r="BG1132" s="7"/>
      <c r="BH1132" s="7"/>
      <c r="BI1132" s="7"/>
      <c r="BJ1132" s="7"/>
      <c r="BK1132" s="7"/>
      <c r="BL1132" s="7"/>
      <c r="BM1132" s="7"/>
      <c r="BN1132" s="7"/>
      <c r="BO1132" s="7"/>
      <c r="BP1132" s="7"/>
      <c r="BQ1132" s="7"/>
      <c r="BR1132" s="7"/>
      <c r="BS1132" s="7"/>
      <c r="BT1132" s="7"/>
      <c r="BU1132" s="7"/>
      <c r="BV1132" s="7"/>
      <c r="BW1132" s="7"/>
      <c r="BX1132" s="7"/>
      <c r="BY1132" s="7"/>
      <c r="BZ1132" s="7"/>
      <c r="CA1132" s="7"/>
      <c r="CB1132" s="7"/>
      <c r="CC1132" s="7"/>
      <c r="CD1132" s="7"/>
      <c r="CE1132" s="7"/>
      <c r="CF1132" s="7"/>
      <c r="CG1132" s="7"/>
    </row>
    <row r="1133" spans="3:85"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F1133" s="7"/>
      <c r="AG1133" s="7"/>
      <c r="AH1133" s="7"/>
      <c r="AI1133" s="7"/>
      <c r="AJ1133" s="7"/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  <c r="BB1133" s="7"/>
      <c r="BC1133" s="7"/>
      <c r="BD1133" s="7"/>
      <c r="BE1133" s="7"/>
      <c r="BF1133" s="7"/>
      <c r="BG1133" s="7"/>
      <c r="BH1133" s="7"/>
      <c r="BI1133" s="7"/>
      <c r="BJ1133" s="7"/>
      <c r="BK1133" s="7"/>
      <c r="BL1133" s="7"/>
      <c r="BM1133" s="7"/>
      <c r="BN1133" s="7"/>
      <c r="BO1133" s="7"/>
      <c r="BP1133" s="7"/>
      <c r="BQ1133" s="7"/>
      <c r="BR1133" s="7"/>
      <c r="BS1133" s="7"/>
      <c r="BT1133" s="7"/>
      <c r="BU1133" s="7"/>
      <c r="BV1133" s="7"/>
      <c r="BW1133" s="7"/>
      <c r="BX1133" s="7"/>
      <c r="BY1133" s="7"/>
      <c r="BZ1133" s="7"/>
      <c r="CA1133" s="7"/>
      <c r="CB1133" s="7"/>
      <c r="CC1133" s="7"/>
      <c r="CD1133" s="7"/>
      <c r="CE1133" s="7"/>
      <c r="CF1133" s="7"/>
      <c r="CG1133" s="7"/>
    </row>
    <row r="1134" spans="3:85"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F1134" s="7"/>
      <c r="AG1134" s="7"/>
      <c r="AH1134" s="7"/>
      <c r="AI1134" s="7"/>
      <c r="AJ1134" s="7"/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  <c r="BB1134" s="7"/>
      <c r="BC1134" s="7"/>
      <c r="BD1134" s="7"/>
      <c r="BE1134" s="7"/>
      <c r="BF1134" s="7"/>
      <c r="BG1134" s="7"/>
      <c r="BH1134" s="7"/>
      <c r="BI1134" s="7"/>
      <c r="BJ1134" s="7"/>
      <c r="BK1134" s="7"/>
      <c r="BL1134" s="7"/>
      <c r="BM1134" s="7"/>
      <c r="BN1134" s="7"/>
      <c r="BO1134" s="7"/>
      <c r="BP1134" s="7"/>
      <c r="BQ1134" s="7"/>
      <c r="BR1134" s="7"/>
      <c r="BS1134" s="7"/>
      <c r="BT1134" s="7"/>
      <c r="BU1134" s="7"/>
      <c r="BV1134" s="7"/>
      <c r="BW1134" s="7"/>
      <c r="BX1134" s="7"/>
      <c r="BY1134" s="7"/>
      <c r="BZ1134" s="7"/>
      <c r="CA1134" s="7"/>
      <c r="CB1134" s="7"/>
      <c r="CC1134" s="7"/>
      <c r="CD1134" s="7"/>
      <c r="CE1134" s="7"/>
      <c r="CF1134" s="7"/>
      <c r="CG1134" s="7"/>
    </row>
    <row r="1135" spans="3:85"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F1135" s="7"/>
      <c r="AG1135" s="7"/>
      <c r="AH1135" s="7"/>
      <c r="AI1135" s="7"/>
      <c r="AJ1135" s="7"/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  <c r="BB1135" s="7"/>
      <c r="BC1135" s="7"/>
      <c r="BD1135" s="7"/>
      <c r="BE1135" s="7"/>
      <c r="BF1135" s="7"/>
      <c r="BG1135" s="7"/>
      <c r="BH1135" s="7"/>
      <c r="BI1135" s="7"/>
      <c r="BJ1135" s="7"/>
      <c r="BK1135" s="7"/>
      <c r="BL1135" s="7"/>
      <c r="BM1135" s="7"/>
      <c r="BN1135" s="7"/>
      <c r="BO1135" s="7"/>
      <c r="BP1135" s="7"/>
      <c r="BQ1135" s="7"/>
      <c r="BR1135" s="7"/>
      <c r="BS1135" s="7"/>
      <c r="BT1135" s="7"/>
      <c r="BU1135" s="7"/>
      <c r="BV1135" s="7"/>
      <c r="BW1135" s="7"/>
      <c r="BX1135" s="7"/>
      <c r="BY1135" s="7"/>
      <c r="BZ1135" s="7"/>
      <c r="CA1135" s="7"/>
      <c r="CB1135" s="7"/>
      <c r="CC1135" s="7"/>
      <c r="CD1135" s="7"/>
      <c r="CE1135" s="7"/>
      <c r="CF1135" s="7"/>
      <c r="CG1135" s="7"/>
    </row>
    <row r="1136" spans="3:85"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F1136" s="7"/>
      <c r="AG1136" s="7"/>
      <c r="AH1136" s="7"/>
      <c r="AI1136" s="7"/>
      <c r="AJ1136" s="7"/>
      <c r="AK1136" s="7"/>
      <c r="AL1136" s="7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  <c r="BB1136" s="7"/>
      <c r="BC1136" s="7"/>
      <c r="BD1136" s="7"/>
      <c r="BE1136" s="7"/>
      <c r="BF1136" s="7"/>
      <c r="BG1136" s="7"/>
      <c r="BH1136" s="7"/>
      <c r="BI1136" s="7"/>
      <c r="BJ1136" s="7"/>
      <c r="BK1136" s="7"/>
      <c r="BL1136" s="7"/>
      <c r="BM1136" s="7"/>
      <c r="BN1136" s="7"/>
      <c r="BO1136" s="7"/>
      <c r="BP1136" s="7"/>
      <c r="BQ1136" s="7"/>
      <c r="BR1136" s="7"/>
      <c r="BS1136" s="7"/>
      <c r="BT1136" s="7"/>
      <c r="BU1136" s="7"/>
      <c r="BV1136" s="7"/>
      <c r="BW1136" s="7"/>
      <c r="BX1136" s="7"/>
      <c r="BY1136" s="7"/>
      <c r="BZ1136" s="7"/>
      <c r="CA1136" s="7"/>
      <c r="CB1136" s="7"/>
      <c r="CC1136" s="7"/>
      <c r="CD1136" s="7"/>
      <c r="CE1136" s="7"/>
      <c r="CF1136" s="7"/>
      <c r="CG1136" s="7"/>
    </row>
    <row r="1137" spans="3:85"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F1137" s="7"/>
      <c r="AG1137" s="7"/>
      <c r="AH1137" s="7"/>
      <c r="AI1137" s="7"/>
      <c r="AJ1137" s="7"/>
      <c r="AK1137" s="7"/>
      <c r="AL1137" s="7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  <c r="BB1137" s="7"/>
      <c r="BC1137" s="7"/>
      <c r="BD1137" s="7"/>
      <c r="BE1137" s="7"/>
      <c r="BF1137" s="7"/>
      <c r="BG1137" s="7"/>
      <c r="BH1137" s="7"/>
      <c r="BI1137" s="7"/>
      <c r="BJ1137" s="7"/>
      <c r="BK1137" s="7"/>
      <c r="BL1137" s="7"/>
      <c r="BM1137" s="7"/>
      <c r="BN1137" s="7"/>
      <c r="BO1137" s="7"/>
      <c r="BP1137" s="7"/>
      <c r="BQ1137" s="7"/>
      <c r="BR1137" s="7"/>
      <c r="BS1137" s="7"/>
      <c r="BT1137" s="7"/>
      <c r="BU1137" s="7"/>
      <c r="BV1137" s="7"/>
      <c r="BW1137" s="7"/>
      <c r="BX1137" s="7"/>
      <c r="BY1137" s="7"/>
      <c r="BZ1137" s="7"/>
      <c r="CA1137" s="7"/>
      <c r="CB1137" s="7"/>
      <c r="CC1137" s="7"/>
      <c r="CD1137" s="7"/>
      <c r="CE1137" s="7"/>
      <c r="CF1137" s="7"/>
      <c r="CG1137" s="7"/>
    </row>
    <row r="1138" spans="3:85"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F1138" s="7"/>
      <c r="AG1138" s="7"/>
      <c r="AH1138" s="7"/>
      <c r="AI1138" s="7"/>
      <c r="AJ1138" s="7"/>
      <c r="AK1138" s="7"/>
      <c r="AL1138" s="7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  <c r="BB1138" s="7"/>
      <c r="BC1138" s="7"/>
      <c r="BD1138" s="7"/>
      <c r="BE1138" s="7"/>
      <c r="BF1138" s="7"/>
      <c r="BG1138" s="7"/>
      <c r="BH1138" s="7"/>
      <c r="BI1138" s="7"/>
      <c r="BJ1138" s="7"/>
      <c r="BK1138" s="7"/>
      <c r="BL1138" s="7"/>
      <c r="BM1138" s="7"/>
      <c r="BN1138" s="7"/>
      <c r="BO1138" s="7"/>
      <c r="BP1138" s="7"/>
      <c r="BQ1138" s="7"/>
      <c r="BR1138" s="7"/>
      <c r="BS1138" s="7"/>
      <c r="BT1138" s="7"/>
      <c r="BU1138" s="7"/>
      <c r="BV1138" s="7"/>
      <c r="BW1138" s="7"/>
      <c r="BX1138" s="7"/>
      <c r="BY1138" s="7"/>
      <c r="BZ1138" s="7"/>
      <c r="CA1138" s="7"/>
      <c r="CB1138" s="7"/>
      <c r="CC1138" s="7"/>
      <c r="CD1138" s="7"/>
      <c r="CE1138" s="7"/>
      <c r="CF1138" s="7"/>
      <c r="CG1138" s="7"/>
    </row>
    <row r="1139" spans="3:85"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F1139" s="7"/>
      <c r="AG1139" s="7"/>
      <c r="AH1139" s="7"/>
      <c r="AI1139" s="7"/>
      <c r="AJ1139" s="7"/>
      <c r="AK1139" s="7"/>
      <c r="AL1139" s="7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  <c r="BB1139" s="7"/>
      <c r="BC1139" s="7"/>
      <c r="BD1139" s="7"/>
      <c r="BE1139" s="7"/>
      <c r="BF1139" s="7"/>
      <c r="BG1139" s="7"/>
      <c r="BH1139" s="7"/>
      <c r="BI1139" s="7"/>
      <c r="BJ1139" s="7"/>
      <c r="BK1139" s="7"/>
      <c r="BL1139" s="7"/>
      <c r="BM1139" s="7"/>
      <c r="BN1139" s="7"/>
      <c r="BO1139" s="7"/>
      <c r="BP1139" s="7"/>
      <c r="BQ1139" s="7"/>
      <c r="BR1139" s="7"/>
      <c r="BS1139" s="7"/>
      <c r="BT1139" s="7"/>
      <c r="BU1139" s="7"/>
      <c r="BV1139" s="7"/>
      <c r="BW1139" s="7"/>
      <c r="BX1139" s="7"/>
      <c r="BY1139" s="7"/>
      <c r="BZ1139" s="7"/>
      <c r="CA1139" s="7"/>
      <c r="CB1139" s="7"/>
      <c r="CC1139" s="7"/>
      <c r="CD1139" s="7"/>
      <c r="CE1139" s="7"/>
      <c r="CF1139" s="7"/>
      <c r="CG1139" s="7"/>
    </row>
    <row r="1140" spans="3:85"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F1140" s="7"/>
      <c r="AG1140" s="7"/>
      <c r="AH1140" s="7"/>
      <c r="AI1140" s="7"/>
      <c r="AJ1140" s="7"/>
      <c r="AK1140" s="7"/>
      <c r="AL1140" s="7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  <c r="BB1140" s="7"/>
      <c r="BC1140" s="7"/>
      <c r="BD1140" s="7"/>
      <c r="BE1140" s="7"/>
      <c r="BF1140" s="7"/>
      <c r="BG1140" s="7"/>
      <c r="BH1140" s="7"/>
      <c r="BI1140" s="7"/>
      <c r="BJ1140" s="7"/>
      <c r="BK1140" s="7"/>
      <c r="BL1140" s="7"/>
      <c r="BM1140" s="7"/>
      <c r="BN1140" s="7"/>
      <c r="BO1140" s="7"/>
      <c r="BP1140" s="7"/>
      <c r="BQ1140" s="7"/>
      <c r="BR1140" s="7"/>
      <c r="BS1140" s="7"/>
      <c r="BT1140" s="7"/>
      <c r="BU1140" s="7"/>
      <c r="BV1140" s="7"/>
      <c r="BW1140" s="7"/>
      <c r="BX1140" s="7"/>
      <c r="BY1140" s="7"/>
      <c r="BZ1140" s="7"/>
      <c r="CA1140" s="7"/>
      <c r="CB1140" s="7"/>
      <c r="CC1140" s="7"/>
      <c r="CD1140" s="7"/>
      <c r="CE1140" s="7"/>
      <c r="CF1140" s="7"/>
      <c r="CG1140" s="7"/>
    </row>
    <row r="1141" spans="3:85"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F1141" s="7"/>
      <c r="AG1141" s="7"/>
      <c r="AH1141" s="7"/>
      <c r="AI1141" s="7"/>
      <c r="AJ1141" s="7"/>
      <c r="AK1141" s="7"/>
      <c r="AL1141" s="7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  <c r="BB1141" s="7"/>
      <c r="BC1141" s="7"/>
      <c r="BD1141" s="7"/>
      <c r="BE1141" s="7"/>
      <c r="BF1141" s="7"/>
      <c r="BG1141" s="7"/>
      <c r="BH1141" s="7"/>
      <c r="BI1141" s="7"/>
      <c r="BJ1141" s="7"/>
      <c r="BK1141" s="7"/>
      <c r="BL1141" s="7"/>
      <c r="BM1141" s="7"/>
      <c r="BN1141" s="7"/>
      <c r="BO1141" s="7"/>
      <c r="BP1141" s="7"/>
      <c r="BQ1141" s="7"/>
      <c r="BR1141" s="7"/>
      <c r="BS1141" s="7"/>
      <c r="BT1141" s="7"/>
      <c r="BU1141" s="7"/>
      <c r="BV1141" s="7"/>
      <c r="BW1141" s="7"/>
      <c r="BX1141" s="7"/>
      <c r="BY1141" s="7"/>
      <c r="BZ1141" s="7"/>
      <c r="CA1141" s="7"/>
      <c r="CB1141" s="7"/>
      <c r="CC1141" s="7"/>
      <c r="CD1141" s="7"/>
      <c r="CE1141" s="7"/>
      <c r="CF1141" s="7"/>
      <c r="CG1141" s="7"/>
    </row>
    <row r="1142" spans="3:85"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F1142" s="7"/>
      <c r="AG1142" s="7"/>
      <c r="AH1142" s="7"/>
      <c r="AI1142" s="7"/>
      <c r="AJ1142" s="7"/>
      <c r="AK1142" s="7"/>
      <c r="AL1142" s="7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  <c r="BB1142" s="7"/>
      <c r="BC1142" s="7"/>
      <c r="BD1142" s="7"/>
      <c r="BE1142" s="7"/>
      <c r="BF1142" s="7"/>
      <c r="BG1142" s="7"/>
      <c r="BH1142" s="7"/>
      <c r="BI1142" s="7"/>
      <c r="BJ1142" s="7"/>
      <c r="BK1142" s="7"/>
      <c r="BL1142" s="7"/>
      <c r="BM1142" s="7"/>
      <c r="BN1142" s="7"/>
      <c r="BO1142" s="7"/>
      <c r="BP1142" s="7"/>
      <c r="BQ1142" s="7"/>
      <c r="BR1142" s="7"/>
      <c r="BS1142" s="7"/>
      <c r="BT1142" s="7"/>
      <c r="BU1142" s="7"/>
      <c r="BV1142" s="7"/>
      <c r="BW1142" s="7"/>
      <c r="BX1142" s="7"/>
      <c r="BY1142" s="7"/>
      <c r="BZ1142" s="7"/>
      <c r="CA1142" s="7"/>
      <c r="CB1142" s="7"/>
      <c r="CC1142" s="7"/>
      <c r="CD1142" s="7"/>
      <c r="CE1142" s="7"/>
      <c r="CF1142" s="7"/>
      <c r="CG1142" s="7"/>
    </row>
    <row r="1143" spans="3:85"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F1143" s="7"/>
      <c r="AG1143" s="7"/>
      <c r="AH1143" s="7"/>
      <c r="AI1143" s="7"/>
      <c r="AJ1143" s="7"/>
      <c r="AK1143" s="7"/>
      <c r="AL1143" s="7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  <c r="BB1143" s="7"/>
      <c r="BC1143" s="7"/>
      <c r="BD1143" s="7"/>
      <c r="BE1143" s="7"/>
      <c r="BF1143" s="7"/>
      <c r="BG1143" s="7"/>
      <c r="BH1143" s="7"/>
      <c r="BI1143" s="7"/>
      <c r="BJ1143" s="7"/>
      <c r="BK1143" s="7"/>
      <c r="BL1143" s="7"/>
      <c r="BM1143" s="7"/>
      <c r="BN1143" s="7"/>
      <c r="BO1143" s="7"/>
      <c r="BP1143" s="7"/>
      <c r="BQ1143" s="7"/>
      <c r="BR1143" s="7"/>
      <c r="BS1143" s="7"/>
      <c r="BT1143" s="7"/>
      <c r="BU1143" s="7"/>
      <c r="BV1143" s="7"/>
      <c r="BW1143" s="7"/>
      <c r="BX1143" s="7"/>
      <c r="BY1143" s="7"/>
      <c r="BZ1143" s="7"/>
      <c r="CA1143" s="7"/>
      <c r="CB1143" s="7"/>
      <c r="CC1143" s="7"/>
      <c r="CD1143" s="7"/>
      <c r="CE1143" s="7"/>
      <c r="CF1143" s="7"/>
      <c r="CG1143" s="7"/>
    </row>
    <row r="1144" spans="3:85"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F1144" s="7"/>
      <c r="AG1144" s="7"/>
      <c r="AH1144" s="7"/>
      <c r="AI1144" s="7"/>
      <c r="AJ1144" s="7"/>
      <c r="AK1144" s="7"/>
      <c r="AL1144" s="7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  <c r="BB1144" s="7"/>
      <c r="BC1144" s="7"/>
      <c r="BD1144" s="7"/>
      <c r="BE1144" s="7"/>
      <c r="BF1144" s="7"/>
      <c r="BG1144" s="7"/>
      <c r="BH1144" s="7"/>
      <c r="BI1144" s="7"/>
      <c r="BJ1144" s="7"/>
      <c r="BK1144" s="7"/>
      <c r="BL1144" s="7"/>
      <c r="BM1144" s="7"/>
      <c r="BN1144" s="7"/>
      <c r="BO1144" s="7"/>
      <c r="BP1144" s="7"/>
      <c r="BQ1144" s="7"/>
      <c r="BR1144" s="7"/>
      <c r="BS1144" s="7"/>
      <c r="BT1144" s="7"/>
      <c r="BU1144" s="7"/>
      <c r="BV1144" s="7"/>
      <c r="BW1144" s="7"/>
      <c r="BX1144" s="7"/>
      <c r="BY1144" s="7"/>
      <c r="BZ1144" s="7"/>
      <c r="CA1144" s="7"/>
      <c r="CB1144" s="7"/>
      <c r="CC1144" s="7"/>
      <c r="CD1144" s="7"/>
      <c r="CE1144" s="7"/>
      <c r="CF1144" s="7"/>
      <c r="CG1144" s="7"/>
    </row>
    <row r="1145" spans="3:85"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F1145" s="7"/>
      <c r="AG1145" s="7"/>
      <c r="AH1145" s="7"/>
      <c r="AI1145" s="7"/>
      <c r="AJ1145" s="7"/>
      <c r="AK1145" s="7"/>
      <c r="AL1145" s="7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  <c r="BB1145" s="7"/>
      <c r="BC1145" s="7"/>
      <c r="BD1145" s="7"/>
      <c r="BE1145" s="7"/>
      <c r="BF1145" s="7"/>
      <c r="BG1145" s="7"/>
      <c r="BH1145" s="7"/>
      <c r="BI1145" s="7"/>
      <c r="BJ1145" s="7"/>
      <c r="BK1145" s="7"/>
      <c r="BL1145" s="7"/>
      <c r="BM1145" s="7"/>
      <c r="BN1145" s="7"/>
      <c r="BO1145" s="7"/>
      <c r="BP1145" s="7"/>
      <c r="BQ1145" s="7"/>
      <c r="BR1145" s="7"/>
      <c r="BS1145" s="7"/>
      <c r="BT1145" s="7"/>
      <c r="BU1145" s="7"/>
      <c r="BV1145" s="7"/>
      <c r="BW1145" s="7"/>
      <c r="BX1145" s="7"/>
      <c r="BY1145" s="7"/>
      <c r="BZ1145" s="7"/>
      <c r="CA1145" s="7"/>
      <c r="CB1145" s="7"/>
      <c r="CC1145" s="7"/>
      <c r="CD1145" s="7"/>
      <c r="CE1145" s="7"/>
      <c r="CF1145" s="7"/>
      <c r="CG1145" s="7"/>
    </row>
    <row r="1146" spans="3:85"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  <c r="AC1146" s="7"/>
      <c r="AD1146" s="7"/>
      <c r="AF1146" s="7"/>
      <c r="AG1146" s="7"/>
      <c r="AH1146" s="7"/>
      <c r="AI1146" s="7"/>
      <c r="AJ1146" s="7"/>
      <c r="AK1146" s="7"/>
      <c r="AL1146" s="7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  <c r="BB1146" s="7"/>
      <c r="BC1146" s="7"/>
      <c r="BD1146" s="7"/>
      <c r="BE1146" s="7"/>
      <c r="BF1146" s="7"/>
      <c r="BG1146" s="7"/>
      <c r="BH1146" s="7"/>
      <c r="BI1146" s="7"/>
      <c r="BJ1146" s="7"/>
      <c r="BK1146" s="7"/>
      <c r="BL1146" s="7"/>
      <c r="BM1146" s="7"/>
      <c r="BN1146" s="7"/>
      <c r="BO1146" s="7"/>
      <c r="BP1146" s="7"/>
      <c r="BQ1146" s="7"/>
      <c r="BR1146" s="7"/>
      <c r="BS1146" s="7"/>
      <c r="BT1146" s="7"/>
      <c r="BU1146" s="7"/>
      <c r="BV1146" s="7"/>
      <c r="BW1146" s="7"/>
      <c r="BX1146" s="7"/>
      <c r="BY1146" s="7"/>
      <c r="BZ1146" s="7"/>
      <c r="CA1146" s="7"/>
      <c r="CB1146" s="7"/>
      <c r="CC1146" s="7"/>
      <c r="CD1146" s="7"/>
      <c r="CE1146" s="7"/>
      <c r="CF1146" s="7"/>
      <c r="CG1146" s="7"/>
    </row>
    <row r="1147" spans="3:85"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  <c r="AC1147" s="7"/>
      <c r="AD1147" s="7"/>
      <c r="AF1147" s="7"/>
      <c r="AG1147" s="7"/>
      <c r="AH1147" s="7"/>
      <c r="AI1147" s="7"/>
      <c r="AJ1147" s="7"/>
      <c r="AK1147" s="7"/>
      <c r="AL1147" s="7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  <c r="BB1147" s="7"/>
      <c r="BC1147" s="7"/>
      <c r="BD1147" s="7"/>
      <c r="BE1147" s="7"/>
      <c r="BF1147" s="7"/>
      <c r="BG1147" s="7"/>
      <c r="BH1147" s="7"/>
      <c r="BI1147" s="7"/>
      <c r="BJ1147" s="7"/>
      <c r="BK1147" s="7"/>
      <c r="BL1147" s="7"/>
      <c r="BM1147" s="7"/>
      <c r="BN1147" s="7"/>
      <c r="BO1147" s="7"/>
      <c r="BP1147" s="7"/>
      <c r="BQ1147" s="7"/>
      <c r="BR1147" s="7"/>
      <c r="BS1147" s="7"/>
      <c r="BT1147" s="7"/>
      <c r="BU1147" s="7"/>
      <c r="BV1147" s="7"/>
      <c r="BW1147" s="7"/>
      <c r="BX1147" s="7"/>
      <c r="BY1147" s="7"/>
      <c r="BZ1147" s="7"/>
      <c r="CA1147" s="7"/>
      <c r="CB1147" s="7"/>
      <c r="CC1147" s="7"/>
      <c r="CD1147" s="7"/>
      <c r="CE1147" s="7"/>
      <c r="CF1147" s="7"/>
      <c r="CG1147" s="7"/>
    </row>
    <row r="1148" spans="3:85"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  <c r="AC1148" s="7"/>
      <c r="AD1148" s="7"/>
      <c r="AF1148" s="7"/>
      <c r="AG1148" s="7"/>
      <c r="AH1148" s="7"/>
      <c r="AI1148" s="7"/>
      <c r="AJ1148" s="7"/>
      <c r="AK1148" s="7"/>
      <c r="AL1148" s="7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  <c r="BB1148" s="7"/>
      <c r="BC1148" s="7"/>
      <c r="BD1148" s="7"/>
      <c r="BE1148" s="7"/>
      <c r="BF1148" s="7"/>
      <c r="BG1148" s="7"/>
      <c r="BH1148" s="7"/>
      <c r="BI1148" s="7"/>
      <c r="BJ1148" s="7"/>
      <c r="BK1148" s="7"/>
      <c r="BL1148" s="7"/>
      <c r="BM1148" s="7"/>
      <c r="BN1148" s="7"/>
      <c r="BO1148" s="7"/>
      <c r="BP1148" s="7"/>
      <c r="BQ1148" s="7"/>
      <c r="BR1148" s="7"/>
      <c r="BS1148" s="7"/>
      <c r="BT1148" s="7"/>
      <c r="BU1148" s="7"/>
      <c r="BV1148" s="7"/>
      <c r="BW1148" s="7"/>
      <c r="BX1148" s="7"/>
      <c r="BY1148" s="7"/>
      <c r="BZ1148" s="7"/>
      <c r="CA1148" s="7"/>
      <c r="CB1148" s="7"/>
      <c r="CC1148" s="7"/>
      <c r="CD1148" s="7"/>
      <c r="CE1148" s="7"/>
      <c r="CF1148" s="7"/>
      <c r="CG1148" s="7"/>
    </row>
    <row r="1149" spans="3:85"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  <c r="AC1149" s="7"/>
      <c r="AD1149" s="7"/>
      <c r="AF1149" s="7"/>
      <c r="AG1149" s="7"/>
      <c r="AH1149" s="7"/>
      <c r="AI1149" s="7"/>
      <c r="AJ1149" s="7"/>
      <c r="AK1149" s="7"/>
      <c r="AL1149" s="7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  <c r="BB1149" s="7"/>
      <c r="BC1149" s="7"/>
      <c r="BD1149" s="7"/>
      <c r="BE1149" s="7"/>
      <c r="BF1149" s="7"/>
      <c r="BG1149" s="7"/>
      <c r="BH1149" s="7"/>
      <c r="BI1149" s="7"/>
      <c r="BJ1149" s="7"/>
      <c r="BK1149" s="7"/>
      <c r="BL1149" s="7"/>
      <c r="BM1149" s="7"/>
      <c r="BN1149" s="7"/>
      <c r="BO1149" s="7"/>
      <c r="BP1149" s="7"/>
      <c r="BQ1149" s="7"/>
      <c r="BR1149" s="7"/>
      <c r="BS1149" s="7"/>
      <c r="BT1149" s="7"/>
      <c r="BU1149" s="7"/>
      <c r="BV1149" s="7"/>
      <c r="BW1149" s="7"/>
      <c r="BX1149" s="7"/>
      <c r="BY1149" s="7"/>
      <c r="BZ1149" s="7"/>
      <c r="CA1149" s="7"/>
      <c r="CB1149" s="7"/>
      <c r="CC1149" s="7"/>
      <c r="CD1149" s="7"/>
      <c r="CE1149" s="7"/>
      <c r="CF1149" s="7"/>
      <c r="CG1149" s="7"/>
    </row>
    <row r="1150" spans="3:85"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  <c r="AC1150" s="7"/>
      <c r="AD1150" s="7"/>
      <c r="AF1150" s="7"/>
      <c r="AG1150" s="7"/>
      <c r="AH1150" s="7"/>
      <c r="AI1150" s="7"/>
      <c r="AJ1150" s="7"/>
      <c r="AK1150" s="7"/>
      <c r="AL1150" s="7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  <c r="BB1150" s="7"/>
      <c r="BC1150" s="7"/>
      <c r="BD1150" s="7"/>
      <c r="BE1150" s="7"/>
      <c r="BF1150" s="7"/>
      <c r="BG1150" s="7"/>
      <c r="BH1150" s="7"/>
      <c r="BI1150" s="7"/>
      <c r="BJ1150" s="7"/>
      <c r="BK1150" s="7"/>
      <c r="BL1150" s="7"/>
      <c r="BM1150" s="7"/>
      <c r="BN1150" s="7"/>
      <c r="BO1150" s="7"/>
      <c r="BP1150" s="7"/>
      <c r="BQ1150" s="7"/>
      <c r="BR1150" s="7"/>
      <c r="BS1150" s="7"/>
      <c r="BT1150" s="7"/>
      <c r="BU1150" s="7"/>
      <c r="BV1150" s="7"/>
      <c r="BW1150" s="7"/>
      <c r="BX1150" s="7"/>
      <c r="BY1150" s="7"/>
      <c r="BZ1150" s="7"/>
      <c r="CA1150" s="7"/>
      <c r="CB1150" s="7"/>
      <c r="CC1150" s="7"/>
      <c r="CD1150" s="7"/>
      <c r="CE1150" s="7"/>
      <c r="CF1150" s="7"/>
      <c r="CG1150" s="7"/>
    </row>
    <row r="1151" spans="3:85"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  <c r="AC1151" s="7"/>
      <c r="AD1151" s="7"/>
      <c r="AF1151" s="7"/>
      <c r="AG1151" s="7"/>
      <c r="AH1151" s="7"/>
      <c r="AI1151" s="7"/>
      <c r="AJ1151" s="7"/>
      <c r="AK1151" s="7"/>
      <c r="AL1151" s="7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  <c r="BB1151" s="7"/>
      <c r="BC1151" s="7"/>
      <c r="BD1151" s="7"/>
      <c r="BE1151" s="7"/>
      <c r="BF1151" s="7"/>
      <c r="BG1151" s="7"/>
      <c r="BH1151" s="7"/>
      <c r="BI1151" s="7"/>
      <c r="BJ1151" s="7"/>
      <c r="BK1151" s="7"/>
      <c r="BL1151" s="7"/>
      <c r="BM1151" s="7"/>
      <c r="BN1151" s="7"/>
      <c r="BO1151" s="7"/>
      <c r="BP1151" s="7"/>
      <c r="BQ1151" s="7"/>
      <c r="BR1151" s="7"/>
      <c r="BS1151" s="7"/>
      <c r="BT1151" s="7"/>
      <c r="BU1151" s="7"/>
      <c r="BV1151" s="7"/>
      <c r="BW1151" s="7"/>
      <c r="BX1151" s="7"/>
      <c r="BY1151" s="7"/>
      <c r="BZ1151" s="7"/>
      <c r="CA1151" s="7"/>
      <c r="CB1151" s="7"/>
      <c r="CC1151" s="7"/>
      <c r="CD1151" s="7"/>
      <c r="CE1151" s="7"/>
      <c r="CF1151" s="7"/>
      <c r="CG1151" s="7"/>
    </row>
    <row r="1152" spans="3:85"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  <c r="AC1152" s="7"/>
      <c r="AD1152" s="7"/>
      <c r="AF1152" s="7"/>
      <c r="AG1152" s="7"/>
      <c r="AH1152" s="7"/>
      <c r="AI1152" s="7"/>
      <c r="AJ1152" s="7"/>
      <c r="AK1152" s="7"/>
      <c r="AL1152" s="7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  <c r="BB1152" s="7"/>
      <c r="BC1152" s="7"/>
      <c r="BD1152" s="7"/>
      <c r="BE1152" s="7"/>
      <c r="BF1152" s="7"/>
      <c r="BG1152" s="7"/>
      <c r="BH1152" s="7"/>
      <c r="BI1152" s="7"/>
      <c r="BJ1152" s="7"/>
      <c r="BK1152" s="7"/>
      <c r="BL1152" s="7"/>
      <c r="BM1152" s="7"/>
      <c r="BN1152" s="7"/>
      <c r="BO1152" s="7"/>
      <c r="BP1152" s="7"/>
      <c r="BQ1152" s="7"/>
      <c r="BR1152" s="7"/>
      <c r="BS1152" s="7"/>
      <c r="BT1152" s="7"/>
      <c r="BU1152" s="7"/>
      <c r="BV1152" s="7"/>
      <c r="BW1152" s="7"/>
      <c r="BX1152" s="7"/>
      <c r="BY1152" s="7"/>
      <c r="BZ1152" s="7"/>
      <c r="CA1152" s="7"/>
      <c r="CB1152" s="7"/>
      <c r="CC1152" s="7"/>
      <c r="CD1152" s="7"/>
      <c r="CE1152" s="7"/>
      <c r="CF1152" s="7"/>
      <c r="CG1152" s="7"/>
    </row>
    <row r="1153" spans="3:85"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  <c r="AC1153" s="7"/>
      <c r="AD1153" s="7"/>
      <c r="AF1153" s="7"/>
      <c r="AG1153" s="7"/>
      <c r="AH1153" s="7"/>
      <c r="AI1153" s="7"/>
      <c r="AJ1153" s="7"/>
      <c r="AK1153" s="7"/>
      <c r="AL1153" s="7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  <c r="BB1153" s="7"/>
      <c r="BC1153" s="7"/>
      <c r="BD1153" s="7"/>
      <c r="BE1153" s="7"/>
      <c r="BF1153" s="7"/>
      <c r="BG1153" s="7"/>
      <c r="BH1153" s="7"/>
      <c r="BI1153" s="7"/>
      <c r="BJ1153" s="7"/>
      <c r="BK1153" s="7"/>
      <c r="BL1153" s="7"/>
      <c r="BM1153" s="7"/>
      <c r="BN1153" s="7"/>
      <c r="BO1153" s="7"/>
      <c r="BP1153" s="7"/>
      <c r="BQ1153" s="7"/>
      <c r="BR1153" s="7"/>
      <c r="BS1153" s="7"/>
      <c r="BT1153" s="7"/>
      <c r="BU1153" s="7"/>
      <c r="BV1153" s="7"/>
      <c r="BW1153" s="7"/>
      <c r="BX1153" s="7"/>
      <c r="BY1153" s="7"/>
      <c r="BZ1153" s="7"/>
      <c r="CA1153" s="7"/>
      <c r="CB1153" s="7"/>
      <c r="CC1153" s="7"/>
      <c r="CD1153" s="7"/>
      <c r="CE1153" s="7"/>
      <c r="CF1153" s="7"/>
      <c r="CG1153" s="7"/>
    </row>
    <row r="1154" spans="3:85"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  <c r="AC1154" s="7"/>
      <c r="AD1154" s="7"/>
      <c r="AF1154" s="7"/>
      <c r="AG1154" s="7"/>
      <c r="AH1154" s="7"/>
      <c r="AI1154" s="7"/>
      <c r="AJ1154" s="7"/>
      <c r="AK1154" s="7"/>
      <c r="AL1154" s="7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  <c r="BB1154" s="7"/>
      <c r="BC1154" s="7"/>
      <c r="BD1154" s="7"/>
      <c r="BE1154" s="7"/>
      <c r="BF1154" s="7"/>
      <c r="BG1154" s="7"/>
      <c r="BH1154" s="7"/>
      <c r="BI1154" s="7"/>
      <c r="BJ1154" s="7"/>
      <c r="BK1154" s="7"/>
      <c r="BL1154" s="7"/>
      <c r="BM1154" s="7"/>
      <c r="BN1154" s="7"/>
      <c r="BO1154" s="7"/>
      <c r="BP1154" s="7"/>
      <c r="BQ1154" s="7"/>
      <c r="BR1154" s="7"/>
      <c r="BS1154" s="7"/>
      <c r="BT1154" s="7"/>
      <c r="BU1154" s="7"/>
      <c r="BV1154" s="7"/>
      <c r="BW1154" s="7"/>
      <c r="BX1154" s="7"/>
      <c r="BY1154" s="7"/>
      <c r="BZ1154" s="7"/>
      <c r="CA1154" s="7"/>
      <c r="CB1154" s="7"/>
      <c r="CC1154" s="7"/>
      <c r="CD1154" s="7"/>
      <c r="CE1154" s="7"/>
      <c r="CF1154" s="7"/>
      <c r="CG1154" s="7"/>
    </row>
    <row r="1155" spans="3:85"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  <c r="AC1155" s="7"/>
      <c r="AD1155" s="7"/>
      <c r="AF1155" s="7"/>
      <c r="AG1155" s="7"/>
      <c r="AH1155" s="7"/>
      <c r="AI1155" s="7"/>
      <c r="AJ1155" s="7"/>
      <c r="AK1155" s="7"/>
      <c r="AL1155" s="7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  <c r="BB1155" s="7"/>
      <c r="BC1155" s="7"/>
      <c r="BD1155" s="7"/>
      <c r="BE1155" s="7"/>
      <c r="BF1155" s="7"/>
      <c r="BG1155" s="7"/>
      <c r="BH1155" s="7"/>
      <c r="BI1155" s="7"/>
      <c r="BJ1155" s="7"/>
      <c r="BK1155" s="7"/>
      <c r="BL1155" s="7"/>
      <c r="BM1155" s="7"/>
      <c r="BN1155" s="7"/>
      <c r="BO1155" s="7"/>
      <c r="BP1155" s="7"/>
      <c r="BQ1155" s="7"/>
      <c r="BR1155" s="7"/>
      <c r="BS1155" s="7"/>
      <c r="BT1155" s="7"/>
      <c r="BU1155" s="7"/>
      <c r="BV1155" s="7"/>
      <c r="BW1155" s="7"/>
      <c r="BX1155" s="7"/>
      <c r="BY1155" s="7"/>
      <c r="BZ1155" s="7"/>
      <c r="CA1155" s="7"/>
      <c r="CB1155" s="7"/>
      <c r="CC1155" s="7"/>
      <c r="CD1155" s="7"/>
      <c r="CE1155" s="7"/>
      <c r="CF1155" s="7"/>
      <c r="CG1155" s="7"/>
    </row>
    <row r="1156" spans="3:85"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  <c r="AC1156" s="7"/>
      <c r="AD1156" s="7"/>
      <c r="AF1156" s="7"/>
      <c r="AG1156" s="7"/>
      <c r="AH1156" s="7"/>
      <c r="AI1156" s="7"/>
      <c r="AJ1156" s="7"/>
      <c r="AK1156" s="7"/>
      <c r="AL1156" s="7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  <c r="BB1156" s="7"/>
      <c r="BC1156" s="7"/>
      <c r="BD1156" s="7"/>
      <c r="BE1156" s="7"/>
      <c r="BF1156" s="7"/>
      <c r="BG1156" s="7"/>
      <c r="BH1156" s="7"/>
      <c r="BI1156" s="7"/>
      <c r="BJ1156" s="7"/>
      <c r="BK1156" s="7"/>
      <c r="BL1156" s="7"/>
      <c r="BM1156" s="7"/>
      <c r="BN1156" s="7"/>
      <c r="BO1156" s="7"/>
      <c r="BP1156" s="7"/>
      <c r="BQ1156" s="7"/>
      <c r="BR1156" s="7"/>
      <c r="BS1156" s="7"/>
      <c r="BT1156" s="7"/>
      <c r="BU1156" s="7"/>
      <c r="BV1156" s="7"/>
      <c r="BW1156" s="7"/>
      <c r="BX1156" s="7"/>
      <c r="BY1156" s="7"/>
      <c r="BZ1156" s="7"/>
      <c r="CA1156" s="7"/>
      <c r="CB1156" s="7"/>
      <c r="CC1156" s="7"/>
      <c r="CD1156" s="7"/>
      <c r="CE1156" s="7"/>
      <c r="CF1156" s="7"/>
      <c r="CG1156" s="7"/>
    </row>
    <row r="1157" spans="3:85"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  <c r="AC1157" s="7"/>
      <c r="AD1157" s="7"/>
      <c r="AF1157" s="7"/>
      <c r="AG1157" s="7"/>
      <c r="AH1157" s="7"/>
      <c r="AI1157" s="7"/>
      <c r="AJ1157" s="7"/>
      <c r="AK1157" s="7"/>
      <c r="AL1157" s="7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  <c r="BB1157" s="7"/>
      <c r="BC1157" s="7"/>
      <c r="BD1157" s="7"/>
      <c r="BE1157" s="7"/>
      <c r="BF1157" s="7"/>
      <c r="BG1157" s="7"/>
      <c r="BH1157" s="7"/>
      <c r="BI1157" s="7"/>
      <c r="BJ1157" s="7"/>
      <c r="BK1157" s="7"/>
      <c r="BL1157" s="7"/>
      <c r="BM1157" s="7"/>
      <c r="BN1157" s="7"/>
      <c r="BO1157" s="7"/>
      <c r="BP1157" s="7"/>
      <c r="BQ1157" s="7"/>
      <c r="BR1157" s="7"/>
      <c r="BS1157" s="7"/>
      <c r="BT1157" s="7"/>
      <c r="BU1157" s="7"/>
      <c r="BV1157" s="7"/>
      <c r="BW1157" s="7"/>
      <c r="BX1157" s="7"/>
      <c r="BY1157" s="7"/>
      <c r="BZ1157" s="7"/>
      <c r="CA1157" s="7"/>
      <c r="CB1157" s="7"/>
      <c r="CC1157" s="7"/>
      <c r="CD1157" s="7"/>
      <c r="CE1157" s="7"/>
      <c r="CF1157" s="7"/>
      <c r="CG1157" s="7"/>
    </row>
    <row r="1158" spans="3:85"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  <c r="AC1158" s="7"/>
      <c r="AD1158" s="7"/>
      <c r="AF1158" s="7"/>
      <c r="AG1158" s="7"/>
      <c r="AH1158" s="7"/>
      <c r="AI1158" s="7"/>
      <c r="AJ1158" s="7"/>
      <c r="AK1158" s="7"/>
      <c r="AL1158" s="7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  <c r="BB1158" s="7"/>
      <c r="BC1158" s="7"/>
      <c r="BD1158" s="7"/>
      <c r="BE1158" s="7"/>
      <c r="BF1158" s="7"/>
      <c r="BG1158" s="7"/>
      <c r="BH1158" s="7"/>
      <c r="BI1158" s="7"/>
      <c r="BJ1158" s="7"/>
      <c r="BK1158" s="7"/>
      <c r="BL1158" s="7"/>
      <c r="BM1158" s="7"/>
      <c r="BN1158" s="7"/>
      <c r="BO1158" s="7"/>
      <c r="BP1158" s="7"/>
      <c r="BQ1158" s="7"/>
      <c r="BR1158" s="7"/>
      <c r="BS1158" s="7"/>
      <c r="BT1158" s="7"/>
      <c r="BU1158" s="7"/>
      <c r="BV1158" s="7"/>
      <c r="BW1158" s="7"/>
      <c r="BX1158" s="7"/>
      <c r="BY1158" s="7"/>
      <c r="BZ1158" s="7"/>
      <c r="CA1158" s="7"/>
      <c r="CB1158" s="7"/>
      <c r="CC1158" s="7"/>
      <c r="CD1158" s="7"/>
      <c r="CE1158" s="7"/>
      <c r="CF1158" s="7"/>
      <c r="CG1158" s="7"/>
    </row>
    <row r="1159" spans="3:85"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  <c r="AC1159" s="7"/>
      <c r="AD1159" s="7"/>
      <c r="AF1159" s="7"/>
      <c r="AG1159" s="7"/>
      <c r="AH1159" s="7"/>
      <c r="AI1159" s="7"/>
      <c r="AJ1159" s="7"/>
      <c r="AK1159" s="7"/>
      <c r="AL1159" s="7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  <c r="BB1159" s="7"/>
      <c r="BC1159" s="7"/>
      <c r="BD1159" s="7"/>
      <c r="BE1159" s="7"/>
      <c r="BF1159" s="7"/>
      <c r="BG1159" s="7"/>
      <c r="BH1159" s="7"/>
      <c r="BI1159" s="7"/>
      <c r="BJ1159" s="7"/>
      <c r="BK1159" s="7"/>
      <c r="BL1159" s="7"/>
      <c r="BM1159" s="7"/>
      <c r="BN1159" s="7"/>
      <c r="BO1159" s="7"/>
      <c r="BP1159" s="7"/>
      <c r="BQ1159" s="7"/>
      <c r="BR1159" s="7"/>
      <c r="BS1159" s="7"/>
      <c r="BT1159" s="7"/>
      <c r="BU1159" s="7"/>
      <c r="BV1159" s="7"/>
      <c r="BW1159" s="7"/>
      <c r="BX1159" s="7"/>
      <c r="BY1159" s="7"/>
      <c r="BZ1159" s="7"/>
      <c r="CA1159" s="7"/>
      <c r="CB1159" s="7"/>
      <c r="CC1159" s="7"/>
      <c r="CD1159" s="7"/>
      <c r="CE1159" s="7"/>
      <c r="CF1159" s="7"/>
      <c r="CG1159" s="7"/>
    </row>
    <row r="1160" spans="3:85"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  <c r="AC1160" s="7"/>
      <c r="AD1160" s="7"/>
      <c r="AF1160" s="7"/>
      <c r="AG1160" s="7"/>
      <c r="AH1160" s="7"/>
      <c r="AI1160" s="7"/>
      <c r="AJ1160" s="7"/>
      <c r="AK1160" s="7"/>
      <c r="AL1160" s="7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  <c r="BB1160" s="7"/>
      <c r="BC1160" s="7"/>
      <c r="BD1160" s="7"/>
      <c r="BE1160" s="7"/>
      <c r="BF1160" s="7"/>
      <c r="BG1160" s="7"/>
      <c r="BH1160" s="7"/>
      <c r="BI1160" s="7"/>
      <c r="BJ1160" s="7"/>
      <c r="BK1160" s="7"/>
      <c r="BL1160" s="7"/>
      <c r="BM1160" s="7"/>
      <c r="BN1160" s="7"/>
      <c r="BO1160" s="7"/>
      <c r="BP1160" s="7"/>
      <c r="BQ1160" s="7"/>
      <c r="BR1160" s="7"/>
      <c r="BS1160" s="7"/>
      <c r="BT1160" s="7"/>
      <c r="BU1160" s="7"/>
      <c r="BV1160" s="7"/>
      <c r="BW1160" s="7"/>
      <c r="BX1160" s="7"/>
      <c r="BY1160" s="7"/>
      <c r="BZ1160" s="7"/>
      <c r="CA1160" s="7"/>
      <c r="CB1160" s="7"/>
      <c r="CC1160" s="7"/>
      <c r="CD1160" s="7"/>
      <c r="CE1160" s="7"/>
      <c r="CF1160" s="7"/>
      <c r="CG1160" s="7"/>
    </row>
    <row r="1161" spans="3:85"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  <c r="AC1161" s="7"/>
      <c r="AD1161" s="7"/>
      <c r="AF1161" s="7"/>
      <c r="AG1161" s="7"/>
      <c r="AH1161" s="7"/>
      <c r="AI1161" s="7"/>
      <c r="AJ1161" s="7"/>
      <c r="AK1161" s="7"/>
      <c r="AL1161" s="7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  <c r="BB1161" s="7"/>
      <c r="BC1161" s="7"/>
      <c r="BD1161" s="7"/>
      <c r="BE1161" s="7"/>
      <c r="BF1161" s="7"/>
      <c r="BG1161" s="7"/>
      <c r="BH1161" s="7"/>
      <c r="BI1161" s="7"/>
      <c r="BJ1161" s="7"/>
      <c r="BK1161" s="7"/>
      <c r="BL1161" s="7"/>
      <c r="BM1161" s="7"/>
      <c r="BN1161" s="7"/>
      <c r="BO1161" s="7"/>
      <c r="BP1161" s="7"/>
      <c r="BQ1161" s="7"/>
      <c r="BR1161" s="7"/>
      <c r="BS1161" s="7"/>
      <c r="BT1161" s="7"/>
      <c r="BU1161" s="7"/>
      <c r="BV1161" s="7"/>
      <c r="BW1161" s="7"/>
      <c r="BX1161" s="7"/>
      <c r="BY1161" s="7"/>
      <c r="BZ1161" s="7"/>
      <c r="CA1161" s="7"/>
      <c r="CB1161" s="7"/>
      <c r="CC1161" s="7"/>
      <c r="CD1161" s="7"/>
      <c r="CE1161" s="7"/>
      <c r="CF1161" s="7"/>
      <c r="CG1161" s="7"/>
    </row>
    <row r="1162" spans="3:85"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  <c r="AC1162" s="7"/>
      <c r="AD1162" s="7"/>
      <c r="AF1162" s="7"/>
      <c r="AG1162" s="7"/>
      <c r="AH1162" s="7"/>
      <c r="AI1162" s="7"/>
      <c r="AJ1162" s="7"/>
      <c r="AK1162" s="7"/>
      <c r="AL1162" s="7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  <c r="BB1162" s="7"/>
      <c r="BC1162" s="7"/>
      <c r="BD1162" s="7"/>
      <c r="BE1162" s="7"/>
      <c r="BF1162" s="7"/>
      <c r="BG1162" s="7"/>
      <c r="BH1162" s="7"/>
      <c r="BI1162" s="7"/>
      <c r="BJ1162" s="7"/>
      <c r="BK1162" s="7"/>
      <c r="BL1162" s="7"/>
      <c r="BM1162" s="7"/>
      <c r="BN1162" s="7"/>
      <c r="BO1162" s="7"/>
      <c r="BP1162" s="7"/>
      <c r="BQ1162" s="7"/>
      <c r="BR1162" s="7"/>
      <c r="BS1162" s="7"/>
      <c r="BT1162" s="7"/>
      <c r="BU1162" s="7"/>
      <c r="BV1162" s="7"/>
      <c r="BW1162" s="7"/>
      <c r="BX1162" s="7"/>
      <c r="BY1162" s="7"/>
      <c r="BZ1162" s="7"/>
      <c r="CA1162" s="7"/>
      <c r="CB1162" s="7"/>
      <c r="CC1162" s="7"/>
      <c r="CD1162" s="7"/>
      <c r="CE1162" s="7"/>
      <c r="CF1162" s="7"/>
      <c r="CG1162" s="7"/>
    </row>
    <row r="1163" spans="3:85"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  <c r="AC1163" s="7"/>
      <c r="AD1163" s="7"/>
      <c r="AF1163" s="7"/>
      <c r="AG1163" s="7"/>
      <c r="AH1163" s="7"/>
      <c r="AI1163" s="7"/>
      <c r="AJ1163" s="7"/>
      <c r="AK1163" s="7"/>
      <c r="AL1163" s="7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  <c r="BB1163" s="7"/>
      <c r="BC1163" s="7"/>
      <c r="BD1163" s="7"/>
      <c r="BE1163" s="7"/>
      <c r="BF1163" s="7"/>
      <c r="BG1163" s="7"/>
      <c r="BH1163" s="7"/>
      <c r="BI1163" s="7"/>
      <c r="BJ1163" s="7"/>
      <c r="BK1163" s="7"/>
      <c r="BL1163" s="7"/>
      <c r="BM1163" s="7"/>
      <c r="BN1163" s="7"/>
      <c r="BO1163" s="7"/>
      <c r="BP1163" s="7"/>
      <c r="BQ1163" s="7"/>
      <c r="BR1163" s="7"/>
      <c r="BS1163" s="7"/>
      <c r="BT1163" s="7"/>
      <c r="BU1163" s="7"/>
      <c r="BV1163" s="7"/>
      <c r="BW1163" s="7"/>
      <c r="BX1163" s="7"/>
      <c r="BY1163" s="7"/>
      <c r="BZ1163" s="7"/>
      <c r="CA1163" s="7"/>
      <c r="CB1163" s="7"/>
      <c r="CC1163" s="7"/>
      <c r="CD1163" s="7"/>
      <c r="CE1163" s="7"/>
      <c r="CF1163" s="7"/>
      <c r="CG1163" s="7"/>
    </row>
    <row r="1164" spans="3:85"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  <c r="AC1164" s="7"/>
      <c r="AD1164" s="7"/>
      <c r="AF1164" s="7"/>
      <c r="AG1164" s="7"/>
      <c r="AH1164" s="7"/>
      <c r="AI1164" s="7"/>
      <c r="AJ1164" s="7"/>
      <c r="AK1164" s="7"/>
      <c r="AL1164" s="7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  <c r="BB1164" s="7"/>
      <c r="BC1164" s="7"/>
      <c r="BD1164" s="7"/>
      <c r="BE1164" s="7"/>
      <c r="BF1164" s="7"/>
      <c r="BG1164" s="7"/>
      <c r="BH1164" s="7"/>
      <c r="BI1164" s="7"/>
      <c r="BJ1164" s="7"/>
      <c r="BK1164" s="7"/>
      <c r="BL1164" s="7"/>
      <c r="BM1164" s="7"/>
      <c r="BN1164" s="7"/>
      <c r="BO1164" s="7"/>
      <c r="BP1164" s="7"/>
      <c r="BQ1164" s="7"/>
      <c r="BR1164" s="7"/>
      <c r="BS1164" s="7"/>
      <c r="BT1164" s="7"/>
      <c r="BU1164" s="7"/>
      <c r="BV1164" s="7"/>
      <c r="BW1164" s="7"/>
      <c r="BX1164" s="7"/>
      <c r="BY1164" s="7"/>
      <c r="BZ1164" s="7"/>
      <c r="CA1164" s="7"/>
      <c r="CB1164" s="7"/>
      <c r="CC1164" s="7"/>
      <c r="CD1164" s="7"/>
      <c r="CE1164" s="7"/>
      <c r="CF1164" s="7"/>
      <c r="CG1164" s="7"/>
    </row>
    <row r="1165" spans="3:85"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  <c r="AC1165" s="7"/>
      <c r="AD1165" s="7"/>
      <c r="AF1165" s="7"/>
      <c r="AG1165" s="7"/>
      <c r="AH1165" s="7"/>
      <c r="AI1165" s="7"/>
      <c r="AJ1165" s="7"/>
      <c r="AK1165" s="7"/>
      <c r="AL1165" s="7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  <c r="BB1165" s="7"/>
      <c r="BC1165" s="7"/>
      <c r="BD1165" s="7"/>
      <c r="BE1165" s="7"/>
      <c r="BF1165" s="7"/>
      <c r="BG1165" s="7"/>
      <c r="BH1165" s="7"/>
      <c r="BI1165" s="7"/>
      <c r="BJ1165" s="7"/>
      <c r="BK1165" s="7"/>
      <c r="BL1165" s="7"/>
      <c r="BM1165" s="7"/>
      <c r="BN1165" s="7"/>
      <c r="BO1165" s="7"/>
      <c r="BP1165" s="7"/>
      <c r="BQ1165" s="7"/>
      <c r="BR1165" s="7"/>
      <c r="BS1165" s="7"/>
      <c r="BT1165" s="7"/>
      <c r="BU1165" s="7"/>
      <c r="BV1165" s="7"/>
      <c r="BW1165" s="7"/>
      <c r="BX1165" s="7"/>
      <c r="BY1165" s="7"/>
      <c r="BZ1165" s="7"/>
      <c r="CA1165" s="7"/>
      <c r="CB1165" s="7"/>
      <c r="CC1165" s="7"/>
      <c r="CD1165" s="7"/>
      <c r="CE1165" s="7"/>
      <c r="CF1165" s="7"/>
      <c r="CG1165" s="7"/>
    </row>
    <row r="1166" spans="3:85"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  <c r="AC1166" s="7"/>
      <c r="AD1166" s="7"/>
      <c r="AF1166" s="7"/>
      <c r="AG1166" s="7"/>
      <c r="AH1166" s="7"/>
      <c r="AI1166" s="7"/>
      <c r="AJ1166" s="7"/>
      <c r="AK1166" s="7"/>
      <c r="AL1166" s="7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  <c r="BB1166" s="7"/>
      <c r="BC1166" s="7"/>
      <c r="BD1166" s="7"/>
      <c r="BE1166" s="7"/>
      <c r="BF1166" s="7"/>
      <c r="BG1166" s="7"/>
      <c r="BH1166" s="7"/>
      <c r="BI1166" s="7"/>
      <c r="BJ1166" s="7"/>
      <c r="BK1166" s="7"/>
      <c r="BL1166" s="7"/>
      <c r="BM1166" s="7"/>
      <c r="BN1166" s="7"/>
      <c r="BO1166" s="7"/>
      <c r="BP1166" s="7"/>
      <c r="BQ1166" s="7"/>
      <c r="BR1166" s="7"/>
      <c r="BS1166" s="7"/>
      <c r="BT1166" s="7"/>
      <c r="BU1166" s="7"/>
      <c r="BV1166" s="7"/>
      <c r="BW1166" s="7"/>
      <c r="BX1166" s="7"/>
      <c r="BY1166" s="7"/>
      <c r="BZ1166" s="7"/>
      <c r="CA1166" s="7"/>
      <c r="CB1166" s="7"/>
      <c r="CC1166" s="7"/>
      <c r="CD1166" s="7"/>
      <c r="CE1166" s="7"/>
      <c r="CF1166" s="7"/>
      <c r="CG1166" s="7"/>
    </row>
    <row r="1167" spans="3:85"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  <c r="AC1167" s="7"/>
      <c r="AD1167" s="7"/>
      <c r="AF1167" s="7"/>
      <c r="AG1167" s="7"/>
      <c r="AH1167" s="7"/>
      <c r="AI1167" s="7"/>
      <c r="AJ1167" s="7"/>
      <c r="AK1167" s="7"/>
      <c r="AL1167" s="7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  <c r="BB1167" s="7"/>
      <c r="BC1167" s="7"/>
      <c r="BD1167" s="7"/>
      <c r="BE1167" s="7"/>
      <c r="BF1167" s="7"/>
      <c r="BG1167" s="7"/>
      <c r="BH1167" s="7"/>
      <c r="BI1167" s="7"/>
      <c r="BJ1167" s="7"/>
      <c r="BK1167" s="7"/>
      <c r="BL1167" s="7"/>
      <c r="BM1167" s="7"/>
      <c r="BN1167" s="7"/>
      <c r="BO1167" s="7"/>
      <c r="BP1167" s="7"/>
      <c r="BQ1167" s="7"/>
      <c r="BR1167" s="7"/>
      <c r="BS1167" s="7"/>
      <c r="BT1167" s="7"/>
      <c r="BU1167" s="7"/>
      <c r="BV1167" s="7"/>
      <c r="BW1167" s="7"/>
      <c r="BX1167" s="7"/>
      <c r="BY1167" s="7"/>
      <c r="BZ1167" s="7"/>
      <c r="CA1167" s="7"/>
      <c r="CB1167" s="7"/>
      <c r="CC1167" s="7"/>
      <c r="CD1167" s="7"/>
      <c r="CE1167" s="7"/>
      <c r="CF1167" s="7"/>
      <c r="CG1167" s="7"/>
    </row>
    <row r="1168" spans="3:85"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  <c r="AC1168" s="7"/>
      <c r="AD1168" s="7"/>
      <c r="AF1168" s="7"/>
      <c r="AG1168" s="7"/>
      <c r="AH1168" s="7"/>
      <c r="AI1168" s="7"/>
      <c r="AJ1168" s="7"/>
      <c r="AK1168" s="7"/>
      <c r="AL1168" s="7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  <c r="BB1168" s="7"/>
      <c r="BC1168" s="7"/>
      <c r="BD1168" s="7"/>
      <c r="BE1168" s="7"/>
      <c r="BF1168" s="7"/>
      <c r="BG1168" s="7"/>
      <c r="BH1168" s="7"/>
      <c r="BI1168" s="7"/>
      <c r="BJ1168" s="7"/>
      <c r="BK1168" s="7"/>
      <c r="BL1168" s="7"/>
      <c r="BM1168" s="7"/>
      <c r="BN1168" s="7"/>
      <c r="BO1168" s="7"/>
      <c r="BP1168" s="7"/>
      <c r="BQ1168" s="7"/>
      <c r="BR1168" s="7"/>
      <c r="BS1168" s="7"/>
      <c r="BT1168" s="7"/>
      <c r="BU1168" s="7"/>
      <c r="BV1168" s="7"/>
      <c r="BW1168" s="7"/>
      <c r="BX1168" s="7"/>
      <c r="BY1168" s="7"/>
      <c r="BZ1168" s="7"/>
      <c r="CA1168" s="7"/>
      <c r="CB1168" s="7"/>
      <c r="CC1168" s="7"/>
      <c r="CD1168" s="7"/>
      <c r="CE1168" s="7"/>
      <c r="CF1168" s="7"/>
      <c r="CG1168" s="7"/>
    </row>
    <row r="1169" spans="3:85"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  <c r="AC1169" s="7"/>
      <c r="AD1169" s="7"/>
      <c r="AF1169" s="7"/>
      <c r="AG1169" s="7"/>
      <c r="AH1169" s="7"/>
      <c r="AI1169" s="7"/>
      <c r="AJ1169" s="7"/>
      <c r="AK1169" s="7"/>
      <c r="AL1169" s="7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  <c r="BB1169" s="7"/>
      <c r="BC1169" s="7"/>
      <c r="BD1169" s="7"/>
      <c r="BE1169" s="7"/>
      <c r="BF1169" s="7"/>
      <c r="BG1169" s="7"/>
      <c r="BH1169" s="7"/>
      <c r="BI1169" s="7"/>
      <c r="BJ1169" s="7"/>
      <c r="BK1169" s="7"/>
      <c r="BL1169" s="7"/>
      <c r="BM1169" s="7"/>
      <c r="BN1169" s="7"/>
      <c r="BO1169" s="7"/>
      <c r="BP1169" s="7"/>
      <c r="BQ1169" s="7"/>
      <c r="BR1169" s="7"/>
      <c r="BS1169" s="7"/>
      <c r="BT1169" s="7"/>
      <c r="BU1169" s="7"/>
      <c r="BV1169" s="7"/>
      <c r="BW1169" s="7"/>
      <c r="BX1169" s="7"/>
      <c r="BY1169" s="7"/>
      <c r="BZ1169" s="7"/>
      <c r="CA1169" s="7"/>
      <c r="CB1169" s="7"/>
      <c r="CC1169" s="7"/>
      <c r="CD1169" s="7"/>
      <c r="CE1169" s="7"/>
      <c r="CF1169" s="7"/>
      <c r="CG1169" s="7"/>
    </row>
    <row r="1170" spans="3:85"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  <c r="AC1170" s="7"/>
      <c r="AD1170" s="7"/>
      <c r="AF1170" s="7"/>
      <c r="AG1170" s="7"/>
      <c r="AH1170" s="7"/>
      <c r="AI1170" s="7"/>
      <c r="AJ1170" s="7"/>
      <c r="AK1170" s="7"/>
      <c r="AL1170" s="7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  <c r="BB1170" s="7"/>
      <c r="BC1170" s="7"/>
      <c r="BD1170" s="7"/>
      <c r="BE1170" s="7"/>
      <c r="BF1170" s="7"/>
      <c r="BG1170" s="7"/>
      <c r="BH1170" s="7"/>
      <c r="BI1170" s="7"/>
      <c r="BJ1170" s="7"/>
      <c r="BK1170" s="7"/>
      <c r="BL1170" s="7"/>
      <c r="BM1170" s="7"/>
      <c r="BN1170" s="7"/>
      <c r="BO1170" s="7"/>
      <c r="BP1170" s="7"/>
      <c r="BQ1170" s="7"/>
      <c r="BR1170" s="7"/>
      <c r="BS1170" s="7"/>
      <c r="BT1170" s="7"/>
      <c r="BU1170" s="7"/>
      <c r="BV1170" s="7"/>
      <c r="BW1170" s="7"/>
      <c r="BX1170" s="7"/>
      <c r="BY1170" s="7"/>
      <c r="BZ1170" s="7"/>
      <c r="CA1170" s="7"/>
      <c r="CB1170" s="7"/>
      <c r="CC1170" s="7"/>
      <c r="CD1170" s="7"/>
      <c r="CE1170" s="7"/>
      <c r="CF1170" s="7"/>
      <c r="CG1170" s="7"/>
    </row>
    <row r="1171" spans="3:85"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  <c r="AC1171" s="7"/>
      <c r="AD1171" s="7"/>
      <c r="AF1171" s="7"/>
      <c r="AG1171" s="7"/>
      <c r="AH1171" s="7"/>
      <c r="AI1171" s="7"/>
      <c r="AJ1171" s="7"/>
      <c r="AK1171" s="7"/>
      <c r="AL1171" s="7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  <c r="BB1171" s="7"/>
      <c r="BC1171" s="7"/>
      <c r="BD1171" s="7"/>
      <c r="BE1171" s="7"/>
      <c r="BF1171" s="7"/>
      <c r="BG1171" s="7"/>
      <c r="BH1171" s="7"/>
      <c r="BI1171" s="7"/>
      <c r="BJ1171" s="7"/>
      <c r="BK1171" s="7"/>
      <c r="BL1171" s="7"/>
      <c r="BM1171" s="7"/>
      <c r="BN1171" s="7"/>
      <c r="BO1171" s="7"/>
      <c r="BP1171" s="7"/>
      <c r="BQ1171" s="7"/>
      <c r="BR1171" s="7"/>
      <c r="BS1171" s="7"/>
      <c r="BT1171" s="7"/>
      <c r="BU1171" s="7"/>
      <c r="BV1171" s="7"/>
      <c r="BW1171" s="7"/>
      <c r="BX1171" s="7"/>
      <c r="BY1171" s="7"/>
      <c r="BZ1171" s="7"/>
      <c r="CA1171" s="7"/>
      <c r="CB1171" s="7"/>
      <c r="CC1171" s="7"/>
      <c r="CD1171" s="7"/>
      <c r="CE1171" s="7"/>
      <c r="CF1171" s="7"/>
      <c r="CG1171" s="7"/>
    </row>
    <row r="1172" spans="3:85"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  <c r="AC1172" s="7"/>
      <c r="AD1172" s="7"/>
      <c r="AF1172" s="7"/>
      <c r="AG1172" s="7"/>
      <c r="AH1172" s="7"/>
      <c r="AI1172" s="7"/>
      <c r="AJ1172" s="7"/>
      <c r="AK1172" s="7"/>
      <c r="AL1172" s="7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  <c r="BB1172" s="7"/>
      <c r="BC1172" s="7"/>
      <c r="BD1172" s="7"/>
      <c r="BE1172" s="7"/>
      <c r="BF1172" s="7"/>
      <c r="BG1172" s="7"/>
      <c r="BH1172" s="7"/>
      <c r="BI1172" s="7"/>
      <c r="BJ1172" s="7"/>
      <c r="BK1172" s="7"/>
      <c r="BL1172" s="7"/>
      <c r="BM1172" s="7"/>
      <c r="BN1172" s="7"/>
      <c r="BO1172" s="7"/>
      <c r="BP1172" s="7"/>
      <c r="BQ1172" s="7"/>
      <c r="BR1172" s="7"/>
      <c r="BS1172" s="7"/>
      <c r="BT1172" s="7"/>
      <c r="BU1172" s="7"/>
      <c r="BV1172" s="7"/>
      <c r="BW1172" s="7"/>
      <c r="BX1172" s="7"/>
      <c r="BY1172" s="7"/>
      <c r="BZ1172" s="7"/>
      <c r="CA1172" s="7"/>
      <c r="CB1172" s="7"/>
      <c r="CC1172" s="7"/>
      <c r="CD1172" s="7"/>
      <c r="CE1172" s="7"/>
      <c r="CF1172" s="7"/>
      <c r="CG1172" s="7"/>
    </row>
    <row r="1173" spans="3:85"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  <c r="AC1173" s="7"/>
      <c r="AD1173" s="7"/>
      <c r="AF1173" s="7"/>
      <c r="AG1173" s="7"/>
      <c r="AH1173" s="7"/>
      <c r="AI1173" s="7"/>
      <c r="AJ1173" s="7"/>
      <c r="AK1173" s="7"/>
      <c r="AL1173" s="7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  <c r="BB1173" s="7"/>
      <c r="BC1173" s="7"/>
      <c r="BD1173" s="7"/>
      <c r="BE1173" s="7"/>
      <c r="BF1173" s="7"/>
      <c r="BG1173" s="7"/>
      <c r="BH1173" s="7"/>
      <c r="BI1173" s="7"/>
      <c r="BJ1173" s="7"/>
      <c r="BK1173" s="7"/>
      <c r="BL1173" s="7"/>
      <c r="BM1173" s="7"/>
      <c r="BN1173" s="7"/>
      <c r="BO1173" s="7"/>
      <c r="BP1173" s="7"/>
      <c r="BQ1173" s="7"/>
      <c r="BR1173" s="7"/>
      <c r="BS1173" s="7"/>
      <c r="BT1173" s="7"/>
      <c r="BU1173" s="7"/>
      <c r="BV1173" s="7"/>
      <c r="BW1173" s="7"/>
      <c r="BX1173" s="7"/>
      <c r="BY1173" s="7"/>
      <c r="BZ1173" s="7"/>
      <c r="CA1173" s="7"/>
      <c r="CB1173" s="7"/>
      <c r="CC1173" s="7"/>
      <c r="CD1173" s="7"/>
      <c r="CE1173" s="7"/>
      <c r="CF1173" s="7"/>
      <c r="CG1173" s="7"/>
    </row>
    <row r="1174" spans="3:85"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  <c r="AC1174" s="7"/>
      <c r="AD1174" s="7"/>
      <c r="AF1174" s="7"/>
      <c r="AG1174" s="7"/>
      <c r="AH1174" s="7"/>
      <c r="AI1174" s="7"/>
      <c r="AJ1174" s="7"/>
      <c r="AK1174" s="7"/>
      <c r="AL1174" s="7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  <c r="BB1174" s="7"/>
      <c r="BC1174" s="7"/>
      <c r="BD1174" s="7"/>
      <c r="BE1174" s="7"/>
      <c r="BF1174" s="7"/>
      <c r="BG1174" s="7"/>
      <c r="BH1174" s="7"/>
      <c r="BI1174" s="7"/>
      <c r="BJ1174" s="7"/>
      <c r="BK1174" s="7"/>
      <c r="BL1174" s="7"/>
      <c r="BM1174" s="7"/>
      <c r="BN1174" s="7"/>
      <c r="BO1174" s="7"/>
      <c r="BP1174" s="7"/>
      <c r="BQ1174" s="7"/>
      <c r="BR1174" s="7"/>
      <c r="BS1174" s="7"/>
      <c r="BT1174" s="7"/>
      <c r="BU1174" s="7"/>
      <c r="BV1174" s="7"/>
      <c r="BW1174" s="7"/>
      <c r="BX1174" s="7"/>
      <c r="BY1174" s="7"/>
      <c r="BZ1174" s="7"/>
      <c r="CA1174" s="7"/>
      <c r="CB1174" s="7"/>
      <c r="CC1174" s="7"/>
      <c r="CD1174" s="7"/>
      <c r="CE1174" s="7"/>
      <c r="CF1174" s="7"/>
      <c r="CG1174" s="7"/>
    </row>
    <row r="1175" spans="3:85"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  <c r="AC1175" s="7"/>
      <c r="AD1175" s="7"/>
      <c r="AF1175" s="7"/>
      <c r="AG1175" s="7"/>
      <c r="AH1175" s="7"/>
      <c r="AI1175" s="7"/>
      <c r="AJ1175" s="7"/>
      <c r="AK1175" s="7"/>
      <c r="AL1175" s="7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  <c r="BB1175" s="7"/>
      <c r="BC1175" s="7"/>
      <c r="BD1175" s="7"/>
      <c r="BE1175" s="7"/>
      <c r="BF1175" s="7"/>
      <c r="BG1175" s="7"/>
      <c r="BH1175" s="7"/>
      <c r="BI1175" s="7"/>
      <c r="BJ1175" s="7"/>
      <c r="BK1175" s="7"/>
      <c r="BL1175" s="7"/>
      <c r="BM1175" s="7"/>
      <c r="BN1175" s="7"/>
      <c r="BO1175" s="7"/>
      <c r="BP1175" s="7"/>
      <c r="BQ1175" s="7"/>
      <c r="BR1175" s="7"/>
      <c r="BS1175" s="7"/>
      <c r="BT1175" s="7"/>
      <c r="BU1175" s="7"/>
      <c r="BV1175" s="7"/>
      <c r="BW1175" s="7"/>
      <c r="BX1175" s="7"/>
      <c r="BY1175" s="7"/>
      <c r="BZ1175" s="7"/>
      <c r="CA1175" s="7"/>
      <c r="CB1175" s="7"/>
      <c r="CC1175" s="7"/>
      <c r="CD1175" s="7"/>
      <c r="CE1175" s="7"/>
      <c r="CF1175" s="7"/>
      <c r="CG1175" s="7"/>
    </row>
    <row r="1176" spans="3:85"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  <c r="AC1176" s="7"/>
      <c r="AD1176" s="7"/>
      <c r="AF1176" s="7"/>
      <c r="AG1176" s="7"/>
      <c r="AH1176" s="7"/>
      <c r="AI1176" s="7"/>
      <c r="AJ1176" s="7"/>
      <c r="AK1176" s="7"/>
      <c r="AL1176" s="7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  <c r="BB1176" s="7"/>
      <c r="BC1176" s="7"/>
      <c r="BD1176" s="7"/>
      <c r="BE1176" s="7"/>
      <c r="BF1176" s="7"/>
      <c r="BG1176" s="7"/>
      <c r="BH1176" s="7"/>
      <c r="BI1176" s="7"/>
      <c r="BJ1176" s="7"/>
      <c r="BK1176" s="7"/>
      <c r="BL1176" s="7"/>
      <c r="BM1176" s="7"/>
      <c r="BN1176" s="7"/>
      <c r="BO1176" s="7"/>
      <c r="BP1176" s="7"/>
      <c r="BQ1176" s="7"/>
      <c r="BR1176" s="7"/>
      <c r="BS1176" s="7"/>
      <c r="BT1176" s="7"/>
      <c r="BU1176" s="7"/>
      <c r="BV1176" s="7"/>
      <c r="BW1176" s="7"/>
      <c r="BX1176" s="7"/>
      <c r="BY1176" s="7"/>
      <c r="BZ1176" s="7"/>
      <c r="CA1176" s="7"/>
      <c r="CB1176" s="7"/>
      <c r="CC1176" s="7"/>
      <c r="CD1176" s="7"/>
      <c r="CE1176" s="7"/>
      <c r="CF1176" s="7"/>
      <c r="CG1176" s="7"/>
    </row>
    <row r="1177" spans="3:85"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  <c r="AC1177" s="7"/>
      <c r="AD1177" s="7"/>
      <c r="AF1177" s="7"/>
      <c r="AG1177" s="7"/>
      <c r="AH1177" s="7"/>
      <c r="AI1177" s="7"/>
      <c r="AJ1177" s="7"/>
      <c r="AK1177" s="7"/>
      <c r="AL1177" s="7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  <c r="BB1177" s="7"/>
      <c r="BC1177" s="7"/>
      <c r="BD1177" s="7"/>
      <c r="BE1177" s="7"/>
      <c r="BF1177" s="7"/>
      <c r="BG1177" s="7"/>
      <c r="BH1177" s="7"/>
      <c r="BI1177" s="7"/>
      <c r="BJ1177" s="7"/>
      <c r="BK1177" s="7"/>
      <c r="BL1177" s="7"/>
      <c r="BM1177" s="7"/>
      <c r="BN1177" s="7"/>
      <c r="BO1177" s="7"/>
      <c r="BP1177" s="7"/>
      <c r="BQ1177" s="7"/>
      <c r="BR1177" s="7"/>
      <c r="BS1177" s="7"/>
      <c r="BT1177" s="7"/>
      <c r="BU1177" s="7"/>
      <c r="BV1177" s="7"/>
      <c r="BW1177" s="7"/>
      <c r="BX1177" s="7"/>
      <c r="BY1177" s="7"/>
      <c r="BZ1177" s="7"/>
      <c r="CA1177" s="7"/>
      <c r="CB1177" s="7"/>
      <c r="CC1177" s="7"/>
      <c r="CD1177" s="7"/>
      <c r="CE1177" s="7"/>
      <c r="CF1177" s="7"/>
      <c r="CG1177" s="7"/>
    </row>
    <row r="1178" spans="3:85"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  <c r="AC1178" s="7"/>
      <c r="AD1178" s="7"/>
      <c r="AF1178" s="7"/>
      <c r="AG1178" s="7"/>
      <c r="AH1178" s="7"/>
      <c r="AI1178" s="7"/>
      <c r="AJ1178" s="7"/>
      <c r="AK1178" s="7"/>
      <c r="AL1178" s="7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  <c r="BB1178" s="7"/>
      <c r="BC1178" s="7"/>
      <c r="BD1178" s="7"/>
      <c r="BE1178" s="7"/>
      <c r="BF1178" s="7"/>
      <c r="BG1178" s="7"/>
      <c r="BH1178" s="7"/>
      <c r="BI1178" s="7"/>
      <c r="BJ1178" s="7"/>
      <c r="BK1178" s="7"/>
      <c r="BL1178" s="7"/>
      <c r="BM1178" s="7"/>
      <c r="BN1178" s="7"/>
      <c r="BO1178" s="7"/>
      <c r="BP1178" s="7"/>
      <c r="BQ1178" s="7"/>
      <c r="BR1178" s="7"/>
      <c r="BS1178" s="7"/>
      <c r="BT1178" s="7"/>
      <c r="BU1178" s="7"/>
      <c r="BV1178" s="7"/>
      <c r="BW1178" s="7"/>
      <c r="BX1178" s="7"/>
      <c r="BY1178" s="7"/>
      <c r="BZ1178" s="7"/>
      <c r="CA1178" s="7"/>
      <c r="CB1178" s="7"/>
      <c r="CC1178" s="7"/>
      <c r="CD1178" s="7"/>
      <c r="CE1178" s="7"/>
      <c r="CF1178" s="7"/>
      <c r="CG1178" s="7"/>
    </row>
    <row r="1179" spans="3:85"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  <c r="AC1179" s="7"/>
      <c r="AD1179" s="7"/>
      <c r="AF1179" s="7"/>
      <c r="AG1179" s="7"/>
      <c r="AH1179" s="7"/>
      <c r="AI1179" s="7"/>
      <c r="AJ1179" s="7"/>
      <c r="AK1179" s="7"/>
      <c r="AL1179" s="7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  <c r="BB1179" s="7"/>
      <c r="BC1179" s="7"/>
      <c r="BD1179" s="7"/>
      <c r="BE1179" s="7"/>
      <c r="BF1179" s="7"/>
      <c r="BG1179" s="7"/>
      <c r="BH1179" s="7"/>
      <c r="BI1179" s="7"/>
      <c r="BJ1179" s="7"/>
      <c r="BK1179" s="7"/>
      <c r="BL1179" s="7"/>
      <c r="BM1179" s="7"/>
      <c r="BN1179" s="7"/>
      <c r="BO1179" s="7"/>
      <c r="BP1179" s="7"/>
      <c r="BQ1179" s="7"/>
      <c r="BR1179" s="7"/>
      <c r="BS1179" s="7"/>
      <c r="BT1179" s="7"/>
      <c r="BU1179" s="7"/>
      <c r="BV1179" s="7"/>
      <c r="BW1179" s="7"/>
      <c r="BX1179" s="7"/>
      <c r="BY1179" s="7"/>
      <c r="BZ1179" s="7"/>
      <c r="CA1179" s="7"/>
      <c r="CB1179" s="7"/>
      <c r="CC1179" s="7"/>
      <c r="CD1179" s="7"/>
      <c r="CE1179" s="7"/>
      <c r="CF1179" s="7"/>
      <c r="CG1179" s="7"/>
    </row>
    <row r="1180" spans="3:85"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  <c r="AC1180" s="7"/>
      <c r="AD1180" s="7"/>
      <c r="AF1180" s="7"/>
      <c r="AG1180" s="7"/>
      <c r="AH1180" s="7"/>
      <c r="AI1180" s="7"/>
      <c r="AJ1180" s="7"/>
      <c r="AK1180" s="7"/>
      <c r="AL1180" s="7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  <c r="BB1180" s="7"/>
      <c r="BC1180" s="7"/>
      <c r="BD1180" s="7"/>
      <c r="BE1180" s="7"/>
      <c r="BF1180" s="7"/>
      <c r="BG1180" s="7"/>
      <c r="BH1180" s="7"/>
      <c r="BI1180" s="7"/>
      <c r="BJ1180" s="7"/>
      <c r="BK1180" s="7"/>
      <c r="BL1180" s="7"/>
      <c r="BM1180" s="7"/>
      <c r="BN1180" s="7"/>
      <c r="BO1180" s="7"/>
      <c r="BP1180" s="7"/>
      <c r="BQ1180" s="7"/>
      <c r="BR1180" s="7"/>
      <c r="BS1180" s="7"/>
      <c r="BT1180" s="7"/>
      <c r="BU1180" s="7"/>
      <c r="BV1180" s="7"/>
      <c r="BW1180" s="7"/>
      <c r="BX1180" s="7"/>
      <c r="BY1180" s="7"/>
      <c r="BZ1180" s="7"/>
      <c r="CA1180" s="7"/>
      <c r="CB1180" s="7"/>
      <c r="CC1180" s="7"/>
      <c r="CD1180" s="7"/>
      <c r="CE1180" s="7"/>
      <c r="CF1180" s="7"/>
      <c r="CG1180" s="7"/>
    </row>
    <row r="1181" spans="3:85"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  <c r="AC1181" s="7"/>
      <c r="AD1181" s="7"/>
      <c r="AF1181" s="7"/>
      <c r="AG1181" s="7"/>
      <c r="AH1181" s="7"/>
      <c r="AI1181" s="7"/>
      <c r="AJ1181" s="7"/>
      <c r="AK1181" s="7"/>
      <c r="AL1181" s="7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  <c r="BB1181" s="7"/>
      <c r="BC1181" s="7"/>
      <c r="BD1181" s="7"/>
      <c r="BE1181" s="7"/>
      <c r="BF1181" s="7"/>
      <c r="BG1181" s="7"/>
      <c r="BH1181" s="7"/>
      <c r="BI1181" s="7"/>
      <c r="BJ1181" s="7"/>
      <c r="BK1181" s="7"/>
      <c r="BL1181" s="7"/>
      <c r="BM1181" s="7"/>
      <c r="BN1181" s="7"/>
      <c r="BO1181" s="7"/>
      <c r="BP1181" s="7"/>
      <c r="BQ1181" s="7"/>
      <c r="BR1181" s="7"/>
      <c r="BS1181" s="7"/>
      <c r="BT1181" s="7"/>
      <c r="BU1181" s="7"/>
      <c r="BV1181" s="7"/>
      <c r="BW1181" s="7"/>
      <c r="BX1181" s="7"/>
      <c r="BY1181" s="7"/>
      <c r="BZ1181" s="7"/>
      <c r="CA1181" s="7"/>
      <c r="CB1181" s="7"/>
      <c r="CC1181" s="7"/>
      <c r="CD1181" s="7"/>
      <c r="CE1181" s="7"/>
      <c r="CF1181" s="7"/>
      <c r="CG1181" s="7"/>
    </row>
    <row r="1182" spans="3:85"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  <c r="AC1182" s="7"/>
      <c r="AD1182" s="7"/>
      <c r="AF1182" s="7"/>
      <c r="AG1182" s="7"/>
      <c r="AH1182" s="7"/>
      <c r="AI1182" s="7"/>
      <c r="AJ1182" s="7"/>
      <c r="AK1182" s="7"/>
      <c r="AL1182" s="7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  <c r="BB1182" s="7"/>
      <c r="BC1182" s="7"/>
      <c r="BD1182" s="7"/>
      <c r="BE1182" s="7"/>
      <c r="BF1182" s="7"/>
      <c r="BG1182" s="7"/>
      <c r="BH1182" s="7"/>
      <c r="BI1182" s="7"/>
      <c r="BJ1182" s="7"/>
      <c r="BK1182" s="7"/>
      <c r="BL1182" s="7"/>
      <c r="BM1182" s="7"/>
      <c r="BN1182" s="7"/>
      <c r="BO1182" s="7"/>
      <c r="BP1182" s="7"/>
      <c r="BQ1182" s="7"/>
      <c r="BR1182" s="7"/>
      <c r="BS1182" s="7"/>
      <c r="BT1182" s="7"/>
      <c r="BU1182" s="7"/>
      <c r="BV1182" s="7"/>
      <c r="BW1182" s="7"/>
      <c r="BX1182" s="7"/>
      <c r="BY1182" s="7"/>
      <c r="BZ1182" s="7"/>
      <c r="CA1182" s="7"/>
      <c r="CB1182" s="7"/>
      <c r="CC1182" s="7"/>
      <c r="CD1182" s="7"/>
      <c r="CE1182" s="7"/>
      <c r="CF1182" s="7"/>
      <c r="CG1182" s="7"/>
    </row>
    <row r="1183" spans="3:85"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  <c r="AC1183" s="7"/>
      <c r="AD1183" s="7"/>
      <c r="AF1183" s="7"/>
      <c r="AG1183" s="7"/>
      <c r="AH1183" s="7"/>
      <c r="AI1183" s="7"/>
      <c r="AJ1183" s="7"/>
      <c r="AK1183" s="7"/>
      <c r="AL1183" s="7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  <c r="BB1183" s="7"/>
      <c r="BC1183" s="7"/>
      <c r="BD1183" s="7"/>
      <c r="BE1183" s="7"/>
      <c r="BF1183" s="7"/>
      <c r="BG1183" s="7"/>
      <c r="BH1183" s="7"/>
      <c r="BI1183" s="7"/>
      <c r="BJ1183" s="7"/>
      <c r="BK1183" s="7"/>
      <c r="BL1183" s="7"/>
      <c r="BM1183" s="7"/>
      <c r="BN1183" s="7"/>
      <c r="BO1183" s="7"/>
      <c r="BP1183" s="7"/>
      <c r="BQ1183" s="7"/>
      <c r="BR1183" s="7"/>
      <c r="BS1183" s="7"/>
      <c r="BT1183" s="7"/>
      <c r="BU1183" s="7"/>
      <c r="BV1183" s="7"/>
      <c r="BW1183" s="7"/>
      <c r="BX1183" s="7"/>
      <c r="BY1183" s="7"/>
      <c r="BZ1183" s="7"/>
      <c r="CA1183" s="7"/>
      <c r="CB1183" s="7"/>
      <c r="CC1183" s="7"/>
      <c r="CD1183" s="7"/>
      <c r="CE1183" s="7"/>
      <c r="CF1183" s="7"/>
      <c r="CG1183" s="7"/>
    </row>
    <row r="1184" spans="3:85"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  <c r="AC1184" s="7"/>
      <c r="AD1184" s="7"/>
      <c r="AF1184" s="7"/>
      <c r="AG1184" s="7"/>
      <c r="AH1184" s="7"/>
      <c r="AI1184" s="7"/>
      <c r="AJ1184" s="7"/>
      <c r="AK1184" s="7"/>
      <c r="AL1184" s="7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  <c r="BB1184" s="7"/>
      <c r="BC1184" s="7"/>
      <c r="BD1184" s="7"/>
      <c r="BE1184" s="7"/>
      <c r="BF1184" s="7"/>
      <c r="BG1184" s="7"/>
      <c r="BH1184" s="7"/>
      <c r="BI1184" s="7"/>
      <c r="BJ1184" s="7"/>
      <c r="BK1184" s="7"/>
      <c r="BL1184" s="7"/>
      <c r="BM1184" s="7"/>
      <c r="BN1184" s="7"/>
      <c r="BO1184" s="7"/>
      <c r="BP1184" s="7"/>
      <c r="BQ1184" s="7"/>
      <c r="BR1184" s="7"/>
      <c r="BS1184" s="7"/>
      <c r="BT1184" s="7"/>
      <c r="BU1184" s="7"/>
      <c r="BV1184" s="7"/>
      <c r="BW1184" s="7"/>
      <c r="BX1184" s="7"/>
      <c r="BY1184" s="7"/>
      <c r="BZ1184" s="7"/>
      <c r="CA1184" s="7"/>
      <c r="CB1184" s="7"/>
      <c r="CC1184" s="7"/>
      <c r="CD1184" s="7"/>
      <c r="CE1184" s="7"/>
      <c r="CF1184" s="7"/>
      <c r="CG1184" s="7"/>
    </row>
    <row r="1185" spans="3:85"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  <c r="AC1185" s="7"/>
      <c r="AD1185" s="7"/>
      <c r="AF1185" s="7"/>
      <c r="AG1185" s="7"/>
      <c r="AH1185" s="7"/>
      <c r="AI1185" s="7"/>
      <c r="AJ1185" s="7"/>
      <c r="AK1185" s="7"/>
      <c r="AL1185" s="7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  <c r="BB1185" s="7"/>
      <c r="BC1185" s="7"/>
      <c r="BD1185" s="7"/>
      <c r="BE1185" s="7"/>
      <c r="BF1185" s="7"/>
      <c r="BG1185" s="7"/>
      <c r="BH1185" s="7"/>
      <c r="BI1185" s="7"/>
      <c r="BJ1185" s="7"/>
      <c r="BK1185" s="7"/>
      <c r="BL1185" s="7"/>
      <c r="BM1185" s="7"/>
      <c r="BN1185" s="7"/>
      <c r="BO1185" s="7"/>
      <c r="BP1185" s="7"/>
      <c r="BQ1185" s="7"/>
      <c r="BR1185" s="7"/>
      <c r="BS1185" s="7"/>
      <c r="BT1185" s="7"/>
      <c r="BU1185" s="7"/>
      <c r="BV1185" s="7"/>
      <c r="BW1185" s="7"/>
      <c r="BX1185" s="7"/>
      <c r="BY1185" s="7"/>
      <c r="BZ1185" s="7"/>
      <c r="CA1185" s="7"/>
      <c r="CB1185" s="7"/>
      <c r="CC1185" s="7"/>
      <c r="CD1185" s="7"/>
      <c r="CE1185" s="7"/>
      <c r="CF1185" s="7"/>
      <c r="CG1185" s="7"/>
    </row>
    <row r="1186" spans="3:85"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  <c r="AC1186" s="7"/>
      <c r="AD1186" s="7"/>
      <c r="AF1186" s="7"/>
      <c r="AG1186" s="7"/>
      <c r="AH1186" s="7"/>
      <c r="AI1186" s="7"/>
      <c r="AJ1186" s="7"/>
      <c r="AK1186" s="7"/>
      <c r="AL1186" s="7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  <c r="BB1186" s="7"/>
      <c r="BC1186" s="7"/>
      <c r="BD1186" s="7"/>
      <c r="BE1186" s="7"/>
      <c r="BF1186" s="7"/>
      <c r="BG1186" s="7"/>
      <c r="BH1186" s="7"/>
      <c r="BI1186" s="7"/>
      <c r="BJ1186" s="7"/>
      <c r="BK1186" s="7"/>
      <c r="BL1186" s="7"/>
      <c r="BM1186" s="7"/>
      <c r="BN1186" s="7"/>
      <c r="BO1186" s="7"/>
      <c r="BP1186" s="7"/>
      <c r="BQ1186" s="7"/>
      <c r="BR1186" s="7"/>
      <c r="BS1186" s="7"/>
      <c r="BT1186" s="7"/>
      <c r="BU1186" s="7"/>
      <c r="BV1186" s="7"/>
      <c r="BW1186" s="7"/>
      <c r="BX1186" s="7"/>
      <c r="BY1186" s="7"/>
      <c r="BZ1186" s="7"/>
      <c r="CA1186" s="7"/>
      <c r="CB1186" s="7"/>
      <c r="CC1186" s="7"/>
      <c r="CD1186" s="7"/>
      <c r="CE1186" s="7"/>
      <c r="CF1186" s="7"/>
      <c r="CG1186" s="7"/>
    </row>
    <row r="1187" spans="3:85"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  <c r="AC1187" s="7"/>
      <c r="AD1187" s="7"/>
      <c r="AF1187" s="7"/>
      <c r="AG1187" s="7"/>
      <c r="AH1187" s="7"/>
      <c r="AI1187" s="7"/>
      <c r="AJ1187" s="7"/>
      <c r="AK1187" s="7"/>
      <c r="AL1187" s="7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  <c r="BB1187" s="7"/>
      <c r="BC1187" s="7"/>
      <c r="BD1187" s="7"/>
      <c r="BE1187" s="7"/>
      <c r="BF1187" s="7"/>
      <c r="BG1187" s="7"/>
      <c r="BH1187" s="7"/>
      <c r="BI1187" s="7"/>
      <c r="BJ1187" s="7"/>
      <c r="BK1187" s="7"/>
      <c r="BL1187" s="7"/>
      <c r="BM1187" s="7"/>
      <c r="BN1187" s="7"/>
      <c r="BO1187" s="7"/>
      <c r="BP1187" s="7"/>
      <c r="BQ1187" s="7"/>
      <c r="BR1187" s="7"/>
      <c r="BS1187" s="7"/>
      <c r="BT1187" s="7"/>
      <c r="BU1187" s="7"/>
      <c r="BV1187" s="7"/>
      <c r="BW1187" s="7"/>
      <c r="BX1187" s="7"/>
      <c r="BY1187" s="7"/>
      <c r="BZ1187" s="7"/>
      <c r="CA1187" s="7"/>
      <c r="CB1187" s="7"/>
      <c r="CC1187" s="7"/>
      <c r="CD1187" s="7"/>
      <c r="CE1187" s="7"/>
      <c r="CF1187" s="7"/>
      <c r="CG1187" s="7"/>
    </row>
    <row r="1188" spans="3:85"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  <c r="AC1188" s="7"/>
      <c r="AD1188" s="7"/>
      <c r="AF1188" s="7"/>
      <c r="AG1188" s="7"/>
      <c r="AH1188" s="7"/>
      <c r="AI1188" s="7"/>
      <c r="AJ1188" s="7"/>
      <c r="AK1188" s="7"/>
      <c r="AL1188" s="7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  <c r="BB1188" s="7"/>
      <c r="BC1188" s="7"/>
      <c r="BD1188" s="7"/>
      <c r="BE1188" s="7"/>
      <c r="BF1188" s="7"/>
      <c r="BG1188" s="7"/>
      <c r="BH1188" s="7"/>
      <c r="BI1188" s="7"/>
      <c r="BJ1188" s="7"/>
      <c r="BK1188" s="7"/>
      <c r="BL1188" s="7"/>
      <c r="BM1188" s="7"/>
      <c r="BN1188" s="7"/>
      <c r="BO1188" s="7"/>
      <c r="BP1188" s="7"/>
      <c r="BQ1188" s="7"/>
      <c r="BR1188" s="7"/>
      <c r="BS1188" s="7"/>
      <c r="BT1188" s="7"/>
      <c r="BU1188" s="7"/>
      <c r="BV1188" s="7"/>
      <c r="BW1188" s="7"/>
      <c r="BX1188" s="7"/>
      <c r="BY1188" s="7"/>
      <c r="BZ1188" s="7"/>
      <c r="CA1188" s="7"/>
      <c r="CB1188" s="7"/>
      <c r="CC1188" s="7"/>
      <c r="CD1188" s="7"/>
      <c r="CE1188" s="7"/>
      <c r="CF1188" s="7"/>
      <c r="CG1188" s="7"/>
    </row>
    <row r="1189" spans="3:85"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  <c r="AC1189" s="7"/>
      <c r="AD1189" s="7"/>
      <c r="AF1189" s="7"/>
      <c r="AG1189" s="7"/>
      <c r="AH1189" s="7"/>
      <c r="AI1189" s="7"/>
      <c r="AJ1189" s="7"/>
      <c r="AK1189" s="7"/>
      <c r="AL1189" s="7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  <c r="BB1189" s="7"/>
      <c r="BC1189" s="7"/>
      <c r="BD1189" s="7"/>
      <c r="BE1189" s="7"/>
      <c r="BF1189" s="7"/>
      <c r="BG1189" s="7"/>
      <c r="BH1189" s="7"/>
      <c r="BI1189" s="7"/>
      <c r="BJ1189" s="7"/>
      <c r="BK1189" s="7"/>
      <c r="BL1189" s="7"/>
      <c r="BM1189" s="7"/>
      <c r="BN1189" s="7"/>
      <c r="BO1189" s="7"/>
      <c r="BP1189" s="7"/>
      <c r="BQ1189" s="7"/>
      <c r="BR1189" s="7"/>
      <c r="BS1189" s="7"/>
      <c r="BT1189" s="7"/>
      <c r="BU1189" s="7"/>
      <c r="BV1189" s="7"/>
      <c r="BW1189" s="7"/>
      <c r="BX1189" s="7"/>
      <c r="BY1189" s="7"/>
      <c r="BZ1189" s="7"/>
      <c r="CA1189" s="7"/>
      <c r="CB1189" s="7"/>
      <c r="CC1189" s="7"/>
      <c r="CD1189" s="7"/>
      <c r="CE1189" s="7"/>
      <c r="CF1189" s="7"/>
      <c r="CG1189" s="7"/>
    </row>
    <row r="1190" spans="3:85"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  <c r="AC1190" s="7"/>
      <c r="AD1190" s="7"/>
      <c r="AF1190" s="7"/>
      <c r="AG1190" s="7"/>
      <c r="AH1190" s="7"/>
      <c r="AI1190" s="7"/>
      <c r="AJ1190" s="7"/>
      <c r="AK1190" s="7"/>
      <c r="AL1190" s="7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  <c r="BB1190" s="7"/>
      <c r="BC1190" s="7"/>
      <c r="BD1190" s="7"/>
      <c r="BE1190" s="7"/>
      <c r="BF1190" s="7"/>
      <c r="BG1190" s="7"/>
      <c r="BH1190" s="7"/>
      <c r="BI1190" s="7"/>
      <c r="BJ1190" s="7"/>
      <c r="BK1190" s="7"/>
      <c r="BL1190" s="7"/>
      <c r="BM1190" s="7"/>
      <c r="BN1190" s="7"/>
      <c r="BO1190" s="7"/>
      <c r="BP1190" s="7"/>
      <c r="BQ1190" s="7"/>
      <c r="BR1190" s="7"/>
      <c r="BS1190" s="7"/>
      <c r="BT1190" s="7"/>
      <c r="BU1190" s="7"/>
      <c r="BV1190" s="7"/>
      <c r="BW1190" s="7"/>
      <c r="BX1190" s="7"/>
      <c r="BY1190" s="7"/>
      <c r="BZ1190" s="7"/>
      <c r="CA1190" s="7"/>
      <c r="CB1190" s="7"/>
      <c r="CC1190" s="7"/>
      <c r="CD1190" s="7"/>
      <c r="CE1190" s="7"/>
      <c r="CF1190" s="7"/>
      <c r="CG1190" s="7"/>
    </row>
    <row r="1191" spans="3:85"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  <c r="AC1191" s="7"/>
      <c r="AD1191" s="7"/>
      <c r="AF1191" s="7"/>
      <c r="AG1191" s="7"/>
      <c r="AH1191" s="7"/>
      <c r="AI1191" s="7"/>
      <c r="AJ1191" s="7"/>
      <c r="AK1191" s="7"/>
      <c r="AL1191" s="7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  <c r="BB1191" s="7"/>
      <c r="BC1191" s="7"/>
      <c r="BD1191" s="7"/>
      <c r="BE1191" s="7"/>
      <c r="BF1191" s="7"/>
      <c r="BG1191" s="7"/>
      <c r="BH1191" s="7"/>
      <c r="BI1191" s="7"/>
      <c r="BJ1191" s="7"/>
      <c r="BK1191" s="7"/>
      <c r="BL1191" s="7"/>
      <c r="BM1191" s="7"/>
      <c r="BN1191" s="7"/>
      <c r="BO1191" s="7"/>
      <c r="BP1191" s="7"/>
      <c r="BQ1191" s="7"/>
      <c r="BR1191" s="7"/>
      <c r="BS1191" s="7"/>
      <c r="BT1191" s="7"/>
      <c r="BU1191" s="7"/>
      <c r="BV1191" s="7"/>
      <c r="BW1191" s="7"/>
      <c r="BX1191" s="7"/>
      <c r="BY1191" s="7"/>
      <c r="BZ1191" s="7"/>
      <c r="CA1191" s="7"/>
      <c r="CB1191" s="7"/>
      <c r="CC1191" s="7"/>
      <c r="CD1191" s="7"/>
      <c r="CE1191" s="7"/>
      <c r="CF1191" s="7"/>
      <c r="CG1191" s="7"/>
    </row>
    <row r="1192" spans="3:85"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  <c r="AC1192" s="7"/>
      <c r="AD1192" s="7"/>
      <c r="AF1192" s="7"/>
      <c r="AG1192" s="7"/>
      <c r="AH1192" s="7"/>
      <c r="AI1192" s="7"/>
      <c r="AJ1192" s="7"/>
      <c r="AK1192" s="7"/>
      <c r="AL1192" s="7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  <c r="BB1192" s="7"/>
      <c r="BC1192" s="7"/>
      <c r="BD1192" s="7"/>
      <c r="BE1192" s="7"/>
      <c r="BF1192" s="7"/>
      <c r="BG1192" s="7"/>
      <c r="BH1192" s="7"/>
      <c r="BI1192" s="7"/>
      <c r="BJ1192" s="7"/>
      <c r="BK1192" s="7"/>
      <c r="BL1192" s="7"/>
      <c r="BM1192" s="7"/>
      <c r="BN1192" s="7"/>
      <c r="BO1192" s="7"/>
      <c r="BP1192" s="7"/>
      <c r="BQ1192" s="7"/>
      <c r="BR1192" s="7"/>
      <c r="BS1192" s="7"/>
      <c r="BT1192" s="7"/>
      <c r="BU1192" s="7"/>
      <c r="BV1192" s="7"/>
      <c r="BW1192" s="7"/>
      <c r="BX1192" s="7"/>
      <c r="BY1192" s="7"/>
      <c r="BZ1192" s="7"/>
      <c r="CA1192" s="7"/>
      <c r="CB1192" s="7"/>
      <c r="CC1192" s="7"/>
      <c r="CD1192" s="7"/>
      <c r="CE1192" s="7"/>
      <c r="CF1192" s="7"/>
      <c r="CG1192" s="7"/>
    </row>
    <row r="1193" spans="3:85"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  <c r="AC1193" s="7"/>
      <c r="AD1193" s="7"/>
      <c r="AF1193" s="7"/>
      <c r="AG1193" s="7"/>
      <c r="AH1193" s="7"/>
      <c r="AI1193" s="7"/>
      <c r="AJ1193" s="7"/>
      <c r="AK1193" s="7"/>
      <c r="AL1193" s="7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  <c r="BB1193" s="7"/>
      <c r="BC1193" s="7"/>
      <c r="BD1193" s="7"/>
      <c r="BE1193" s="7"/>
      <c r="BF1193" s="7"/>
      <c r="BG1193" s="7"/>
      <c r="BH1193" s="7"/>
      <c r="BI1193" s="7"/>
      <c r="BJ1193" s="7"/>
      <c r="BK1193" s="7"/>
      <c r="BL1193" s="7"/>
      <c r="BM1193" s="7"/>
      <c r="BN1193" s="7"/>
      <c r="BO1193" s="7"/>
      <c r="BP1193" s="7"/>
      <c r="BQ1193" s="7"/>
      <c r="BR1193" s="7"/>
      <c r="BS1193" s="7"/>
      <c r="BT1193" s="7"/>
      <c r="BU1193" s="7"/>
      <c r="BV1193" s="7"/>
      <c r="BW1193" s="7"/>
      <c r="BX1193" s="7"/>
      <c r="BY1193" s="7"/>
      <c r="BZ1193" s="7"/>
      <c r="CA1193" s="7"/>
      <c r="CB1193" s="7"/>
      <c r="CC1193" s="7"/>
      <c r="CD1193" s="7"/>
      <c r="CE1193" s="7"/>
      <c r="CF1193" s="7"/>
      <c r="CG1193" s="7"/>
    </row>
    <row r="1194" spans="3:85"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  <c r="AC1194" s="7"/>
      <c r="AD1194" s="7"/>
      <c r="AF1194" s="7"/>
      <c r="AG1194" s="7"/>
      <c r="AH1194" s="7"/>
      <c r="AI1194" s="7"/>
      <c r="AJ1194" s="7"/>
      <c r="AK1194" s="7"/>
      <c r="AL1194" s="7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  <c r="BB1194" s="7"/>
      <c r="BC1194" s="7"/>
      <c r="BD1194" s="7"/>
      <c r="BE1194" s="7"/>
      <c r="BF1194" s="7"/>
      <c r="BG1194" s="7"/>
      <c r="BH1194" s="7"/>
      <c r="BI1194" s="7"/>
      <c r="BJ1194" s="7"/>
      <c r="BK1194" s="7"/>
      <c r="BL1194" s="7"/>
      <c r="BM1194" s="7"/>
      <c r="BN1194" s="7"/>
      <c r="BO1194" s="7"/>
      <c r="BP1194" s="7"/>
      <c r="BQ1194" s="7"/>
      <c r="BR1194" s="7"/>
      <c r="BS1194" s="7"/>
      <c r="BT1194" s="7"/>
      <c r="BU1194" s="7"/>
      <c r="BV1194" s="7"/>
      <c r="BW1194" s="7"/>
      <c r="BX1194" s="7"/>
      <c r="BY1194" s="7"/>
      <c r="BZ1194" s="7"/>
      <c r="CA1194" s="7"/>
      <c r="CB1194" s="7"/>
      <c r="CC1194" s="7"/>
      <c r="CD1194" s="7"/>
      <c r="CE1194" s="7"/>
      <c r="CF1194" s="7"/>
      <c r="CG1194" s="7"/>
    </row>
    <row r="1195" spans="3:85"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  <c r="AC1195" s="7"/>
      <c r="AD1195" s="7"/>
      <c r="AF1195" s="7"/>
      <c r="AG1195" s="7"/>
      <c r="AH1195" s="7"/>
      <c r="AI1195" s="7"/>
      <c r="AJ1195" s="7"/>
      <c r="AK1195" s="7"/>
      <c r="AL1195" s="7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  <c r="BB1195" s="7"/>
      <c r="BC1195" s="7"/>
      <c r="BD1195" s="7"/>
      <c r="BE1195" s="7"/>
      <c r="BF1195" s="7"/>
      <c r="BG1195" s="7"/>
      <c r="BH1195" s="7"/>
      <c r="BI1195" s="7"/>
      <c r="BJ1195" s="7"/>
      <c r="BK1195" s="7"/>
      <c r="BL1195" s="7"/>
      <c r="BM1195" s="7"/>
      <c r="BN1195" s="7"/>
      <c r="BO1195" s="7"/>
      <c r="BP1195" s="7"/>
      <c r="BQ1195" s="7"/>
      <c r="BR1195" s="7"/>
      <c r="BS1195" s="7"/>
      <c r="BT1195" s="7"/>
      <c r="BU1195" s="7"/>
      <c r="BV1195" s="7"/>
      <c r="BW1195" s="7"/>
      <c r="BX1195" s="7"/>
      <c r="BY1195" s="7"/>
      <c r="BZ1195" s="7"/>
      <c r="CA1195" s="7"/>
      <c r="CB1195" s="7"/>
      <c r="CC1195" s="7"/>
      <c r="CD1195" s="7"/>
      <c r="CE1195" s="7"/>
      <c r="CF1195" s="7"/>
      <c r="CG1195" s="7"/>
    </row>
    <row r="1196" spans="3:85"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  <c r="AC1196" s="7"/>
      <c r="AD1196" s="7"/>
      <c r="AF1196" s="7"/>
      <c r="AG1196" s="7"/>
      <c r="AH1196" s="7"/>
      <c r="AI1196" s="7"/>
      <c r="AJ1196" s="7"/>
      <c r="AK1196" s="7"/>
      <c r="AL1196" s="7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  <c r="BB1196" s="7"/>
      <c r="BC1196" s="7"/>
      <c r="BD1196" s="7"/>
      <c r="BE1196" s="7"/>
      <c r="BF1196" s="7"/>
      <c r="BG1196" s="7"/>
      <c r="BH1196" s="7"/>
      <c r="BI1196" s="7"/>
      <c r="BJ1196" s="7"/>
      <c r="BK1196" s="7"/>
      <c r="BL1196" s="7"/>
      <c r="BM1196" s="7"/>
      <c r="BN1196" s="7"/>
      <c r="BO1196" s="7"/>
      <c r="BP1196" s="7"/>
      <c r="BQ1196" s="7"/>
      <c r="BR1196" s="7"/>
      <c r="BS1196" s="7"/>
      <c r="BT1196" s="7"/>
      <c r="BU1196" s="7"/>
      <c r="BV1196" s="7"/>
      <c r="BW1196" s="7"/>
      <c r="BX1196" s="7"/>
      <c r="BY1196" s="7"/>
      <c r="BZ1196" s="7"/>
      <c r="CA1196" s="7"/>
      <c r="CB1196" s="7"/>
      <c r="CC1196" s="7"/>
      <c r="CD1196" s="7"/>
      <c r="CE1196" s="7"/>
      <c r="CF1196" s="7"/>
      <c r="CG1196" s="7"/>
    </row>
    <row r="1197" spans="3:85"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  <c r="AC1197" s="7"/>
      <c r="AD1197" s="7"/>
      <c r="AF1197" s="7"/>
      <c r="AG1197" s="7"/>
      <c r="AH1197" s="7"/>
      <c r="AI1197" s="7"/>
      <c r="AJ1197" s="7"/>
      <c r="AK1197" s="7"/>
      <c r="AL1197" s="7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  <c r="BB1197" s="7"/>
      <c r="BC1197" s="7"/>
      <c r="BD1197" s="7"/>
      <c r="BE1197" s="7"/>
      <c r="BF1197" s="7"/>
      <c r="BG1197" s="7"/>
      <c r="BH1197" s="7"/>
      <c r="BI1197" s="7"/>
      <c r="BJ1197" s="7"/>
      <c r="BK1197" s="7"/>
      <c r="BL1197" s="7"/>
      <c r="BM1197" s="7"/>
      <c r="BN1197" s="7"/>
      <c r="BO1197" s="7"/>
      <c r="BP1197" s="7"/>
      <c r="BQ1197" s="7"/>
      <c r="BR1197" s="7"/>
      <c r="BS1197" s="7"/>
      <c r="BT1197" s="7"/>
      <c r="BU1197" s="7"/>
      <c r="BV1197" s="7"/>
      <c r="BW1197" s="7"/>
      <c r="BX1197" s="7"/>
      <c r="BY1197" s="7"/>
      <c r="BZ1197" s="7"/>
      <c r="CA1197" s="7"/>
      <c r="CB1197" s="7"/>
      <c r="CC1197" s="7"/>
      <c r="CD1197" s="7"/>
      <c r="CE1197" s="7"/>
      <c r="CF1197" s="7"/>
      <c r="CG1197" s="7"/>
    </row>
    <row r="1198" spans="3:85"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  <c r="AC1198" s="7"/>
      <c r="AD1198" s="7"/>
      <c r="AF1198" s="7"/>
      <c r="AG1198" s="7"/>
      <c r="AH1198" s="7"/>
      <c r="AI1198" s="7"/>
      <c r="AJ1198" s="7"/>
      <c r="AK1198" s="7"/>
      <c r="AL1198" s="7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  <c r="BB1198" s="7"/>
      <c r="BC1198" s="7"/>
      <c r="BD1198" s="7"/>
      <c r="BE1198" s="7"/>
      <c r="BF1198" s="7"/>
      <c r="BG1198" s="7"/>
      <c r="BH1198" s="7"/>
      <c r="BI1198" s="7"/>
      <c r="BJ1198" s="7"/>
      <c r="BK1198" s="7"/>
      <c r="BL1198" s="7"/>
      <c r="BM1198" s="7"/>
      <c r="BN1198" s="7"/>
      <c r="BO1198" s="7"/>
      <c r="BP1198" s="7"/>
      <c r="BQ1198" s="7"/>
      <c r="BR1198" s="7"/>
      <c r="BS1198" s="7"/>
      <c r="BT1198" s="7"/>
      <c r="BU1198" s="7"/>
      <c r="BV1198" s="7"/>
      <c r="BW1198" s="7"/>
      <c r="BX1198" s="7"/>
      <c r="BY1198" s="7"/>
      <c r="BZ1198" s="7"/>
      <c r="CA1198" s="7"/>
      <c r="CB1198" s="7"/>
      <c r="CC1198" s="7"/>
      <c r="CD1198" s="7"/>
      <c r="CE1198" s="7"/>
      <c r="CF1198" s="7"/>
      <c r="CG1198" s="7"/>
    </row>
    <row r="1199" spans="3:85"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  <c r="AC1199" s="7"/>
      <c r="AD1199" s="7"/>
      <c r="AF1199" s="7"/>
      <c r="AG1199" s="7"/>
      <c r="AH1199" s="7"/>
      <c r="AI1199" s="7"/>
      <c r="AJ1199" s="7"/>
      <c r="AK1199" s="7"/>
      <c r="AL1199" s="7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  <c r="BB1199" s="7"/>
      <c r="BC1199" s="7"/>
      <c r="BD1199" s="7"/>
      <c r="BE1199" s="7"/>
      <c r="BF1199" s="7"/>
      <c r="BG1199" s="7"/>
      <c r="BH1199" s="7"/>
      <c r="BI1199" s="7"/>
      <c r="BJ1199" s="7"/>
      <c r="BK1199" s="7"/>
      <c r="BL1199" s="7"/>
      <c r="BM1199" s="7"/>
      <c r="BN1199" s="7"/>
      <c r="BO1199" s="7"/>
      <c r="BP1199" s="7"/>
      <c r="BQ1199" s="7"/>
      <c r="BR1199" s="7"/>
      <c r="BS1199" s="7"/>
      <c r="BT1199" s="7"/>
      <c r="BU1199" s="7"/>
      <c r="BV1199" s="7"/>
      <c r="BW1199" s="7"/>
      <c r="BX1199" s="7"/>
      <c r="BY1199" s="7"/>
      <c r="BZ1199" s="7"/>
      <c r="CA1199" s="7"/>
      <c r="CB1199" s="7"/>
      <c r="CC1199" s="7"/>
      <c r="CD1199" s="7"/>
      <c r="CE1199" s="7"/>
      <c r="CF1199" s="7"/>
      <c r="CG1199" s="7"/>
    </row>
    <row r="1200" spans="3:85"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  <c r="AC1200" s="7"/>
      <c r="AD1200" s="7"/>
      <c r="AF1200" s="7"/>
      <c r="AG1200" s="7"/>
      <c r="AH1200" s="7"/>
      <c r="AI1200" s="7"/>
      <c r="AJ1200" s="7"/>
      <c r="AK1200" s="7"/>
      <c r="AL1200" s="7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  <c r="BB1200" s="7"/>
      <c r="BC1200" s="7"/>
      <c r="BD1200" s="7"/>
      <c r="BE1200" s="7"/>
      <c r="BF1200" s="7"/>
      <c r="BG1200" s="7"/>
      <c r="BH1200" s="7"/>
      <c r="BI1200" s="7"/>
      <c r="BJ1200" s="7"/>
      <c r="BK1200" s="7"/>
      <c r="BL1200" s="7"/>
      <c r="BM1200" s="7"/>
      <c r="BN1200" s="7"/>
      <c r="BO1200" s="7"/>
      <c r="BP1200" s="7"/>
      <c r="BQ1200" s="7"/>
      <c r="BR1200" s="7"/>
      <c r="BS1200" s="7"/>
      <c r="BT1200" s="7"/>
      <c r="BU1200" s="7"/>
      <c r="BV1200" s="7"/>
      <c r="BW1200" s="7"/>
      <c r="BX1200" s="7"/>
      <c r="BY1200" s="7"/>
      <c r="BZ1200" s="7"/>
      <c r="CA1200" s="7"/>
      <c r="CB1200" s="7"/>
      <c r="CC1200" s="7"/>
      <c r="CD1200" s="7"/>
      <c r="CE1200" s="7"/>
      <c r="CF1200" s="7"/>
      <c r="CG1200" s="7"/>
    </row>
    <row r="1201" spans="3:85"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  <c r="AC1201" s="7"/>
      <c r="AD1201" s="7"/>
      <c r="AF1201" s="7"/>
      <c r="AG1201" s="7"/>
      <c r="AH1201" s="7"/>
      <c r="AI1201" s="7"/>
      <c r="AJ1201" s="7"/>
      <c r="AK1201" s="7"/>
      <c r="AL1201" s="7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  <c r="BB1201" s="7"/>
      <c r="BC1201" s="7"/>
      <c r="BD1201" s="7"/>
      <c r="BE1201" s="7"/>
      <c r="BF1201" s="7"/>
      <c r="BG1201" s="7"/>
      <c r="BH1201" s="7"/>
      <c r="BI1201" s="7"/>
      <c r="BJ1201" s="7"/>
      <c r="BK1201" s="7"/>
      <c r="BL1201" s="7"/>
      <c r="BM1201" s="7"/>
      <c r="BN1201" s="7"/>
      <c r="BO1201" s="7"/>
      <c r="BP1201" s="7"/>
      <c r="BQ1201" s="7"/>
      <c r="BR1201" s="7"/>
      <c r="BS1201" s="7"/>
      <c r="BT1201" s="7"/>
      <c r="BU1201" s="7"/>
      <c r="BV1201" s="7"/>
      <c r="BW1201" s="7"/>
      <c r="BX1201" s="7"/>
      <c r="BY1201" s="7"/>
      <c r="BZ1201" s="7"/>
      <c r="CA1201" s="7"/>
      <c r="CB1201" s="7"/>
      <c r="CC1201" s="7"/>
      <c r="CD1201" s="7"/>
      <c r="CE1201" s="7"/>
      <c r="CF1201" s="7"/>
      <c r="CG1201" s="7"/>
    </row>
    <row r="1202" spans="3:85"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  <c r="AC1202" s="7"/>
      <c r="AD1202" s="7"/>
      <c r="AF1202" s="7"/>
      <c r="AG1202" s="7"/>
      <c r="AH1202" s="7"/>
      <c r="AI1202" s="7"/>
      <c r="AJ1202" s="7"/>
      <c r="AK1202" s="7"/>
      <c r="AL1202" s="7"/>
      <c r="AM1202" s="7"/>
      <c r="AN1202" s="7"/>
      <c r="AO1202" s="7"/>
      <c r="AP1202" s="7"/>
      <c r="AQ1202" s="7"/>
      <c r="AR1202" s="7"/>
      <c r="AS1202" s="7"/>
      <c r="AT1202" s="7"/>
      <c r="AU1202" s="7"/>
      <c r="AV1202" s="7"/>
      <c r="AW1202" s="7"/>
      <c r="AX1202" s="7"/>
      <c r="AY1202" s="7"/>
      <c r="AZ1202" s="7"/>
      <c r="BA1202" s="7"/>
      <c r="BB1202" s="7"/>
      <c r="BC1202" s="7"/>
      <c r="BD1202" s="7"/>
      <c r="BE1202" s="7"/>
      <c r="BF1202" s="7"/>
      <c r="BG1202" s="7"/>
      <c r="BH1202" s="7"/>
      <c r="BI1202" s="7"/>
      <c r="BJ1202" s="7"/>
      <c r="BK1202" s="7"/>
      <c r="BL1202" s="7"/>
      <c r="BM1202" s="7"/>
      <c r="BN1202" s="7"/>
      <c r="BO1202" s="7"/>
      <c r="BP1202" s="7"/>
      <c r="BQ1202" s="7"/>
      <c r="BR1202" s="7"/>
      <c r="BS1202" s="7"/>
      <c r="BT1202" s="7"/>
      <c r="BU1202" s="7"/>
      <c r="BV1202" s="7"/>
      <c r="BW1202" s="7"/>
      <c r="BX1202" s="7"/>
      <c r="BY1202" s="7"/>
      <c r="BZ1202" s="7"/>
      <c r="CA1202" s="7"/>
      <c r="CB1202" s="7"/>
      <c r="CC1202" s="7"/>
      <c r="CD1202" s="7"/>
      <c r="CE1202" s="7"/>
      <c r="CF1202" s="7"/>
      <c r="CG1202" s="7"/>
    </row>
    <row r="1203" spans="3:85"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  <c r="AC1203" s="7"/>
      <c r="AD1203" s="7"/>
      <c r="AF1203" s="7"/>
      <c r="AG1203" s="7"/>
      <c r="AH1203" s="7"/>
      <c r="AI1203" s="7"/>
      <c r="AJ1203" s="7"/>
      <c r="AK1203" s="7"/>
      <c r="AL1203" s="7"/>
      <c r="AM1203" s="7"/>
      <c r="AN1203" s="7"/>
      <c r="AO1203" s="7"/>
      <c r="AP1203" s="7"/>
      <c r="AQ1203" s="7"/>
      <c r="AR1203" s="7"/>
      <c r="AS1203" s="7"/>
      <c r="AT1203" s="7"/>
      <c r="AU1203" s="7"/>
      <c r="AV1203" s="7"/>
      <c r="AW1203" s="7"/>
      <c r="AX1203" s="7"/>
      <c r="AY1203" s="7"/>
      <c r="AZ1203" s="7"/>
      <c r="BA1203" s="7"/>
      <c r="BB1203" s="7"/>
      <c r="BC1203" s="7"/>
      <c r="BD1203" s="7"/>
      <c r="BE1203" s="7"/>
      <c r="BF1203" s="7"/>
      <c r="BG1203" s="7"/>
      <c r="BH1203" s="7"/>
      <c r="BI1203" s="7"/>
      <c r="BJ1203" s="7"/>
      <c r="BK1203" s="7"/>
      <c r="BL1203" s="7"/>
      <c r="BM1203" s="7"/>
      <c r="BN1203" s="7"/>
      <c r="BO1203" s="7"/>
      <c r="BP1203" s="7"/>
      <c r="BQ1203" s="7"/>
      <c r="BR1203" s="7"/>
      <c r="BS1203" s="7"/>
      <c r="BT1203" s="7"/>
      <c r="BU1203" s="7"/>
      <c r="BV1203" s="7"/>
      <c r="BW1203" s="7"/>
      <c r="BX1203" s="7"/>
      <c r="BY1203" s="7"/>
      <c r="BZ1203" s="7"/>
      <c r="CA1203" s="7"/>
      <c r="CB1203" s="7"/>
      <c r="CC1203" s="7"/>
      <c r="CD1203" s="7"/>
      <c r="CE1203" s="7"/>
      <c r="CF1203" s="7"/>
      <c r="CG1203" s="7"/>
    </row>
    <row r="1204" spans="3:85"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  <c r="AC1204" s="7"/>
      <c r="AD1204" s="7"/>
      <c r="AF1204" s="7"/>
      <c r="AG1204" s="7"/>
      <c r="AH1204" s="7"/>
      <c r="AI1204" s="7"/>
      <c r="AJ1204" s="7"/>
      <c r="AK1204" s="7"/>
      <c r="AL1204" s="7"/>
      <c r="AM1204" s="7"/>
      <c r="AN1204" s="7"/>
      <c r="AO1204" s="7"/>
      <c r="AP1204" s="7"/>
      <c r="AQ1204" s="7"/>
      <c r="AR1204" s="7"/>
      <c r="AS1204" s="7"/>
      <c r="AT1204" s="7"/>
      <c r="AU1204" s="7"/>
      <c r="AV1204" s="7"/>
      <c r="AW1204" s="7"/>
      <c r="AX1204" s="7"/>
      <c r="AY1204" s="7"/>
      <c r="AZ1204" s="7"/>
      <c r="BA1204" s="7"/>
      <c r="BB1204" s="7"/>
      <c r="BC1204" s="7"/>
      <c r="BD1204" s="7"/>
      <c r="BE1204" s="7"/>
      <c r="BF1204" s="7"/>
      <c r="BG1204" s="7"/>
      <c r="BH1204" s="7"/>
      <c r="BI1204" s="7"/>
      <c r="BJ1204" s="7"/>
      <c r="BK1204" s="7"/>
      <c r="BL1204" s="7"/>
      <c r="BM1204" s="7"/>
      <c r="BN1204" s="7"/>
      <c r="BO1204" s="7"/>
      <c r="BP1204" s="7"/>
      <c r="BQ1204" s="7"/>
      <c r="BR1204" s="7"/>
      <c r="BS1204" s="7"/>
      <c r="BT1204" s="7"/>
      <c r="BU1204" s="7"/>
      <c r="BV1204" s="7"/>
      <c r="BW1204" s="7"/>
      <c r="BX1204" s="7"/>
      <c r="BY1204" s="7"/>
      <c r="BZ1204" s="7"/>
      <c r="CA1204" s="7"/>
      <c r="CB1204" s="7"/>
      <c r="CC1204" s="7"/>
      <c r="CD1204" s="7"/>
      <c r="CE1204" s="7"/>
      <c r="CF1204" s="7"/>
      <c r="CG1204" s="7"/>
    </row>
    <row r="1205" spans="3:85"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  <c r="AC1205" s="7"/>
      <c r="AD1205" s="7"/>
      <c r="AF1205" s="7"/>
      <c r="AG1205" s="7"/>
      <c r="AH1205" s="7"/>
      <c r="AI1205" s="7"/>
      <c r="AJ1205" s="7"/>
      <c r="AK1205" s="7"/>
      <c r="AL1205" s="7"/>
      <c r="AM1205" s="7"/>
      <c r="AN1205" s="7"/>
      <c r="AO1205" s="7"/>
      <c r="AP1205" s="7"/>
      <c r="AQ1205" s="7"/>
      <c r="AR1205" s="7"/>
      <c r="AS1205" s="7"/>
      <c r="AT1205" s="7"/>
      <c r="AU1205" s="7"/>
      <c r="AV1205" s="7"/>
      <c r="AW1205" s="7"/>
      <c r="AX1205" s="7"/>
      <c r="AY1205" s="7"/>
      <c r="AZ1205" s="7"/>
      <c r="BA1205" s="7"/>
      <c r="BB1205" s="7"/>
      <c r="BC1205" s="7"/>
      <c r="BD1205" s="7"/>
      <c r="BE1205" s="7"/>
      <c r="BF1205" s="7"/>
      <c r="BG1205" s="7"/>
      <c r="BH1205" s="7"/>
      <c r="BI1205" s="7"/>
      <c r="BJ1205" s="7"/>
      <c r="BK1205" s="7"/>
      <c r="BL1205" s="7"/>
      <c r="BM1205" s="7"/>
      <c r="BN1205" s="7"/>
      <c r="BO1205" s="7"/>
      <c r="BP1205" s="7"/>
      <c r="BQ1205" s="7"/>
      <c r="BR1205" s="7"/>
      <c r="BS1205" s="7"/>
      <c r="BT1205" s="7"/>
      <c r="BU1205" s="7"/>
      <c r="BV1205" s="7"/>
      <c r="BW1205" s="7"/>
      <c r="BX1205" s="7"/>
      <c r="BY1205" s="7"/>
      <c r="BZ1205" s="7"/>
      <c r="CA1205" s="7"/>
      <c r="CB1205" s="7"/>
      <c r="CC1205" s="7"/>
      <c r="CD1205" s="7"/>
      <c r="CE1205" s="7"/>
      <c r="CF1205" s="7"/>
      <c r="CG1205" s="7"/>
    </row>
    <row r="1206" spans="3:85"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  <c r="AC1206" s="7"/>
      <c r="AD1206" s="7"/>
      <c r="AF1206" s="7"/>
      <c r="AG1206" s="7"/>
      <c r="AH1206" s="7"/>
      <c r="AI1206" s="7"/>
      <c r="AJ1206" s="7"/>
      <c r="AK1206" s="7"/>
      <c r="AL1206" s="7"/>
      <c r="AM1206" s="7"/>
      <c r="AN1206" s="7"/>
      <c r="AO1206" s="7"/>
      <c r="AP1206" s="7"/>
      <c r="AQ1206" s="7"/>
      <c r="AR1206" s="7"/>
      <c r="AS1206" s="7"/>
      <c r="AT1206" s="7"/>
      <c r="AU1206" s="7"/>
      <c r="AV1206" s="7"/>
      <c r="AW1206" s="7"/>
      <c r="AX1206" s="7"/>
      <c r="AY1206" s="7"/>
      <c r="AZ1206" s="7"/>
      <c r="BA1206" s="7"/>
      <c r="BB1206" s="7"/>
      <c r="BC1206" s="7"/>
      <c r="BD1206" s="7"/>
      <c r="BE1206" s="7"/>
      <c r="BF1206" s="7"/>
      <c r="BG1206" s="7"/>
      <c r="BH1206" s="7"/>
      <c r="BI1206" s="7"/>
      <c r="BJ1206" s="7"/>
      <c r="BK1206" s="7"/>
      <c r="BL1206" s="7"/>
      <c r="BM1206" s="7"/>
      <c r="BN1206" s="7"/>
      <c r="BO1206" s="7"/>
      <c r="BP1206" s="7"/>
      <c r="BQ1206" s="7"/>
      <c r="BR1206" s="7"/>
      <c r="BS1206" s="7"/>
      <c r="BT1206" s="7"/>
      <c r="BU1206" s="7"/>
      <c r="BV1206" s="7"/>
      <c r="BW1206" s="7"/>
      <c r="BX1206" s="7"/>
      <c r="BY1206" s="7"/>
      <c r="BZ1206" s="7"/>
      <c r="CA1206" s="7"/>
      <c r="CB1206" s="7"/>
      <c r="CC1206" s="7"/>
      <c r="CD1206" s="7"/>
      <c r="CE1206" s="7"/>
      <c r="CF1206" s="7"/>
      <c r="CG1206" s="7"/>
    </row>
    <row r="1207" spans="3:85"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  <c r="AC1207" s="7"/>
      <c r="AD1207" s="7"/>
      <c r="AF1207" s="7"/>
      <c r="AG1207" s="7"/>
      <c r="AH1207" s="7"/>
      <c r="AI1207" s="7"/>
      <c r="AJ1207" s="7"/>
      <c r="AK1207" s="7"/>
      <c r="AL1207" s="7"/>
      <c r="AM1207" s="7"/>
      <c r="AN1207" s="7"/>
      <c r="AO1207" s="7"/>
      <c r="AP1207" s="7"/>
      <c r="AQ1207" s="7"/>
      <c r="AR1207" s="7"/>
      <c r="AS1207" s="7"/>
      <c r="AT1207" s="7"/>
      <c r="AU1207" s="7"/>
      <c r="AV1207" s="7"/>
      <c r="AW1207" s="7"/>
      <c r="AX1207" s="7"/>
      <c r="AY1207" s="7"/>
      <c r="AZ1207" s="7"/>
      <c r="BA1207" s="7"/>
      <c r="BB1207" s="7"/>
      <c r="BC1207" s="7"/>
      <c r="BD1207" s="7"/>
      <c r="BE1207" s="7"/>
      <c r="BF1207" s="7"/>
      <c r="BG1207" s="7"/>
      <c r="BH1207" s="7"/>
      <c r="BI1207" s="7"/>
      <c r="BJ1207" s="7"/>
      <c r="BK1207" s="7"/>
      <c r="BL1207" s="7"/>
      <c r="BM1207" s="7"/>
      <c r="BN1207" s="7"/>
      <c r="BO1207" s="7"/>
      <c r="BP1207" s="7"/>
      <c r="BQ1207" s="7"/>
      <c r="BR1207" s="7"/>
      <c r="BS1207" s="7"/>
      <c r="BT1207" s="7"/>
      <c r="BU1207" s="7"/>
      <c r="BV1207" s="7"/>
      <c r="BW1207" s="7"/>
      <c r="BX1207" s="7"/>
      <c r="BY1207" s="7"/>
      <c r="BZ1207" s="7"/>
      <c r="CA1207" s="7"/>
      <c r="CB1207" s="7"/>
      <c r="CC1207" s="7"/>
      <c r="CD1207" s="7"/>
      <c r="CE1207" s="7"/>
      <c r="CF1207" s="7"/>
      <c r="CG1207" s="7"/>
    </row>
    <row r="1208" spans="3:85"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  <c r="AC1208" s="7"/>
      <c r="AD1208" s="7"/>
      <c r="AF1208" s="7"/>
      <c r="AG1208" s="7"/>
      <c r="AH1208" s="7"/>
      <c r="AI1208" s="7"/>
      <c r="AJ1208" s="7"/>
      <c r="AK1208" s="7"/>
      <c r="AL1208" s="7"/>
      <c r="AM1208" s="7"/>
      <c r="AN1208" s="7"/>
      <c r="AO1208" s="7"/>
      <c r="AP1208" s="7"/>
      <c r="AQ1208" s="7"/>
      <c r="AR1208" s="7"/>
      <c r="AS1208" s="7"/>
      <c r="AT1208" s="7"/>
      <c r="AU1208" s="7"/>
      <c r="AV1208" s="7"/>
      <c r="AW1208" s="7"/>
      <c r="AX1208" s="7"/>
      <c r="AY1208" s="7"/>
      <c r="AZ1208" s="7"/>
      <c r="BA1208" s="7"/>
      <c r="BB1208" s="7"/>
      <c r="BC1208" s="7"/>
      <c r="BD1208" s="7"/>
      <c r="BE1208" s="7"/>
      <c r="BF1208" s="7"/>
      <c r="BG1208" s="7"/>
      <c r="BH1208" s="7"/>
      <c r="BI1208" s="7"/>
      <c r="BJ1208" s="7"/>
      <c r="BK1208" s="7"/>
      <c r="BL1208" s="7"/>
      <c r="BM1208" s="7"/>
      <c r="BN1208" s="7"/>
      <c r="BO1208" s="7"/>
      <c r="BP1208" s="7"/>
      <c r="BQ1208" s="7"/>
      <c r="BR1208" s="7"/>
      <c r="BS1208" s="7"/>
      <c r="BT1208" s="7"/>
      <c r="BU1208" s="7"/>
      <c r="BV1208" s="7"/>
      <c r="BW1208" s="7"/>
      <c r="BX1208" s="7"/>
      <c r="BY1208" s="7"/>
      <c r="BZ1208" s="7"/>
      <c r="CA1208" s="7"/>
      <c r="CB1208" s="7"/>
      <c r="CC1208" s="7"/>
      <c r="CD1208" s="7"/>
      <c r="CE1208" s="7"/>
      <c r="CF1208" s="7"/>
      <c r="CG1208" s="7"/>
    </row>
    <row r="1209" spans="3:85"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  <c r="AC1209" s="7"/>
      <c r="AD1209" s="7"/>
      <c r="AF1209" s="7"/>
      <c r="AG1209" s="7"/>
      <c r="AH1209" s="7"/>
      <c r="AI1209" s="7"/>
      <c r="AJ1209" s="7"/>
      <c r="AK1209" s="7"/>
      <c r="AL1209" s="7"/>
      <c r="AM1209" s="7"/>
      <c r="AN1209" s="7"/>
      <c r="AO1209" s="7"/>
      <c r="AP1209" s="7"/>
      <c r="AQ1209" s="7"/>
      <c r="AR1209" s="7"/>
      <c r="AS1209" s="7"/>
      <c r="AT1209" s="7"/>
      <c r="AU1209" s="7"/>
      <c r="AV1209" s="7"/>
      <c r="AW1209" s="7"/>
      <c r="AX1209" s="7"/>
      <c r="AY1209" s="7"/>
      <c r="AZ1209" s="7"/>
      <c r="BA1209" s="7"/>
      <c r="BB1209" s="7"/>
      <c r="BC1209" s="7"/>
      <c r="BD1209" s="7"/>
      <c r="BE1209" s="7"/>
      <c r="BF1209" s="7"/>
      <c r="BG1209" s="7"/>
      <c r="BH1209" s="7"/>
      <c r="BI1209" s="7"/>
      <c r="BJ1209" s="7"/>
      <c r="BK1209" s="7"/>
      <c r="BL1209" s="7"/>
      <c r="BM1209" s="7"/>
      <c r="BN1209" s="7"/>
      <c r="BO1209" s="7"/>
      <c r="BP1209" s="7"/>
      <c r="BQ1209" s="7"/>
      <c r="BR1209" s="7"/>
      <c r="BS1209" s="7"/>
      <c r="BT1209" s="7"/>
      <c r="BU1209" s="7"/>
      <c r="BV1209" s="7"/>
      <c r="BW1209" s="7"/>
      <c r="BX1209" s="7"/>
      <c r="BY1209" s="7"/>
      <c r="BZ1209" s="7"/>
      <c r="CA1209" s="7"/>
      <c r="CB1209" s="7"/>
      <c r="CC1209" s="7"/>
      <c r="CD1209" s="7"/>
      <c r="CE1209" s="7"/>
      <c r="CF1209" s="7"/>
      <c r="CG1209" s="7"/>
    </row>
    <row r="1210" spans="3:85"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  <c r="AC1210" s="7"/>
      <c r="AD1210" s="7"/>
      <c r="AF1210" s="7"/>
      <c r="AG1210" s="7"/>
      <c r="AH1210" s="7"/>
      <c r="AI1210" s="7"/>
      <c r="AJ1210" s="7"/>
      <c r="AK1210" s="7"/>
      <c r="AL1210" s="7"/>
      <c r="AM1210" s="7"/>
      <c r="AN1210" s="7"/>
      <c r="AO1210" s="7"/>
      <c r="AP1210" s="7"/>
      <c r="AQ1210" s="7"/>
      <c r="AR1210" s="7"/>
      <c r="AS1210" s="7"/>
      <c r="AT1210" s="7"/>
      <c r="AU1210" s="7"/>
      <c r="AV1210" s="7"/>
      <c r="AW1210" s="7"/>
      <c r="AX1210" s="7"/>
      <c r="AY1210" s="7"/>
      <c r="AZ1210" s="7"/>
      <c r="BA1210" s="7"/>
      <c r="BB1210" s="7"/>
      <c r="BC1210" s="7"/>
      <c r="BD1210" s="7"/>
      <c r="BE1210" s="7"/>
      <c r="BF1210" s="7"/>
      <c r="BG1210" s="7"/>
      <c r="BH1210" s="7"/>
      <c r="BI1210" s="7"/>
      <c r="BJ1210" s="7"/>
      <c r="BK1210" s="7"/>
      <c r="BL1210" s="7"/>
      <c r="BM1210" s="7"/>
      <c r="BN1210" s="7"/>
      <c r="BO1210" s="7"/>
      <c r="BP1210" s="7"/>
      <c r="BQ1210" s="7"/>
      <c r="BR1210" s="7"/>
      <c r="BS1210" s="7"/>
      <c r="BT1210" s="7"/>
      <c r="BU1210" s="7"/>
      <c r="BV1210" s="7"/>
      <c r="BW1210" s="7"/>
      <c r="BX1210" s="7"/>
      <c r="BY1210" s="7"/>
      <c r="BZ1210" s="7"/>
      <c r="CA1210" s="7"/>
      <c r="CB1210" s="7"/>
      <c r="CC1210" s="7"/>
      <c r="CD1210" s="7"/>
      <c r="CE1210" s="7"/>
      <c r="CF1210" s="7"/>
      <c r="CG1210" s="7"/>
    </row>
    <row r="1211" spans="3:85"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  <c r="AC1211" s="7"/>
      <c r="AD1211" s="7"/>
      <c r="AF1211" s="7"/>
      <c r="AG1211" s="7"/>
      <c r="AH1211" s="7"/>
      <c r="AI1211" s="7"/>
      <c r="AJ1211" s="7"/>
      <c r="AK1211" s="7"/>
      <c r="AL1211" s="7"/>
      <c r="AM1211" s="7"/>
      <c r="AN1211" s="7"/>
      <c r="AO1211" s="7"/>
      <c r="AP1211" s="7"/>
      <c r="AQ1211" s="7"/>
      <c r="AR1211" s="7"/>
      <c r="AS1211" s="7"/>
      <c r="AT1211" s="7"/>
      <c r="AU1211" s="7"/>
      <c r="AV1211" s="7"/>
      <c r="AW1211" s="7"/>
      <c r="AX1211" s="7"/>
      <c r="AY1211" s="7"/>
      <c r="AZ1211" s="7"/>
      <c r="BA1211" s="7"/>
      <c r="BB1211" s="7"/>
      <c r="BC1211" s="7"/>
      <c r="BD1211" s="7"/>
      <c r="BE1211" s="7"/>
      <c r="BF1211" s="7"/>
      <c r="BG1211" s="7"/>
      <c r="BH1211" s="7"/>
      <c r="BI1211" s="7"/>
      <c r="BJ1211" s="7"/>
      <c r="BK1211" s="7"/>
      <c r="BL1211" s="7"/>
      <c r="BM1211" s="7"/>
      <c r="BN1211" s="7"/>
      <c r="BO1211" s="7"/>
      <c r="BP1211" s="7"/>
      <c r="BQ1211" s="7"/>
      <c r="BR1211" s="7"/>
      <c r="BS1211" s="7"/>
      <c r="BT1211" s="7"/>
      <c r="BU1211" s="7"/>
      <c r="BV1211" s="7"/>
      <c r="BW1211" s="7"/>
      <c r="BX1211" s="7"/>
      <c r="BY1211" s="7"/>
      <c r="BZ1211" s="7"/>
      <c r="CA1211" s="7"/>
      <c r="CB1211" s="7"/>
      <c r="CC1211" s="7"/>
      <c r="CD1211" s="7"/>
      <c r="CE1211" s="7"/>
      <c r="CF1211" s="7"/>
      <c r="CG1211" s="7"/>
    </row>
    <row r="1212" spans="3:85"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  <c r="AC1212" s="7"/>
      <c r="AD1212" s="7"/>
      <c r="AF1212" s="7"/>
      <c r="AG1212" s="7"/>
      <c r="AH1212" s="7"/>
      <c r="AI1212" s="7"/>
      <c r="AJ1212" s="7"/>
      <c r="AK1212" s="7"/>
      <c r="AL1212" s="7"/>
      <c r="AM1212" s="7"/>
      <c r="AN1212" s="7"/>
      <c r="AO1212" s="7"/>
      <c r="AP1212" s="7"/>
      <c r="AQ1212" s="7"/>
      <c r="AR1212" s="7"/>
      <c r="AS1212" s="7"/>
      <c r="AT1212" s="7"/>
      <c r="AU1212" s="7"/>
      <c r="AV1212" s="7"/>
      <c r="AW1212" s="7"/>
      <c r="AX1212" s="7"/>
      <c r="AY1212" s="7"/>
      <c r="AZ1212" s="7"/>
      <c r="BA1212" s="7"/>
      <c r="BB1212" s="7"/>
      <c r="BC1212" s="7"/>
      <c r="BD1212" s="7"/>
      <c r="BE1212" s="7"/>
      <c r="BF1212" s="7"/>
      <c r="BG1212" s="7"/>
      <c r="BH1212" s="7"/>
      <c r="BI1212" s="7"/>
      <c r="BJ1212" s="7"/>
      <c r="BK1212" s="7"/>
      <c r="BL1212" s="7"/>
      <c r="BM1212" s="7"/>
      <c r="BN1212" s="7"/>
      <c r="BO1212" s="7"/>
      <c r="BP1212" s="7"/>
      <c r="BQ1212" s="7"/>
      <c r="BR1212" s="7"/>
      <c r="BS1212" s="7"/>
      <c r="BT1212" s="7"/>
      <c r="BU1212" s="7"/>
      <c r="BV1212" s="7"/>
      <c r="BW1212" s="7"/>
      <c r="BX1212" s="7"/>
      <c r="BY1212" s="7"/>
      <c r="BZ1212" s="7"/>
      <c r="CA1212" s="7"/>
      <c r="CB1212" s="7"/>
      <c r="CC1212" s="7"/>
      <c r="CD1212" s="7"/>
      <c r="CE1212" s="7"/>
      <c r="CF1212" s="7"/>
      <c r="CG1212" s="7"/>
    </row>
    <row r="1213" spans="3:85"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  <c r="AC1213" s="7"/>
      <c r="AD1213" s="7"/>
      <c r="AF1213" s="7"/>
      <c r="AG1213" s="7"/>
      <c r="AH1213" s="7"/>
      <c r="AI1213" s="7"/>
      <c r="AJ1213" s="7"/>
      <c r="AK1213" s="7"/>
      <c r="AL1213" s="7"/>
      <c r="AM1213" s="7"/>
      <c r="AN1213" s="7"/>
      <c r="AO1213" s="7"/>
      <c r="AP1213" s="7"/>
      <c r="AQ1213" s="7"/>
      <c r="AR1213" s="7"/>
      <c r="AS1213" s="7"/>
      <c r="AT1213" s="7"/>
      <c r="AU1213" s="7"/>
      <c r="AV1213" s="7"/>
      <c r="AW1213" s="7"/>
      <c r="AX1213" s="7"/>
      <c r="AY1213" s="7"/>
      <c r="AZ1213" s="7"/>
      <c r="BA1213" s="7"/>
      <c r="BB1213" s="7"/>
      <c r="BC1213" s="7"/>
      <c r="BD1213" s="7"/>
      <c r="BE1213" s="7"/>
      <c r="BF1213" s="7"/>
      <c r="BG1213" s="7"/>
      <c r="BH1213" s="7"/>
      <c r="BI1213" s="7"/>
      <c r="BJ1213" s="7"/>
      <c r="BK1213" s="7"/>
      <c r="BL1213" s="7"/>
      <c r="BM1213" s="7"/>
      <c r="BN1213" s="7"/>
      <c r="BO1213" s="7"/>
      <c r="BP1213" s="7"/>
      <c r="BQ1213" s="7"/>
      <c r="BR1213" s="7"/>
      <c r="BS1213" s="7"/>
      <c r="BT1213" s="7"/>
      <c r="BU1213" s="7"/>
      <c r="BV1213" s="7"/>
      <c r="BW1213" s="7"/>
      <c r="BX1213" s="7"/>
      <c r="BY1213" s="7"/>
      <c r="BZ1213" s="7"/>
      <c r="CA1213" s="7"/>
      <c r="CB1213" s="7"/>
      <c r="CC1213" s="7"/>
      <c r="CD1213" s="7"/>
      <c r="CE1213" s="7"/>
      <c r="CF1213" s="7"/>
      <c r="CG1213" s="7"/>
    </row>
    <row r="1214" spans="3:85"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  <c r="AC1214" s="7"/>
      <c r="AD1214" s="7"/>
      <c r="AF1214" s="7"/>
      <c r="AG1214" s="7"/>
      <c r="AH1214" s="7"/>
      <c r="AI1214" s="7"/>
      <c r="AJ1214" s="7"/>
      <c r="AK1214" s="7"/>
      <c r="AL1214" s="7"/>
      <c r="AM1214" s="7"/>
      <c r="AN1214" s="7"/>
      <c r="AO1214" s="7"/>
      <c r="AP1214" s="7"/>
      <c r="AQ1214" s="7"/>
      <c r="AR1214" s="7"/>
      <c r="AS1214" s="7"/>
      <c r="AT1214" s="7"/>
      <c r="AU1214" s="7"/>
      <c r="AV1214" s="7"/>
      <c r="AW1214" s="7"/>
      <c r="AX1214" s="7"/>
      <c r="AY1214" s="7"/>
      <c r="AZ1214" s="7"/>
      <c r="BA1214" s="7"/>
      <c r="BB1214" s="7"/>
      <c r="BC1214" s="7"/>
      <c r="BD1214" s="7"/>
      <c r="BE1214" s="7"/>
      <c r="BF1214" s="7"/>
      <c r="BG1214" s="7"/>
      <c r="BH1214" s="7"/>
      <c r="BI1214" s="7"/>
      <c r="BJ1214" s="7"/>
      <c r="BK1214" s="7"/>
      <c r="BL1214" s="7"/>
      <c r="BM1214" s="7"/>
      <c r="BN1214" s="7"/>
      <c r="BO1214" s="7"/>
      <c r="BP1214" s="7"/>
      <c r="BQ1214" s="7"/>
      <c r="BR1214" s="7"/>
      <c r="BS1214" s="7"/>
      <c r="BT1214" s="7"/>
      <c r="BU1214" s="7"/>
      <c r="BV1214" s="7"/>
      <c r="BW1214" s="7"/>
      <c r="BX1214" s="7"/>
      <c r="BY1214" s="7"/>
      <c r="BZ1214" s="7"/>
      <c r="CA1214" s="7"/>
      <c r="CB1214" s="7"/>
      <c r="CC1214" s="7"/>
      <c r="CD1214" s="7"/>
      <c r="CE1214" s="7"/>
      <c r="CF1214" s="7"/>
      <c r="CG1214" s="7"/>
    </row>
    <row r="1215" spans="3:85"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  <c r="AC1215" s="7"/>
      <c r="AD1215" s="7"/>
      <c r="AF1215" s="7"/>
      <c r="AG1215" s="7"/>
      <c r="AH1215" s="7"/>
      <c r="AI1215" s="7"/>
      <c r="AJ1215" s="7"/>
      <c r="AK1215" s="7"/>
      <c r="AL1215" s="7"/>
      <c r="AM1215" s="7"/>
      <c r="AN1215" s="7"/>
      <c r="AO1215" s="7"/>
      <c r="AP1215" s="7"/>
      <c r="AQ1215" s="7"/>
      <c r="AR1215" s="7"/>
      <c r="AS1215" s="7"/>
      <c r="AT1215" s="7"/>
      <c r="AU1215" s="7"/>
      <c r="AV1215" s="7"/>
      <c r="AW1215" s="7"/>
      <c r="AX1215" s="7"/>
      <c r="AY1215" s="7"/>
      <c r="AZ1215" s="7"/>
      <c r="BA1215" s="7"/>
      <c r="BB1215" s="7"/>
      <c r="BC1215" s="7"/>
      <c r="BD1215" s="7"/>
      <c r="BE1215" s="7"/>
      <c r="BF1215" s="7"/>
      <c r="BG1215" s="7"/>
      <c r="BH1215" s="7"/>
      <c r="BI1215" s="7"/>
      <c r="BJ1215" s="7"/>
      <c r="BK1215" s="7"/>
      <c r="BL1215" s="7"/>
      <c r="BM1215" s="7"/>
      <c r="BN1215" s="7"/>
      <c r="BO1215" s="7"/>
      <c r="BP1215" s="7"/>
      <c r="BQ1215" s="7"/>
      <c r="BR1215" s="7"/>
      <c r="BS1215" s="7"/>
      <c r="BT1215" s="7"/>
      <c r="BU1215" s="7"/>
      <c r="BV1215" s="7"/>
      <c r="BW1215" s="7"/>
      <c r="BX1215" s="7"/>
      <c r="BY1215" s="7"/>
      <c r="BZ1215" s="7"/>
      <c r="CA1215" s="7"/>
      <c r="CB1215" s="7"/>
      <c r="CC1215" s="7"/>
      <c r="CD1215" s="7"/>
      <c r="CE1215" s="7"/>
      <c r="CF1215" s="7"/>
      <c r="CG1215" s="7"/>
    </row>
    <row r="1216" spans="3:85"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  <c r="AC1216" s="7"/>
      <c r="AD1216" s="7"/>
      <c r="AF1216" s="7"/>
      <c r="AG1216" s="7"/>
      <c r="AH1216" s="7"/>
      <c r="AI1216" s="7"/>
      <c r="AJ1216" s="7"/>
      <c r="AK1216" s="7"/>
      <c r="AL1216" s="7"/>
      <c r="AM1216" s="7"/>
      <c r="AN1216" s="7"/>
      <c r="AO1216" s="7"/>
      <c r="AP1216" s="7"/>
      <c r="AQ1216" s="7"/>
      <c r="AR1216" s="7"/>
      <c r="AS1216" s="7"/>
      <c r="AT1216" s="7"/>
      <c r="AU1216" s="7"/>
      <c r="AV1216" s="7"/>
      <c r="AW1216" s="7"/>
      <c r="AX1216" s="7"/>
      <c r="AY1216" s="7"/>
      <c r="AZ1216" s="7"/>
      <c r="BA1216" s="7"/>
      <c r="BB1216" s="7"/>
      <c r="BC1216" s="7"/>
      <c r="BD1216" s="7"/>
      <c r="BE1216" s="7"/>
      <c r="BF1216" s="7"/>
      <c r="BG1216" s="7"/>
      <c r="BH1216" s="7"/>
      <c r="BI1216" s="7"/>
      <c r="BJ1216" s="7"/>
      <c r="BK1216" s="7"/>
      <c r="BL1216" s="7"/>
      <c r="BM1216" s="7"/>
      <c r="BN1216" s="7"/>
      <c r="BO1216" s="7"/>
      <c r="BP1216" s="7"/>
      <c r="BQ1216" s="7"/>
      <c r="BR1216" s="7"/>
      <c r="BS1216" s="7"/>
      <c r="BT1216" s="7"/>
      <c r="BU1216" s="7"/>
      <c r="BV1216" s="7"/>
      <c r="BW1216" s="7"/>
      <c r="BX1216" s="7"/>
      <c r="BY1216" s="7"/>
      <c r="BZ1216" s="7"/>
      <c r="CA1216" s="7"/>
      <c r="CB1216" s="7"/>
      <c r="CC1216" s="7"/>
      <c r="CD1216" s="7"/>
      <c r="CE1216" s="7"/>
      <c r="CF1216" s="7"/>
      <c r="CG1216" s="7"/>
    </row>
    <row r="1217" spans="3:85"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  <c r="AC1217" s="7"/>
      <c r="AD1217" s="7"/>
      <c r="AF1217" s="7"/>
      <c r="AG1217" s="7"/>
      <c r="AH1217" s="7"/>
      <c r="AI1217" s="7"/>
      <c r="AJ1217" s="7"/>
      <c r="AK1217" s="7"/>
      <c r="AL1217" s="7"/>
      <c r="AM1217" s="7"/>
      <c r="AN1217" s="7"/>
      <c r="AO1217" s="7"/>
      <c r="AP1217" s="7"/>
      <c r="AQ1217" s="7"/>
      <c r="AR1217" s="7"/>
      <c r="AS1217" s="7"/>
      <c r="AT1217" s="7"/>
      <c r="AU1217" s="7"/>
      <c r="AV1217" s="7"/>
      <c r="AW1217" s="7"/>
      <c r="AX1217" s="7"/>
      <c r="AY1217" s="7"/>
      <c r="AZ1217" s="7"/>
      <c r="BA1217" s="7"/>
      <c r="BB1217" s="7"/>
      <c r="BC1217" s="7"/>
      <c r="BD1217" s="7"/>
      <c r="BE1217" s="7"/>
      <c r="BF1217" s="7"/>
      <c r="BG1217" s="7"/>
      <c r="BH1217" s="7"/>
      <c r="BI1217" s="7"/>
      <c r="BJ1217" s="7"/>
      <c r="BK1217" s="7"/>
      <c r="BL1217" s="7"/>
      <c r="BM1217" s="7"/>
      <c r="BN1217" s="7"/>
      <c r="BO1217" s="7"/>
      <c r="BP1217" s="7"/>
      <c r="BQ1217" s="7"/>
      <c r="BR1217" s="7"/>
      <c r="BS1217" s="7"/>
      <c r="BT1217" s="7"/>
      <c r="BU1217" s="7"/>
      <c r="BV1217" s="7"/>
      <c r="BW1217" s="7"/>
      <c r="BX1217" s="7"/>
      <c r="BY1217" s="7"/>
      <c r="BZ1217" s="7"/>
      <c r="CA1217" s="7"/>
      <c r="CB1217" s="7"/>
      <c r="CC1217" s="7"/>
      <c r="CD1217" s="7"/>
      <c r="CE1217" s="7"/>
      <c r="CF1217" s="7"/>
      <c r="CG1217" s="7"/>
    </row>
    <row r="1218" spans="3:85"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  <c r="AC1218" s="7"/>
      <c r="AD1218" s="7"/>
      <c r="AF1218" s="7"/>
      <c r="AG1218" s="7"/>
      <c r="AH1218" s="7"/>
      <c r="AI1218" s="7"/>
      <c r="AJ1218" s="7"/>
      <c r="AK1218" s="7"/>
      <c r="AL1218" s="7"/>
      <c r="AM1218" s="7"/>
      <c r="AN1218" s="7"/>
      <c r="AO1218" s="7"/>
      <c r="AP1218" s="7"/>
      <c r="AQ1218" s="7"/>
      <c r="AR1218" s="7"/>
      <c r="AS1218" s="7"/>
      <c r="AT1218" s="7"/>
      <c r="AU1218" s="7"/>
      <c r="AV1218" s="7"/>
      <c r="AW1218" s="7"/>
      <c r="AX1218" s="7"/>
      <c r="AY1218" s="7"/>
      <c r="AZ1218" s="7"/>
      <c r="BA1218" s="7"/>
      <c r="BB1218" s="7"/>
      <c r="BC1218" s="7"/>
      <c r="BD1218" s="7"/>
      <c r="BE1218" s="7"/>
      <c r="BF1218" s="7"/>
      <c r="BG1218" s="7"/>
      <c r="BH1218" s="7"/>
      <c r="BI1218" s="7"/>
      <c r="BJ1218" s="7"/>
      <c r="BK1218" s="7"/>
      <c r="BL1218" s="7"/>
      <c r="BM1218" s="7"/>
      <c r="BN1218" s="7"/>
      <c r="BO1218" s="7"/>
      <c r="BP1218" s="7"/>
      <c r="BQ1218" s="7"/>
      <c r="BR1218" s="7"/>
      <c r="BS1218" s="7"/>
      <c r="BT1218" s="7"/>
      <c r="BU1218" s="7"/>
      <c r="BV1218" s="7"/>
      <c r="BW1218" s="7"/>
      <c r="BX1218" s="7"/>
      <c r="BY1218" s="7"/>
      <c r="BZ1218" s="7"/>
      <c r="CA1218" s="7"/>
      <c r="CB1218" s="7"/>
      <c r="CC1218" s="7"/>
      <c r="CD1218" s="7"/>
      <c r="CE1218" s="7"/>
      <c r="CF1218" s="7"/>
      <c r="CG1218" s="7"/>
    </row>
    <row r="1219" spans="3:85"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  <c r="AC1219" s="7"/>
      <c r="AD1219" s="7"/>
      <c r="AF1219" s="7"/>
      <c r="AG1219" s="7"/>
      <c r="AH1219" s="7"/>
      <c r="AI1219" s="7"/>
      <c r="AJ1219" s="7"/>
      <c r="AK1219" s="7"/>
      <c r="AL1219" s="7"/>
      <c r="AM1219" s="7"/>
      <c r="AN1219" s="7"/>
      <c r="AO1219" s="7"/>
      <c r="AP1219" s="7"/>
      <c r="AQ1219" s="7"/>
      <c r="AR1219" s="7"/>
      <c r="AS1219" s="7"/>
      <c r="AT1219" s="7"/>
      <c r="AU1219" s="7"/>
      <c r="AV1219" s="7"/>
      <c r="AW1219" s="7"/>
      <c r="AX1219" s="7"/>
      <c r="AY1219" s="7"/>
      <c r="AZ1219" s="7"/>
      <c r="BA1219" s="7"/>
      <c r="BB1219" s="7"/>
      <c r="BC1219" s="7"/>
      <c r="BD1219" s="7"/>
      <c r="BE1219" s="7"/>
      <c r="BF1219" s="7"/>
      <c r="BG1219" s="7"/>
      <c r="BH1219" s="7"/>
      <c r="BI1219" s="7"/>
      <c r="BJ1219" s="7"/>
      <c r="BK1219" s="7"/>
      <c r="BL1219" s="7"/>
      <c r="BM1219" s="7"/>
      <c r="BN1219" s="7"/>
      <c r="BO1219" s="7"/>
      <c r="BP1219" s="7"/>
      <c r="BQ1219" s="7"/>
      <c r="BR1219" s="7"/>
      <c r="BS1219" s="7"/>
      <c r="BT1219" s="7"/>
      <c r="BU1219" s="7"/>
      <c r="BV1219" s="7"/>
      <c r="BW1219" s="7"/>
      <c r="BX1219" s="7"/>
      <c r="BY1219" s="7"/>
      <c r="BZ1219" s="7"/>
      <c r="CA1219" s="7"/>
      <c r="CB1219" s="7"/>
      <c r="CC1219" s="7"/>
      <c r="CD1219" s="7"/>
      <c r="CE1219" s="7"/>
      <c r="CF1219" s="7"/>
      <c r="CG1219" s="7"/>
    </row>
    <row r="1220" spans="3:85"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  <c r="AC1220" s="7"/>
      <c r="AD1220" s="7"/>
      <c r="AF1220" s="7"/>
      <c r="AG1220" s="7"/>
      <c r="AH1220" s="7"/>
      <c r="AI1220" s="7"/>
      <c r="AJ1220" s="7"/>
      <c r="AK1220" s="7"/>
      <c r="AL1220" s="7"/>
      <c r="AM1220" s="7"/>
      <c r="AN1220" s="7"/>
      <c r="AO1220" s="7"/>
      <c r="AP1220" s="7"/>
      <c r="AQ1220" s="7"/>
      <c r="AR1220" s="7"/>
      <c r="AS1220" s="7"/>
      <c r="AT1220" s="7"/>
      <c r="AU1220" s="7"/>
      <c r="AV1220" s="7"/>
      <c r="AW1220" s="7"/>
      <c r="AX1220" s="7"/>
      <c r="AY1220" s="7"/>
      <c r="AZ1220" s="7"/>
      <c r="BA1220" s="7"/>
      <c r="BB1220" s="7"/>
      <c r="BC1220" s="7"/>
      <c r="BD1220" s="7"/>
      <c r="BE1220" s="7"/>
      <c r="BF1220" s="7"/>
      <c r="BG1220" s="7"/>
      <c r="BH1220" s="7"/>
      <c r="BI1220" s="7"/>
      <c r="BJ1220" s="7"/>
      <c r="BK1220" s="7"/>
      <c r="BL1220" s="7"/>
      <c r="BM1220" s="7"/>
      <c r="BN1220" s="7"/>
      <c r="BO1220" s="7"/>
      <c r="BP1220" s="7"/>
      <c r="BQ1220" s="7"/>
      <c r="BR1220" s="7"/>
      <c r="BS1220" s="7"/>
      <c r="BT1220" s="7"/>
      <c r="BU1220" s="7"/>
      <c r="BV1220" s="7"/>
      <c r="BW1220" s="7"/>
      <c r="BX1220" s="7"/>
      <c r="BY1220" s="7"/>
      <c r="BZ1220" s="7"/>
      <c r="CA1220" s="7"/>
      <c r="CB1220" s="7"/>
      <c r="CC1220" s="7"/>
      <c r="CD1220" s="7"/>
      <c r="CE1220" s="7"/>
      <c r="CF1220" s="7"/>
      <c r="CG1220" s="7"/>
    </row>
    <row r="1221" spans="3:85"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  <c r="AC1221" s="7"/>
      <c r="AD1221" s="7"/>
      <c r="AF1221" s="7"/>
      <c r="AG1221" s="7"/>
      <c r="AH1221" s="7"/>
      <c r="AI1221" s="7"/>
      <c r="AJ1221" s="7"/>
      <c r="AK1221" s="7"/>
      <c r="AL1221" s="7"/>
      <c r="AM1221" s="7"/>
      <c r="AN1221" s="7"/>
      <c r="AO1221" s="7"/>
      <c r="AP1221" s="7"/>
      <c r="AQ1221" s="7"/>
      <c r="AR1221" s="7"/>
      <c r="AS1221" s="7"/>
      <c r="AT1221" s="7"/>
      <c r="AU1221" s="7"/>
      <c r="AV1221" s="7"/>
      <c r="AW1221" s="7"/>
      <c r="AX1221" s="7"/>
      <c r="AY1221" s="7"/>
      <c r="AZ1221" s="7"/>
      <c r="BA1221" s="7"/>
      <c r="BB1221" s="7"/>
      <c r="BC1221" s="7"/>
      <c r="BD1221" s="7"/>
      <c r="BE1221" s="7"/>
      <c r="BF1221" s="7"/>
      <c r="BG1221" s="7"/>
      <c r="BH1221" s="7"/>
      <c r="BI1221" s="7"/>
      <c r="BJ1221" s="7"/>
      <c r="BK1221" s="7"/>
      <c r="BL1221" s="7"/>
      <c r="BM1221" s="7"/>
      <c r="BN1221" s="7"/>
      <c r="BO1221" s="7"/>
      <c r="BP1221" s="7"/>
      <c r="BQ1221" s="7"/>
      <c r="BR1221" s="7"/>
      <c r="BS1221" s="7"/>
      <c r="BT1221" s="7"/>
      <c r="BU1221" s="7"/>
      <c r="BV1221" s="7"/>
      <c r="BW1221" s="7"/>
      <c r="BX1221" s="7"/>
      <c r="BY1221" s="7"/>
      <c r="BZ1221" s="7"/>
      <c r="CA1221" s="7"/>
      <c r="CB1221" s="7"/>
      <c r="CC1221" s="7"/>
      <c r="CD1221" s="7"/>
      <c r="CE1221" s="7"/>
      <c r="CF1221" s="7"/>
      <c r="CG1221" s="7"/>
    </row>
    <row r="1222" spans="3:85"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  <c r="AC1222" s="7"/>
      <c r="AD1222" s="7"/>
      <c r="AF1222" s="7"/>
      <c r="AG1222" s="7"/>
      <c r="AH1222" s="7"/>
      <c r="AI1222" s="7"/>
      <c r="AJ1222" s="7"/>
      <c r="AK1222" s="7"/>
      <c r="AL1222" s="7"/>
      <c r="AM1222" s="7"/>
      <c r="AN1222" s="7"/>
      <c r="AO1222" s="7"/>
      <c r="AP1222" s="7"/>
      <c r="AQ1222" s="7"/>
      <c r="AR1222" s="7"/>
      <c r="AS1222" s="7"/>
      <c r="AT1222" s="7"/>
      <c r="AU1222" s="7"/>
      <c r="AV1222" s="7"/>
      <c r="AW1222" s="7"/>
      <c r="AX1222" s="7"/>
      <c r="AY1222" s="7"/>
      <c r="AZ1222" s="7"/>
      <c r="BA1222" s="7"/>
      <c r="BB1222" s="7"/>
      <c r="BC1222" s="7"/>
      <c r="BD1222" s="7"/>
      <c r="BE1222" s="7"/>
      <c r="BF1222" s="7"/>
      <c r="BG1222" s="7"/>
      <c r="BH1222" s="7"/>
      <c r="BI1222" s="7"/>
      <c r="BJ1222" s="7"/>
      <c r="BK1222" s="7"/>
      <c r="BL1222" s="7"/>
      <c r="BM1222" s="7"/>
      <c r="BN1222" s="7"/>
      <c r="BO1222" s="7"/>
      <c r="BP1222" s="7"/>
      <c r="BQ1222" s="7"/>
      <c r="BR1222" s="7"/>
      <c r="BS1222" s="7"/>
      <c r="BT1222" s="7"/>
      <c r="BU1222" s="7"/>
      <c r="BV1222" s="7"/>
      <c r="BW1222" s="7"/>
      <c r="BX1222" s="7"/>
      <c r="BY1222" s="7"/>
      <c r="BZ1222" s="7"/>
      <c r="CA1222" s="7"/>
      <c r="CB1222" s="7"/>
      <c r="CC1222" s="7"/>
      <c r="CD1222" s="7"/>
      <c r="CE1222" s="7"/>
      <c r="CF1222" s="7"/>
      <c r="CG1222" s="7"/>
    </row>
    <row r="1223" spans="3:85"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  <c r="AC1223" s="7"/>
      <c r="AD1223" s="7"/>
      <c r="AF1223" s="7"/>
      <c r="AG1223" s="7"/>
      <c r="AH1223" s="7"/>
      <c r="AI1223" s="7"/>
      <c r="AJ1223" s="7"/>
      <c r="AK1223" s="7"/>
      <c r="AL1223" s="7"/>
      <c r="AM1223" s="7"/>
      <c r="AN1223" s="7"/>
      <c r="AO1223" s="7"/>
      <c r="AP1223" s="7"/>
      <c r="AQ1223" s="7"/>
      <c r="AR1223" s="7"/>
      <c r="AS1223" s="7"/>
      <c r="AT1223" s="7"/>
      <c r="AU1223" s="7"/>
      <c r="AV1223" s="7"/>
      <c r="AW1223" s="7"/>
      <c r="AX1223" s="7"/>
      <c r="AY1223" s="7"/>
      <c r="AZ1223" s="7"/>
      <c r="BA1223" s="7"/>
      <c r="BB1223" s="7"/>
      <c r="BC1223" s="7"/>
      <c r="BD1223" s="7"/>
      <c r="BE1223" s="7"/>
      <c r="BF1223" s="7"/>
      <c r="BG1223" s="7"/>
      <c r="BH1223" s="7"/>
      <c r="BI1223" s="7"/>
      <c r="BJ1223" s="7"/>
      <c r="BK1223" s="7"/>
      <c r="BL1223" s="7"/>
      <c r="BM1223" s="7"/>
      <c r="BN1223" s="7"/>
      <c r="BO1223" s="7"/>
      <c r="BP1223" s="7"/>
      <c r="BQ1223" s="7"/>
      <c r="BR1223" s="7"/>
      <c r="BS1223" s="7"/>
      <c r="BT1223" s="7"/>
      <c r="BU1223" s="7"/>
      <c r="BV1223" s="7"/>
      <c r="BW1223" s="7"/>
      <c r="BX1223" s="7"/>
      <c r="BY1223" s="7"/>
      <c r="BZ1223" s="7"/>
      <c r="CA1223" s="7"/>
      <c r="CB1223" s="7"/>
      <c r="CC1223" s="7"/>
      <c r="CD1223" s="7"/>
      <c r="CE1223" s="7"/>
      <c r="CF1223" s="7"/>
      <c r="CG1223" s="7"/>
    </row>
    <row r="1224" spans="3:85"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  <c r="AC1224" s="7"/>
      <c r="AD1224" s="7"/>
      <c r="AF1224" s="7"/>
      <c r="AG1224" s="7"/>
      <c r="AH1224" s="7"/>
      <c r="AI1224" s="7"/>
      <c r="AJ1224" s="7"/>
      <c r="AK1224" s="7"/>
      <c r="AL1224" s="7"/>
      <c r="AM1224" s="7"/>
      <c r="AN1224" s="7"/>
      <c r="AO1224" s="7"/>
      <c r="AP1224" s="7"/>
      <c r="AQ1224" s="7"/>
      <c r="AR1224" s="7"/>
      <c r="AS1224" s="7"/>
      <c r="AT1224" s="7"/>
      <c r="AU1224" s="7"/>
      <c r="AV1224" s="7"/>
      <c r="AW1224" s="7"/>
      <c r="AX1224" s="7"/>
      <c r="AY1224" s="7"/>
      <c r="AZ1224" s="7"/>
      <c r="BA1224" s="7"/>
      <c r="BB1224" s="7"/>
      <c r="BC1224" s="7"/>
      <c r="BD1224" s="7"/>
      <c r="BE1224" s="7"/>
      <c r="BF1224" s="7"/>
      <c r="BG1224" s="7"/>
      <c r="BH1224" s="7"/>
      <c r="BI1224" s="7"/>
      <c r="BJ1224" s="7"/>
      <c r="BK1224" s="7"/>
      <c r="BL1224" s="7"/>
      <c r="BM1224" s="7"/>
      <c r="BN1224" s="7"/>
      <c r="BO1224" s="7"/>
      <c r="BP1224" s="7"/>
      <c r="BQ1224" s="7"/>
      <c r="BR1224" s="7"/>
      <c r="BS1224" s="7"/>
      <c r="BT1224" s="7"/>
      <c r="BU1224" s="7"/>
      <c r="BV1224" s="7"/>
      <c r="BW1224" s="7"/>
      <c r="BX1224" s="7"/>
      <c r="BY1224" s="7"/>
      <c r="BZ1224" s="7"/>
      <c r="CA1224" s="7"/>
      <c r="CB1224" s="7"/>
      <c r="CC1224" s="7"/>
      <c r="CD1224" s="7"/>
      <c r="CE1224" s="7"/>
      <c r="CF1224" s="7"/>
      <c r="CG1224" s="7"/>
    </row>
    <row r="1225" spans="3:85"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  <c r="AC1225" s="7"/>
      <c r="AD1225" s="7"/>
      <c r="AF1225" s="7"/>
      <c r="AG1225" s="7"/>
      <c r="AH1225" s="7"/>
      <c r="AI1225" s="7"/>
      <c r="AJ1225" s="7"/>
      <c r="AK1225" s="7"/>
      <c r="AL1225" s="7"/>
      <c r="AM1225" s="7"/>
      <c r="AN1225" s="7"/>
      <c r="AO1225" s="7"/>
      <c r="AP1225" s="7"/>
      <c r="AQ1225" s="7"/>
      <c r="AR1225" s="7"/>
      <c r="AS1225" s="7"/>
      <c r="AT1225" s="7"/>
      <c r="AU1225" s="7"/>
      <c r="AV1225" s="7"/>
      <c r="AW1225" s="7"/>
      <c r="AX1225" s="7"/>
      <c r="AY1225" s="7"/>
      <c r="AZ1225" s="7"/>
      <c r="BA1225" s="7"/>
      <c r="BB1225" s="7"/>
      <c r="BC1225" s="7"/>
      <c r="BD1225" s="7"/>
      <c r="BE1225" s="7"/>
      <c r="BF1225" s="7"/>
      <c r="BG1225" s="7"/>
      <c r="BH1225" s="7"/>
      <c r="BI1225" s="7"/>
      <c r="BJ1225" s="7"/>
      <c r="BK1225" s="7"/>
      <c r="BL1225" s="7"/>
      <c r="BM1225" s="7"/>
      <c r="BN1225" s="7"/>
      <c r="BO1225" s="7"/>
      <c r="BP1225" s="7"/>
      <c r="BQ1225" s="7"/>
      <c r="BR1225" s="7"/>
      <c r="BS1225" s="7"/>
      <c r="BT1225" s="7"/>
      <c r="BU1225" s="7"/>
      <c r="BV1225" s="7"/>
      <c r="BW1225" s="7"/>
      <c r="BX1225" s="7"/>
      <c r="BY1225" s="7"/>
      <c r="BZ1225" s="7"/>
      <c r="CA1225" s="7"/>
      <c r="CB1225" s="7"/>
      <c r="CC1225" s="7"/>
      <c r="CD1225" s="7"/>
      <c r="CE1225" s="7"/>
      <c r="CF1225" s="7"/>
      <c r="CG1225" s="7"/>
    </row>
    <row r="1226" spans="3:85"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  <c r="AC1226" s="7"/>
      <c r="AD1226" s="7"/>
      <c r="AF1226" s="7"/>
      <c r="AG1226" s="7"/>
      <c r="AH1226" s="7"/>
      <c r="AI1226" s="7"/>
      <c r="AJ1226" s="7"/>
      <c r="AK1226" s="7"/>
      <c r="AL1226" s="7"/>
      <c r="AM1226" s="7"/>
      <c r="AN1226" s="7"/>
      <c r="AO1226" s="7"/>
      <c r="AP1226" s="7"/>
      <c r="AQ1226" s="7"/>
      <c r="AR1226" s="7"/>
      <c r="AS1226" s="7"/>
      <c r="AT1226" s="7"/>
      <c r="AU1226" s="7"/>
      <c r="AV1226" s="7"/>
      <c r="AW1226" s="7"/>
      <c r="AX1226" s="7"/>
      <c r="AY1226" s="7"/>
      <c r="AZ1226" s="7"/>
      <c r="BA1226" s="7"/>
      <c r="BB1226" s="7"/>
      <c r="BC1226" s="7"/>
      <c r="BD1226" s="7"/>
      <c r="BE1226" s="7"/>
      <c r="BF1226" s="7"/>
      <c r="BG1226" s="7"/>
      <c r="BH1226" s="7"/>
      <c r="BI1226" s="7"/>
      <c r="BJ1226" s="7"/>
      <c r="BK1226" s="7"/>
      <c r="BL1226" s="7"/>
      <c r="BM1226" s="7"/>
      <c r="BN1226" s="7"/>
      <c r="BO1226" s="7"/>
      <c r="BP1226" s="7"/>
      <c r="BQ1226" s="7"/>
      <c r="BR1226" s="7"/>
      <c r="BS1226" s="7"/>
      <c r="BT1226" s="7"/>
      <c r="BU1226" s="7"/>
      <c r="BV1226" s="7"/>
      <c r="BW1226" s="7"/>
      <c r="BX1226" s="7"/>
      <c r="BY1226" s="7"/>
      <c r="BZ1226" s="7"/>
      <c r="CA1226" s="7"/>
      <c r="CB1226" s="7"/>
      <c r="CC1226" s="7"/>
      <c r="CD1226" s="7"/>
      <c r="CE1226" s="7"/>
      <c r="CF1226" s="7"/>
      <c r="CG1226" s="7"/>
    </row>
    <row r="1227" spans="3:85"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  <c r="AC1227" s="7"/>
      <c r="AD1227" s="7"/>
      <c r="AF1227" s="7"/>
      <c r="AG1227" s="7"/>
      <c r="AH1227" s="7"/>
      <c r="AI1227" s="7"/>
      <c r="AJ1227" s="7"/>
      <c r="AK1227" s="7"/>
      <c r="AL1227" s="7"/>
      <c r="AM1227" s="7"/>
      <c r="AN1227" s="7"/>
      <c r="AO1227" s="7"/>
      <c r="AP1227" s="7"/>
      <c r="AQ1227" s="7"/>
      <c r="AR1227" s="7"/>
      <c r="AS1227" s="7"/>
      <c r="AT1227" s="7"/>
      <c r="AU1227" s="7"/>
      <c r="AV1227" s="7"/>
      <c r="AW1227" s="7"/>
      <c r="AX1227" s="7"/>
      <c r="AY1227" s="7"/>
      <c r="AZ1227" s="7"/>
      <c r="BA1227" s="7"/>
      <c r="BB1227" s="7"/>
      <c r="BC1227" s="7"/>
      <c r="BD1227" s="7"/>
      <c r="BE1227" s="7"/>
      <c r="BF1227" s="7"/>
      <c r="BG1227" s="7"/>
      <c r="BH1227" s="7"/>
      <c r="BI1227" s="7"/>
      <c r="BJ1227" s="7"/>
      <c r="BK1227" s="7"/>
      <c r="BL1227" s="7"/>
      <c r="BM1227" s="7"/>
      <c r="BN1227" s="7"/>
      <c r="BO1227" s="7"/>
      <c r="BP1227" s="7"/>
      <c r="BQ1227" s="7"/>
      <c r="BR1227" s="7"/>
      <c r="BS1227" s="7"/>
      <c r="BT1227" s="7"/>
      <c r="BU1227" s="7"/>
      <c r="BV1227" s="7"/>
      <c r="BW1227" s="7"/>
      <c r="BX1227" s="7"/>
      <c r="BY1227" s="7"/>
      <c r="BZ1227" s="7"/>
      <c r="CA1227" s="7"/>
      <c r="CB1227" s="7"/>
      <c r="CC1227" s="7"/>
      <c r="CD1227" s="7"/>
      <c r="CE1227" s="7"/>
      <c r="CF1227" s="7"/>
      <c r="CG1227" s="7"/>
    </row>
    <row r="1228" spans="3:85"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  <c r="AC1228" s="7"/>
      <c r="AD1228" s="7"/>
      <c r="AF1228" s="7"/>
      <c r="AG1228" s="7"/>
      <c r="AH1228" s="7"/>
      <c r="AI1228" s="7"/>
      <c r="AJ1228" s="7"/>
      <c r="AK1228" s="7"/>
      <c r="AL1228" s="7"/>
      <c r="AM1228" s="7"/>
      <c r="AN1228" s="7"/>
      <c r="AO1228" s="7"/>
      <c r="AP1228" s="7"/>
      <c r="AQ1228" s="7"/>
      <c r="AR1228" s="7"/>
      <c r="AS1228" s="7"/>
      <c r="AT1228" s="7"/>
      <c r="AU1228" s="7"/>
      <c r="AV1228" s="7"/>
      <c r="AW1228" s="7"/>
      <c r="AX1228" s="7"/>
      <c r="AY1228" s="7"/>
      <c r="AZ1228" s="7"/>
      <c r="BA1228" s="7"/>
      <c r="BB1228" s="7"/>
      <c r="BC1228" s="7"/>
      <c r="BD1228" s="7"/>
      <c r="BE1228" s="7"/>
      <c r="BF1228" s="7"/>
      <c r="BG1228" s="7"/>
      <c r="BH1228" s="7"/>
      <c r="BI1228" s="7"/>
      <c r="BJ1228" s="7"/>
      <c r="BK1228" s="7"/>
      <c r="BL1228" s="7"/>
      <c r="BM1228" s="7"/>
      <c r="BN1228" s="7"/>
      <c r="BO1228" s="7"/>
      <c r="BP1228" s="7"/>
      <c r="BQ1228" s="7"/>
      <c r="BR1228" s="7"/>
      <c r="BS1228" s="7"/>
      <c r="BT1228" s="7"/>
      <c r="BU1228" s="7"/>
      <c r="BV1228" s="7"/>
      <c r="BW1228" s="7"/>
      <c r="BX1228" s="7"/>
      <c r="BY1228" s="7"/>
      <c r="BZ1228" s="7"/>
      <c r="CA1228" s="7"/>
      <c r="CB1228" s="7"/>
      <c r="CC1228" s="7"/>
      <c r="CD1228" s="7"/>
      <c r="CE1228" s="7"/>
      <c r="CF1228" s="7"/>
      <c r="CG1228" s="7"/>
    </row>
    <row r="1229" spans="3:85"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  <c r="AC1229" s="7"/>
      <c r="AD1229" s="7"/>
      <c r="AF1229" s="7"/>
      <c r="AG1229" s="7"/>
      <c r="AH1229" s="7"/>
      <c r="AI1229" s="7"/>
      <c r="AJ1229" s="7"/>
      <c r="AK1229" s="7"/>
      <c r="AL1229" s="7"/>
      <c r="AM1229" s="7"/>
      <c r="AN1229" s="7"/>
      <c r="AO1229" s="7"/>
      <c r="AP1229" s="7"/>
      <c r="AQ1229" s="7"/>
      <c r="AR1229" s="7"/>
      <c r="AS1229" s="7"/>
      <c r="AT1229" s="7"/>
      <c r="AU1229" s="7"/>
      <c r="AV1229" s="7"/>
      <c r="AW1229" s="7"/>
      <c r="AX1229" s="7"/>
      <c r="AY1229" s="7"/>
      <c r="AZ1229" s="7"/>
      <c r="BA1229" s="7"/>
      <c r="BB1229" s="7"/>
      <c r="BC1229" s="7"/>
      <c r="BD1229" s="7"/>
      <c r="BE1229" s="7"/>
      <c r="BF1229" s="7"/>
      <c r="BG1229" s="7"/>
      <c r="BH1229" s="7"/>
      <c r="BI1229" s="7"/>
      <c r="BJ1229" s="7"/>
      <c r="BK1229" s="7"/>
      <c r="BL1229" s="7"/>
      <c r="BM1229" s="7"/>
      <c r="BN1229" s="7"/>
      <c r="BO1229" s="7"/>
      <c r="BP1229" s="7"/>
      <c r="BQ1229" s="7"/>
      <c r="BR1229" s="7"/>
      <c r="BS1229" s="7"/>
      <c r="BT1229" s="7"/>
      <c r="BU1229" s="7"/>
      <c r="BV1229" s="7"/>
      <c r="BW1229" s="7"/>
      <c r="BX1229" s="7"/>
      <c r="BY1229" s="7"/>
      <c r="BZ1229" s="7"/>
      <c r="CA1229" s="7"/>
      <c r="CB1229" s="7"/>
      <c r="CC1229" s="7"/>
      <c r="CD1229" s="7"/>
      <c r="CE1229" s="7"/>
      <c r="CF1229" s="7"/>
      <c r="CG1229" s="7"/>
    </row>
    <row r="1230" spans="3:85"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  <c r="AC1230" s="7"/>
      <c r="AD1230" s="7"/>
      <c r="AF1230" s="7"/>
      <c r="AG1230" s="7"/>
      <c r="AH1230" s="7"/>
      <c r="AI1230" s="7"/>
      <c r="AJ1230" s="7"/>
      <c r="AK1230" s="7"/>
      <c r="AL1230" s="7"/>
      <c r="AM1230" s="7"/>
      <c r="AN1230" s="7"/>
      <c r="AO1230" s="7"/>
      <c r="AP1230" s="7"/>
      <c r="AQ1230" s="7"/>
      <c r="AR1230" s="7"/>
      <c r="AS1230" s="7"/>
      <c r="AT1230" s="7"/>
      <c r="AU1230" s="7"/>
      <c r="AV1230" s="7"/>
      <c r="AW1230" s="7"/>
      <c r="AX1230" s="7"/>
      <c r="AY1230" s="7"/>
      <c r="AZ1230" s="7"/>
      <c r="BA1230" s="7"/>
      <c r="BB1230" s="7"/>
      <c r="BC1230" s="7"/>
      <c r="BD1230" s="7"/>
      <c r="BE1230" s="7"/>
      <c r="BF1230" s="7"/>
      <c r="BG1230" s="7"/>
      <c r="BH1230" s="7"/>
      <c r="BI1230" s="7"/>
      <c r="BJ1230" s="7"/>
      <c r="BK1230" s="7"/>
      <c r="BL1230" s="7"/>
      <c r="BM1230" s="7"/>
      <c r="BN1230" s="7"/>
      <c r="BO1230" s="7"/>
      <c r="BP1230" s="7"/>
      <c r="BQ1230" s="7"/>
      <c r="BR1230" s="7"/>
      <c r="BS1230" s="7"/>
      <c r="BT1230" s="7"/>
      <c r="BU1230" s="7"/>
      <c r="BV1230" s="7"/>
      <c r="BW1230" s="7"/>
      <c r="BX1230" s="7"/>
      <c r="BY1230" s="7"/>
      <c r="BZ1230" s="7"/>
      <c r="CA1230" s="7"/>
      <c r="CB1230" s="7"/>
      <c r="CC1230" s="7"/>
      <c r="CD1230" s="7"/>
      <c r="CE1230" s="7"/>
      <c r="CF1230" s="7"/>
      <c r="CG1230" s="7"/>
    </row>
    <row r="1231" spans="3:85"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  <c r="AC1231" s="7"/>
      <c r="AD1231" s="7"/>
      <c r="AF1231" s="7"/>
      <c r="AG1231" s="7"/>
      <c r="AH1231" s="7"/>
      <c r="AI1231" s="7"/>
      <c r="AJ1231" s="7"/>
      <c r="AK1231" s="7"/>
      <c r="AL1231" s="7"/>
      <c r="AM1231" s="7"/>
      <c r="AN1231" s="7"/>
      <c r="AO1231" s="7"/>
      <c r="AP1231" s="7"/>
      <c r="AQ1231" s="7"/>
      <c r="AR1231" s="7"/>
      <c r="AS1231" s="7"/>
      <c r="AT1231" s="7"/>
      <c r="AU1231" s="7"/>
      <c r="AV1231" s="7"/>
      <c r="AW1231" s="7"/>
      <c r="AX1231" s="7"/>
      <c r="AY1231" s="7"/>
      <c r="AZ1231" s="7"/>
      <c r="BA1231" s="7"/>
      <c r="BB1231" s="7"/>
      <c r="BC1231" s="7"/>
      <c r="BD1231" s="7"/>
      <c r="BE1231" s="7"/>
      <c r="BF1231" s="7"/>
      <c r="BG1231" s="7"/>
      <c r="BH1231" s="7"/>
      <c r="BI1231" s="7"/>
      <c r="BJ1231" s="7"/>
      <c r="BK1231" s="7"/>
      <c r="BL1231" s="7"/>
      <c r="BM1231" s="7"/>
      <c r="BN1231" s="7"/>
      <c r="BO1231" s="7"/>
      <c r="BP1231" s="7"/>
      <c r="BQ1231" s="7"/>
      <c r="BR1231" s="7"/>
      <c r="BS1231" s="7"/>
      <c r="BT1231" s="7"/>
      <c r="BU1231" s="7"/>
      <c r="BV1231" s="7"/>
      <c r="BW1231" s="7"/>
      <c r="BX1231" s="7"/>
      <c r="BY1231" s="7"/>
      <c r="BZ1231" s="7"/>
      <c r="CA1231" s="7"/>
      <c r="CB1231" s="7"/>
      <c r="CC1231" s="7"/>
      <c r="CD1231" s="7"/>
      <c r="CE1231" s="7"/>
      <c r="CF1231" s="7"/>
      <c r="CG1231" s="7"/>
    </row>
    <row r="1232" spans="3:85"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  <c r="AC1232" s="7"/>
      <c r="AD1232" s="7"/>
      <c r="AF1232" s="7"/>
      <c r="AG1232" s="7"/>
      <c r="AH1232" s="7"/>
      <c r="AI1232" s="7"/>
      <c r="AJ1232" s="7"/>
      <c r="AK1232" s="7"/>
      <c r="AL1232" s="7"/>
      <c r="AM1232" s="7"/>
      <c r="AN1232" s="7"/>
      <c r="AO1232" s="7"/>
      <c r="AP1232" s="7"/>
      <c r="AQ1232" s="7"/>
      <c r="AR1232" s="7"/>
      <c r="AS1232" s="7"/>
      <c r="AT1232" s="7"/>
      <c r="AU1232" s="7"/>
      <c r="AV1232" s="7"/>
      <c r="AW1232" s="7"/>
      <c r="AX1232" s="7"/>
      <c r="AY1232" s="7"/>
      <c r="AZ1232" s="7"/>
      <c r="BA1232" s="7"/>
      <c r="BB1232" s="7"/>
      <c r="BC1232" s="7"/>
      <c r="BD1232" s="7"/>
      <c r="BE1232" s="7"/>
      <c r="BF1232" s="7"/>
      <c r="BG1232" s="7"/>
      <c r="BH1232" s="7"/>
      <c r="BI1232" s="7"/>
      <c r="BJ1232" s="7"/>
      <c r="BK1232" s="7"/>
      <c r="BL1232" s="7"/>
      <c r="BM1232" s="7"/>
      <c r="BN1232" s="7"/>
      <c r="BO1232" s="7"/>
      <c r="BP1232" s="7"/>
      <c r="BQ1232" s="7"/>
      <c r="BR1232" s="7"/>
      <c r="BS1232" s="7"/>
      <c r="BT1232" s="7"/>
      <c r="BU1232" s="7"/>
      <c r="BV1232" s="7"/>
      <c r="BW1232" s="7"/>
      <c r="BX1232" s="7"/>
      <c r="BY1232" s="7"/>
      <c r="BZ1232" s="7"/>
      <c r="CA1232" s="7"/>
      <c r="CB1232" s="7"/>
      <c r="CC1232" s="7"/>
      <c r="CD1232" s="7"/>
      <c r="CE1232" s="7"/>
      <c r="CF1232" s="7"/>
      <c r="CG1232" s="7"/>
    </row>
    <row r="1233" spans="3:85"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  <c r="AC1233" s="7"/>
      <c r="AD1233" s="7"/>
      <c r="AF1233" s="7"/>
      <c r="AG1233" s="7"/>
      <c r="AH1233" s="7"/>
      <c r="AI1233" s="7"/>
      <c r="AJ1233" s="7"/>
      <c r="AK1233" s="7"/>
      <c r="AL1233" s="7"/>
      <c r="AM1233" s="7"/>
      <c r="AN1233" s="7"/>
      <c r="AO1233" s="7"/>
      <c r="AP1233" s="7"/>
      <c r="AQ1233" s="7"/>
      <c r="AR1233" s="7"/>
      <c r="AS1233" s="7"/>
      <c r="AT1233" s="7"/>
      <c r="AU1233" s="7"/>
      <c r="AV1233" s="7"/>
      <c r="AW1233" s="7"/>
      <c r="AX1233" s="7"/>
      <c r="AY1233" s="7"/>
      <c r="AZ1233" s="7"/>
      <c r="BA1233" s="7"/>
      <c r="BB1233" s="7"/>
      <c r="BC1233" s="7"/>
      <c r="BD1233" s="7"/>
      <c r="BE1233" s="7"/>
      <c r="BF1233" s="7"/>
      <c r="BG1233" s="7"/>
      <c r="BH1233" s="7"/>
      <c r="BI1233" s="7"/>
      <c r="BJ1233" s="7"/>
      <c r="BK1233" s="7"/>
      <c r="BL1233" s="7"/>
      <c r="BM1233" s="7"/>
      <c r="BN1233" s="7"/>
      <c r="BO1233" s="7"/>
      <c r="BP1233" s="7"/>
      <c r="BQ1233" s="7"/>
      <c r="BR1233" s="7"/>
      <c r="BS1233" s="7"/>
      <c r="BT1233" s="7"/>
      <c r="BU1233" s="7"/>
      <c r="BV1233" s="7"/>
      <c r="BW1233" s="7"/>
      <c r="BX1233" s="7"/>
      <c r="BY1233" s="7"/>
      <c r="BZ1233" s="7"/>
      <c r="CA1233" s="7"/>
      <c r="CB1233" s="7"/>
      <c r="CC1233" s="7"/>
      <c r="CD1233" s="7"/>
      <c r="CE1233" s="7"/>
      <c r="CF1233" s="7"/>
      <c r="CG1233" s="7"/>
    </row>
    <row r="1234" spans="3:85"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  <c r="AC1234" s="7"/>
      <c r="AD1234" s="7"/>
      <c r="AF1234" s="7"/>
      <c r="AG1234" s="7"/>
      <c r="AH1234" s="7"/>
      <c r="AI1234" s="7"/>
      <c r="AJ1234" s="7"/>
      <c r="AK1234" s="7"/>
      <c r="AL1234" s="7"/>
      <c r="AM1234" s="7"/>
      <c r="AN1234" s="7"/>
      <c r="AO1234" s="7"/>
      <c r="AP1234" s="7"/>
      <c r="AQ1234" s="7"/>
      <c r="AR1234" s="7"/>
      <c r="AS1234" s="7"/>
      <c r="AT1234" s="7"/>
      <c r="AU1234" s="7"/>
      <c r="AV1234" s="7"/>
      <c r="AW1234" s="7"/>
      <c r="AX1234" s="7"/>
      <c r="AY1234" s="7"/>
      <c r="AZ1234" s="7"/>
      <c r="BA1234" s="7"/>
      <c r="BB1234" s="7"/>
      <c r="BC1234" s="7"/>
      <c r="BD1234" s="7"/>
      <c r="BE1234" s="7"/>
      <c r="BF1234" s="7"/>
      <c r="BG1234" s="7"/>
      <c r="BH1234" s="7"/>
      <c r="BI1234" s="7"/>
      <c r="BJ1234" s="7"/>
      <c r="BK1234" s="7"/>
      <c r="BL1234" s="7"/>
      <c r="BM1234" s="7"/>
      <c r="BN1234" s="7"/>
      <c r="BO1234" s="7"/>
      <c r="BP1234" s="7"/>
      <c r="BQ1234" s="7"/>
      <c r="BR1234" s="7"/>
      <c r="BS1234" s="7"/>
      <c r="BT1234" s="7"/>
      <c r="BU1234" s="7"/>
      <c r="BV1234" s="7"/>
      <c r="BW1234" s="7"/>
      <c r="BX1234" s="7"/>
      <c r="BY1234" s="7"/>
      <c r="BZ1234" s="7"/>
      <c r="CA1234" s="7"/>
      <c r="CB1234" s="7"/>
      <c r="CC1234" s="7"/>
      <c r="CD1234" s="7"/>
      <c r="CE1234" s="7"/>
      <c r="CF1234" s="7"/>
      <c r="CG1234" s="7"/>
    </row>
    <row r="1235" spans="3:85"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  <c r="AC1235" s="7"/>
      <c r="AD1235" s="7"/>
      <c r="AF1235" s="7"/>
      <c r="AG1235" s="7"/>
      <c r="AH1235" s="7"/>
      <c r="AI1235" s="7"/>
      <c r="AJ1235" s="7"/>
      <c r="AK1235" s="7"/>
      <c r="AL1235" s="7"/>
      <c r="AM1235" s="7"/>
      <c r="AN1235" s="7"/>
      <c r="AO1235" s="7"/>
      <c r="AP1235" s="7"/>
      <c r="AQ1235" s="7"/>
      <c r="AR1235" s="7"/>
      <c r="AS1235" s="7"/>
      <c r="AT1235" s="7"/>
      <c r="AU1235" s="7"/>
      <c r="AV1235" s="7"/>
      <c r="AW1235" s="7"/>
      <c r="AX1235" s="7"/>
      <c r="AY1235" s="7"/>
      <c r="AZ1235" s="7"/>
      <c r="BA1235" s="7"/>
      <c r="BB1235" s="7"/>
      <c r="BC1235" s="7"/>
      <c r="BD1235" s="7"/>
      <c r="BE1235" s="7"/>
      <c r="BF1235" s="7"/>
      <c r="BG1235" s="7"/>
      <c r="BH1235" s="7"/>
      <c r="BI1235" s="7"/>
      <c r="BJ1235" s="7"/>
      <c r="BK1235" s="7"/>
      <c r="BL1235" s="7"/>
      <c r="BM1235" s="7"/>
      <c r="BN1235" s="7"/>
      <c r="BO1235" s="7"/>
      <c r="BP1235" s="7"/>
      <c r="BQ1235" s="7"/>
      <c r="BR1235" s="7"/>
      <c r="BS1235" s="7"/>
      <c r="BT1235" s="7"/>
      <c r="BU1235" s="7"/>
      <c r="BV1235" s="7"/>
      <c r="BW1235" s="7"/>
      <c r="BX1235" s="7"/>
      <c r="BY1235" s="7"/>
      <c r="BZ1235" s="7"/>
      <c r="CA1235" s="7"/>
      <c r="CB1235" s="7"/>
      <c r="CC1235" s="7"/>
      <c r="CD1235" s="7"/>
      <c r="CE1235" s="7"/>
      <c r="CF1235" s="7"/>
      <c r="CG1235" s="7"/>
    </row>
    <row r="1236" spans="3:85"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  <c r="AC1236" s="7"/>
      <c r="AD1236" s="7"/>
      <c r="AF1236" s="7"/>
      <c r="AG1236" s="7"/>
      <c r="AH1236" s="7"/>
      <c r="AI1236" s="7"/>
      <c r="AJ1236" s="7"/>
      <c r="AK1236" s="7"/>
      <c r="AL1236" s="7"/>
      <c r="AM1236" s="7"/>
      <c r="AN1236" s="7"/>
      <c r="AO1236" s="7"/>
      <c r="AP1236" s="7"/>
      <c r="AQ1236" s="7"/>
      <c r="AR1236" s="7"/>
      <c r="AS1236" s="7"/>
      <c r="AT1236" s="7"/>
      <c r="AU1236" s="7"/>
      <c r="AV1236" s="7"/>
      <c r="AW1236" s="7"/>
      <c r="AX1236" s="7"/>
      <c r="AY1236" s="7"/>
      <c r="AZ1236" s="7"/>
      <c r="BA1236" s="7"/>
      <c r="BB1236" s="7"/>
      <c r="BC1236" s="7"/>
      <c r="BD1236" s="7"/>
      <c r="BE1236" s="7"/>
      <c r="BF1236" s="7"/>
      <c r="BG1236" s="7"/>
      <c r="BH1236" s="7"/>
      <c r="BI1236" s="7"/>
      <c r="BJ1236" s="7"/>
      <c r="BK1236" s="7"/>
      <c r="BL1236" s="7"/>
      <c r="BM1236" s="7"/>
      <c r="BN1236" s="7"/>
      <c r="BO1236" s="7"/>
      <c r="BP1236" s="7"/>
      <c r="BQ1236" s="7"/>
      <c r="BR1236" s="7"/>
      <c r="BS1236" s="7"/>
      <c r="BT1236" s="7"/>
      <c r="BU1236" s="7"/>
      <c r="BV1236" s="7"/>
      <c r="BW1236" s="7"/>
      <c r="BX1236" s="7"/>
      <c r="BY1236" s="7"/>
      <c r="BZ1236" s="7"/>
      <c r="CA1236" s="7"/>
      <c r="CB1236" s="7"/>
      <c r="CC1236" s="7"/>
      <c r="CD1236" s="7"/>
      <c r="CE1236" s="7"/>
      <c r="CF1236" s="7"/>
      <c r="CG1236" s="7"/>
    </row>
    <row r="1237" spans="3:85"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  <c r="AC1237" s="7"/>
      <c r="AD1237" s="7"/>
      <c r="AF1237" s="7"/>
      <c r="AG1237" s="7"/>
      <c r="AH1237" s="7"/>
      <c r="AI1237" s="7"/>
      <c r="AJ1237" s="7"/>
      <c r="AK1237" s="7"/>
      <c r="AL1237" s="7"/>
      <c r="AM1237" s="7"/>
      <c r="AN1237" s="7"/>
      <c r="AO1237" s="7"/>
      <c r="AP1237" s="7"/>
      <c r="AQ1237" s="7"/>
      <c r="AR1237" s="7"/>
      <c r="AS1237" s="7"/>
      <c r="AT1237" s="7"/>
      <c r="AU1237" s="7"/>
      <c r="AV1237" s="7"/>
      <c r="AW1237" s="7"/>
      <c r="AX1237" s="7"/>
      <c r="AY1237" s="7"/>
      <c r="AZ1237" s="7"/>
      <c r="BA1237" s="7"/>
      <c r="BB1237" s="7"/>
      <c r="BC1237" s="7"/>
      <c r="BD1237" s="7"/>
      <c r="BE1237" s="7"/>
      <c r="BF1237" s="7"/>
      <c r="BG1237" s="7"/>
      <c r="BH1237" s="7"/>
      <c r="BI1237" s="7"/>
      <c r="BJ1237" s="7"/>
      <c r="BK1237" s="7"/>
      <c r="BL1237" s="7"/>
      <c r="BM1237" s="7"/>
      <c r="BN1237" s="7"/>
      <c r="BO1237" s="7"/>
      <c r="BP1237" s="7"/>
      <c r="BQ1237" s="7"/>
      <c r="BR1237" s="7"/>
      <c r="BS1237" s="7"/>
      <c r="BT1237" s="7"/>
      <c r="BU1237" s="7"/>
      <c r="BV1237" s="7"/>
      <c r="BW1237" s="7"/>
      <c r="BX1237" s="7"/>
      <c r="BY1237" s="7"/>
      <c r="BZ1237" s="7"/>
      <c r="CA1237" s="7"/>
      <c r="CB1237" s="7"/>
      <c r="CC1237" s="7"/>
      <c r="CD1237" s="7"/>
      <c r="CE1237" s="7"/>
      <c r="CF1237" s="7"/>
      <c r="CG1237" s="7"/>
    </row>
    <row r="1238" spans="3:85"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  <c r="AC1238" s="7"/>
      <c r="AD1238" s="7"/>
      <c r="AF1238" s="7"/>
      <c r="AG1238" s="7"/>
      <c r="AH1238" s="7"/>
      <c r="AI1238" s="7"/>
      <c r="AJ1238" s="7"/>
      <c r="AK1238" s="7"/>
      <c r="AL1238" s="7"/>
      <c r="AM1238" s="7"/>
      <c r="AN1238" s="7"/>
      <c r="AO1238" s="7"/>
      <c r="AP1238" s="7"/>
      <c r="AQ1238" s="7"/>
      <c r="AR1238" s="7"/>
      <c r="AS1238" s="7"/>
      <c r="AT1238" s="7"/>
      <c r="AU1238" s="7"/>
      <c r="AV1238" s="7"/>
      <c r="AW1238" s="7"/>
      <c r="AX1238" s="7"/>
      <c r="AY1238" s="7"/>
      <c r="AZ1238" s="7"/>
      <c r="BA1238" s="7"/>
      <c r="BB1238" s="7"/>
      <c r="BC1238" s="7"/>
      <c r="BD1238" s="7"/>
      <c r="BE1238" s="7"/>
      <c r="BF1238" s="7"/>
      <c r="BG1238" s="7"/>
      <c r="BH1238" s="7"/>
      <c r="BI1238" s="7"/>
      <c r="BJ1238" s="7"/>
      <c r="BK1238" s="7"/>
      <c r="BL1238" s="7"/>
      <c r="BM1238" s="7"/>
      <c r="BN1238" s="7"/>
      <c r="BO1238" s="7"/>
      <c r="BP1238" s="7"/>
      <c r="BQ1238" s="7"/>
      <c r="BR1238" s="7"/>
      <c r="BS1238" s="7"/>
      <c r="BT1238" s="7"/>
      <c r="BU1238" s="7"/>
      <c r="BV1238" s="7"/>
      <c r="BW1238" s="7"/>
      <c r="BX1238" s="7"/>
      <c r="BY1238" s="7"/>
      <c r="BZ1238" s="7"/>
      <c r="CA1238" s="7"/>
      <c r="CB1238" s="7"/>
      <c r="CC1238" s="7"/>
      <c r="CD1238" s="7"/>
      <c r="CE1238" s="7"/>
      <c r="CF1238" s="7"/>
      <c r="CG1238" s="7"/>
    </row>
    <row r="1239" spans="3:85"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  <c r="AC1239" s="7"/>
      <c r="AD1239" s="7"/>
      <c r="AF1239" s="7"/>
      <c r="AG1239" s="7"/>
      <c r="AH1239" s="7"/>
      <c r="AI1239" s="7"/>
      <c r="AJ1239" s="7"/>
      <c r="AK1239" s="7"/>
      <c r="AL1239" s="7"/>
      <c r="AM1239" s="7"/>
      <c r="AN1239" s="7"/>
      <c r="AO1239" s="7"/>
      <c r="AP1239" s="7"/>
      <c r="AQ1239" s="7"/>
      <c r="AR1239" s="7"/>
      <c r="AS1239" s="7"/>
      <c r="AT1239" s="7"/>
      <c r="AU1239" s="7"/>
      <c r="AV1239" s="7"/>
      <c r="AW1239" s="7"/>
      <c r="AX1239" s="7"/>
      <c r="AY1239" s="7"/>
      <c r="AZ1239" s="7"/>
      <c r="BA1239" s="7"/>
      <c r="BB1239" s="7"/>
      <c r="BC1239" s="7"/>
      <c r="BD1239" s="7"/>
      <c r="BE1239" s="7"/>
      <c r="BF1239" s="7"/>
      <c r="BG1239" s="7"/>
      <c r="BH1239" s="7"/>
      <c r="BI1239" s="7"/>
      <c r="BJ1239" s="7"/>
      <c r="BK1239" s="7"/>
      <c r="BL1239" s="7"/>
      <c r="BM1239" s="7"/>
      <c r="BN1239" s="7"/>
      <c r="BO1239" s="7"/>
      <c r="BP1239" s="7"/>
      <c r="BQ1239" s="7"/>
      <c r="BR1239" s="7"/>
      <c r="BS1239" s="7"/>
      <c r="BT1239" s="7"/>
      <c r="BU1239" s="7"/>
      <c r="BV1239" s="7"/>
      <c r="BW1239" s="7"/>
      <c r="BX1239" s="7"/>
      <c r="BY1239" s="7"/>
      <c r="BZ1239" s="7"/>
      <c r="CA1239" s="7"/>
      <c r="CB1239" s="7"/>
      <c r="CC1239" s="7"/>
      <c r="CD1239" s="7"/>
      <c r="CE1239" s="7"/>
      <c r="CF1239" s="7"/>
      <c r="CG1239" s="7"/>
    </row>
    <row r="1240" spans="3:85"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  <c r="AC1240" s="7"/>
      <c r="AD1240" s="7"/>
      <c r="AF1240" s="7"/>
      <c r="AG1240" s="7"/>
      <c r="AH1240" s="7"/>
      <c r="AI1240" s="7"/>
      <c r="AJ1240" s="7"/>
      <c r="AK1240" s="7"/>
      <c r="AL1240" s="7"/>
      <c r="AM1240" s="7"/>
      <c r="AN1240" s="7"/>
      <c r="AO1240" s="7"/>
      <c r="AP1240" s="7"/>
      <c r="AQ1240" s="7"/>
      <c r="AR1240" s="7"/>
      <c r="AS1240" s="7"/>
      <c r="AT1240" s="7"/>
      <c r="AU1240" s="7"/>
      <c r="AV1240" s="7"/>
      <c r="AW1240" s="7"/>
      <c r="AX1240" s="7"/>
      <c r="AY1240" s="7"/>
      <c r="AZ1240" s="7"/>
      <c r="BA1240" s="7"/>
      <c r="BB1240" s="7"/>
      <c r="BC1240" s="7"/>
      <c r="BD1240" s="7"/>
      <c r="BE1240" s="7"/>
      <c r="BF1240" s="7"/>
      <c r="BG1240" s="7"/>
      <c r="BH1240" s="7"/>
      <c r="BI1240" s="7"/>
      <c r="BJ1240" s="7"/>
      <c r="BK1240" s="7"/>
      <c r="BL1240" s="7"/>
      <c r="BM1240" s="7"/>
      <c r="BN1240" s="7"/>
      <c r="BO1240" s="7"/>
      <c r="BP1240" s="7"/>
      <c r="BQ1240" s="7"/>
      <c r="BR1240" s="7"/>
      <c r="BS1240" s="7"/>
      <c r="BT1240" s="7"/>
      <c r="BU1240" s="7"/>
      <c r="BV1240" s="7"/>
      <c r="BW1240" s="7"/>
      <c r="BX1240" s="7"/>
      <c r="BY1240" s="7"/>
      <c r="BZ1240" s="7"/>
      <c r="CA1240" s="7"/>
      <c r="CB1240" s="7"/>
      <c r="CC1240" s="7"/>
      <c r="CD1240" s="7"/>
      <c r="CE1240" s="7"/>
      <c r="CF1240" s="7"/>
      <c r="CG1240" s="7"/>
    </row>
    <row r="1241" spans="3:85"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  <c r="AC1241" s="7"/>
      <c r="AD1241" s="7"/>
      <c r="AF1241" s="7"/>
      <c r="AG1241" s="7"/>
      <c r="AH1241" s="7"/>
      <c r="AI1241" s="7"/>
      <c r="AJ1241" s="7"/>
      <c r="AK1241" s="7"/>
      <c r="AL1241" s="7"/>
      <c r="AM1241" s="7"/>
      <c r="AN1241" s="7"/>
      <c r="AO1241" s="7"/>
      <c r="AP1241" s="7"/>
      <c r="AQ1241" s="7"/>
      <c r="AR1241" s="7"/>
      <c r="AS1241" s="7"/>
      <c r="AT1241" s="7"/>
      <c r="AU1241" s="7"/>
      <c r="AV1241" s="7"/>
      <c r="AW1241" s="7"/>
      <c r="AX1241" s="7"/>
      <c r="AY1241" s="7"/>
      <c r="AZ1241" s="7"/>
      <c r="BA1241" s="7"/>
      <c r="BB1241" s="7"/>
      <c r="BC1241" s="7"/>
      <c r="BD1241" s="7"/>
      <c r="BE1241" s="7"/>
      <c r="BF1241" s="7"/>
      <c r="BG1241" s="7"/>
      <c r="BH1241" s="7"/>
      <c r="BI1241" s="7"/>
      <c r="BJ1241" s="7"/>
      <c r="BK1241" s="7"/>
      <c r="BL1241" s="7"/>
      <c r="BM1241" s="7"/>
      <c r="BN1241" s="7"/>
      <c r="BO1241" s="7"/>
      <c r="BP1241" s="7"/>
      <c r="BQ1241" s="7"/>
      <c r="BR1241" s="7"/>
      <c r="BS1241" s="7"/>
      <c r="BT1241" s="7"/>
      <c r="BU1241" s="7"/>
      <c r="BV1241" s="7"/>
      <c r="BW1241" s="7"/>
      <c r="BX1241" s="7"/>
      <c r="BY1241" s="7"/>
      <c r="BZ1241" s="7"/>
      <c r="CA1241" s="7"/>
      <c r="CB1241" s="7"/>
      <c r="CC1241" s="7"/>
      <c r="CD1241" s="7"/>
      <c r="CE1241" s="7"/>
      <c r="CF1241" s="7"/>
      <c r="CG1241" s="7"/>
    </row>
    <row r="1242" spans="3:85"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  <c r="AC1242" s="7"/>
      <c r="AD1242" s="7"/>
      <c r="AF1242" s="7"/>
      <c r="AG1242" s="7"/>
      <c r="AH1242" s="7"/>
      <c r="AI1242" s="7"/>
      <c r="AJ1242" s="7"/>
      <c r="AK1242" s="7"/>
      <c r="AL1242" s="7"/>
      <c r="AM1242" s="7"/>
      <c r="AN1242" s="7"/>
      <c r="AO1242" s="7"/>
      <c r="AP1242" s="7"/>
      <c r="AQ1242" s="7"/>
      <c r="AR1242" s="7"/>
      <c r="AS1242" s="7"/>
      <c r="AT1242" s="7"/>
      <c r="AU1242" s="7"/>
      <c r="AV1242" s="7"/>
      <c r="AW1242" s="7"/>
      <c r="AX1242" s="7"/>
      <c r="AY1242" s="7"/>
      <c r="AZ1242" s="7"/>
      <c r="BA1242" s="7"/>
      <c r="BB1242" s="7"/>
      <c r="BC1242" s="7"/>
      <c r="BD1242" s="7"/>
      <c r="BE1242" s="7"/>
      <c r="BF1242" s="7"/>
      <c r="BG1242" s="7"/>
      <c r="BH1242" s="7"/>
      <c r="BI1242" s="7"/>
      <c r="BJ1242" s="7"/>
      <c r="BK1242" s="7"/>
      <c r="BL1242" s="7"/>
      <c r="BM1242" s="7"/>
      <c r="BN1242" s="7"/>
      <c r="BO1242" s="7"/>
      <c r="BP1242" s="7"/>
      <c r="BQ1242" s="7"/>
      <c r="BR1242" s="7"/>
      <c r="BS1242" s="7"/>
      <c r="BT1242" s="7"/>
      <c r="BU1242" s="7"/>
      <c r="BV1242" s="7"/>
      <c r="BW1242" s="7"/>
      <c r="BX1242" s="7"/>
      <c r="BY1242" s="7"/>
      <c r="BZ1242" s="7"/>
      <c r="CA1242" s="7"/>
      <c r="CB1242" s="7"/>
      <c r="CC1242" s="7"/>
      <c r="CD1242" s="7"/>
      <c r="CE1242" s="7"/>
      <c r="CF1242" s="7"/>
      <c r="CG1242" s="7"/>
    </row>
    <row r="1243" spans="3:85"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  <c r="AC1243" s="7"/>
      <c r="AD1243" s="7"/>
      <c r="AF1243" s="7"/>
      <c r="AG1243" s="7"/>
      <c r="AH1243" s="7"/>
      <c r="AI1243" s="7"/>
      <c r="AJ1243" s="7"/>
      <c r="AK1243" s="7"/>
      <c r="AL1243" s="7"/>
      <c r="AM1243" s="7"/>
      <c r="AN1243" s="7"/>
      <c r="AO1243" s="7"/>
      <c r="AP1243" s="7"/>
      <c r="AQ1243" s="7"/>
      <c r="AR1243" s="7"/>
      <c r="AS1243" s="7"/>
      <c r="AT1243" s="7"/>
      <c r="AU1243" s="7"/>
      <c r="AV1243" s="7"/>
      <c r="AW1243" s="7"/>
      <c r="AX1243" s="7"/>
      <c r="AY1243" s="7"/>
      <c r="AZ1243" s="7"/>
      <c r="BA1243" s="7"/>
      <c r="BB1243" s="7"/>
      <c r="BC1243" s="7"/>
      <c r="BD1243" s="7"/>
      <c r="BE1243" s="7"/>
      <c r="BF1243" s="7"/>
      <c r="BG1243" s="7"/>
      <c r="BH1243" s="7"/>
      <c r="BI1243" s="7"/>
      <c r="BJ1243" s="7"/>
      <c r="BK1243" s="7"/>
      <c r="BL1243" s="7"/>
      <c r="BM1243" s="7"/>
      <c r="BN1243" s="7"/>
      <c r="BO1243" s="7"/>
      <c r="BP1243" s="7"/>
      <c r="BQ1243" s="7"/>
      <c r="BR1243" s="7"/>
      <c r="BS1243" s="7"/>
      <c r="BT1243" s="7"/>
      <c r="BU1243" s="7"/>
      <c r="BV1243" s="7"/>
      <c r="BW1243" s="7"/>
      <c r="BX1243" s="7"/>
      <c r="BY1243" s="7"/>
      <c r="BZ1243" s="7"/>
      <c r="CA1243" s="7"/>
      <c r="CB1243" s="7"/>
      <c r="CC1243" s="7"/>
      <c r="CD1243" s="7"/>
      <c r="CE1243" s="7"/>
      <c r="CF1243" s="7"/>
      <c r="CG1243" s="7"/>
    </row>
    <row r="1244" spans="3:85"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  <c r="AC1244" s="7"/>
      <c r="AD1244" s="7"/>
      <c r="AF1244" s="7"/>
      <c r="AG1244" s="7"/>
      <c r="AH1244" s="7"/>
      <c r="AI1244" s="7"/>
      <c r="AJ1244" s="7"/>
      <c r="AK1244" s="7"/>
      <c r="AL1244" s="7"/>
      <c r="AM1244" s="7"/>
      <c r="AN1244" s="7"/>
      <c r="AO1244" s="7"/>
      <c r="AP1244" s="7"/>
      <c r="AQ1244" s="7"/>
      <c r="AR1244" s="7"/>
      <c r="AS1244" s="7"/>
      <c r="AT1244" s="7"/>
      <c r="AU1244" s="7"/>
      <c r="AV1244" s="7"/>
      <c r="AW1244" s="7"/>
      <c r="AX1244" s="7"/>
      <c r="AY1244" s="7"/>
      <c r="AZ1244" s="7"/>
      <c r="BA1244" s="7"/>
      <c r="BB1244" s="7"/>
      <c r="BC1244" s="7"/>
      <c r="BD1244" s="7"/>
      <c r="BE1244" s="7"/>
      <c r="BF1244" s="7"/>
      <c r="BG1244" s="7"/>
      <c r="BH1244" s="7"/>
      <c r="BI1244" s="7"/>
      <c r="BJ1244" s="7"/>
      <c r="BK1244" s="7"/>
      <c r="BL1244" s="7"/>
      <c r="BM1244" s="7"/>
      <c r="BN1244" s="7"/>
      <c r="BO1244" s="7"/>
      <c r="BP1244" s="7"/>
      <c r="BQ1244" s="7"/>
      <c r="BR1244" s="7"/>
      <c r="BS1244" s="7"/>
      <c r="BT1244" s="7"/>
      <c r="BU1244" s="7"/>
      <c r="BV1244" s="7"/>
      <c r="BW1244" s="7"/>
      <c r="BX1244" s="7"/>
      <c r="BY1244" s="7"/>
      <c r="BZ1244" s="7"/>
      <c r="CA1244" s="7"/>
      <c r="CB1244" s="7"/>
      <c r="CC1244" s="7"/>
      <c r="CD1244" s="7"/>
      <c r="CE1244" s="7"/>
      <c r="CF1244" s="7"/>
      <c r="CG1244" s="7"/>
    </row>
    <row r="1245" spans="3:85"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  <c r="AC1245" s="7"/>
      <c r="AD1245" s="7"/>
      <c r="AF1245" s="7"/>
      <c r="AG1245" s="7"/>
      <c r="AH1245" s="7"/>
      <c r="AI1245" s="7"/>
      <c r="AJ1245" s="7"/>
      <c r="AK1245" s="7"/>
      <c r="AL1245" s="7"/>
      <c r="AM1245" s="7"/>
      <c r="AN1245" s="7"/>
      <c r="AO1245" s="7"/>
      <c r="AP1245" s="7"/>
      <c r="AQ1245" s="7"/>
      <c r="AR1245" s="7"/>
      <c r="AS1245" s="7"/>
      <c r="AT1245" s="7"/>
      <c r="AU1245" s="7"/>
      <c r="AV1245" s="7"/>
      <c r="AW1245" s="7"/>
      <c r="AX1245" s="7"/>
      <c r="AY1245" s="7"/>
      <c r="AZ1245" s="7"/>
      <c r="BA1245" s="7"/>
      <c r="BB1245" s="7"/>
      <c r="BC1245" s="7"/>
      <c r="BD1245" s="7"/>
      <c r="BE1245" s="7"/>
      <c r="BF1245" s="7"/>
      <c r="BG1245" s="7"/>
      <c r="BH1245" s="7"/>
      <c r="BI1245" s="7"/>
      <c r="BJ1245" s="7"/>
      <c r="BK1245" s="7"/>
      <c r="BL1245" s="7"/>
      <c r="BM1245" s="7"/>
      <c r="BN1245" s="7"/>
      <c r="BO1245" s="7"/>
      <c r="BP1245" s="7"/>
      <c r="BQ1245" s="7"/>
      <c r="BR1245" s="7"/>
      <c r="BS1245" s="7"/>
      <c r="BT1245" s="7"/>
      <c r="BU1245" s="7"/>
      <c r="BV1245" s="7"/>
      <c r="BW1245" s="7"/>
      <c r="BX1245" s="7"/>
      <c r="BY1245" s="7"/>
      <c r="BZ1245" s="7"/>
      <c r="CA1245" s="7"/>
      <c r="CB1245" s="7"/>
      <c r="CC1245" s="7"/>
      <c r="CD1245" s="7"/>
      <c r="CE1245" s="7"/>
      <c r="CF1245" s="7"/>
      <c r="CG1245" s="7"/>
    </row>
    <row r="1246" spans="3:85"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  <c r="AC1246" s="7"/>
      <c r="AD1246" s="7"/>
      <c r="AF1246" s="7"/>
      <c r="AG1246" s="7"/>
      <c r="AH1246" s="7"/>
      <c r="AI1246" s="7"/>
      <c r="AJ1246" s="7"/>
      <c r="AK1246" s="7"/>
      <c r="AL1246" s="7"/>
      <c r="AM1246" s="7"/>
      <c r="AN1246" s="7"/>
      <c r="AO1246" s="7"/>
      <c r="AP1246" s="7"/>
      <c r="AQ1246" s="7"/>
      <c r="AR1246" s="7"/>
      <c r="AS1246" s="7"/>
      <c r="AT1246" s="7"/>
      <c r="AU1246" s="7"/>
      <c r="AV1246" s="7"/>
      <c r="AW1246" s="7"/>
      <c r="AX1246" s="7"/>
      <c r="AY1246" s="7"/>
      <c r="AZ1246" s="7"/>
      <c r="BA1246" s="7"/>
      <c r="BB1246" s="7"/>
      <c r="BC1246" s="7"/>
      <c r="BD1246" s="7"/>
      <c r="BE1246" s="7"/>
      <c r="BF1246" s="7"/>
      <c r="BG1246" s="7"/>
      <c r="BH1246" s="7"/>
      <c r="BI1246" s="7"/>
      <c r="BJ1246" s="7"/>
      <c r="BK1246" s="7"/>
      <c r="BL1246" s="7"/>
      <c r="BM1246" s="7"/>
      <c r="BN1246" s="7"/>
      <c r="BO1246" s="7"/>
      <c r="BP1246" s="7"/>
      <c r="BQ1246" s="7"/>
      <c r="BR1246" s="7"/>
      <c r="BS1246" s="7"/>
      <c r="BT1246" s="7"/>
      <c r="BU1246" s="7"/>
      <c r="BV1246" s="7"/>
      <c r="BW1246" s="7"/>
      <c r="BX1246" s="7"/>
      <c r="BY1246" s="7"/>
      <c r="BZ1246" s="7"/>
      <c r="CA1246" s="7"/>
      <c r="CB1246" s="7"/>
      <c r="CC1246" s="7"/>
      <c r="CD1246" s="7"/>
      <c r="CE1246" s="7"/>
      <c r="CF1246" s="7"/>
      <c r="CG1246" s="7"/>
    </row>
    <row r="1247" spans="3:85"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  <c r="AC1247" s="7"/>
      <c r="AD1247" s="7"/>
      <c r="AF1247" s="7"/>
      <c r="AG1247" s="7"/>
      <c r="AH1247" s="7"/>
      <c r="AI1247" s="7"/>
      <c r="AJ1247" s="7"/>
      <c r="AK1247" s="7"/>
      <c r="AL1247" s="7"/>
      <c r="AM1247" s="7"/>
      <c r="AN1247" s="7"/>
      <c r="AO1247" s="7"/>
      <c r="AP1247" s="7"/>
      <c r="AQ1247" s="7"/>
      <c r="AR1247" s="7"/>
      <c r="AS1247" s="7"/>
      <c r="AT1247" s="7"/>
      <c r="AU1247" s="7"/>
      <c r="AV1247" s="7"/>
      <c r="AW1247" s="7"/>
      <c r="AX1247" s="7"/>
      <c r="AY1247" s="7"/>
      <c r="AZ1247" s="7"/>
      <c r="BA1247" s="7"/>
      <c r="BB1247" s="7"/>
      <c r="BC1247" s="7"/>
      <c r="BD1247" s="7"/>
      <c r="BE1247" s="7"/>
      <c r="BF1247" s="7"/>
      <c r="BG1247" s="7"/>
      <c r="BH1247" s="7"/>
      <c r="BI1247" s="7"/>
      <c r="BJ1247" s="7"/>
      <c r="BK1247" s="7"/>
      <c r="BL1247" s="7"/>
      <c r="BM1247" s="7"/>
      <c r="BN1247" s="7"/>
      <c r="BO1247" s="7"/>
      <c r="BP1247" s="7"/>
      <c r="BQ1247" s="7"/>
      <c r="BR1247" s="7"/>
      <c r="BS1247" s="7"/>
      <c r="BT1247" s="7"/>
      <c r="BU1247" s="7"/>
      <c r="BV1247" s="7"/>
      <c r="BW1247" s="7"/>
      <c r="BX1247" s="7"/>
      <c r="BY1247" s="7"/>
      <c r="BZ1247" s="7"/>
      <c r="CA1247" s="7"/>
      <c r="CB1247" s="7"/>
      <c r="CC1247" s="7"/>
      <c r="CD1247" s="7"/>
      <c r="CE1247" s="7"/>
      <c r="CF1247" s="7"/>
      <c r="CG1247" s="7"/>
    </row>
    <row r="1248" spans="3:85"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  <c r="AC1248" s="7"/>
      <c r="AD1248" s="7"/>
      <c r="AF1248" s="7"/>
      <c r="AG1248" s="7"/>
      <c r="AH1248" s="7"/>
      <c r="AI1248" s="7"/>
      <c r="AJ1248" s="7"/>
      <c r="AK1248" s="7"/>
      <c r="AL1248" s="7"/>
      <c r="AM1248" s="7"/>
      <c r="AN1248" s="7"/>
      <c r="AO1248" s="7"/>
      <c r="AP1248" s="7"/>
      <c r="AQ1248" s="7"/>
      <c r="AR1248" s="7"/>
      <c r="AS1248" s="7"/>
      <c r="AT1248" s="7"/>
      <c r="AU1248" s="7"/>
      <c r="AV1248" s="7"/>
      <c r="AW1248" s="7"/>
      <c r="AX1248" s="7"/>
      <c r="AY1248" s="7"/>
      <c r="AZ1248" s="7"/>
      <c r="BA1248" s="7"/>
      <c r="BB1248" s="7"/>
      <c r="BC1248" s="7"/>
      <c r="BD1248" s="7"/>
      <c r="BE1248" s="7"/>
      <c r="BF1248" s="7"/>
      <c r="BG1248" s="7"/>
      <c r="BH1248" s="7"/>
      <c r="BI1248" s="7"/>
      <c r="BJ1248" s="7"/>
      <c r="BK1248" s="7"/>
      <c r="BL1248" s="7"/>
      <c r="BM1248" s="7"/>
      <c r="BN1248" s="7"/>
      <c r="BO1248" s="7"/>
      <c r="BP1248" s="7"/>
      <c r="BQ1248" s="7"/>
      <c r="BR1248" s="7"/>
      <c r="BS1248" s="7"/>
      <c r="BT1248" s="7"/>
      <c r="BU1248" s="7"/>
      <c r="BV1248" s="7"/>
      <c r="BW1248" s="7"/>
      <c r="BX1248" s="7"/>
      <c r="BY1248" s="7"/>
      <c r="BZ1248" s="7"/>
      <c r="CA1248" s="7"/>
      <c r="CB1248" s="7"/>
      <c r="CC1248" s="7"/>
      <c r="CD1248" s="7"/>
      <c r="CE1248" s="7"/>
      <c r="CF1248" s="7"/>
      <c r="CG1248" s="7"/>
    </row>
    <row r="1249" spans="3:85"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  <c r="AC1249" s="7"/>
      <c r="AD1249" s="7"/>
      <c r="AF1249" s="7"/>
      <c r="AG1249" s="7"/>
      <c r="AH1249" s="7"/>
      <c r="AI1249" s="7"/>
      <c r="AJ1249" s="7"/>
      <c r="AK1249" s="7"/>
      <c r="AL1249" s="7"/>
      <c r="AM1249" s="7"/>
      <c r="AN1249" s="7"/>
      <c r="AO1249" s="7"/>
      <c r="AP1249" s="7"/>
      <c r="AQ1249" s="7"/>
      <c r="AR1249" s="7"/>
      <c r="AS1249" s="7"/>
      <c r="AT1249" s="7"/>
      <c r="AU1249" s="7"/>
      <c r="AV1249" s="7"/>
      <c r="AW1249" s="7"/>
      <c r="AX1249" s="7"/>
      <c r="AY1249" s="7"/>
      <c r="AZ1249" s="7"/>
      <c r="BA1249" s="7"/>
      <c r="BB1249" s="7"/>
      <c r="BC1249" s="7"/>
      <c r="BD1249" s="7"/>
      <c r="BE1249" s="7"/>
      <c r="BF1249" s="7"/>
      <c r="BG1249" s="7"/>
      <c r="BH1249" s="7"/>
      <c r="BI1249" s="7"/>
      <c r="BJ1249" s="7"/>
      <c r="BK1249" s="7"/>
      <c r="BL1249" s="7"/>
      <c r="BM1249" s="7"/>
      <c r="BN1249" s="7"/>
      <c r="BO1249" s="7"/>
      <c r="BP1249" s="7"/>
      <c r="BQ1249" s="7"/>
      <c r="BR1249" s="7"/>
      <c r="BS1249" s="7"/>
      <c r="BT1249" s="7"/>
      <c r="BU1249" s="7"/>
      <c r="BV1249" s="7"/>
      <c r="BW1249" s="7"/>
      <c r="BX1249" s="7"/>
      <c r="BY1249" s="7"/>
      <c r="BZ1249" s="7"/>
      <c r="CA1249" s="7"/>
      <c r="CB1249" s="7"/>
      <c r="CC1249" s="7"/>
      <c r="CD1249" s="7"/>
      <c r="CE1249" s="7"/>
      <c r="CF1249" s="7"/>
      <c r="CG1249" s="7"/>
    </row>
    <row r="1250" spans="3:85"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  <c r="AC1250" s="7"/>
      <c r="AD1250" s="7"/>
      <c r="AF1250" s="7"/>
      <c r="AG1250" s="7"/>
      <c r="AH1250" s="7"/>
      <c r="AI1250" s="7"/>
      <c r="AJ1250" s="7"/>
      <c r="AK1250" s="7"/>
      <c r="AL1250" s="7"/>
      <c r="AM1250" s="7"/>
      <c r="AN1250" s="7"/>
      <c r="AO1250" s="7"/>
      <c r="AP1250" s="7"/>
      <c r="AQ1250" s="7"/>
      <c r="AR1250" s="7"/>
      <c r="AS1250" s="7"/>
      <c r="AT1250" s="7"/>
      <c r="AU1250" s="7"/>
      <c r="AV1250" s="7"/>
      <c r="AW1250" s="7"/>
      <c r="AX1250" s="7"/>
      <c r="AY1250" s="7"/>
      <c r="AZ1250" s="7"/>
      <c r="BA1250" s="7"/>
      <c r="BB1250" s="7"/>
      <c r="BC1250" s="7"/>
      <c r="BD1250" s="7"/>
      <c r="BE1250" s="7"/>
      <c r="BF1250" s="7"/>
      <c r="BG1250" s="7"/>
      <c r="BH1250" s="7"/>
      <c r="BI1250" s="7"/>
      <c r="BJ1250" s="7"/>
      <c r="BK1250" s="7"/>
      <c r="BL1250" s="7"/>
      <c r="BM1250" s="7"/>
      <c r="BN1250" s="7"/>
      <c r="BO1250" s="7"/>
      <c r="BP1250" s="7"/>
      <c r="BQ1250" s="7"/>
      <c r="BR1250" s="7"/>
      <c r="BS1250" s="7"/>
      <c r="BT1250" s="7"/>
      <c r="BU1250" s="7"/>
      <c r="BV1250" s="7"/>
      <c r="BW1250" s="7"/>
      <c r="BX1250" s="7"/>
      <c r="BY1250" s="7"/>
      <c r="BZ1250" s="7"/>
      <c r="CA1250" s="7"/>
      <c r="CB1250" s="7"/>
      <c r="CC1250" s="7"/>
      <c r="CD1250" s="7"/>
      <c r="CE1250" s="7"/>
      <c r="CF1250" s="7"/>
      <c r="CG1250" s="7"/>
    </row>
    <row r="1251" spans="3:85"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  <c r="AC1251" s="7"/>
      <c r="AD1251" s="7"/>
      <c r="AF1251" s="7"/>
      <c r="AG1251" s="7"/>
      <c r="AH1251" s="7"/>
      <c r="AI1251" s="7"/>
      <c r="AJ1251" s="7"/>
      <c r="AK1251" s="7"/>
      <c r="AL1251" s="7"/>
      <c r="AM1251" s="7"/>
      <c r="AN1251" s="7"/>
      <c r="AO1251" s="7"/>
      <c r="AP1251" s="7"/>
      <c r="AQ1251" s="7"/>
      <c r="AR1251" s="7"/>
      <c r="AS1251" s="7"/>
      <c r="AT1251" s="7"/>
      <c r="AU1251" s="7"/>
      <c r="AV1251" s="7"/>
      <c r="AW1251" s="7"/>
      <c r="AX1251" s="7"/>
      <c r="AY1251" s="7"/>
      <c r="AZ1251" s="7"/>
      <c r="BA1251" s="7"/>
      <c r="BB1251" s="7"/>
      <c r="BC1251" s="7"/>
      <c r="BD1251" s="7"/>
      <c r="BE1251" s="7"/>
      <c r="BF1251" s="7"/>
      <c r="BG1251" s="7"/>
      <c r="BH1251" s="7"/>
      <c r="BI1251" s="7"/>
      <c r="BJ1251" s="7"/>
      <c r="BK1251" s="7"/>
      <c r="BL1251" s="7"/>
      <c r="BM1251" s="7"/>
      <c r="BN1251" s="7"/>
      <c r="BO1251" s="7"/>
      <c r="BP1251" s="7"/>
      <c r="BQ1251" s="7"/>
      <c r="BR1251" s="7"/>
      <c r="BS1251" s="7"/>
      <c r="BT1251" s="7"/>
      <c r="BU1251" s="7"/>
      <c r="BV1251" s="7"/>
      <c r="BW1251" s="7"/>
      <c r="BX1251" s="7"/>
      <c r="BY1251" s="7"/>
      <c r="BZ1251" s="7"/>
      <c r="CA1251" s="7"/>
      <c r="CB1251" s="7"/>
      <c r="CC1251" s="7"/>
      <c r="CD1251" s="7"/>
      <c r="CE1251" s="7"/>
      <c r="CF1251" s="7"/>
      <c r="CG1251" s="7"/>
    </row>
    <row r="1252" spans="3:85"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  <c r="AC1252" s="7"/>
      <c r="AD1252" s="7"/>
      <c r="AF1252" s="7"/>
      <c r="AG1252" s="7"/>
      <c r="AH1252" s="7"/>
      <c r="AI1252" s="7"/>
      <c r="AJ1252" s="7"/>
      <c r="AK1252" s="7"/>
      <c r="AL1252" s="7"/>
      <c r="AM1252" s="7"/>
      <c r="AN1252" s="7"/>
      <c r="AO1252" s="7"/>
      <c r="AP1252" s="7"/>
      <c r="AQ1252" s="7"/>
      <c r="AR1252" s="7"/>
      <c r="AS1252" s="7"/>
      <c r="AT1252" s="7"/>
      <c r="AU1252" s="7"/>
      <c r="AV1252" s="7"/>
      <c r="AW1252" s="7"/>
      <c r="AX1252" s="7"/>
      <c r="AY1252" s="7"/>
      <c r="AZ1252" s="7"/>
      <c r="BA1252" s="7"/>
      <c r="BB1252" s="7"/>
      <c r="BC1252" s="7"/>
      <c r="BD1252" s="7"/>
      <c r="BE1252" s="7"/>
      <c r="BF1252" s="7"/>
      <c r="BG1252" s="7"/>
      <c r="BH1252" s="7"/>
      <c r="BI1252" s="7"/>
      <c r="BJ1252" s="7"/>
      <c r="BK1252" s="7"/>
      <c r="BL1252" s="7"/>
      <c r="BM1252" s="7"/>
      <c r="BN1252" s="7"/>
      <c r="BO1252" s="7"/>
      <c r="BP1252" s="7"/>
      <c r="BQ1252" s="7"/>
      <c r="BR1252" s="7"/>
      <c r="BS1252" s="7"/>
      <c r="BT1252" s="7"/>
      <c r="BU1252" s="7"/>
      <c r="BV1252" s="7"/>
      <c r="BW1252" s="7"/>
      <c r="BX1252" s="7"/>
      <c r="BY1252" s="7"/>
      <c r="BZ1252" s="7"/>
      <c r="CA1252" s="7"/>
      <c r="CB1252" s="7"/>
      <c r="CC1252" s="7"/>
      <c r="CD1252" s="7"/>
      <c r="CE1252" s="7"/>
      <c r="CF1252" s="7"/>
      <c r="CG1252" s="7"/>
    </row>
    <row r="1253" spans="3:85"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  <c r="AC1253" s="7"/>
      <c r="AD1253" s="7"/>
      <c r="AF1253" s="7"/>
      <c r="AG1253" s="7"/>
      <c r="AH1253" s="7"/>
      <c r="AI1253" s="7"/>
      <c r="AJ1253" s="7"/>
      <c r="AK1253" s="7"/>
      <c r="AL1253" s="7"/>
      <c r="AM1253" s="7"/>
      <c r="AN1253" s="7"/>
      <c r="AO1253" s="7"/>
      <c r="AP1253" s="7"/>
      <c r="AQ1253" s="7"/>
      <c r="AR1253" s="7"/>
      <c r="AS1253" s="7"/>
      <c r="AT1253" s="7"/>
      <c r="AU1253" s="7"/>
      <c r="AV1253" s="7"/>
      <c r="AW1253" s="7"/>
      <c r="AX1253" s="7"/>
      <c r="AY1253" s="7"/>
      <c r="AZ1253" s="7"/>
      <c r="BA1253" s="7"/>
      <c r="BB1253" s="7"/>
      <c r="BC1253" s="7"/>
      <c r="BD1253" s="7"/>
      <c r="BE1253" s="7"/>
      <c r="BF1253" s="7"/>
      <c r="BG1253" s="7"/>
      <c r="BH1253" s="7"/>
      <c r="BI1253" s="7"/>
      <c r="BJ1253" s="7"/>
      <c r="BK1253" s="7"/>
      <c r="BL1253" s="7"/>
      <c r="BM1253" s="7"/>
      <c r="BN1253" s="7"/>
      <c r="BO1253" s="7"/>
      <c r="BP1253" s="7"/>
      <c r="BQ1253" s="7"/>
      <c r="BR1253" s="7"/>
      <c r="BS1253" s="7"/>
      <c r="BT1253" s="7"/>
      <c r="BU1253" s="7"/>
      <c r="BV1253" s="7"/>
      <c r="BW1253" s="7"/>
      <c r="BX1253" s="7"/>
      <c r="BY1253" s="7"/>
      <c r="BZ1253" s="7"/>
      <c r="CA1253" s="7"/>
      <c r="CB1253" s="7"/>
      <c r="CC1253" s="7"/>
      <c r="CD1253" s="7"/>
      <c r="CE1253" s="7"/>
      <c r="CF1253" s="7"/>
      <c r="CG1253" s="7"/>
    </row>
    <row r="1254" spans="3:85"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  <c r="AC1254" s="7"/>
      <c r="AD1254" s="7"/>
      <c r="AF1254" s="7"/>
      <c r="AG1254" s="7"/>
      <c r="AH1254" s="7"/>
      <c r="AI1254" s="7"/>
      <c r="AJ1254" s="7"/>
      <c r="AK1254" s="7"/>
      <c r="AL1254" s="7"/>
      <c r="AM1254" s="7"/>
      <c r="AN1254" s="7"/>
      <c r="AO1254" s="7"/>
      <c r="AP1254" s="7"/>
      <c r="AQ1254" s="7"/>
      <c r="AR1254" s="7"/>
      <c r="AS1254" s="7"/>
      <c r="AT1254" s="7"/>
      <c r="AU1254" s="7"/>
      <c r="AV1254" s="7"/>
      <c r="AW1254" s="7"/>
      <c r="AX1254" s="7"/>
      <c r="AY1254" s="7"/>
      <c r="AZ1254" s="7"/>
      <c r="BA1254" s="7"/>
      <c r="BB1254" s="7"/>
      <c r="BC1254" s="7"/>
      <c r="BD1254" s="7"/>
      <c r="BE1254" s="7"/>
      <c r="BF1254" s="7"/>
      <c r="BG1254" s="7"/>
      <c r="BH1254" s="7"/>
      <c r="BI1254" s="7"/>
      <c r="BJ1254" s="7"/>
      <c r="BK1254" s="7"/>
      <c r="BL1254" s="7"/>
      <c r="BM1254" s="7"/>
      <c r="BN1254" s="7"/>
      <c r="BO1254" s="7"/>
      <c r="BP1254" s="7"/>
      <c r="BQ1254" s="7"/>
      <c r="BR1254" s="7"/>
      <c r="BS1254" s="7"/>
      <c r="BT1254" s="7"/>
      <c r="BU1254" s="7"/>
      <c r="BV1254" s="7"/>
      <c r="BW1254" s="7"/>
      <c r="BX1254" s="7"/>
      <c r="BY1254" s="7"/>
      <c r="BZ1254" s="7"/>
      <c r="CA1254" s="7"/>
      <c r="CB1254" s="7"/>
      <c r="CC1254" s="7"/>
      <c r="CD1254" s="7"/>
      <c r="CE1254" s="7"/>
      <c r="CF1254" s="7"/>
      <c r="CG1254" s="7"/>
    </row>
    <row r="1255" spans="3:85"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  <c r="AC1255" s="7"/>
      <c r="AD1255" s="7"/>
      <c r="AF1255" s="7"/>
      <c r="AG1255" s="7"/>
      <c r="AH1255" s="7"/>
      <c r="AI1255" s="7"/>
      <c r="AJ1255" s="7"/>
      <c r="AK1255" s="7"/>
      <c r="AL1255" s="7"/>
      <c r="AM1255" s="7"/>
      <c r="AN1255" s="7"/>
      <c r="AO1255" s="7"/>
      <c r="AP1255" s="7"/>
      <c r="AQ1255" s="7"/>
      <c r="AR1255" s="7"/>
      <c r="AS1255" s="7"/>
      <c r="AT1255" s="7"/>
      <c r="AU1255" s="7"/>
      <c r="AV1255" s="7"/>
      <c r="AW1255" s="7"/>
      <c r="AX1255" s="7"/>
      <c r="AY1255" s="7"/>
      <c r="AZ1255" s="7"/>
      <c r="BA1255" s="7"/>
      <c r="BB1255" s="7"/>
      <c r="BC1255" s="7"/>
      <c r="BD1255" s="7"/>
      <c r="BE1255" s="7"/>
      <c r="BF1255" s="7"/>
      <c r="BG1255" s="7"/>
      <c r="BH1255" s="7"/>
      <c r="BI1255" s="7"/>
      <c r="BJ1255" s="7"/>
      <c r="BK1255" s="7"/>
      <c r="BL1255" s="7"/>
      <c r="BM1255" s="7"/>
      <c r="BN1255" s="7"/>
      <c r="BO1255" s="7"/>
      <c r="BP1255" s="7"/>
      <c r="BQ1255" s="7"/>
      <c r="BR1255" s="7"/>
      <c r="BS1255" s="7"/>
      <c r="BT1255" s="7"/>
      <c r="BU1255" s="7"/>
      <c r="BV1255" s="7"/>
      <c r="BW1255" s="7"/>
      <c r="BX1255" s="7"/>
      <c r="BY1255" s="7"/>
      <c r="BZ1255" s="7"/>
      <c r="CA1255" s="7"/>
      <c r="CB1255" s="7"/>
      <c r="CC1255" s="7"/>
      <c r="CD1255" s="7"/>
      <c r="CE1255" s="7"/>
      <c r="CF1255" s="7"/>
      <c r="CG1255" s="7"/>
    </row>
    <row r="1256" spans="3:85"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  <c r="AC1256" s="7"/>
      <c r="AD1256" s="7"/>
      <c r="AF1256" s="7"/>
      <c r="AG1256" s="7"/>
      <c r="AH1256" s="7"/>
      <c r="AI1256" s="7"/>
      <c r="AJ1256" s="7"/>
      <c r="AK1256" s="7"/>
      <c r="AL1256" s="7"/>
      <c r="AM1256" s="7"/>
      <c r="AN1256" s="7"/>
      <c r="AO1256" s="7"/>
      <c r="AP1256" s="7"/>
      <c r="AQ1256" s="7"/>
      <c r="AR1256" s="7"/>
      <c r="AS1256" s="7"/>
      <c r="AT1256" s="7"/>
      <c r="AU1256" s="7"/>
      <c r="AV1256" s="7"/>
      <c r="AW1256" s="7"/>
      <c r="AX1256" s="7"/>
      <c r="AY1256" s="7"/>
      <c r="AZ1256" s="7"/>
      <c r="BA1256" s="7"/>
      <c r="BB1256" s="7"/>
      <c r="BC1256" s="7"/>
      <c r="BD1256" s="7"/>
      <c r="BE1256" s="7"/>
      <c r="BF1256" s="7"/>
      <c r="BG1256" s="7"/>
      <c r="BH1256" s="7"/>
      <c r="BI1256" s="7"/>
      <c r="BJ1256" s="7"/>
      <c r="BK1256" s="7"/>
      <c r="BL1256" s="7"/>
      <c r="BM1256" s="7"/>
      <c r="BN1256" s="7"/>
      <c r="BO1256" s="7"/>
      <c r="BP1256" s="7"/>
      <c r="BQ1256" s="7"/>
      <c r="BR1256" s="7"/>
      <c r="BS1256" s="7"/>
      <c r="BT1256" s="7"/>
      <c r="BU1256" s="7"/>
      <c r="BV1256" s="7"/>
      <c r="BW1256" s="7"/>
      <c r="BX1256" s="7"/>
      <c r="BY1256" s="7"/>
      <c r="BZ1256" s="7"/>
      <c r="CA1256" s="7"/>
      <c r="CB1256" s="7"/>
      <c r="CC1256" s="7"/>
      <c r="CD1256" s="7"/>
      <c r="CE1256" s="7"/>
      <c r="CF1256" s="7"/>
      <c r="CG1256" s="7"/>
    </row>
    <row r="1257" spans="3:85"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  <c r="AC1257" s="7"/>
      <c r="AD1257" s="7"/>
      <c r="AF1257" s="7"/>
      <c r="AG1257" s="7"/>
      <c r="AH1257" s="7"/>
      <c r="AI1257" s="7"/>
      <c r="AJ1257" s="7"/>
      <c r="AK1257" s="7"/>
      <c r="AL1257" s="7"/>
      <c r="AM1257" s="7"/>
      <c r="AN1257" s="7"/>
      <c r="AO1257" s="7"/>
      <c r="AP1257" s="7"/>
      <c r="AQ1257" s="7"/>
      <c r="AR1257" s="7"/>
      <c r="AS1257" s="7"/>
      <c r="AT1257" s="7"/>
      <c r="AU1257" s="7"/>
      <c r="AV1257" s="7"/>
      <c r="AW1257" s="7"/>
      <c r="AX1257" s="7"/>
      <c r="AY1257" s="7"/>
      <c r="AZ1257" s="7"/>
      <c r="BA1257" s="7"/>
      <c r="BB1257" s="7"/>
      <c r="BC1257" s="7"/>
      <c r="BD1257" s="7"/>
      <c r="BE1257" s="7"/>
      <c r="BF1257" s="7"/>
      <c r="BG1257" s="7"/>
      <c r="BH1257" s="7"/>
      <c r="BI1257" s="7"/>
      <c r="BJ1257" s="7"/>
      <c r="BK1257" s="7"/>
      <c r="BL1257" s="7"/>
      <c r="BM1257" s="7"/>
      <c r="BN1257" s="7"/>
      <c r="BO1257" s="7"/>
      <c r="BP1257" s="7"/>
      <c r="BQ1257" s="7"/>
      <c r="BR1257" s="7"/>
      <c r="BS1257" s="7"/>
      <c r="BT1257" s="7"/>
      <c r="BU1257" s="7"/>
      <c r="BV1257" s="7"/>
      <c r="BW1257" s="7"/>
      <c r="BX1257" s="7"/>
      <c r="BY1257" s="7"/>
      <c r="BZ1257" s="7"/>
      <c r="CA1257" s="7"/>
      <c r="CB1257" s="7"/>
      <c r="CC1257" s="7"/>
      <c r="CD1257" s="7"/>
      <c r="CE1257" s="7"/>
      <c r="CF1257" s="7"/>
      <c r="CG1257" s="7"/>
    </row>
    <row r="1258" spans="3:85"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  <c r="AC1258" s="7"/>
      <c r="AD1258" s="7"/>
      <c r="AF1258" s="7"/>
      <c r="AG1258" s="7"/>
      <c r="AH1258" s="7"/>
      <c r="AI1258" s="7"/>
      <c r="AJ1258" s="7"/>
      <c r="AK1258" s="7"/>
      <c r="AL1258" s="7"/>
      <c r="AM1258" s="7"/>
      <c r="AN1258" s="7"/>
      <c r="AO1258" s="7"/>
      <c r="AP1258" s="7"/>
      <c r="AQ1258" s="7"/>
      <c r="AR1258" s="7"/>
      <c r="AS1258" s="7"/>
      <c r="AT1258" s="7"/>
      <c r="AU1258" s="7"/>
      <c r="AV1258" s="7"/>
      <c r="AW1258" s="7"/>
      <c r="AX1258" s="7"/>
      <c r="AY1258" s="7"/>
      <c r="AZ1258" s="7"/>
      <c r="BA1258" s="7"/>
      <c r="BB1258" s="7"/>
      <c r="BC1258" s="7"/>
      <c r="BD1258" s="7"/>
      <c r="BE1258" s="7"/>
      <c r="BF1258" s="7"/>
      <c r="BG1258" s="7"/>
      <c r="BH1258" s="7"/>
      <c r="BI1258" s="7"/>
      <c r="BJ1258" s="7"/>
      <c r="BK1258" s="7"/>
      <c r="BL1258" s="7"/>
      <c r="BM1258" s="7"/>
      <c r="BN1258" s="7"/>
      <c r="BO1258" s="7"/>
      <c r="BP1258" s="7"/>
      <c r="BQ1258" s="7"/>
      <c r="BR1258" s="7"/>
      <c r="BS1258" s="7"/>
      <c r="BT1258" s="7"/>
      <c r="BU1258" s="7"/>
      <c r="BV1258" s="7"/>
      <c r="BW1258" s="7"/>
      <c r="BX1258" s="7"/>
      <c r="BY1258" s="7"/>
      <c r="BZ1258" s="7"/>
      <c r="CA1258" s="7"/>
      <c r="CB1258" s="7"/>
      <c r="CC1258" s="7"/>
      <c r="CD1258" s="7"/>
      <c r="CE1258" s="7"/>
      <c r="CF1258" s="7"/>
      <c r="CG1258" s="7"/>
    </row>
    <row r="1259" spans="3:85"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  <c r="AC1259" s="7"/>
      <c r="AD1259" s="7"/>
      <c r="AF1259" s="7"/>
      <c r="AG1259" s="7"/>
      <c r="AH1259" s="7"/>
      <c r="AI1259" s="7"/>
      <c r="AJ1259" s="7"/>
      <c r="AK1259" s="7"/>
      <c r="AL1259" s="7"/>
      <c r="AM1259" s="7"/>
      <c r="AN1259" s="7"/>
      <c r="AO1259" s="7"/>
      <c r="AP1259" s="7"/>
      <c r="AQ1259" s="7"/>
      <c r="AR1259" s="7"/>
      <c r="AS1259" s="7"/>
      <c r="AT1259" s="7"/>
      <c r="AU1259" s="7"/>
      <c r="AV1259" s="7"/>
      <c r="AW1259" s="7"/>
      <c r="AX1259" s="7"/>
      <c r="AY1259" s="7"/>
      <c r="AZ1259" s="7"/>
      <c r="BA1259" s="7"/>
      <c r="BB1259" s="7"/>
      <c r="BC1259" s="7"/>
      <c r="BD1259" s="7"/>
      <c r="BE1259" s="7"/>
      <c r="BF1259" s="7"/>
      <c r="BG1259" s="7"/>
      <c r="BH1259" s="7"/>
      <c r="BI1259" s="7"/>
      <c r="BJ1259" s="7"/>
      <c r="BK1259" s="7"/>
      <c r="BL1259" s="7"/>
      <c r="BM1259" s="7"/>
      <c r="BN1259" s="7"/>
      <c r="BO1259" s="7"/>
      <c r="BP1259" s="7"/>
      <c r="BQ1259" s="7"/>
      <c r="BR1259" s="7"/>
      <c r="BS1259" s="7"/>
      <c r="BT1259" s="7"/>
      <c r="BU1259" s="7"/>
      <c r="BV1259" s="7"/>
      <c r="BW1259" s="7"/>
      <c r="BX1259" s="7"/>
      <c r="BY1259" s="7"/>
      <c r="BZ1259" s="7"/>
      <c r="CA1259" s="7"/>
      <c r="CB1259" s="7"/>
      <c r="CC1259" s="7"/>
      <c r="CD1259" s="7"/>
      <c r="CE1259" s="7"/>
      <c r="CF1259" s="7"/>
      <c r="CG1259" s="7"/>
    </row>
    <row r="1260" spans="3:85"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  <c r="AC1260" s="7"/>
      <c r="AD1260" s="7"/>
      <c r="AF1260" s="7"/>
      <c r="AG1260" s="7"/>
      <c r="AH1260" s="7"/>
      <c r="AI1260" s="7"/>
      <c r="AJ1260" s="7"/>
      <c r="AK1260" s="7"/>
      <c r="AL1260" s="7"/>
      <c r="AM1260" s="7"/>
      <c r="AN1260" s="7"/>
      <c r="AO1260" s="7"/>
      <c r="AP1260" s="7"/>
      <c r="AQ1260" s="7"/>
      <c r="AR1260" s="7"/>
      <c r="AS1260" s="7"/>
      <c r="AT1260" s="7"/>
      <c r="AU1260" s="7"/>
      <c r="AV1260" s="7"/>
      <c r="AW1260" s="7"/>
      <c r="AX1260" s="7"/>
      <c r="AY1260" s="7"/>
      <c r="AZ1260" s="7"/>
      <c r="BA1260" s="7"/>
      <c r="BB1260" s="7"/>
      <c r="BC1260" s="7"/>
      <c r="BD1260" s="7"/>
      <c r="BE1260" s="7"/>
      <c r="BF1260" s="7"/>
      <c r="BG1260" s="7"/>
      <c r="BH1260" s="7"/>
      <c r="BI1260" s="7"/>
      <c r="BJ1260" s="7"/>
      <c r="BK1260" s="7"/>
      <c r="BL1260" s="7"/>
      <c r="BM1260" s="7"/>
      <c r="BN1260" s="7"/>
      <c r="BO1260" s="7"/>
      <c r="BP1260" s="7"/>
      <c r="BQ1260" s="7"/>
      <c r="BR1260" s="7"/>
      <c r="BS1260" s="7"/>
      <c r="BT1260" s="7"/>
      <c r="BU1260" s="7"/>
      <c r="BV1260" s="7"/>
      <c r="BW1260" s="7"/>
      <c r="BX1260" s="7"/>
      <c r="BY1260" s="7"/>
      <c r="BZ1260" s="7"/>
      <c r="CA1260" s="7"/>
      <c r="CB1260" s="7"/>
      <c r="CC1260" s="7"/>
      <c r="CD1260" s="7"/>
      <c r="CE1260" s="7"/>
      <c r="CF1260" s="7"/>
      <c r="CG1260" s="7"/>
    </row>
    <row r="1261" spans="3:85"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  <c r="AC1261" s="7"/>
      <c r="AD1261" s="7"/>
      <c r="AF1261" s="7"/>
      <c r="AG1261" s="7"/>
      <c r="AH1261" s="7"/>
      <c r="AI1261" s="7"/>
      <c r="AJ1261" s="7"/>
      <c r="AK1261" s="7"/>
      <c r="AL1261" s="7"/>
      <c r="AM1261" s="7"/>
      <c r="AN1261" s="7"/>
      <c r="AO1261" s="7"/>
      <c r="AP1261" s="7"/>
      <c r="AQ1261" s="7"/>
      <c r="AR1261" s="7"/>
      <c r="AS1261" s="7"/>
      <c r="AT1261" s="7"/>
      <c r="AU1261" s="7"/>
      <c r="AV1261" s="7"/>
      <c r="AW1261" s="7"/>
      <c r="AX1261" s="7"/>
      <c r="AY1261" s="7"/>
      <c r="AZ1261" s="7"/>
      <c r="BA1261" s="7"/>
      <c r="BB1261" s="7"/>
      <c r="BC1261" s="7"/>
      <c r="BD1261" s="7"/>
      <c r="BE1261" s="7"/>
      <c r="BF1261" s="7"/>
      <c r="BG1261" s="7"/>
      <c r="BH1261" s="7"/>
      <c r="BI1261" s="7"/>
      <c r="BJ1261" s="7"/>
      <c r="BK1261" s="7"/>
      <c r="BL1261" s="7"/>
      <c r="BM1261" s="7"/>
      <c r="BN1261" s="7"/>
      <c r="BO1261" s="7"/>
      <c r="BP1261" s="7"/>
      <c r="BQ1261" s="7"/>
      <c r="BR1261" s="7"/>
      <c r="BS1261" s="7"/>
      <c r="BT1261" s="7"/>
      <c r="BU1261" s="7"/>
      <c r="BV1261" s="7"/>
      <c r="BW1261" s="7"/>
      <c r="BX1261" s="7"/>
      <c r="BY1261" s="7"/>
      <c r="BZ1261" s="7"/>
      <c r="CA1261" s="7"/>
      <c r="CB1261" s="7"/>
      <c r="CC1261" s="7"/>
      <c r="CD1261" s="7"/>
      <c r="CE1261" s="7"/>
      <c r="CF1261" s="7"/>
      <c r="CG1261" s="7"/>
    </row>
    <row r="1262" spans="3:85"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  <c r="AC1262" s="7"/>
      <c r="AD1262" s="7"/>
      <c r="AF1262" s="7"/>
      <c r="AG1262" s="7"/>
      <c r="AH1262" s="7"/>
      <c r="AI1262" s="7"/>
      <c r="AJ1262" s="7"/>
      <c r="AK1262" s="7"/>
      <c r="AL1262" s="7"/>
      <c r="AM1262" s="7"/>
      <c r="AN1262" s="7"/>
      <c r="AO1262" s="7"/>
      <c r="AP1262" s="7"/>
      <c r="AQ1262" s="7"/>
      <c r="AR1262" s="7"/>
      <c r="AS1262" s="7"/>
      <c r="AT1262" s="7"/>
      <c r="AU1262" s="7"/>
      <c r="AV1262" s="7"/>
      <c r="AW1262" s="7"/>
      <c r="AX1262" s="7"/>
      <c r="AY1262" s="7"/>
      <c r="AZ1262" s="7"/>
      <c r="BA1262" s="7"/>
      <c r="BB1262" s="7"/>
      <c r="BC1262" s="7"/>
      <c r="BD1262" s="7"/>
      <c r="BE1262" s="7"/>
      <c r="BF1262" s="7"/>
      <c r="BG1262" s="7"/>
      <c r="BH1262" s="7"/>
      <c r="BI1262" s="7"/>
      <c r="BJ1262" s="7"/>
      <c r="BK1262" s="7"/>
      <c r="BL1262" s="7"/>
      <c r="BM1262" s="7"/>
      <c r="BN1262" s="7"/>
      <c r="BO1262" s="7"/>
      <c r="BP1262" s="7"/>
      <c r="BQ1262" s="7"/>
      <c r="BR1262" s="7"/>
      <c r="BS1262" s="7"/>
      <c r="BT1262" s="7"/>
      <c r="BU1262" s="7"/>
      <c r="BV1262" s="7"/>
      <c r="BW1262" s="7"/>
      <c r="BX1262" s="7"/>
      <c r="BY1262" s="7"/>
      <c r="BZ1262" s="7"/>
      <c r="CA1262" s="7"/>
      <c r="CB1262" s="7"/>
      <c r="CC1262" s="7"/>
      <c r="CD1262" s="7"/>
      <c r="CE1262" s="7"/>
      <c r="CF1262" s="7"/>
      <c r="CG1262" s="7"/>
    </row>
    <row r="1263" spans="3:85"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  <c r="AC1263" s="7"/>
      <c r="AD1263" s="7"/>
      <c r="AF1263" s="7"/>
      <c r="AG1263" s="7"/>
      <c r="AH1263" s="7"/>
      <c r="AI1263" s="7"/>
      <c r="AJ1263" s="7"/>
      <c r="AK1263" s="7"/>
      <c r="AL1263" s="7"/>
      <c r="AM1263" s="7"/>
      <c r="AN1263" s="7"/>
      <c r="AO1263" s="7"/>
      <c r="AP1263" s="7"/>
      <c r="AQ1263" s="7"/>
      <c r="AR1263" s="7"/>
      <c r="AS1263" s="7"/>
      <c r="AT1263" s="7"/>
      <c r="AU1263" s="7"/>
      <c r="AV1263" s="7"/>
      <c r="AW1263" s="7"/>
      <c r="AX1263" s="7"/>
      <c r="AY1263" s="7"/>
      <c r="AZ1263" s="7"/>
      <c r="BA1263" s="7"/>
      <c r="BB1263" s="7"/>
      <c r="BC1263" s="7"/>
      <c r="BD1263" s="7"/>
      <c r="BE1263" s="7"/>
      <c r="BF1263" s="7"/>
      <c r="BG1263" s="7"/>
      <c r="BH1263" s="7"/>
      <c r="BI1263" s="7"/>
      <c r="BJ1263" s="7"/>
      <c r="BK1263" s="7"/>
      <c r="BL1263" s="7"/>
      <c r="BM1263" s="7"/>
      <c r="BN1263" s="7"/>
      <c r="BO1263" s="7"/>
      <c r="BP1263" s="7"/>
      <c r="BQ1263" s="7"/>
      <c r="BR1263" s="7"/>
      <c r="BS1263" s="7"/>
      <c r="BT1263" s="7"/>
      <c r="BU1263" s="7"/>
      <c r="BV1263" s="7"/>
      <c r="BW1263" s="7"/>
      <c r="BX1263" s="7"/>
      <c r="BY1263" s="7"/>
      <c r="BZ1263" s="7"/>
      <c r="CA1263" s="7"/>
      <c r="CB1263" s="7"/>
      <c r="CC1263" s="7"/>
      <c r="CD1263" s="7"/>
      <c r="CE1263" s="7"/>
      <c r="CF1263" s="7"/>
      <c r="CG1263" s="7"/>
    </row>
    <row r="1264" spans="3:85"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  <c r="AC1264" s="7"/>
      <c r="AD1264" s="7"/>
      <c r="AF1264" s="7"/>
      <c r="AG1264" s="7"/>
      <c r="AH1264" s="7"/>
      <c r="AI1264" s="7"/>
      <c r="AJ1264" s="7"/>
      <c r="AK1264" s="7"/>
      <c r="AL1264" s="7"/>
      <c r="AM1264" s="7"/>
      <c r="AN1264" s="7"/>
      <c r="AO1264" s="7"/>
      <c r="AP1264" s="7"/>
      <c r="AQ1264" s="7"/>
      <c r="AR1264" s="7"/>
      <c r="AS1264" s="7"/>
      <c r="AT1264" s="7"/>
      <c r="AU1264" s="7"/>
      <c r="AV1264" s="7"/>
      <c r="AW1264" s="7"/>
      <c r="AX1264" s="7"/>
      <c r="AY1264" s="7"/>
      <c r="AZ1264" s="7"/>
      <c r="BA1264" s="7"/>
      <c r="BB1264" s="7"/>
      <c r="BC1264" s="7"/>
      <c r="BD1264" s="7"/>
      <c r="BE1264" s="7"/>
      <c r="BF1264" s="7"/>
      <c r="BG1264" s="7"/>
      <c r="BH1264" s="7"/>
      <c r="BI1264" s="7"/>
      <c r="BJ1264" s="7"/>
      <c r="BK1264" s="7"/>
      <c r="BL1264" s="7"/>
      <c r="BM1264" s="7"/>
      <c r="BN1264" s="7"/>
      <c r="BO1264" s="7"/>
      <c r="BP1264" s="7"/>
      <c r="BQ1264" s="7"/>
      <c r="BR1264" s="7"/>
      <c r="BS1264" s="7"/>
      <c r="BT1264" s="7"/>
      <c r="BU1264" s="7"/>
      <c r="BV1264" s="7"/>
      <c r="BW1264" s="7"/>
      <c r="BX1264" s="7"/>
      <c r="BY1264" s="7"/>
      <c r="BZ1264" s="7"/>
      <c r="CA1264" s="7"/>
      <c r="CB1264" s="7"/>
      <c r="CC1264" s="7"/>
      <c r="CD1264" s="7"/>
      <c r="CE1264" s="7"/>
      <c r="CF1264" s="7"/>
      <c r="CG1264" s="7"/>
    </row>
    <row r="1265" spans="3:85"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  <c r="AC1265" s="7"/>
      <c r="AD1265" s="7"/>
      <c r="AF1265" s="7"/>
      <c r="AG1265" s="7"/>
      <c r="AH1265" s="7"/>
      <c r="AI1265" s="7"/>
      <c r="AJ1265" s="7"/>
      <c r="AK1265" s="7"/>
      <c r="AL1265" s="7"/>
      <c r="AM1265" s="7"/>
      <c r="AN1265" s="7"/>
      <c r="AO1265" s="7"/>
      <c r="AP1265" s="7"/>
      <c r="AQ1265" s="7"/>
      <c r="AR1265" s="7"/>
      <c r="AS1265" s="7"/>
      <c r="AT1265" s="7"/>
      <c r="AU1265" s="7"/>
      <c r="AV1265" s="7"/>
      <c r="AW1265" s="7"/>
      <c r="AX1265" s="7"/>
      <c r="AY1265" s="7"/>
      <c r="AZ1265" s="7"/>
      <c r="BA1265" s="7"/>
      <c r="BB1265" s="7"/>
      <c r="BC1265" s="7"/>
      <c r="BD1265" s="7"/>
      <c r="BE1265" s="7"/>
      <c r="BF1265" s="7"/>
      <c r="BG1265" s="7"/>
      <c r="BH1265" s="7"/>
      <c r="BI1265" s="7"/>
      <c r="BJ1265" s="7"/>
      <c r="BK1265" s="7"/>
      <c r="BL1265" s="7"/>
      <c r="BM1265" s="7"/>
      <c r="BN1265" s="7"/>
      <c r="BO1265" s="7"/>
      <c r="BP1265" s="7"/>
      <c r="BQ1265" s="7"/>
      <c r="BR1265" s="7"/>
      <c r="BS1265" s="7"/>
      <c r="BT1265" s="7"/>
      <c r="BU1265" s="7"/>
      <c r="BV1265" s="7"/>
      <c r="BW1265" s="7"/>
      <c r="BX1265" s="7"/>
      <c r="BY1265" s="7"/>
      <c r="BZ1265" s="7"/>
      <c r="CA1265" s="7"/>
      <c r="CB1265" s="7"/>
      <c r="CC1265" s="7"/>
      <c r="CD1265" s="7"/>
      <c r="CE1265" s="7"/>
      <c r="CF1265" s="7"/>
      <c r="CG1265" s="7"/>
    </row>
    <row r="1266" spans="3:85"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  <c r="AC1266" s="7"/>
      <c r="AD1266" s="7"/>
      <c r="AF1266" s="7"/>
      <c r="AG1266" s="7"/>
      <c r="AH1266" s="7"/>
      <c r="AI1266" s="7"/>
      <c r="AJ1266" s="7"/>
      <c r="AK1266" s="7"/>
      <c r="AL1266" s="7"/>
      <c r="AM1266" s="7"/>
      <c r="AN1266" s="7"/>
      <c r="AO1266" s="7"/>
      <c r="AP1266" s="7"/>
      <c r="AQ1266" s="7"/>
      <c r="AR1266" s="7"/>
      <c r="AS1266" s="7"/>
      <c r="AT1266" s="7"/>
      <c r="AU1266" s="7"/>
      <c r="AV1266" s="7"/>
      <c r="AW1266" s="7"/>
      <c r="AX1266" s="7"/>
      <c r="AY1266" s="7"/>
      <c r="AZ1266" s="7"/>
      <c r="BA1266" s="7"/>
      <c r="BB1266" s="7"/>
      <c r="BC1266" s="7"/>
      <c r="BD1266" s="7"/>
      <c r="BE1266" s="7"/>
      <c r="BF1266" s="7"/>
      <c r="BG1266" s="7"/>
      <c r="BH1266" s="7"/>
      <c r="BI1266" s="7"/>
      <c r="BJ1266" s="7"/>
      <c r="BK1266" s="7"/>
      <c r="BL1266" s="7"/>
      <c r="BM1266" s="7"/>
      <c r="BN1266" s="7"/>
      <c r="BO1266" s="7"/>
      <c r="BP1266" s="7"/>
      <c r="BQ1266" s="7"/>
      <c r="BR1266" s="7"/>
      <c r="BS1266" s="7"/>
      <c r="BT1266" s="7"/>
      <c r="BU1266" s="7"/>
      <c r="BV1266" s="7"/>
      <c r="BW1266" s="7"/>
      <c r="BX1266" s="7"/>
      <c r="BY1266" s="7"/>
      <c r="BZ1266" s="7"/>
      <c r="CA1266" s="7"/>
      <c r="CB1266" s="7"/>
      <c r="CC1266" s="7"/>
      <c r="CD1266" s="7"/>
      <c r="CE1266" s="7"/>
      <c r="CF1266" s="7"/>
      <c r="CG1266" s="7"/>
    </row>
    <row r="1267" spans="3:85"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  <c r="AC1267" s="7"/>
      <c r="AD1267" s="7"/>
      <c r="AF1267" s="7"/>
      <c r="AG1267" s="7"/>
      <c r="AH1267" s="7"/>
      <c r="AI1267" s="7"/>
      <c r="AJ1267" s="7"/>
      <c r="AK1267" s="7"/>
      <c r="AL1267" s="7"/>
      <c r="AM1267" s="7"/>
      <c r="AN1267" s="7"/>
      <c r="AO1267" s="7"/>
      <c r="AP1267" s="7"/>
      <c r="AQ1267" s="7"/>
      <c r="AR1267" s="7"/>
      <c r="AS1267" s="7"/>
      <c r="AT1267" s="7"/>
      <c r="AU1267" s="7"/>
      <c r="AV1267" s="7"/>
      <c r="AW1267" s="7"/>
      <c r="AX1267" s="7"/>
      <c r="AY1267" s="7"/>
      <c r="AZ1267" s="7"/>
      <c r="BA1267" s="7"/>
      <c r="BB1267" s="7"/>
      <c r="BC1267" s="7"/>
      <c r="BD1267" s="7"/>
      <c r="BE1267" s="7"/>
      <c r="BF1267" s="7"/>
      <c r="BG1267" s="7"/>
      <c r="BH1267" s="7"/>
      <c r="BI1267" s="7"/>
      <c r="BJ1267" s="7"/>
      <c r="BK1267" s="7"/>
      <c r="BL1267" s="7"/>
      <c r="BM1267" s="7"/>
      <c r="BN1267" s="7"/>
      <c r="BO1267" s="7"/>
      <c r="BP1267" s="7"/>
      <c r="BQ1267" s="7"/>
      <c r="BR1267" s="7"/>
      <c r="BS1267" s="7"/>
      <c r="BT1267" s="7"/>
      <c r="BU1267" s="7"/>
      <c r="BV1267" s="7"/>
      <c r="BW1267" s="7"/>
      <c r="BX1267" s="7"/>
      <c r="BY1267" s="7"/>
      <c r="BZ1267" s="7"/>
      <c r="CA1267" s="7"/>
      <c r="CB1267" s="7"/>
      <c r="CC1267" s="7"/>
      <c r="CD1267" s="7"/>
      <c r="CE1267" s="7"/>
      <c r="CF1267" s="7"/>
      <c r="CG1267" s="7"/>
    </row>
    <row r="1268" spans="3:85"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  <c r="AC1268" s="7"/>
      <c r="AD1268" s="7"/>
      <c r="AF1268" s="7"/>
      <c r="AG1268" s="7"/>
      <c r="AH1268" s="7"/>
      <c r="AI1268" s="7"/>
      <c r="AJ1268" s="7"/>
      <c r="AK1268" s="7"/>
      <c r="AL1268" s="7"/>
      <c r="AM1268" s="7"/>
      <c r="AN1268" s="7"/>
      <c r="AO1268" s="7"/>
      <c r="AP1268" s="7"/>
      <c r="AQ1268" s="7"/>
      <c r="AR1268" s="7"/>
      <c r="AS1268" s="7"/>
      <c r="AT1268" s="7"/>
      <c r="AU1268" s="7"/>
      <c r="AV1268" s="7"/>
      <c r="AW1268" s="7"/>
      <c r="AX1268" s="7"/>
      <c r="AY1268" s="7"/>
      <c r="AZ1268" s="7"/>
      <c r="BA1268" s="7"/>
      <c r="BB1268" s="7"/>
      <c r="BC1268" s="7"/>
      <c r="BD1268" s="7"/>
      <c r="BE1268" s="7"/>
      <c r="BF1268" s="7"/>
      <c r="BG1268" s="7"/>
      <c r="BH1268" s="7"/>
      <c r="BI1268" s="7"/>
      <c r="BJ1268" s="7"/>
      <c r="BK1268" s="7"/>
      <c r="BL1268" s="7"/>
      <c r="BM1268" s="7"/>
      <c r="BN1268" s="7"/>
      <c r="BO1268" s="7"/>
      <c r="BP1268" s="7"/>
      <c r="BQ1268" s="7"/>
      <c r="BR1268" s="7"/>
      <c r="BS1268" s="7"/>
      <c r="BT1268" s="7"/>
      <c r="BU1268" s="7"/>
      <c r="BV1268" s="7"/>
      <c r="BW1268" s="7"/>
      <c r="BX1268" s="7"/>
      <c r="BY1268" s="7"/>
      <c r="BZ1268" s="7"/>
      <c r="CA1268" s="7"/>
      <c r="CB1268" s="7"/>
      <c r="CC1268" s="7"/>
      <c r="CD1268" s="7"/>
      <c r="CE1268" s="7"/>
      <c r="CF1268" s="7"/>
      <c r="CG1268" s="7"/>
    </row>
    <row r="1269" spans="3:85"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  <c r="AC1269" s="7"/>
      <c r="AD1269" s="7"/>
      <c r="AF1269" s="7"/>
      <c r="AG1269" s="7"/>
      <c r="AH1269" s="7"/>
      <c r="AI1269" s="7"/>
      <c r="AJ1269" s="7"/>
      <c r="AK1269" s="7"/>
      <c r="AL1269" s="7"/>
      <c r="AM1269" s="7"/>
      <c r="AN1269" s="7"/>
      <c r="AO1269" s="7"/>
      <c r="AP1269" s="7"/>
      <c r="AQ1269" s="7"/>
      <c r="AR1269" s="7"/>
      <c r="AS1269" s="7"/>
      <c r="AT1269" s="7"/>
      <c r="AU1269" s="7"/>
      <c r="AV1269" s="7"/>
      <c r="AW1269" s="7"/>
      <c r="AX1269" s="7"/>
      <c r="AY1269" s="7"/>
      <c r="AZ1269" s="7"/>
      <c r="BA1269" s="7"/>
      <c r="BB1269" s="7"/>
      <c r="BC1269" s="7"/>
      <c r="BD1269" s="7"/>
      <c r="BE1269" s="7"/>
      <c r="BF1269" s="7"/>
      <c r="BG1269" s="7"/>
      <c r="BH1269" s="7"/>
      <c r="BI1269" s="7"/>
      <c r="BJ1269" s="7"/>
      <c r="BK1269" s="7"/>
      <c r="BL1269" s="7"/>
      <c r="BM1269" s="7"/>
      <c r="BN1269" s="7"/>
      <c r="BO1269" s="7"/>
      <c r="BP1269" s="7"/>
      <c r="BQ1269" s="7"/>
      <c r="BR1269" s="7"/>
      <c r="BS1269" s="7"/>
      <c r="BT1269" s="7"/>
      <c r="BU1269" s="7"/>
      <c r="BV1269" s="7"/>
      <c r="BW1269" s="7"/>
      <c r="BX1269" s="7"/>
      <c r="BY1269" s="7"/>
      <c r="BZ1269" s="7"/>
      <c r="CA1269" s="7"/>
      <c r="CB1269" s="7"/>
      <c r="CC1269" s="7"/>
      <c r="CD1269" s="7"/>
      <c r="CE1269" s="7"/>
      <c r="CF1269" s="7"/>
      <c r="CG1269" s="7"/>
    </row>
    <row r="1270" spans="3:85"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  <c r="AC1270" s="7"/>
      <c r="AD1270" s="7"/>
      <c r="AF1270" s="7"/>
      <c r="AG1270" s="7"/>
      <c r="AH1270" s="7"/>
      <c r="AI1270" s="7"/>
      <c r="AJ1270" s="7"/>
      <c r="AK1270" s="7"/>
      <c r="AL1270" s="7"/>
      <c r="AM1270" s="7"/>
      <c r="AN1270" s="7"/>
      <c r="AO1270" s="7"/>
      <c r="AP1270" s="7"/>
      <c r="AQ1270" s="7"/>
      <c r="AR1270" s="7"/>
      <c r="AS1270" s="7"/>
      <c r="AT1270" s="7"/>
      <c r="AU1270" s="7"/>
      <c r="AV1270" s="7"/>
      <c r="AW1270" s="7"/>
      <c r="AX1270" s="7"/>
      <c r="AY1270" s="7"/>
      <c r="AZ1270" s="7"/>
      <c r="BA1270" s="7"/>
      <c r="BB1270" s="7"/>
      <c r="BC1270" s="7"/>
      <c r="BD1270" s="7"/>
      <c r="BE1270" s="7"/>
      <c r="BF1270" s="7"/>
      <c r="BG1270" s="7"/>
      <c r="BH1270" s="7"/>
      <c r="BI1270" s="7"/>
      <c r="BJ1270" s="7"/>
      <c r="BK1270" s="7"/>
      <c r="BL1270" s="7"/>
      <c r="BM1270" s="7"/>
      <c r="BN1270" s="7"/>
      <c r="BO1270" s="7"/>
      <c r="BP1270" s="7"/>
      <c r="BQ1270" s="7"/>
      <c r="BR1270" s="7"/>
      <c r="BS1270" s="7"/>
      <c r="BT1270" s="7"/>
      <c r="BU1270" s="7"/>
      <c r="BV1270" s="7"/>
      <c r="BW1270" s="7"/>
      <c r="BX1270" s="7"/>
      <c r="BY1270" s="7"/>
      <c r="BZ1270" s="7"/>
      <c r="CA1270" s="7"/>
      <c r="CB1270" s="7"/>
      <c r="CC1270" s="7"/>
      <c r="CD1270" s="7"/>
      <c r="CE1270" s="7"/>
      <c r="CF1270" s="7"/>
      <c r="CG1270" s="7"/>
    </row>
    <row r="1271" spans="3:85"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  <c r="AC1271" s="7"/>
      <c r="AD1271" s="7"/>
      <c r="AF1271" s="7"/>
      <c r="AG1271" s="7"/>
      <c r="AH1271" s="7"/>
      <c r="AI1271" s="7"/>
      <c r="AJ1271" s="7"/>
      <c r="AK1271" s="7"/>
      <c r="AL1271" s="7"/>
      <c r="AM1271" s="7"/>
      <c r="AN1271" s="7"/>
      <c r="AO1271" s="7"/>
      <c r="AP1271" s="7"/>
      <c r="AQ1271" s="7"/>
      <c r="AR1271" s="7"/>
      <c r="AS1271" s="7"/>
      <c r="AT1271" s="7"/>
      <c r="AU1271" s="7"/>
      <c r="AV1271" s="7"/>
      <c r="AW1271" s="7"/>
      <c r="AX1271" s="7"/>
      <c r="AY1271" s="7"/>
      <c r="AZ1271" s="7"/>
      <c r="BA1271" s="7"/>
      <c r="BB1271" s="7"/>
      <c r="BC1271" s="7"/>
      <c r="BD1271" s="7"/>
      <c r="BE1271" s="7"/>
      <c r="BF1271" s="7"/>
      <c r="BG1271" s="7"/>
      <c r="BH1271" s="7"/>
      <c r="BI1271" s="7"/>
      <c r="BJ1271" s="7"/>
      <c r="BK1271" s="7"/>
      <c r="BL1271" s="7"/>
      <c r="BM1271" s="7"/>
      <c r="BN1271" s="7"/>
      <c r="BO1271" s="7"/>
      <c r="BP1271" s="7"/>
      <c r="BQ1271" s="7"/>
      <c r="BR1271" s="7"/>
      <c r="BS1271" s="7"/>
      <c r="BT1271" s="7"/>
      <c r="BU1271" s="7"/>
      <c r="BV1271" s="7"/>
      <c r="BW1271" s="7"/>
      <c r="BX1271" s="7"/>
      <c r="BY1271" s="7"/>
      <c r="BZ1271" s="7"/>
      <c r="CA1271" s="7"/>
      <c r="CB1271" s="7"/>
      <c r="CC1271" s="7"/>
      <c r="CD1271" s="7"/>
      <c r="CE1271" s="7"/>
      <c r="CF1271" s="7"/>
      <c r="CG1271" s="7"/>
    </row>
    <row r="1272" spans="3:85"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  <c r="AC1272" s="7"/>
      <c r="AD1272" s="7"/>
      <c r="AF1272" s="7"/>
      <c r="AG1272" s="7"/>
      <c r="AH1272" s="7"/>
      <c r="AI1272" s="7"/>
      <c r="AJ1272" s="7"/>
      <c r="AK1272" s="7"/>
      <c r="AL1272" s="7"/>
      <c r="AM1272" s="7"/>
      <c r="AN1272" s="7"/>
      <c r="AO1272" s="7"/>
      <c r="AP1272" s="7"/>
      <c r="AQ1272" s="7"/>
      <c r="AR1272" s="7"/>
      <c r="AS1272" s="7"/>
      <c r="AT1272" s="7"/>
      <c r="AU1272" s="7"/>
      <c r="AV1272" s="7"/>
      <c r="AW1272" s="7"/>
      <c r="AX1272" s="7"/>
      <c r="AY1272" s="7"/>
      <c r="AZ1272" s="7"/>
      <c r="BA1272" s="7"/>
      <c r="BB1272" s="7"/>
      <c r="BC1272" s="7"/>
      <c r="BD1272" s="7"/>
      <c r="BE1272" s="7"/>
      <c r="BF1272" s="7"/>
      <c r="BG1272" s="7"/>
      <c r="BH1272" s="7"/>
      <c r="BI1272" s="7"/>
      <c r="BJ1272" s="7"/>
      <c r="BK1272" s="7"/>
      <c r="BL1272" s="7"/>
      <c r="BM1272" s="7"/>
      <c r="BN1272" s="7"/>
      <c r="BO1272" s="7"/>
      <c r="BP1272" s="7"/>
      <c r="BQ1272" s="7"/>
      <c r="BR1272" s="7"/>
      <c r="BS1272" s="7"/>
      <c r="BT1272" s="7"/>
      <c r="BU1272" s="7"/>
      <c r="BV1272" s="7"/>
      <c r="BW1272" s="7"/>
      <c r="BX1272" s="7"/>
      <c r="BY1272" s="7"/>
      <c r="BZ1272" s="7"/>
      <c r="CA1272" s="7"/>
      <c r="CB1272" s="7"/>
      <c r="CC1272" s="7"/>
      <c r="CD1272" s="7"/>
      <c r="CE1272" s="7"/>
      <c r="CF1272" s="7"/>
      <c r="CG1272" s="7"/>
    </row>
    <row r="1273" spans="3:85"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  <c r="AC1273" s="7"/>
      <c r="AD1273" s="7"/>
      <c r="AF1273" s="7"/>
      <c r="AG1273" s="7"/>
      <c r="AH1273" s="7"/>
      <c r="AI1273" s="7"/>
      <c r="AJ1273" s="7"/>
      <c r="AK1273" s="7"/>
      <c r="AL1273" s="7"/>
      <c r="AM1273" s="7"/>
      <c r="AN1273" s="7"/>
      <c r="AO1273" s="7"/>
      <c r="AP1273" s="7"/>
      <c r="AQ1273" s="7"/>
      <c r="AR1273" s="7"/>
      <c r="AS1273" s="7"/>
      <c r="AT1273" s="7"/>
      <c r="AU1273" s="7"/>
      <c r="AV1273" s="7"/>
      <c r="AW1273" s="7"/>
      <c r="AX1273" s="7"/>
      <c r="AY1273" s="7"/>
      <c r="AZ1273" s="7"/>
      <c r="BA1273" s="7"/>
      <c r="BB1273" s="7"/>
      <c r="BC1273" s="7"/>
      <c r="BD1273" s="7"/>
      <c r="BE1273" s="7"/>
      <c r="BF1273" s="7"/>
      <c r="BG1273" s="7"/>
      <c r="BH1273" s="7"/>
      <c r="BI1273" s="7"/>
      <c r="BJ1273" s="7"/>
      <c r="BK1273" s="7"/>
      <c r="BL1273" s="7"/>
      <c r="BM1273" s="7"/>
      <c r="BN1273" s="7"/>
      <c r="BO1273" s="7"/>
      <c r="BP1273" s="7"/>
      <c r="BQ1273" s="7"/>
      <c r="BR1273" s="7"/>
      <c r="BS1273" s="7"/>
      <c r="BT1273" s="7"/>
      <c r="BU1273" s="7"/>
      <c r="BV1273" s="7"/>
      <c r="BW1273" s="7"/>
      <c r="BX1273" s="7"/>
      <c r="BY1273" s="7"/>
      <c r="BZ1273" s="7"/>
      <c r="CA1273" s="7"/>
      <c r="CB1273" s="7"/>
      <c r="CC1273" s="7"/>
      <c r="CD1273" s="7"/>
      <c r="CE1273" s="7"/>
      <c r="CF1273" s="7"/>
      <c r="CG1273" s="7"/>
    </row>
    <row r="1274" spans="3:85"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  <c r="AC1274" s="7"/>
      <c r="AD1274" s="7"/>
      <c r="AF1274" s="7"/>
      <c r="AG1274" s="7"/>
      <c r="AH1274" s="7"/>
      <c r="AI1274" s="7"/>
      <c r="AJ1274" s="7"/>
      <c r="AK1274" s="7"/>
      <c r="AL1274" s="7"/>
      <c r="AM1274" s="7"/>
      <c r="AN1274" s="7"/>
      <c r="AO1274" s="7"/>
      <c r="AP1274" s="7"/>
      <c r="AQ1274" s="7"/>
      <c r="AR1274" s="7"/>
      <c r="AS1274" s="7"/>
      <c r="AT1274" s="7"/>
      <c r="AU1274" s="7"/>
      <c r="AV1274" s="7"/>
      <c r="AW1274" s="7"/>
      <c r="AX1274" s="7"/>
      <c r="AY1274" s="7"/>
      <c r="AZ1274" s="7"/>
      <c r="BA1274" s="7"/>
      <c r="BB1274" s="7"/>
      <c r="BC1274" s="7"/>
      <c r="BD1274" s="7"/>
      <c r="BE1274" s="7"/>
      <c r="BF1274" s="7"/>
      <c r="BG1274" s="7"/>
      <c r="BH1274" s="7"/>
      <c r="BI1274" s="7"/>
      <c r="BJ1274" s="7"/>
      <c r="BK1274" s="7"/>
      <c r="BL1274" s="7"/>
      <c r="BM1274" s="7"/>
      <c r="BN1274" s="7"/>
      <c r="BO1274" s="7"/>
      <c r="BP1274" s="7"/>
      <c r="BQ1274" s="7"/>
      <c r="BR1274" s="7"/>
      <c r="BS1274" s="7"/>
      <c r="BT1274" s="7"/>
      <c r="BU1274" s="7"/>
      <c r="BV1274" s="7"/>
      <c r="BW1274" s="7"/>
      <c r="BX1274" s="7"/>
      <c r="BY1274" s="7"/>
      <c r="BZ1274" s="7"/>
      <c r="CA1274" s="7"/>
      <c r="CB1274" s="7"/>
      <c r="CC1274" s="7"/>
      <c r="CD1274" s="7"/>
      <c r="CE1274" s="7"/>
      <c r="CF1274" s="7"/>
      <c r="CG1274" s="7"/>
    </row>
    <row r="1275" spans="3:85"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  <c r="AC1275" s="7"/>
      <c r="AD1275" s="7"/>
      <c r="AF1275" s="7"/>
      <c r="AG1275" s="7"/>
      <c r="AH1275" s="7"/>
      <c r="AI1275" s="7"/>
      <c r="AJ1275" s="7"/>
      <c r="AK1275" s="7"/>
      <c r="AL1275" s="7"/>
      <c r="AM1275" s="7"/>
      <c r="AN1275" s="7"/>
      <c r="AO1275" s="7"/>
      <c r="AP1275" s="7"/>
      <c r="AQ1275" s="7"/>
      <c r="AR1275" s="7"/>
      <c r="AS1275" s="7"/>
      <c r="AT1275" s="7"/>
      <c r="AU1275" s="7"/>
      <c r="AV1275" s="7"/>
      <c r="AW1275" s="7"/>
      <c r="AX1275" s="7"/>
      <c r="AY1275" s="7"/>
      <c r="AZ1275" s="7"/>
      <c r="BA1275" s="7"/>
      <c r="BB1275" s="7"/>
      <c r="BC1275" s="7"/>
      <c r="BD1275" s="7"/>
      <c r="BE1275" s="7"/>
      <c r="BF1275" s="7"/>
      <c r="BG1275" s="7"/>
      <c r="BH1275" s="7"/>
      <c r="BI1275" s="7"/>
      <c r="BJ1275" s="7"/>
      <c r="BK1275" s="7"/>
      <c r="BL1275" s="7"/>
      <c r="BM1275" s="7"/>
      <c r="BN1275" s="7"/>
      <c r="BO1275" s="7"/>
      <c r="BP1275" s="7"/>
      <c r="BQ1275" s="7"/>
      <c r="BR1275" s="7"/>
      <c r="BS1275" s="7"/>
      <c r="BT1275" s="7"/>
      <c r="BU1275" s="7"/>
      <c r="BV1275" s="7"/>
      <c r="BW1275" s="7"/>
      <c r="BX1275" s="7"/>
      <c r="BY1275" s="7"/>
      <c r="BZ1275" s="7"/>
      <c r="CA1275" s="7"/>
      <c r="CB1275" s="7"/>
      <c r="CC1275" s="7"/>
      <c r="CD1275" s="7"/>
      <c r="CE1275" s="7"/>
      <c r="CF1275" s="7"/>
      <c r="CG1275" s="7"/>
    </row>
    <row r="1276" spans="3:85"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  <c r="AC1276" s="7"/>
      <c r="AD1276" s="7"/>
      <c r="AF1276" s="7"/>
      <c r="AG1276" s="7"/>
      <c r="AH1276" s="7"/>
      <c r="AI1276" s="7"/>
      <c r="AJ1276" s="7"/>
      <c r="AK1276" s="7"/>
      <c r="AL1276" s="7"/>
      <c r="AM1276" s="7"/>
      <c r="AN1276" s="7"/>
      <c r="AO1276" s="7"/>
      <c r="AP1276" s="7"/>
      <c r="AQ1276" s="7"/>
      <c r="AR1276" s="7"/>
      <c r="AS1276" s="7"/>
      <c r="AT1276" s="7"/>
      <c r="AU1276" s="7"/>
      <c r="AV1276" s="7"/>
      <c r="AW1276" s="7"/>
      <c r="AX1276" s="7"/>
      <c r="AY1276" s="7"/>
      <c r="AZ1276" s="7"/>
      <c r="BA1276" s="7"/>
      <c r="BB1276" s="7"/>
      <c r="BC1276" s="7"/>
      <c r="BD1276" s="7"/>
      <c r="BE1276" s="7"/>
      <c r="BF1276" s="7"/>
      <c r="BG1276" s="7"/>
      <c r="BH1276" s="7"/>
      <c r="BI1276" s="7"/>
      <c r="BJ1276" s="7"/>
      <c r="BK1276" s="7"/>
      <c r="BL1276" s="7"/>
      <c r="BM1276" s="7"/>
      <c r="BN1276" s="7"/>
      <c r="BO1276" s="7"/>
      <c r="BP1276" s="7"/>
      <c r="BQ1276" s="7"/>
      <c r="BR1276" s="7"/>
      <c r="BS1276" s="7"/>
      <c r="BT1276" s="7"/>
      <c r="BU1276" s="7"/>
      <c r="BV1276" s="7"/>
      <c r="BW1276" s="7"/>
      <c r="BX1276" s="7"/>
      <c r="BY1276" s="7"/>
      <c r="BZ1276" s="7"/>
      <c r="CA1276" s="7"/>
      <c r="CB1276" s="7"/>
      <c r="CC1276" s="7"/>
      <c r="CD1276" s="7"/>
      <c r="CE1276" s="7"/>
      <c r="CF1276" s="7"/>
      <c r="CG1276" s="7"/>
    </row>
    <row r="1277" spans="3:85"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  <c r="AC1277" s="7"/>
      <c r="AD1277" s="7"/>
      <c r="AF1277" s="7"/>
      <c r="AG1277" s="7"/>
      <c r="AH1277" s="7"/>
      <c r="AI1277" s="7"/>
      <c r="AJ1277" s="7"/>
      <c r="AK1277" s="7"/>
      <c r="AL1277" s="7"/>
      <c r="AM1277" s="7"/>
      <c r="AN1277" s="7"/>
      <c r="AO1277" s="7"/>
      <c r="AP1277" s="7"/>
      <c r="AQ1277" s="7"/>
      <c r="AR1277" s="7"/>
      <c r="AS1277" s="7"/>
      <c r="AT1277" s="7"/>
      <c r="AU1277" s="7"/>
      <c r="AV1277" s="7"/>
      <c r="AW1277" s="7"/>
      <c r="AX1277" s="7"/>
      <c r="AY1277" s="7"/>
      <c r="AZ1277" s="7"/>
      <c r="BA1277" s="7"/>
      <c r="BB1277" s="7"/>
      <c r="BC1277" s="7"/>
      <c r="BD1277" s="7"/>
      <c r="BE1277" s="7"/>
      <c r="BF1277" s="7"/>
      <c r="BG1277" s="7"/>
      <c r="BH1277" s="7"/>
      <c r="BI1277" s="7"/>
      <c r="BJ1277" s="7"/>
      <c r="BK1277" s="7"/>
      <c r="BL1277" s="7"/>
      <c r="BM1277" s="7"/>
      <c r="BN1277" s="7"/>
      <c r="BO1277" s="7"/>
      <c r="BP1277" s="7"/>
      <c r="BQ1277" s="7"/>
      <c r="BR1277" s="7"/>
      <c r="BS1277" s="7"/>
      <c r="BT1277" s="7"/>
      <c r="BU1277" s="7"/>
      <c r="BV1277" s="7"/>
      <c r="BW1277" s="7"/>
      <c r="BX1277" s="7"/>
      <c r="BY1277" s="7"/>
      <c r="BZ1277" s="7"/>
      <c r="CA1277" s="7"/>
      <c r="CB1277" s="7"/>
      <c r="CC1277" s="7"/>
      <c r="CD1277" s="7"/>
      <c r="CE1277" s="7"/>
      <c r="CF1277" s="7"/>
      <c r="CG1277" s="7"/>
    </row>
    <row r="1278" spans="3:85"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  <c r="AC1278" s="7"/>
      <c r="AD1278" s="7"/>
      <c r="AF1278" s="7"/>
      <c r="AG1278" s="7"/>
      <c r="AH1278" s="7"/>
      <c r="AI1278" s="7"/>
      <c r="AJ1278" s="7"/>
      <c r="AK1278" s="7"/>
      <c r="AL1278" s="7"/>
      <c r="AM1278" s="7"/>
      <c r="AN1278" s="7"/>
      <c r="AO1278" s="7"/>
      <c r="AP1278" s="7"/>
      <c r="AQ1278" s="7"/>
      <c r="AR1278" s="7"/>
      <c r="AS1278" s="7"/>
      <c r="AT1278" s="7"/>
      <c r="AU1278" s="7"/>
      <c r="AV1278" s="7"/>
      <c r="AW1278" s="7"/>
      <c r="AX1278" s="7"/>
      <c r="AY1278" s="7"/>
      <c r="AZ1278" s="7"/>
      <c r="BA1278" s="7"/>
      <c r="BB1278" s="7"/>
      <c r="BC1278" s="7"/>
      <c r="BD1278" s="7"/>
      <c r="BE1278" s="7"/>
      <c r="BF1278" s="7"/>
      <c r="BG1278" s="7"/>
      <c r="BH1278" s="7"/>
      <c r="BI1278" s="7"/>
      <c r="BJ1278" s="7"/>
      <c r="BK1278" s="7"/>
      <c r="BL1278" s="7"/>
      <c r="BM1278" s="7"/>
      <c r="BN1278" s="7"/>
      <c r="BO1278" s="7"/>
      <c r="BP1278" s="7"/>
      <c r="BQ1278" s="7"/>
      <c r="BR1278" s="7"/>
      <c r="BS1278" s="7"/>
      <c r="BT1278" s="7"/>
      <c r="BU1278" s="7"/>
      <c r="BV1278" s="7"/>
      <c r="BW1278" s="7"/>
      <c r="BX1278" s="7"/>
      <c r="BY1278" s="7"/>
      <c r="BZ1278" s="7"/>
      <c r="CA1278" s="7"/>
      <c r="CB1278" s="7"/>
      <c r="CC1278" s="7"/>
      <c r="CD1278" s="7"/>
      <c r="CE1278" s="7"/>
      <c r="CF1278" s="7"/>
      <c r="CG1278" s="7"/>
    </row>
    <row r="1279" spans="3:85"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  <c r="AC1279" s="7"/>
      <c r="AD1279" s="7"/>
      <c r="AF1279" s="7"/>
      <c r="AG1279" s="7"/>
      <c r="AH1279" s="7"/>
      <c r="AI1279" s="7"/>
      <c r="AJ1279" s="7"/>
      <c r="AK1279" s="7"/>
      <c r="AL1279" s="7"/>
      <c r="AM1279" s="7"/>
      <c r="AN1279" s="7"/>
      <c r="AO1279" s="7"/>
      <c r="AP1279" s="7"/>
      <c r="AQ1279" s="7"/>
      <c r="AR1279" s="7"/>
      <c r="AS1279" s="7"/>
      <c r="AT1279" s="7"/>
      <c r="AU1279" s="7"/>
      <c r="AV1279" s="7"/>
      <c r="AW1279" s="7"/>
      <c r="AX1279" s="7"/>
      <c r="AY1279" s="7"/>
      <c r="AZ1279" s="7"/>
      <c r="BA1279" s="7"/>
      <c r="BB1279" s="7"/>
      <c r="BC1279" s="7"/>
      <c r="BD1279" s="7"/>
      <c r="BE1279" s="7"/>
      <c r="BF1279" s="7"/>
      <c r="BG1279" s="7"/>
      <c r="BH1279" s="7"/>
      <c r="BI1279" s="7"/>
      <c r="BJ1279" s="7"/>
      <c r="BK1279" s="7"/>
      <c r="BL1279" s="7"/>
      <c r="BM1279" s="7"/>
      <c r="BN1279" s="7"/>
      <c r="BO1279" s="7"/>
      <c r="BP1279" s="7"/>
      <c r="BQ1279" s="7"/>
      <c r="BR1279" s="7"/>
      <c r="BS1279" s="7"/>
      <c r="BT1279" s="7"/>
      <c r="BU1279" s="7"/>
      <c r="BV1279" s="7"/>
      <c r="BW1279" s="7"/>
      <c r="BX1279" s="7"/>
      <c r="BY1279" s="7"/>
      <c r="BZ1279" s="7"/>
      <c r="CA1279" s="7"/>
      <c r="CB1279" s="7"/>
      <c r="CC1279" s="7"/>
      <c r="CD1279" s="7"/>
      <c r="CE1279" s="7"/>
      <c r="CF1279" s="7"/>
      <c r="CG1279" s="7"/>
    </row>
    <row r="1280" spans="3:85"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  <c r="AC1280" s="7"/>
      <c r="AD1280" s="7"/>
      <c r="AF1280" s="7"/>
      <c r="AG1280" s="7"/>
      <c r="AH1280" s="7"/>
      <c r="AI1280" s="7"/>
      <c r="AJ1280" s="7"/>
      <c r="AK1280" s="7"/>
      <c r="AL1280" s="7"/>
      <c r="AM1280" s="7"/>
      <c r="AN1280" s="7"/>
      <c r="AO1280" s="7"/>
      <c r="AP1280" s="7"/>
      <c r="AQ1280" s="7"/>
      <c r="AR1280" s="7"/>
      <c r="AS1280" s="7"/>
      <c r="AT1280" s="7"/>
      <c r="AU1280" s="7"/>
      <c r="AV1280" s="7"/>
      <c r="AW1280" s="7"/>
      <c r="AX1280" s="7"/>
      <c r="AY1280" s="7"/>
      <c r="AZ1280" s="7"/>
      <c r="BA1280" s="7"/>
      <c r="BB1280" s="7"/>
      <c r="BC1280" s="7"/>
      <c r="BD1280" s="7"/>
      <c r="BE1280" s="7"/>
      <c r="BF1280" s="7"/>
      <c r="BG1280" s="7"/>
      <c r="BH1280" s="7"/>
      <c r="BI1280" s="7"/>
      <c r="BJ1280" s="7"/>
      <c r="BK1280" s="7"/>
      <c r="BL1280" s="7"/>
      <c r="BM1280" s="7"/>
      <c r="BN1280" s="7"/>
      <c r="BO1280" s="7"/>
      <c r="BP1280" s="7"/>
      <c r="BQ1280" s="7"/>
      <c r="BR1280" s="7"/>
      <c r="BS1280" s="7"/>
      <c r="BT1280" s="7"/>
      <c r="BU1280" s="7"/>
      <c r="BV1280" s="7"/>
      <c r="BW1280" s="7"/>
      <c r="BX1280" s="7"/>
      <c r="BY1280" s="7"/>
      <c r="BZ1280" s="7"/>
      <c r="CA1280" s="7"/>
      <c r="CB1280" s="7"/>
      <c r="CC1280" s="7"/>
      <c r="CD1280" s="7"/>
      <c r="CE1280" s="7"/>
      <c r="CF1280" s="7"/>
      <c r="CG1280" s="7"/>
    </row>
    <row r="1281" spans="3:85"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  <c r="AC1281" s="7"/>
      <c r="AD1281" s="7"/>
      <c r="AF1281" s="7"/>
      <c r="AG1281" s="7"/>
      <c r="AH1281" s="7"/>
      <c r="AI1281" s="7"/>
      <c r="AJ1281" s="7"/>
      <c r="AK1281" s="7"/>
      <c r="AL1281" s="7"/>
      <c r="AM1281" s="7"/>
      <c r="AN1281" s="7"/>
      <c r="AO1281" s="7"/>
      <c r="AP1281" s="7"/>
      <c r="AQ1281" s="7"/>
      <c r="AR1281" s="7"/>
      <c r="AS1281" s="7"/>
      <c r="AT1281" s="7"/>
      <c r="AU1281" s="7"/>
      <c r="AV1281" s="7"/>
      <c r="AW1281" s="7"/>
      <c r="AX1281" s="7"/>
      <c r="AY1281" s="7"/>
      <c r="AZ1281" s="7"/>
      <c r="BA1281" s="7"/>
      <c r="BB1281" s="7"/>
      <c r="BC1281" s="7"/>
      <c r="BD1281" s="7"/>
      <c r="BE1281" s="7"/>
      <c r="BF1281" s="7"/>
      <c r="BG1281" s="7"/>
      <c r="BH1281" s="7"/>
      <c r="BI1281" s="7"/>
      <c r="BJ1281" s="7"/>
      <c r="BK1281" s="7"/>
      <c r="BL1281" s="7"/>
      <c r="BM1281" s="7"/>
      <c r="BN1281" s="7"/>
      <c r="BO1281" s="7"/>
      <c r="BP1281" s="7"/>
      <c r="BQ1281" s="7"/>
      <c r="BR1281" s="7"/>
      <c r="BS1281" s="7"/>
      <c r="BT1281" s="7"/>
      <c r="BU1281" s="7"/>
      <c r="BV1281" s="7"/>
      <c r="BW1281" s="7"/>
      <c r="BX1281" s="7"/>
      <c r="BY1281" s="7"/>
      <c r="BZ1281" s="7"/>
      <c r="CA1281" s="7"/>
      <c r="CB1281" s="7"/>
      <c r="CC1281" s="7"/>
      <c r="CD1281" s="7"/>
      <c r="CE1281" s="7"/>
      <c r="CF1281" s="7"/>
      <c r="CG1281" s="7"/>
    </row>
    <row r="1282" spans="3:85"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  <c r="AC1282" s="7"/>
      <c r="AD1282" s="7"/>
      <c r="AF1282" s="7"/>
      <c r="AG1282" s="7"/>
      <c r="AH1282" s="7"/>
      <c r="AI1282" s="7"/>
      <c r="AJ1282" s="7"/>
      <c r="AK1282" s="7"/>
      <c r="AL1282" s="7"/>
      <c r="AM1282" s="7"/>
      <c r="AN1282" s="7"/>
      <c r="AO1282" s="7"/>
      <c r="AP1282" s="7"/>
      <c r="AQ1282" s="7"/>
      <c r="AR1282" s="7"/>
      <c r="AS1282" s="7"/>
      <c r="AT1282" s="7"/>
      <c r="AU1282" s="7"/>
      <c r="AV1282" s="7"/>
      <c r="AW1282" s="7"/>
      <c r="AX1282" s="7"/>
      <c r="AY1282" s="7"/>
      <c r="AZ1282" s="7"/>
      <c r="BA1282" s="7"/>
      <c r="BB1282" s="7"/>
      <c r="BC1282" s="7"/>
      <c r="BD1282" s="7"/>
      <c r="BE1282" s="7"/>
      <c r="BF1282" s="7"/>
      <c r="BG1282" s="7"/>
      <c r="BH1282" s="7"/>
      <c r="BI1282" s="7"/>
      <c r="BJ1282" s="7"/>
      <c r="BK1282" s="7"/>
      <c r="BL1282" s="7"/>
      <c r="BM1282" s="7"/>
      <c r="BN1282" s="7"/>
      <c r="BO1282" s="7"/>
      <c r="BP1282" s="7"/>
      <c r="BQ1282" s="7"/>
      <c r="BR1282" s="7"/>
      <c r="BS1282" s="7"/>
      <c r="BT1282" s="7"/>
      <c r="BU1282" s="7"/>
      <c r="BV1282" s="7"/>
      <c r="BW1282" s="7"/>
      <c r="BX1282" s="7"/>
      <c r="BY1282" s="7"/>
      <c r="BZ1282" s="7"/>
      <c r="CA1282" s="7"/>
      <c r="CB1282" s="7"/>
      <c r="CC1282" s="7"/>
      <c r="CD1282" s="7"/>
      <c r="CE1282" s="7"/>
      <c r="CF1282" s="7"/>
      <c r="CG1282" s="7"/>
    </row>
    <row r="1283" spans="3:85"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  <c r="AC1283" s="7"/>
      <c r="AD1283" s="7"/>
      <c r="AF1283" s="7"/>
      <c r="AG1283" s="7"/>
      <c r="AH1283" s="7"/>
      <c r="AI1283" s="7"/>
      <c r="AJ1283" s="7"/>
      <c r="AK1283" s="7"/>
      <c r="AL1283" s="7"/>
      <c r="AM1283" s="7"/>
      <c r="AN1283" s="7"/>
      <c r="AO1283" s="7"/>
      <c r="AP1283" s="7"/>
      <c r="AQ1283" s="7"/>
      <c r="AR1283" s="7"/>
      <c r="AS1283" s="7"/>
      <c r="AT1283" s="7"/>
      <c r="AU1283" s="7"/>
      <c r="AV1283" s="7"/>
      <c r="AW1283" s="7"/>
      <c r="AX1283" s="7"/>
      <c r="AY1283" s="7"/>
      <c r="AZ1283" s="7"/>
      <c r="BA1283" s="7"/>
      <c r="BB1283" s="7"/>
      <c r="BC1283" s="7"/>
      <c r="BD1283" s="7"/>
      <c r="BE1283" s="7"/>
      <c r="BF1283" s="7"/>
      <c r="BG1283" s="7"/>
      <c r="BH1283" s="7"/>
      <c r="BI1283" s="7"/>
      <c r="BJ1283" s="7"/>
      <c r="BK1283" s="7"/>
      <c r="BL1283" s="7"/>
      <c r="BM1283" s="7"/>
      <c r="BN1283" s="7"/>
      <c r="BO1283" s="7"/>
      <c r="BP1283" s="7"/>
      <c r="BQ1283" s="7"/>
      <c r="BR1283" s="7"/>
      <c r="BS1283" s="7"/>
      <c r="BT1283" s="7"/>
      <c r="BU1283" s="7"/>
      <c r="BV1283" s="7"/>
      <c r="BW1283" s="7"/>
      <c r="BX1283" s="7"/>
      <c r="BY1283" s="7"/>
      <c r="BZ1283" s="7"/>
      <c r="CA1283" s="7"/>
      <c r="CB1283" s="7"/>
      <c r="CC1283" s="7"/>
      <c r="CD1283" s="7"/>
      <c r="CE1283" s="7"/>
      <c r="CF1283" s="7"/>
      <c r="CG1283" s="7"/>
    </row>
    <row r="1284" spans="3:85"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  <c r="AC1284" s="7"/>
      <c r="AD1284" s="7"/>
      <c r="AF1284" s="7"/>
      <c r="AG1284" s="7"/>
      <c r="AH1284" s="7"/>
      <c r="AI1284" s="7"/>
      <c r="AJ1284" s="7"/>
      <c r="AK1284" s="7"/>
      <c r="AL1284" s="7"/>
      <c r="AM1284" s="7"/>
      <c r="AN1284" s="7"/>
      <c r="AO1284" s="7"/>
      <c r="AP1284" s="7"/>
      <c r="AQ1284" s="7"/>
      <c r="AR1284" s="7"/>
      <c r="AS1284" s="7"/>
      <c r="AT1284" s="7"/>
      <c r="AU1284" s="7"/>
      <c r="AV1284" s="7"/>
      <c r="AW1284" s="7"/>
      <c r="AX1284" s="7"/>
      <c r="AY1284" s="7"/>
      <c r="AZ1284" s="7"/>
      <c r="BA1284" s="7"/>
      <c r="BB1284" s="7"/>
      <c r="BC1284" s="7"/>
      <c r="BD1284" s="7"/>
      <c r="BE1284" s="7"/>
      <c r="BF1284" s="7"/>
      <c r="BG1284" s="7"/>
      <c r="BH1284" s="7"/>
      <c r="BI1284" s="7"/>
      <c r="BJ1284" s="7"/>
      <c r="BK1284" s="7"/>
      <c r="BL1284" s="7"/>
      <c r="BM1284" s="7"/>
      <c r="BN1284" s="7"/>
      <c r="BO1284" s="7"/>
      <c r="BP1284" s="7"/>
      <c r="BQ1284" s="7"/>
      <c r="BR1284" s="7"/>
      <c r="BS1284" s="7"/>
      <c r="BT1284" s="7"/>
      <c r="BU1284" s="7"/>
      <c r="BV1284" s="7"/>
      <c r="BW1284" s="7"/>
      <c r="BX1284" s="7"/>
      <c r="BY1284" s="7"/>
      <c r="BZ1284" s="7"/>
      <c r="CA1284" s="7"/>
      <c r="CB1284" s="7"/>
      <c r="CC1284" s="7"/>
      <c r="CD1284" s="7"/>
      <c r="CE1284" s="7"/>
      <c r="CF1284" s="7"/>
      <c r="CG1284" s="7"/>
    </row>
    <row r="1285" spans="3:85"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  <c r="AC1285" s="7"/>
      <c r="AD1285" s="7"/>
      <c r="AF1285" s="7"/>
      <c r="AG1285" s="7"/>
      <c r="AH1285" s="7"/>
      <c r="AI1285" s="7"/>
      <c r="AJ1285" s="7"/>
      <c r="AK1285" s="7"/>
      <c r="AL1285" s="7"/>
      <c r="AM1285" s="7"/>
      <c r="AN1285" s="7"/>
      <c r="AO1285" s="7"/>
      <c r="AP1285" s="7"/>
      <c r="AQ1285" s="7"/>
      <c r="AR1285" s="7"/>
      <c r="AS1285" s="7"/>
      <c r="AT1285" s="7"/>
      <c r="AU1285" s="7"/>
      <c r="AV1285" s="7"/>
      <c r="AW1285" s="7"/>
      <c r="AX1285" s="7"/>
      <c r="AY1285" s="7"/>
      <c r="AZ1285" s="7"/>
      <c r="BA1285" s="7"/>
      <c r="BB1285" s="7"/>
      <c r="BC1285" s="7"/>
      <c r="BD1285" s="7"/>
      <c r="BE1285" s="7"/>
      <c r="BF1285" s="7"/>
      <c r="BG1285" s="7"/>
      <c r="BH1285" s="7"/>
      <c r="BI1285" s="7"/>
      <c r="BJ1285" s="7"/>
      <c r="BK1285" s="7"/>
      <c r="BL1285" s="7"/>
      <c r="BM1285" s="7"/>
      <c r="BN1285" s="7"/>
      <c r="BO1285" s="7"/>
      <c r="BP1285" s="7"/>
      <c r="BQ1285" s="7"/>
      <c r="BR1285" s="7"/>
      <c r="BS1285" s="7"/>
      <c r="BT1285" s="7"/>
      <c r="BU1285" s="7"/>
      <c r="BV1285" s="7"/>
      <c r="BW1285" s="7"/>
      <c r="BX1285" s="7"/>
      <c r="BY1285" s="7"/>
      <c r="BZ1285" s="7"/>
      <c r="CA1285" s="7"/>
      <c r="CB1285" s="7"/>
      <c r="CC1285" s="7"/>
      <c r="CD1285" s="7"/>
      <c r="CE1285" s="7"/>
      <c r="CF1285" s="7"/>
      <c r="CG1285" s="7"/>
    </row>
    <row r="1286" spans="3:85"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  <c r="AC1286" s="7"/>
      <c r="AD1286" s="7"/>
      <c r="AF1286" s="7"/>
      <c r="AG1286" s="7"/>
      <c r="AH1286" s="7"/>
      <c r="AI1286" s="7"/>
      <c r="AJ1286" s="7"/>
      <c r="AK1286" s="7"/>
      <c r="AL1286" s="7"/>
      <c r="AM1286" s="7"/>
      <c r="AN1286" s="7"/>
      <c r="AO1286" s="7"/>
      <c r="AP1286" s="7"/>
      <c r="AQ1286" s="7"/>
      <c r="AR1286" s="7"/>
      <c r="AS1286" s="7"/>
      <c r="AT1286" s="7"/>
      <c r="AU1286" s="7"/>
      <c r="AV1286" s="7"/>
      <c r="AW1286" s="7"/>
      <c r="AX1286" s="7"/>
      <c r="AY1286" s="7"/>
      <c r="AZ1286" s="7"/>
      <c r="BA1286" s="7"/>
      <c r="BB1286" s="7"/>
      <c r="BC1286" s="7"/>
      <c r="BD1286" s="7"/>
      <c r="BE1286" s="7"/>
      <c r="BF1286" s="7"/>
      <c r="BG1286" s="7"/>
      <c r="BH1286" s="7"/>
      <c r="BI1286" s="7"/>
      <c r="BJ1286" s="7"/>
      <c r="BK1286" s="7"/>
      <c r="BL1286" s="7"/>
      <c r="BM1286" s="7"/>
      <c r="BN1286" s="7"/>
      <c r="BO1286" s="7"/>
      <c r="BP1286" s="7"/>
      <c r="BQ1286" s="7"/>
      <c r="BR1286" s="7"/>
      <c r="BS1286" s="7"/>
      <c r="BT1286" s="7"/>
      <c r="BU1286" s="7"/>
      <c r="BV1286" s="7"/>
      <c r="BW1286" s="7"/>
      <c r="BX1286" s="7"/>
      <c r="BY1286" s="7"/>
      <c r="BZ1286" s="7"/>
      <c r="CA1286" s="7"/>
      <c r="CB1286" s="7"/>
      <c r="CC1286" s="7"/>
      <c r="CD1286" s="7"/>
      <c r="CE1286" s="7"/>
      <c r="CF1286" s="7"/>
      <c r="CG1286" s="7"/>
    </row>
    <row r="1287" spans="3:85"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  <c r="AC1287" s="7"/>
      <c r="AD1287" s="7"/>
      <c r="AF1287" s="7"/>
      <c r="AG1287" s="7"/>
      <c r="AH1287" s="7"/>
      <c r="AI1287" s="7"/>
      <c r="AJ1287" s="7"/>
      <c r="AK1287" s="7"/>
      <c r="AL1287" s="7"/>
      <c r="AM1287" s="7"/>
      <c r="AN1287" s="7"/>
      <c r="AO1287" s="7"/>
      <c r="AP1287" s="7"/>
      <c r="AQ1287" s="7"/>
      <c r="AR1287" s="7"/>
      <c r="AS1287" s="7"/>
      <c r="AT1287" s="7"/>
      <c r="AU1287" s="7"/>
      <c r="AV1287" s="7"/>
      <c r="AW1287" s="7"/>
      <c r="AX1287" s="7"/>
      <c r="AY1287" s="7"/>
      <c r="AZ1287" s="7"/>
      <c r="BA1287" s="7"/>
      <c r="BB1287" s="7"/>
      <c r="BC1287" s="7"/>
      <c r="BD1287" s="7"/>
      <c r="BE1287" s="7"/>
      <c r="BF1287" s="7"/>
      <c r="BG1287" s="7"/>
      <c r="BH1287" s="7"/>
      <c r="BI1287" s="7"/>
      <c r="BJ1287" s="7"/>
      <c r="BK1287" s="7"/>
      <c r="BL1287" s="7"/>
      <c r="BM1287" s="7"/>
      <c r="BN1287" s="7"/>
      <c r="BO1287" s="7"/>
      <c r="BP1287" s="7"/>
      <c r="BQ1287" s="7"/>
      <c r="BR1287" s="7"/>
      <c r="BS1287" s="7"/>
      <c r="BT1287" s="7"/>
      <c r="BU1287" s="7"/>
      <c r="BV1287" s="7"/>
      <c r="BW1287" s="7"/>
      <c r="BX1287" s="7"/>
      <c r="BY1287" s="7"/>
      <c r="BZ1287" s="7"/>
      <c r="CA1287" s="7"/>
      <c r="CB1287" s="7"/>
      <c r="CC1287" s="7"/>
      <c r="CD1287" s="7"/>
      <c r="CE1287" s="7"/>
      <c r="CF1287" s="7"/>
      <c r="CG1287" s="7"/>
    </row>
    <row r="1288" spans="3:85"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  <c r="AC1288" s="7"/>
      <c r="AD1288" s="7"/>
      <c r="AF1288" s="7"/>
      <c r="AG1288" s="7"/>
      <c r="AH1288" s="7"/>
      <c r="AI1288" s="7"/>
      <c r="AJ1288" s="7"/>
      <c r="AK1288" s="7"/>
      <c r="AL1288" s="7"/>
      <c r="AM1288" s="7"/>
      <c r="AN1288" s="7"/>
      <c r="AO1288" s="7"/>
      <c r="AP1288" s="7"/>
      <c r="AQ1288" s="7"/>
      <c r="AR1288" s="7"/>
      <c r="AS1288" s="7"/>
      <c r="AT1288" s="7"/>
      <c r="AU1288" s="7"/>
      <c r="AV1288" s="7"/>
      <c r="AW1288" s="7"/>
      <c r="AX1288" s="7"/>
      <c r="AY1288" s="7"/>
      <c r="AZ1288" s="7"/>
      <c r="BA1288" s="7"/>
      <c r="BB1288" s="7"/>
      <c r="BC1288" s="7"/>
      <c r="BD1288" s="7"/>
      <c r="BE1288" s="7"/>
      <c r="BF1288" s="7"/>
      <c r="BG1288" s="7"/>
      <c r="BH1288" s="7"/>
      <c r="BI1288" s="7"/>
      <c r="BJ1288" s="7"/>
      <c r="BK1288" s="7"/>
      <c r="BL1288" s="7"/>
      <c r="BM1288" s="7"/>
      <c r="BN1288" s="7"/>
      <c r="BO1288" s="7"/>
      <c r="BP1288" s="7"/>
      <c r="BQ1288" s="7"/>
      <c r="BR1288" s="7"/>
      <c r="BS1288" s="7"/>
      <c r="BT1288" s="7"/>
      <c r="BU1288" s="7"/>
      <c r="BV1288" s="7"/>
      <c r="BW1288" s="7"/>
      <c r="BX1288" s="7"/>
      <c r="BY1288" s="7"/>
      <c r="BZ1288" s="7"/>
      <c r="CA1288" s="7"/>
      <c r="CB1288" s="7"/>
      <c r="CC1288" s="7"/>
      <c r="CD1288" s="7"/>
      <c r="CE1288" s="7"/>
      <c r="CF1288" s="7"/>
      <c r="CG1288" s="7"/>
    </row>
    <row r="1289" spans="3:85"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  <c r="AC1289" s="7"/>
      <c r="AD1289" s="7"/>
      <c r="AF1289" s="7"/>
      <c r="AG1289" s="7"/>
      <c r="AH1289" s="7"/>
      <c r="AI1289" s="7"/>
      <c r="AJ1289" s="7"/>
      <c r="AK1289" s="7"/>
      <c r="AL1289" s="7"/>
      <c r="AM1289" s="7"/>
      <c r="AN1289" s="7"/>
      <c r="AO1289" s="7"/>
      <c r="AP1289" s="7"/>
      <c r="AQ1289" s="7"/>
      <c r="AR1289" s="7"/>
      <c r="AS1289" s="7"/>
      <c r="AT1289" s="7"/>
      <c r="AU1289" s="7"/>
      <c r="AV1289" s="7"/>
      <c r="AW1289" s="7"/>
      <c r="AX1289" s="7"/>
      <c r="AY1289" s="7"/>
      <c r="AZ1289" s="7"/>
      <c r="BA1289" s="7"/>
      <c r="BB1289" s="7"/>
      <c r="BC1289" s="7"/>
      <c r="BD1289" s="7"/>
      <c r="BE1289" s="7"/>
      <c r="BF1289" s="7"/>
      <c r="BG1289" s="7"/>
      <c r="BH1289" s="7"/>
      <c r="BI1289" s="7"/>
      <c r="BJ1289" s="7"/>
      <c r="BK1289" s="7"/>
      <c r="BL1289" s="7"/>
      <c r="BM1289" s="7"/>
      <c r="BN1289" s="7"/>
      <c r="BO1289" s="7"/>
      <c r="BP1289" s="7"/>
      <c r="BQ1289" s="7"/>
      <c r="BR1289" s="7"/>
      <c r="BS1289" s="7"/>
      <c r="BT1289" s="7"/>
      <c r="BU1289" s="7"/>
      <c r="BV1289" s="7"/>
      <c r="BW1289" s="7"/>
      <c r="BX1289" s="7"/>
      <c r="BY1289" s="7"/>
      <c r="BZ1289" s="7"/>
      <c r="CA1289" s="7"/>
      <c r="CB1289" s="7"/>
      <c r="CC1289" s="7"/>
      <c r="CD1289" s="7"/>
      <c r="CE1289" s="7"/>
      <c r="CF1289" s="7"/>
      <c r="CG1289" s="7"/>
    </row>
    <row r="1290" spans="3:85"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  <c r="AC1290" s="7"/>
      <c r="AD1290" s="7"/>
      <c r="AF1290" s="7"/>
      <c r="AG1290" s="7"/>
      <c r="AH1290" s="7"/>
      <c r="AI1290" s="7"/>
      <c r="AJ1290" s="7"/>
      <c r="AK1290" s="7"/>
      <c r="AL1290" s="7"/>
      <c r="AM1290" s="7"/>
      <c r="AN1290" s="7"/>
      <c r="AO1290" s="7"/>
      <c r="AP1290" s="7"/>
      <c r="AQ1290" s="7"/>
      <c r="AR1290" s="7"/>
      <c r="AS1290" s="7"/>
      <c r="AT1290" s="7"/>
      <c r="AU1290" s="7"/>
      <c r="AV1290" s="7"/>
      <c r="AW1290" s="7"/>
      <c r="AX1290" s="7"/>
      <c r="AY1290" s="7"/>
      <c r="AZ1290" s="7"/>
      <c r="BA1290" s="7"/>
      <c r="BB1290" s="7"/>
      <c r="BC1290" s="7"/>
      <c r="BD1290" s="7"/>
      <c r="BE1290" s="7"/>
      <c r="BF1290" s="7"/>
      <c r="BG1290" s="7"/>
      <c r="BH1290" s="7"/>
      <c r="BI1290" s="7"/>
      <c r="BJ1290" s="7"/>
      <c r="BK1290" s="7"/>
      <c r="BL1290" s="7"/>
      <c r="BM1290" s="7"/>
      <c r="BN1290" s="7"/>
      <c r="BO1290" s="7"/>
      <c r="BP1290" s="7"/>
      <c r="BQ1290" s="7"/>
      <c r="BR1290" s="7"/>
      <c r="BS1290" s="7"/>
      <c r="BT1290" s="7"/>
      <c r="BU1290" s="7"/>
      <c r="BV1290" s="7"/>
      <c r="BW1290" s="7"/>
      <c r="BX1290" s="7"/>
      <c r="BY1290" s="7"/>
      <c r="BZ1290" s="7"/>
      <c r="CA1290" s="7"/>
      <c r="CB1290" s="7"/>
      <c r="CC1290" s="7"/>
      <c r="CD1290" s="7"/>
      <c r="CE1290" s="7"/>
      <c r="CF1290" s="7"/>
      <c r="CG1290" s="7"/>
    </row>
    <row r="1291" spans="3:85"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  <c r="AC1291" s="7"/>
      <c r="AD1291" s="7"/>
      <c r="AF1291" s="7"/>
      <c r="AG1291" s="7"/>
      <c r="AH1291" s="7"/>
      <c r="AI1291" s="7"/>
      <c r="AJ1291" s="7"/>
      <c r="AK1291" s="7"/>
      <c r="AL1291" s="7"/>
      <c r="AM1291" s="7"/>
      <c r="AN1291" s="7"/>
      <c r="AO1291" s="7"/>
      <c r="AP1291" s="7"/>
      <c r="AQ1291" s="7"/>
      <c r="AR1291" s="7"/>
      <c r="AS1291" s="7"/>
      <c r="AT1291" s="7"/>
      <c r="AU1291" s="7"/>
      <c r="AV1291" s="7"/>
      <c r="AW1291" s="7"/>
      <c r="AX1291" s="7"/>
      <c r="AY1291" s="7"/>
      <c r="AZ1291" s="7"/>
      <c r="BA1291" s="7"/>
      <c r="BB1291" s="7"/>
      <c r="BC1291" s="7"/>
      <c r="BD1291" s="7"/>
      <c r="BE1291" s="7"/>
      <c r="BF1291" s="7"/>
      <c r="BG1291" s="7"/>
      <c r="BH1291" s="7"/>
      <c r="BI1291" s="7"/>
      <c r="BJ1291" s="7"/>
      <c r="BK1291" s="7"/>
      <c r="BL1291" s="7"/>
      <c r="BM1291" s="7"/>
      <c r="BN1291" s="7"/>
      <c r="BO1291" s="7"/>
      <c r="BP1291" s="7"/>
      <c r="BQ1291" s="7"/>
      <c r="BR1291" s="7"/>
      <c r="BS1291" s="7"/>
      <c r="BT1291" s="7"/>
      <c r="BU1291" s="7"/>
      <c r="BV1291" s="7"/>
      <c r="BW1291" s="7"/>
      <c r="BX1291" s="7"/>
      <c r="BY1291" s="7"/>
      <c r="BZ1291" s="7"/>
      <c r="CA1291" s="7"/>
      <c r="CB1291" s="7"/>
      <c r="CC1291" s="7"/>
      <c r="CD1291" s="7"/>
      <c r="CE1291" s="7"/>
      <c r="CF1291" s="7"/>
      <c r="CG1291" s="7"/>
    </row>
    <row r="1292" spans="3:85"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  <c r="AC1292" s="7"/>
      <c r="AD1292" s="7"/>
      <c r="AF1292" s="7"/>
      <c r="AG1292" s="7"/>
      <c r="AH1292" s="7"/>
      <c r="AI1292" s="7"/>
      <c r="AJ1292" s="7"/>
      <c r="AK1292" s="7"/>
      <c r="AL1292" s="7"/>
      <c r="AM1292" s="7"/>
      <c r="AN1292" s="7"/>
      <c r="AO1292" s="7"/>
      <c r="AP1292" s="7"/>
      <c r="AQ1292" s="7"/>
      <c r="AR1292" s="7"/>
      <c r="AS1292" s="7"/>
      <c r="AT1292" s="7"/>
      <c r="AU1292" s="7"/>
      <c r="AV1292" s="7"/>
      <c r="AW1292" s="7"/>
      <c r="AX1292" s="7"/>
      <c r="AY1292" s="7"/>
      <c r="AZ1292" s="7"/>
      <c r="BA1292" s="7"/>
      <c r="BB1292" s="7"/>
      <c r="BC1292" s="7"/>
      <c r="BD1292" s="7"/>
      <c r="BE1292" s="7"/>
      <c r="BF1292" s="7"/>
      <c r="BG1292" s="7"/>
      <c r="BH1292" s="7"/>
      <c r="BI1292" s="7"/>
      <c r="BJ1292" s="7"/>
      <c r="BK1292" s="7"/>
      <c r="BL1292" s="7"/>
      <c r="BM1292" s="7"/>
      <c r="BN1292" s="7"/>
      <c r="BO1292" s="7"/>
      <c r="BP1292" s="7"/>
      <c r="BQ1292" s="7"/>
      <c r="BR1292" s="7"/>
      <c r="BS1292" s="7"/>
      <c r="BT1292" s="7"/>
      <c r="BU1292" s="7"/>
      <c r="BV1292" s="7"/>
      <c r="BW1292" s="7"/>
      <c r="BX1292" s="7"/>
      <c r="BY1292" s="7"/>
      <c r="BZ1292" s="7"/>
      <c r="CA1292" s="7"/>
      <c r="CB1292" s="7"/>
      <c r="CC1292" s="7"/>
      <c r="CD1292" s="7"/>
      <c r="CE1292" s="7"/>
      <c r="CF1292" s="7"/>
      <c r="CG1292" s="7"/>
    </row>
    <row r="1293" spans="3:85"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  <c r="AC1293" s="7"/>
      <c r="AD1293" s="7"/>
      <c r="AF1293" s="7"/>
      <c r="AG1293" s="7"/>
      <c r="AH1293" s="7"/>
      <c r="AI1293" s="7"/>
      <c r="AJ1293" s="7"/>
      <c r="AK1293" s="7"/>
      <c r="AL1293" s="7"/>
      <c r="AM1293" s="7"/>
      <c r="AN1293" s="7"/>
      <c r="AO1293" s="7"/>
      <c r="AP1293" s="7"/>
      <c r="AQ1293" s="7"/>
      <c r="AR1293" s="7"/>
      <c r="AS1293" s="7"/>
      <c r="AT1293" s="7"/>
      <c r="AU1293" s="7"/>
      <c r="AV1293" s="7"/>
      <c r="AW1293" s="7"/>
      <c r="AX1293" s="7"/>
      <c r="AY1293" s="7"/>
      <c r="AZ1293" s="7"/>
      <c r="BA1293" s="7"/>
      <c r="BB1293" s="7"/>
      <c r="BC1293" s="7"/>
      <c r="BD1293" s="7"/>
      <c r="BE1293" s="7"/>
      <c r="BF1293" s="7"/>
      <c r="BG1293" s="7"/>
      <c r="BH1293" s="7"/>
      <c r="BI1293" s="7"/>
      <c r="BJ1293" s="7"/>
      <c r="BK1293" s="7"/>
      <c r="BL1293" s="7"/>
      <c r="BM1293" s="7"/>
      <c r="BN1293" s="7"/>
      <c r="BO1293" s="7"/>
      <c r="BP1293" s="7"/>
      <c r="BQ1293" s="7"/>
      <c r="BR1293" s="7"/>
      <c r="BS1293" s="7"/>
      <c r="BT1293" s="7"/>
      <c r="BU1293" s="7"/>
      <c r="BV1293" s="7"/>
      <c r="BW1293" s="7"/>
      <c r="BX1293" s="7"/>
      <c r="BY1293" s="7"/>
      <c r="BZ1293" s="7"/>
      <c r="CA1293" s="7"/>
      <c r="CB1293" s="7"/>
      <c r="CC1293" s="7"/>
      <c r="CD1293" s="7"/>
      <c r="CE1293" s="7"/>
      <c r="CF1293" s="7"/>
      <c r="CG1293" s="7"/>
    </row>
    <row r="1294" spans="3:85"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  <c r="AC1294" s="7"/>
      <c r="AD1294" s="7"/>
      <c r="AF1294" s="7"/>
      <c r="AG1294" s="7"/>
      <c r="AH1294" s="7"/>
      <c r="AI1294" s="7"/>
      <c r="AJ1294" s="7"/>
      <c r="AK1294" s="7"/>
      <c r="AL1294" s="7"/>
      <c r="AM1294" s="7"/>
      <c r="AN1294" s="7"/>
      <c r="AO1294" s="7"/>
      <c r="AP1294" s="7"/>
      <c r="AQ1294" s="7"/>
      <c r="AR1294" s="7"/>
      <c r="AS1294" s="7"/>
      <c r="AT1294" s="7"/>
      <c r="AU1294" s="7"/>
      <c r="AV1294" s="7"/>
      <c r="AW1294" s="7"/>
      <c r="AX1294" s="7"/>
      <c r="AY1294" s="7"/>
      <c r="AZ1294" s="7"/>
      <c r="BA1294" s="7"/>
      <c r="BB1294" s="7"/>
      <c r="BC1294" s="7"/>
      <c r="BD1294" s="7"/>
      <c r="BE1294" s="7"/>
      <c r="BF1294" s="7"/>
      <c r="BG1294" s="7"/>
      <c r="BH1294" s="7"/>
      <c r="BI1294" s="7"/>
      <c r="BJ1294" s="7"/>
      <c r="BK1294" s="7"/>
      <c r="BL1294" s="7"/>
      <c r="BM1294" s="7"/>
      <c r="BN1294" s="7"/>
      <c r="BO1294" s="7"/>
      <c r="BP1294" s="7"/>
      <c r="BQ1294" s="7"/>
      <c r="BR1294" s="7"/>
      <c r="BS1294" s="7"/>
      <c r="BT1294" s="7"/>
      <c r="BU1294" s="7"/>
      <c r="BV1294" s="7"/>
      <c r="BW1294" s="7"/>
      <c r="BX1294" s="7"/>
      <c r="BY1294" s="7"/>
      <c r="BZ1294" s="7"/>
      <c r="CA1294" s="7"/>
      <c r="CB1294" s="7"/>
      <c r="CC1294" s="7"/>
      <c r="CD1294" s="7"/>
      <c r="CE1294" s="7"/>
      <c r="CF1294" s="7"/>
      <c r="CG1294" s="7"/>
    </row>
    <row r="1295" spans="3:85"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  <c r="AC1295" s="7"/>
      <c r="AD1295" s="7"/>
      <c r="AF1295" s="7"/>
      <c r="AG1295" s="7"/>
      <c r="AH1295" s="7"/>
      <c r="AI1295" s="7"/>
      <c r="AJ1295" s="7"/>
      <c r="AK1295" s="7"/>
      <c r="AL1295" s="7"/>
      <c r="AM1295" s="7"/>
      <c r="AN1295" s="7"/>
      <c r="AO1295" s="7"/>
      <c r="AP1295" s="7"/>
      <c r="AQ1295" s="7"/>
      <c r="AR1295" s="7"/>
      <c r="AS1295" s="7"/>
      <c r="AT1295" s="7"/>
      <c r="AU1295" s="7"/>
      <c r="AV1295" s="7"/>
      <c r="AW1295" s="7"/>
      <c r="AX1295" s="7"/>
      <c r="AY1295" s="7"/>
      <c r="AZ1295" s="7"/>
      <c r="BA1295" s="7"/>
      <c r="BB1295" s="7"/>
      <c r="BC1295" s="7"/>
      <c r="BD1295" s="7"/>
      <c r="BE1295" s="7"/>
      <c r="BF1295" s="7"/>
      <c r="BG1295" s="7"/>
      <c r="BH1295" s="7"/>
      <c r="BI1295" s="7"/>
      <c r="BJ1295" s="7"/>
      <c r="BK1295" s="7"/>
      <c r="BL1295" s="7"/>
      <c r="BM1295" s="7"/>
      <c r="BN1295" s="7"/>
      <c r="BO1295" s="7"/>
      <c r="BP1295" s="7"/>
      <c r="BQ1295" s="7"/>
      <c r="BR1295" s="7"/>
      <c r="BS1295" s="7"/>
      <c r="BT1295" s="7"/>
      <c r="BU1295" s="7"/>
      <c r="BV1295" s="7"/>
      <c r="BW1295" s="7"/>
      <c r="BX1295" s="7"/>
      <c r="BY1295" s="7"/>
      <c r="BZ1295" s="7"/>
      <c r="CA1295" s="7"/>
      <c r="CB1295" s="7"/>
      <c r="CC1295" s="7"/>
      <c r="CD1295" s="7"/>
      <c r="CE1295" s="7"/>
      <c r="CF1295" s="7"/>
      <c r="CG1295" s="7"/>
    </row>
    <row r="1296" spans="3:85"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  <c r="AC1296" s="7"/>
      <c r="AD1296" s="7"/>
      <c r="AF1296" s="7"/>
      <c r="AG1296" s="7"/>
      <c r="AH1296" s="7"/>
      <c r="AI1296" s="7"/>
      <c r="AJ1296" s="7"/>
      <c r="AK1296" s="7"/>
      <c r="AL1296" s="7"/>
      <c r="AM1296" s="7"/>
      <c r="AN1296" s="7"/>
      <c r="AO1296" s="7"/>
      <c r="AP1296" s="7"/>
      <c r="AQ1296" s="7"/>
      <c r="AR1296" s="7"/>
      <c r="AS1296" s="7"/>
      <c r="AT1296" s="7"/>
      <c r="AU1296" s="7"/>
      <c r="AV1296" s="7"/>
      <c r="AW1296" s="7"/>
      <c r="AX1296" s="7"/>
      <c r="AY1296" s="7"/>
      <c r="AZ1296" s="7"/>
      <c r="BA1296" s="7"/>
      <c r="BB1296" s="7"/>
      <c r="BC1296" s="7"/>
      <c r="BD1296" s="7"/>
      <c r="BE1296" s="7"/>
      <c r="BF1296" s="7"/>
      <c r="BG1296" s="7"/>
      <c r="BH1296" s="7"/>
      <c r="BI1296" s="7"/>
      <c r="BJ1296" s="7"/>
      <c r="BK1296" s="7"/>
      <c r="BL1296" s="7"/>
      <c r="BM1296" s="7"/>
      <c r="BN1296" s="7"/>
      <c r="BO1296" s="7"/>
      <c r="BP1296" s="7"/>
      <c r="BQ1296" s="7"/>
      <c r="BR1296" s="7"/>
      <c r="BS1296" s="7"/>
      <c r="BT1296" s="7"/>
      <c r="BU1296" s="7"/>
      <c r="BV1296" s="7"/>
      <c r="BW1296" s="7"/>
      <c r="BX1296" s="7"/>
      <c r="BY1296" s="7"/>
      <c r="BZ1296" s="7"/>
      <c r="CA1296" s="7"/>
      <c r="CB1296" s="7"/>
      <c r="CC1296" s="7"/>
      <c r="CD1296" s="7"/>
      <c r="CE1296" s="7"/>
      <c r="CF1296" s="7"/>
      <c r="CG1296" s="7"/>
    </row>
    <row r="1297" spans="3:85"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  <c r="AC1297" s="7"/>
      <c r="AD1297" s="7"/>
      <c r="AF1297" s="7"/>
      <c r="AG1297" s="7"/>
      <c r="AH1297" s="7"/>
      <c r="AI1297" s="7"/>
      <c r="AJ1297" s="7"/>
      <c r="AK1297" s="7"/>
      <c r="AL1297" s="7"/>
      <c r="AM1297" s="7"/>
      <c r="AN1297" s="7"/>
      <c r="AO1297" s="7"/>
      <c r="AP1297" s="7"/>
      <c r="AQ1297" s="7"/>
      <c r="AR1297" s="7"/>
      <c r="AS1297" s="7"/>
      <c r="AT1297" s="7"/>
      <c r="AU1297" s="7"/>
      <c r="AV1297" s="7"/>
      <c r="AW1297" s="7"/>
      <c r="AX1297" s="7"/>
      <c r="AY1297" s="7"/>
      <c r="AZ1297" s="7"/>
      <c r="BA1297" s="7"/>
      <c r="BB1297" s="7"/>
      <c r="BC1297" s="7"/>
      <c r="BD1297" s="7"/>
      <c r="BE1297" s="7"/>
      <c r="BF1297" s="7"/>
      <c r="BG1297" s="7"/>
      <c r="BH1297" s="7"/>
      <c r="BI1297" s="7"/>
      <c r="BJ1297" s="7"/>
      <c r="BK1297" s="7"/>
      <c r="BL1297" s="7"/>
      <c r="BM1297" s="7"/>
      <c r="BN1297" s="7"/>
      <c r="BO1297" s="7"/>
      <c r="BP1297" s="7"/>
      <c r="BQ1297" s="7"/>
      <c r="BR1297" s="7"/>
      <c r="BS1297" s="7"/>
      <c r="BT1297" s="7"/>
      <c r="BU1297" s="7"/>
      <c r="BV1297" s="7"/>
      <c r="BW1297" s="7"/>
      <c r="BX1297" s="7"/>
      <c r="BY1297" s="7"/>
      <c r="BZ1297" s="7"/>
      <c r="CA1297" s="7"/>
      <c r="CB1297" s="7"/>
      <c r="CC1297" s="7"/>
      <c r="CD1297" s="7"/>
      <c r="CE1297" s="7"/>
      <c r="CF1297" s="7"/>
      <c r="CG1297" s="7"/>
    </row>
    <row r="1298" spans="3:85"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  <c r="AC1298" s="7"/>
      <c r="AD1298" s="7"/>
      <c r="AF1298" s="7"/>
      <c r="AG1298" s="7"/>
      <c r="AH1298" s="7"/>
      <c r="AI1298" s="7"/>
      <c r="AJ1298" s="7"/>
      <c r="AK1298" s="7"/>
      <c r="AL1298" s="7"/>
      <c r="AM1298" s="7"/>
      <c r="AN1298" s="7"/>
      <c r="AO1298" s="7"/>
      <c r="AP1298" s="7"/>
      <c r="AQ1298" s="7"/>
      <c r="AR1298" s="7"/>
      <c r="AS1298" s="7"/>
      <c r="AT1298" s="7"/>
      <c r="AU1298" s="7"/>
      <c r="AV1298" s="7"/>
      <c r="AW1298" s="7"/>
      <c r="AX1298" s="7"/>
      <c r="AY1298" s="7"/>
      <c r="AZ1298" s="7"/>
      <c r="BA1298" s="7"/>
      <c r="BB1298" s="7"/>
      <c r="BC1298" s="7"/>
      <c r="BD1298" s="7"/>
      <c r="BE1298" s="7"/>
      <c r="BF1298" s="7"/>
      <c r="BG1298" s="7"/>
      <c r="BH1298" s="7"/>
      <c r="BI1298" s="7"/>
      <c r="BJ1298" s="7"/>
      <c r="BK1298" s="7"/>
      <c r="BL1298" s="7"/>
      <c r="BM1298" s="7"/>
      <c r="BN1298" s="7"/>
      <c r="BO1298" s="7"/>
      <c r="BP1298" s="7"/>
      <c r="BQ1298" s="7"/>
      <c r="BR1298" s="7"/>
      <c r="BS1298" s="7"/>
      <c r="BT1298" s="7"/>
      <c r="BU1298" s="7"/>
      <c r="BV1298" s="7"/>
      <c r="BW1298" s="7"/>
      <c r="BX1298" s="7"/>
      <c r="BY1298" s="7"/>
      <c r="BZ1298" s="7"/>
      <c r="CA1298" s="7"/>
      <c r="CB1298" s="7"/>
      <c r="CC1298" s="7"/>
      <c r="CD1298" s="7"/>
      <c r="CE1298" s="7"/>
      <c r="CF1298" s="7"/>
      <c r="CG1298" s="7"/>
    </row>
    <row r="1299" spans="3:85"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  <c r="AC1299" s="7"/>
      <c r="AD1299" s="7"/>
      <c r="AF1299" s="7"/>
      <c r="AG1299" s="7"/>
      <c r="AH1299" s="7"/>
      <c r="AI1299" s="7"/>
      <c r="AJ1299" s="7"/>
      <c r="AK1299" s="7"/>
      <c r="AL1299" s="7"/>
      <c r="AM1299" s="7"/>
      <c r="AN1299" s="7"/>
      <c r="AO1299" s="7"/>
      <c r="AP1299" s="7"/>
      <c r="AQ1299" s="7"/>
      <c r="AR1299" s="7"/>
      <c r="AS1299" s="7"/>
      <c r="AT1299" s="7"/>
      <c r="AU1299" s="7"/>
      <c r="AV1299" s="7"/>
      <c r="AW1299" s="7"/>
      <c r="AX1299" s="7"/>
      <c r="AY1299" s="7"/>
      <c r="AZ1299" s="7"/>
      <c r="BA1299" s="7"/>
      <c r="BB1299" s="7"/>
      <c r="BC1299" s="7"/>
      <c r="BD1299" s="7"/>
      <c r="BE1299" s="7"/>
      <c r="BF1299" s="7"/>
      <c r="BG1299" s="7"/>
      <c r="BH1299" s="7"/>
      <c r="BI1299" s="7"/>
      <c r="BJ1299" s="7"/>
      <c r="BK1299" s="7"/>
      <c r="BL1299" s="7"/>
      <c r="BM1299" s="7"/>
      <c r="BN1299" s="7"/>
      <c r="BO1299" s="7"/>
      <c r="BP1299" s="7"/>
      <c r="BQ1299" s="7"/>
      <c r="BR1299" s="7"/>
      <c r="BS1299" s="7"/>
      <c r="BT1299" s="7"/>
      <c r="BU1299" s="7"/>
      <c r="BV1299" s="7"/>
      <c r="BW1299" s="7"/>
      <c r="BX1299" s="7"/>
      <c r="BY1299" s="7"/>
      <c r="BZ1299" s="7"/>
      <c r="CA1299" s="7"/>
      <c r="CB1299" s="7"/>
      <c r="CC1299" s="7"/>
      <c r="CD1299" s="7"/>
      <c r="CE1299" s="7"/>
      <c r="CF1299" s="7"/>
      <c r="CG1299" s="7"/>
    </row>
    <row r="1300" spans="3:85"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  <c r="AC1300" s="7"/>
      <c r="AD1300" s="7"/>
      <c r="AF1300" s="7"/>
      <c r="AG1300" s="7"/>
      <c r="AH1300" s="7"/>
      <c r="AI1300" s="7"/>
      <c r="AJ1300" s="7"/>
      <c r="AK1300" s="7"/>
      <c r="AL1300" s="7"/>
      <c r="AM1300" s="7"/>
      <c r="AN1300" s="7"/>
      <c r="AO1300" s="7"/>
      <c r="AP1300" s="7"/>
      <c r="AQ1300" s="7"/>
      <c r="AR1300" s="7"/>
      <c r="AS1300" s="7"/>
      <c r="AT1300" s="7"/>
      <c r="AU1300" s="7"/>
      <c r="AV1300" s="7"/>
      <c r="AW1300" s="7"/>
      <c r="AX1300" s="7"/>
      <c r="AY1300" s="7"/>
      <c r="AZ1300" s="7"/>
      <c r="BA1300" s="7"/>
      <c r="BB1300" s="7"/>
      <c r="BC1300" s="7"/>
      <c r="BD1300" s="7"/>
      <c r="BE1300" s="7"/>
      <c r="BF1300" s="7"/>
      <c r="BG1300" s="7"/>
      <c r="BH1300" s="7"/>
      <c r="BI1300" s="7"/>
      <c r="BJ1300" s="7"/>
      <c r="BK1300" s="7"/>
      <c r="BL1300" s="7"/>
      <c r="BM1300" s="7"/>
      <c r="BN1300" s="7"/>
      <c r="BO1300" s="7"/>
      <c r="BP1300" s="7"/>
      <c r="BQ1300" s="7"/>
      <c r="BR1300" s="7"/>
      <c r="BS1300" s="7"/>
      <c r="BT1300" s="7"/>
      <c r="BU1300" s="7"/>
      <c r="BV1300" s="7"/>
      <c r="BW1300" s="7"/>
      <c r="BX1300" s="7"/>
      <c r="BY1300" s="7"/>
      <c r="BZ1300" s="7"/>
      <c r="CA1300" s="7"/>
      <c r="CB1300" s="7"/>
      <c r="CC1300" s="7"/>
      <c r="CD1300" s="7"/>
      <c r="CE1300" s="7"/>
      <c r="CF1300" s="7"/>
      <c r="CG1300" s="7"/>
    </row>
    <row r="1301" spans="3:85"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  <c r="AC1301" s="7"/>
      <c r="AD1301" s="7"/>
      <c r="AF1301" s="7"/>
      <c r="AG1301" s="7"/>
      <c r="AH1301" s="7"/>
      <c r="AI1301" s="7"/>
      <c r="AJ1301" s="7"/>
      <c r="AK1301" s="7"/>
      <c r="AL1301" s="7"/>
      <c r="AM1301" s="7"/>
      <c r="AN1301" s="7"/>
      <c r="AO1301" s="7"/>
      <c r="AP1301" s="7"/>
      <c r="AQ1301" s="7"/>
      <c r="AR1301" s="7"/>
      <c r="AS1301" s="7"/>
      <c r="AT1301" s="7"/>
      <c r="AU1301" s="7"/>
      <c r="AV1301" s="7"/>
      <c r="AW1301" s="7"/>
      <c r="AX1301" s="7"/>
      <c r="AY1301" s="7"/>
      <c r="AZ1301" s="7"/>
      <c r="BA1301" s="7"/>
      <c r="BB1301" s="7"/>
      <c r="BC1301" s="7"/>
      <c r="BD1301" s="7"/>
      <c r="BE1301" s="7"/>
      <c r="BF1301" s="7"/>
      <c r="BG1301" s="7"/>
      <c r="BH1301" s="7"/>
      <c r="BI1301" s="7"/>
      <c r="BJ1301" s="7"/>
      <c r="BK1301" s="7"/>
      <c r="BL1301" s="7"/>
      <c r="BM1301" s="7"/>
      <c r="BN1301" s="7"/>
      <c r="BO1301" s="7"/>
      <c r="BP1301" s="7"/>
      <c r="BQ1301" s="7"/>
      <c r="BR1301" s="7"/>
      <c r="BS1301" s="7"/>
      <c r="BT1301" s="7"/>
      <c r="BU1301" s="7"/>
      <c r="BV1301" s="7"/>
      <c r="BW1301" s="7"/>
      <c r="BX1301" s="7"/>
      <c r="BY1301" s="7"/>
      <c r="BZ1301" s="7"/>
      <c r="CA1301" s="7"/>
      <c r="CB1301" s="7"/>
      <c r="CC1301" s="7"/>
      <c r="CD1301" s="7"/>
      <c r="CE1301" s="7"/>
      <c r="CF1301" s="7"/>
      <c r="CG1301" s="7"/>
    </row>
    <row r="1302" spans="3:85"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  <c r="AC1302" s="7"/>
      <c r="AD1302" s="7"/>
      <c r="AF1302" s="7"/>
      <c r="AG1302" s="7"/>
      <c r="AH1302" s="7"/>
      <c r="AI1302" s="7"/>
      <c r="AJ1302" s="7"/>
      <c r="AK1302" s="7"/>
      <c r="AL1302" s="7"/>
      <c r="AM1302" s="7"/>
      <c r="AN1302" s="7"/>
      <c r="AO1302" s="7"/>
      <c r="AP1302" s="7"/>
      <c r="AQ1302" s="7"/>
      <c r="AR1302" s="7"/>
      <c r="AS1302" s="7"/>
      <c r="AT1302" s="7"/>
      <c r="AU1302" s="7"/>
      <c r="AV1302" s="7"/>
      <c r="AW1302" s="7"/>
      <c r="AX1302" s="7"/>
      <c r="AY1302" s="7"/>
      <c r="AZ1302" s="7"/>
      <c r="BA1302" s="7"/>
      <c r="BB1302" s="7"/>
      <c r="BC1302" s="7"/>
      <c r="BD1302" s="7"/>
      <c r="BE1302" s="7"/>
      <c r="BF1302" s="7"/>
      <c r="BG1302" s="7"/>
      <c r="BH1302" s="7"/>
      <c r="BI1302" s="7"/>
      <c r="BJ1302" s="7"/>
      <c r="BK1302" s="7"/>
      <c r="BL1302" s="7"/>
      <c r="BM1302" s="7"/>
      <c r="BN1302" s="7"/>
      <c r="BO1302" s="7"/>
      <c r="BP1302" s="7"/>
      <c r="BQ1302" s="7"/>
      <c r="BR1302" s="7"/>
      <c r="BS1302" s="7"/>
      <c r="BT1302" s="7"/>
      <c r="BU1302" s="7"/>
      <c r="BV1302" s="7"/>
      <c r="BW1302" s="7"/>
      <c r="BX1302" s="7"/>
      <c r="BY1302" s="7"/>
      <c r="BZ1302" s="7"/>
      <c r="CA1302" s="7"/>
      <c r="CB1302" s="7"/>
      <c r="CC1302" s="7"/>
      <c r="CD1302" s="7"/>
      <c r="CE1302" s="7"/>
      <c r="CF1302" s="7"/>
      <c r="CG1302" s="7"/>
    </row>
    <row r="1303" spans="3:85"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  <c r="AC1303" s="7"/>
      <c r="AD1303" s="7"/>
      <c r="AF1303" s="7"/>
      <c r="AG1303" s="7"/>
      <c r="AH1303" s="7"/>
      <c r="AI1303" s="7"/>
      <c r="AJ1303" s="7"/>
      <c r="AK1303" s="7"/>
      <c r="AL1303" s="7"/>
      <c r="AM1303" s="7"/>
      <c r="AN1303" s="7"/>
      <c r="AO1303" s="7"/>
      <c r="AP1303" s="7"/>
      <c r="AQ1303" s="7"/>
      <c r="AR1303" s="7"/>
      <c r="AS1303" s="7"/>
      <c r="AT1303" s="7"/>
      <c r="AU1303" s="7"/>
      <c r="AV1303" s="7"/>
      <c r="AW1303" s="7"/>
      <c r="AX1303" s="7"/>
      <c r="AY1303" s="7"/>
      <c r="AZ1303" s="7"/>
      <c r="BA1303" s="7"/>
      <c r="BB1303" s="7"/>
      <c r="BC1303" s="7"/>
      <c r="BD1303" s="7"/>
      <c r="BE1303" s="7"/>
      <c r="BF1303" s="7"/>
      <c r="BG1303" s="7"/>
      <c r="BH1303" s="7"/>
      <c r="BI1303" s="7"/>
      <c r="BJ1303" s="7"/>
      <c r="BK1303" s="7"/>
      <c r="BL1303" s="7"/>
      <c r="BM1303" s="7"/>
      <c r="BN1303" s="7"/>
      <c r="BO1303" s="7"/>
      <c r="BP1303" s="7"/>
      <c r="BQ1303" s="7"/>
      <c r="BR1303" s="7"/>
      <c r="BS1303" s="7"/>
      <c r="BT1303" s="7"/>
      <c r="BU1303" s="7"/>
      <c r="BV1303" s="7"/>
      <c r="BW1303" s="7"/>
      <c r="BX1303" s="7"/>
      <c r="BY1303" s="7"/>
      <c r="BZ1303" s="7"/>
      <c r="CA1303" s="7"/>
      <c r="CB1303" s="7"/>
      <c r="CC1303" s="7"/>
      <c r="CD1303" s="7"/>
      <c r="CE1303" s="7"/>
      <c r="CF1303" s="7"/>
      <c r="CG1303" s="7"/>
    </row>
    <row r="1304" spans="3:85"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  <c r="AC1304" s="7"/>
      <c r="AD1304" s="7"/>
      <c r="AF1304" s="7"/>
      <c r="AG1304" s="7"/>
      <c r="AH1304" s="7"/>
      <c r="AI1304" s="7"/>
      <c r="AJ1304" s="7"/>
      <c r="AK1304" s="7"/>
      <c r="AL1304" s="7"/>
      <c r="AM1304" s="7"/>
      <c r="AN1304" s="7"/>
      <c r="AO1304" s="7"/>
      <c r="AP1304" s="7"/>
      <c r="AQ1304" s="7"/>
      <c r="AR1304" s="7"/>
      <c r="AS1304" s="7"/>
      <c r="AT1304" s="7"/>
      <c r="AU1304" s="7"/>
      <c r="AV1304" s="7"/>
      <c r="AW1304" s="7"/>
      <c r="AX1304" s="7"/>
      <c r="AY1304" s="7"/>
      <c r="AZ1304" s="7"/>
      <c r="BA1304" s="7"/>
      <c r="BB1304" s="7"/>
      <c r="BC1304" s="7"/>
      <c r="BD1304" s="7"/>
      <c r="BE1304" s="7"/>
      <c r="BF1304" s="7"/>
      <c r="BG1304" s="7"/>
      <c r="BH1304" s="7"/>
      <c r="BI1304" s="7"/>
      <c r="BJ1304" s="7"/>
      <c r="BK1304" s="7"/>
      <c r="BL1304" s="7"/>
      <c r="BM1304" s="7"/>
      <c r="BN1304" s="7"/>
      <c r="BO1304" s="7"/>
      <c r="BP1304" s="7"/>
      <c r="BQ1304" s="7"/>
      <c r="BR1304" s="7"/>
      <c r="BS1304" s="7"/>
      <c r="BT1304" s="7"/>
      <c r="BU1304" s="7"/>
      <c r="BV1304" s="7"/>
      <c r="BW1304" s="7"/>
      <c r="BX1304" s="7"/>
      <c r="BY1304" s="7"/>
      <c r="BZ1304" s="7"/>
      <c r="CA1304" s="7"/>
      <c r="CB1304" s="7"/>
      <c r="CC1304" s="7"/>
      <c r="CD1304" s="7"/>
      <c r="CE1304" s="7"/>
      <c r="CF1304" s="7"/>
      <c r="CG1304" s="7"/>
    </row>
    <row r="1305" spans="3:85"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  <c r="AC1305" s="7"/>
      <c r="AD1305" s="7"/>
      <c r="AF1305" s="7"/>
      <c r="AG1305" s="7"/>
      <c r="AH1305" s="7"/>
      <c r="AI1305" s="7"/>
      <c r="AJ1305" s="7"/>
      <c r="AK1305" s="7"/>
      <c r="AL1305" s="7"/>
      <c r="AM1305" s="7"/>
      <c r="AN1305" s="7"/>
      <c r="AO1305" s="7"/>
      <c r="AP1305" s="7"/>
      <c r="AQ1305" s="7"/>
      <c r="AR1305" s="7"/>
      <c r="AS1305" s="7"/>
      <c r="AT1305" s="7"/>
      <c r="AU1305" s="7"/>
      <c r="AV1305" s="7"/>
      <c r="AW1305" s="7"/>
      <c r="AX1305" s="7"/>
      <c r="AY1305" s="7"/>
      <c r="AZ1305" s="7"/>
      <c r="BA1305" s="7"/>
      <c r="BB1305" s="7"/>
      <c r="BC1305" s="7"/>
      <c r="BD1305" s="7"/>
      <c r="BE1305" s="7"/>
      <c r="BF1305" s="7"/>
      <c r="BG1305" s="7"/>
      <c r="BH1305" s="7"/>
      <c r="BI1305" s="7"/>
      <c r="BJ1305" s="7"/>
      <c r="BK1305" s="7"/>
      <c r="BL1305" s="7"/>
      <c r="BM1305" s="7"/>
      <c r="BN1305" s="7"/>
      <c r="BO1305" s="7"/>
      <c r="BP1305" s="7"/>
      <c r="BQ1305" s="7"/>
      <c r="BR1305" s="7"/>
      <c r="BS1305" s="7"/>
      <c r="BT1305" s="7"/>
      <c r="BU1305" s="7"/>
      <c r="BV1305" s="7"/>
      <c r="BW1305" s="7"/>
      <c r="BX1305" s="7"/>
      <c r="BY1305" s="7"/>
      <c r="BZ1305" s="7"/>
      <c r="CA1305" s="7"/>
      <c r="CB1305" s="7"/>
      <c r="CC1305" s="7"/>
      <c r="CD1305" s="7"/>
      <c r="CE1305" s="7"/>
      <c r="CF1305" s="7"/>
      <c r="CG1305" s="7"/>
    </row>
    <row r="1306" spans="3:85"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  <c r="AC1306" s="7"/>
      <c r="AD1306" s="7"/>
      <c r="AF1306" s="7"/>
      <c r="AG1306" s="7"/>
      <c r="AH1306" s="7"/>
      <c r="AI1306" s="7"/>
      <c r="AJ1306" s="7"/>
      <c r="AK1306" s="7"/>
      <c r="AL1306" s="7"/>
      <c r="AM1306" s="7"/>
      <c r="AN1306" s="7"/>
      <c r="AO1306" s="7"/>
      <c r="AP1306" s="7"/>
      <c r="AQ1306" s="7"/>
      <c r="AR1306" s="7"/>
      <c r="AS1306" s="7"/>
      <c r="AT1306" s="7"/>
      <c r="AU1306" s="7"/>
      <c r="AV1306" s="7"/>
      <c r="AW1306" s="7"/>
      <c r="AX1306" s="7"/>
      <c r="AY1306" s="7"/>
      <c r="AZ1306" s="7"/>
      <c r="BA1306" s="7"/>
      <c r="BB1306" s="7"/>
      <c r="BC1306" s="7"/>
      <c r="BD1306" s="7"/>
      <c r="BE1306" s="7"/>
      <c r="BF1306" s="7"/>
      <c r="BG1306" s="7"/>
      <c r="BH1306" s="7"/>
      <c r="BI1306" s="7"/>
      <c r="BJ1306" s="7"/>
      <c r="BK1306" s="7"/>
      <c r="BL1306" s="7"/>
      <c r="BM1306" s="7"/>
      <c r="BN1306" s="7"/>
      <c r="BO1306" s="7"/>
      <c r="BP1306" s="7"/>
      <c r="BQ1306" s="7"/>
      <c r="BR1306" s="7"/>
      <c r="BS1306" s="7"/>
      <c r="BT1306" s="7"/>
      <c r="BU1306" s="7"/>
      <c r="BV1306" s="7"/>
      <c r="BW1306" s="7"/>
      <c r="BX1306" s="7"/>
      <c r="BY1306" s="7"/>
      <c r="BZ1306" s="7"/>
      <c r="CA1306" s="7"/>
      <c r="CB1306" s="7"/>
      <c r="CC1306" s="7"/>
      <c r="CD1306" s="7"/>
      <c r="CE1306" s="7"/>
      <c r="CF1306" s="7"/>
      <c r="CG1306" s="7"/>
    </row>
    <row r="1307" spans="3:85"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  <c r="AC1307" s="7"/>
      <c r="AD1307" s="7"/>
      <c r="AF1307" s="7"/>
      <c r="AG1307" s="7"/>
      <c r="AH1307" s="7"/>
      <c r="AI1307" s="7"/>
      <c r="AJ1307" s="7"/>
      <c r="AK1307" s="7"/>
      <c r="AL1307" s="7"/>
      <c r="AM1307" s="7"/>
      <c r="AN1307" s="7"/>
      <c r="AO1307" s="7"/>
      <c r="AP1307" s="7"/>
      <c r="AQ1307" s="7"/>
      <c r="AR1307" s="7"/>
      <c r="AS1307" s="7"/>
      <c r="AT1307" s="7"/>
      <c r="AU1307" s="7"/>
      <c r="AV1307" s="7"/>
      <c r="AW1307" s="7"/>
      <c r="AX1307" s="7"/>
      <c r="AY1307" s="7"/>
      <c r="AZ1307" s="7"/>
      <c r="BA1307" s="7"/>
      <c r="BB1307" s="7"/>
      <c r="BC1307" s="7"/>
      <c r="BD1307" s="7"/>
      <c r="BE1307" s="7"/>
      <c r="BF1307" s="7"/>
      <c r="BG1307" s="7"/>
      <c r="BH1307" s="7"/>
      <c r="BI1307" s="7"/>
      <c r="BJ1307" s="7"/>
      <c r="BK1307" s="7"/>
      <c r="BL1307" s="7"/>
      <c r="BM1307" s="7"/>
      <c r="BN1307" s="7"/>
      <c r="BO1307" s="7"/>
      <c r="BP1307" s="7"/>
      <c r="BQ1307" s="7"/>
      <c r="BR1307" s="7"/>
      <c r="BS1307" s="7"/>
      <c r="BT1307" s="7"/>
      <c r="BU1307" s="7"/>
      <c r="BV1307" s="7"/>
      <c r="BW1307" s="7"/>
      <c r="BX1307" s="7"/>
      <c r="BY1307" s="7"/>
      <c r="BZ1307" s="7"/>
      <c r="CA1307" s="7"/>
      <c r="CB1307" s="7"/>
      <c r="CC1307" s="7"/>
      <c r="CD1307" s="7"/>
      <c r="CE1307" s="7"/>
      <c r="CF1307" s="7"/>
      <c r="CG1307" s="7"/>
    </row>
    <row r="1308" spans="3:85"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  <c r="AC1308" s="7"/>
      <c r="AD1308" s="7"/>
      <c r="AF1308" s="7"/>
      <c r="AG1308" s="7"/>
      <c r="AH1308" s="7"/>
      <c r="AI1308" s="7"/>
      <c r="AJ1308" s="7"/>
      <c r="AK1308" s="7"/>
      <c r="AL1308" s="7"/>
      <c r="AM1308" s="7"/>
      <c r="AN1308" s="7"/>
      <c r="AO1308" s="7"/>
      <c r="AP1308" s="7"/>
      <c r="AQ1308" s="7"/>
      <c r="AR1308" s="7"/>
      <c r="AS1308" s="7"/>
      <c r="AT1308" s="7"/>
      <c r="AU1308" s="7"/>
      <c r="AV1308" s="7"/>
      <c r="AW1308" s="7"/>
      <c r="AX1308" s="7"/>
      <c r="AY1308" s="7"/>
      <c r="AZ1308" s="7"/>
      <c r="BA1308" s="7"/>
      <c r="BB1308" s="7"/>
      <c r="BC1308" s="7"/>
      <c r="BD1308" s="7"/>
      <c r="BE1308" s="7"/>
      <c r="BF1308" s="7"/>
      <c r="BG1308" s="7"/>
      <c r="BH1308" s="7"/>
      <c r="BI1308" s="7"/>
      <c r="BJ1308" s="7"/>
      <c r="BK1308" s="7"/>
      <c r="BL1308" s="7"/>
      <c r="BM1308" s="7"/>
      <c r="BN1308" s="7"/>
      <c r="BO1308" s="7"/>
      <c r="BP1308" s="7"/>
      <c r="BQ1308" s="7"/>
      <c r="BR1308" s="7"/>
      <c r="BS1308" s="7"/>
      <c r="BT1308" s="7"/>
      <c r="BU1308" s="7"/>
      <c r="BV1308" s="7"/>
      <c r="BW1308" s="7"/>
      <c r="BX1308" s="7"/>
      <c r="BY1308" s="7"/>
      <c r="BZ1308" s="7"/>
      <c r="CA1308" s="7"/>
      <c r="CB1308" s="7"/>
      <c r="CC1308" s="7"/>
      <c r="CD1308" s="7"/>
      <c r="CE1308" s="7"/>
      <c r="CF1308" s="7"/>
      <c r="CG1308" s="7"/>
    </row>
    <row r="1309" spans="3:85"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  <c r="AC1309" s="7"/>
      <c r="AD1309" s="7"/>
      <c r="AF1309" s="7"/>
      <c r="AG1309" s="7"/>
      <c r="AH1309" s="7"/>
      <c r="AI1309" s="7"/>
      <c r="AJ1309" s="7"/>
      <c r="AK1309" s="7"/>
      <c r="AL1309" s="7"/>
      <c r="AM1309" s="7"/>
      <c r="AN1309" s="7"/>
      <c r="AO1309" s="7"/>
      <c r="AP1309" s="7"/>
      <c r="AQ1309" s="7"/>
      <c r="AR1309" s="7"/>
      <c r="AS1309" s="7"/>
      <c r="AT1309" s="7"/>
      <c r="AU1309" s="7"/>
      <c r="AV1309" s="7"/>
      <c r="AW1309" s="7"/>
      <c r="AX1309" s="7"/>
      <c r="AY1309" s="7"/>
      <c r="AZ1309" s="7"/>
      <c r="BA1309" s="7"/>
      <c r="BB1309" s="7"/>
      <c r="BC1309" s="7"/>
      <c r="BD1309" s="7"/>
      <c r="BE1309" s="7"/>
      <c r="BF1309" s="7"/>
      <c r="BG1309" s="7"/>
      <c r="BH1309" s="7"/>
      <c r="BI1309" s="7"/>
      <c r="BJ1309" s="7"/>
      <c r="BK1309" s="7"/>
      <c r="BL1309" s="7"/>
      <c r="BM1309" s="7"/>
      <c r="BN1309" s="7"/>
      <c r="BO1309" s="7"/>
      <c r="BP1309" s="7"/>
      <c r="BQ1309" s="7"/>
      <c r="BR1309" s="7"/>
      <c r="BS1309" s="7"/>
      <c r="BT1309" s="7"/>
      <c r="BU1309" s="7"/>
      <c r="BV1309" s="7"/>
      <c r="BW1309" s="7"/>
      <c r="BX1309" s="7"/>
      <c r="BY1309" s="7"/>
      <c r="BZ1309" s="7"/>
      <c r="CA1309" s="7"/>
      <c r="CB1309" s="7"/>
      <c r="CC1309" s="7"/>
      <c r="CD1309" s="7"/>
      <c r="CE1309" s="7"/>
      <c r="CF1309" s="7"/>
      <c r="CG1309" s="7"/>
    </row>
    <row r="1310" spans="3:85"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  <c r="AC1310" s="7"/>
      <c r="AD1310" s="7"/>
      <c r="AF1310" s="7"/>
      <c r="AG1310" s="7"/>
      <c r="AH1310" s="7"/>
      <c r="AI1310" s="7"/>
      <c r="AJ1310" s="7"/>
      <c r="AK1310" s="7"/>
      <c r="AL1310" s="7"/>
      <c r="AM1310" s="7"/>
      <c r="AN1310" s="7"/>
      <c r="AO1310" s="7"/>
      <c r="AP1310" s="7"/>
      <c r="AQ1310" s="7"/>
      <c r="AR1310" s="7"/>
      <c r="AS1310" s="7"/>
      <c r="AT1310" s="7"/>
      <c r="AU1310" s="7"/>
      <c r="AV1310" s="7"/>
      <c r="AW1310" s="7"/>
      <c r="AX1310" s="7"/>
      <c r="AY1310" s="7"/>
      <c r="AZ1310" s="7"/>
      <c r="BA1310" s="7"/>
      <c r="BB1310" s="7"/>
      <c r="BC1310" s="7"/>
      <c r="BD1310" s="7"/>
      <c r="BE1310" s="7"/>
      <c r="BF1310" s="7"/>
      <c r="BG1310" s="7"/>
      <c r="BH1310" s="7"/>
      <c r="BI1310" s="7"/>
      <c r="BJ1310" s="7"/>
      <c r="BK1310" s="7"/>
      <c r="BL1310" s="7"/>
      <c r="BM1310" s="7"/>
      <c r="BN1310" s="7"/>
      <c r="BO1310" s="7"/>
      <c r="BP1310" s="7"/>
      <c r="BQ1310" s="7"/>
      <c r="BR1310" s="7"/>
      <c r="BS1310" s="7"/>
      <c r="BT1310" s="7"/>
      <c r="BU1310" s="7"/>
      <c r="BV1310" s="7"/>
      <c r="BW1310" s="7"/>
      <c r="BX1310" s="7"/>
      <c r="BY1310" s="7"/>
      <c r="BZ1310" s="7"/>
      <c r="CA1310" s="7"/>
      <c r="CB1310" s="7"/>
      <c r="CC1310" s="7"/>
      <c r="CD1310" s="7"/>
      <c r="CE1310" s="7"/>
      <c r="CF1310" s="7"/>
      <c r="CG1310" s="7"/>
    </row>
    <row r="1311" spans="3:85"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  <c r="AC1311" s="7"/>
      <c r="AD1311" s="7"/>
      <c r="AF1311" s="7"/>
      <c r="AG1311" s="7"/>
      <c r="AH1311" s="7"/>
      <c r="AI1311" s="7"/>
      <c r="AJ1311" s="7"/>
      <c r="AK1311" s="7"/>
      <c r="AL1311" s="7"/>
      <c r="AM1311" s="7"/>
      <c r="AN1311" s="7"/>
      <c r="AO1311" s="7"/>
      <c r="AP1311" s="7"/>
      <c r="AQ1311" s="7"/>
      <c r="AR1311" s="7"/>
      <c r="AS1311" s="7"/>
      <c r="AT1311" s="7"/>
      <c r="AU1311" s="7"/>
      <c r="AV1311" s="7"/>
      <c r="AW1311" s="7"/>
      <c r="AX1311" s="7"/>
      <c r="AY1311" s="7"/>
      <c r="AZ1311" s="7"/>
      <c r="BA1311" s="7"/>
      <c r="BB1311" s="7"/>
      <c r="BC1311" s="7"/>
      <c r="BD1311" s="7"/>
      <c r="BE1311" s="7"/>
      <c r="BF1311" s="7"/>
      <c r="BG1311" s="7"/>
      <c r="BH1311" s="7"/>
      <c r="BI1311" s="7"/>
      <c r="BJ1311" s="7"/>
      <c r="BK1311" s="7"/>
      <c r="BL1311" s="7"/>
      <c r="BM1311" s="7"/>
      <c r="BN1311" s="7"/>
      <c r="BO1311" s="7"/>
      <c r="BP1311" s="7"/>
      <c r="BQ1311" s="7"/>
      <c r="BR1311" s="7"/>
      <c r="BS1311" s="7"/>
      <c r="BT1311" s="7"/>
      <c r="BU1311" s="7"/>
      <c r="BV1311" s="7"/>
      <c r="BW1311" s="7"/>
      <c r="BX1311" s="7"/>
      <c r="BY1311" s="7"/>
      <c r="BZ1311" s="7"/>
      <c r="CA1311" s="7"/>
      <c r="CB1311" s="7"/>
      <c r="CC1311" s="7"/>
      <c r="CD1311" s="7"/>
      <c r="CE1311" s="7"/>
      <c r="CF1311" s="7"/>
      <c r="CG1311" s="7"/>
    </row>
    <row r="1312" spans="3:85"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  <c r="AC1312" s="7"/>
      <c r="AD1312" s="7"/>
      <c r="AF1312" s="7"/>
      <c r="AG1312" s="7"/>
      <c r="AH1312" s="7"/>
      <c r="AI1312" s="7"/>
      <c r="AJ1312" s="7"/>
      <c r="AK1312" s="7"/>
      <c r="AL1312" s="7"/>
      <c r="AM1312" s="7"/>
      <c r="AN1312" s="7"/>
      <c r="AO1312" s="7"/>
      <c r="AP1312" s="7"/>
      <c r="AQ1312" s="7"/>
      <c r="AR1312" s="7"/>
      <c r="AS1312" s="7"/>
      <c r="AT1312" s="7"/>
      <c r="AU1312" s="7"/>
      <c r="AV1312" s="7"/>
      <c r="AW1312" s="7"/>
      <c r="AX1312" s="7"/>
      <c r="AY1312" s="7"/>
      <c r="AZ1312" s="7"/>
      <c r="BA1312" s="7"/>
      <c r="BB1312" s="7"/>
      <c r="BC1312" s="7"/>
      <c r="BD1312" s="7"/>
      <c r="BE1312" s="7"/>
      <c r="BF1312" s="7"/>
      <c r="BG1312" s="7"/>
      <c r="BH1312" s="7"/>
      <c r="BI1312" s="7"/>
      <c r="BJ1312" s="7"/>
      <c r="BK1312" s="7"/>
      <c r="BL1312" s="7"/>
      <c r="BM1312" s="7"/>
      <c r="BN1312" s="7"/>
      <c r="BO1312" s="7"/>
      <c r="BP1312" s="7"/>
      <c r="BQ1312" s="7"/>
      <c r="BR1312" s="7"/>
      <c r="BS1312" s="7"/>
      <c r="BT1312" s="7"/>
      <c r="BU1312" s="7"/>
      <c r="BV1312" s="7"/>
      <c r="BW1312" s="7"/>
      <c r="BX1312" s="7"/>
      <c r="BY1312" s="7"/>
      <c r="BZ1312" s="7"/>
      <c r="CA1312" s="7"/>
      <c r="CB1312" s="7"/>
      <c r="CC1312" s="7"/>
      <c r="CD1312" s="7"/>
      <c r="CE1312" s="7"/>
      <c r="CF1312" s="7"/>
      <c r="CG1312" s="7"/>
    </row>
    <row r="1313" spans="3:85"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  <c r="AC1313" s="7"/>
      <c r="AD1313" s="7"/>
      <c r="AF1313" s="7"/>
      <c r="AG1313" s="7"/>
      <c r="AH1313" s="7"/>
      <c r="AI1313" s="7"/>
      <c r="AJ1313" s="7"/>
      <c r="AK1313" s="7"/>
      <c r="AL1313" s="7"/>
      <c r="AM1313" s="7"/>
      <c r="AN1313" s="7"/>
      <c r="AO1313" s="7"/>
      <c r="AP1313" s="7"/>
      <c r="AQ1313" s="7"/>
      <c r="AR1313" s="7"/>
      <c r="AS1313" s="7"/>
      <c r="AT1313" s="7"/>
      <c r="AU1313" s="7"/>
      <c r="AV1313" s="7"/>
      <c r="AW1313" s="7"/>
      <c r="AX1313" s="7"/>
      <c r="AY1313" s="7"/>
      <c r="AZ1313" s="7"/>
      <c r="BA1313" s="7"/>
      <c r="BB1313" s="7"/>
      <c r="BC1313" s="7"/>
      <c r="BD1313" s="7"/>
      <c r="BE1313" s="7"/>
      <c r="BF1313" s="7"/>
      <c r="BG1313" s="7"/>
      <c r="BH1313" s="7"/>
      <c r="BI1313" s="7"/>
      <c r="BJ1313" s="7"/>
      <c r="BK1313" s="7"/>
      <c r="BL1313" s="7"/>
      <c r="BM1313" s="7"/>
      <c r="BN1313" s="7"/>
      <c r="BO1313" s="7"/>
      <c r="BP1313" s="7"/>
      <c r="BQ1313" s="7"/>
      <c r="BR1313" s="7"/>
      <c r="BS1313" s="7"/>
      <c r="BT1313" s="7"/>
      <c r="BU1313" s="7"/>
      <c r="BV1313" s="7"/>
      <c r="BW1313" s="7"/>
      <c r="BX1313" s="7"/>
      <c r="BY1313" s="7"/>
      <c r="BZ1313" s="7"/>
      <c r="CA1313" s="7"/>
      <c r="CB1313" s="7"/>
      <c r="CC1313" s="7"/>
      <c r="CD1313" s="7"/>
      <c r="CE1313" s="7"/>
      <c r="CF1313" s="7"/>
      <c r="CG1313" s="7"/>
    </row>
    <row r="1314" spans="3:85"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  <c r="AC1314" s="7"/>
      <c r="AD1314" s="7"/>
      <c r="AF1314" s="7"/>
      <c r="AG1314" s="7"/>
      <c r="AH1314" s="7"/>
      <c r="AI1314" s="7"/>
      <c r="AJ1314" s="7"/>
      <c r="AK1314" s="7"/>
      <c r="AL1314" s="7"/>
      <c r="AM1314" s="7"/>
      <c r="AN1314" s="7"/>
      <c r="AO1314" s="7"/>
      <c r="AP1314" s="7"/>
      <c r="AQ1314" s="7"/>
      <c r="AR1314" s="7"/>
      <c r="AS1314" s="7"/>
      <c r="AT1314" s="7"/>
      <c r="AU1314" s="7"/>
      <c r="AV1314" s="7"/>
      <c r="AW1314" s="7"/>
      <c r="AX1314" s="7"/>
      <c r="AY1314" s="7"/>
      <c r="AZ1314" s="7"/>
      <c r="BA1314" s="7"/>
      <c r="BB1314" s="7"/>
      <c r="BC1314" s="7"/>
      <c r="BD1314" s="7"/>
      <c r="BE1314" s="7"/>
      <c r="BF1314" s="7"/>
      <c r="BG1314" s="7"/>
      <c r="BH1314" s="7"/>
      <c r="BI1314" s="7"/>
      <c r="BJ1314" s="7"/>
      <c r="BK1314" s="7"/>
      <c r="BL1314" s="7"/>
      <c r="BM1314" s="7"/>
      <c r="BN1314" s="7"/>
      <c r="BO1314" s="7"/>
      <c r="BP1314" s="7"/>
      <c r="BQ1314" s="7"/>
      <c r="BR1314" s="7"/>
      <c r="BS1314" s="7"/>
      <c r="BT1314" s="7"/>
      <c r="BU1314" s="7"/>
      <c r="BV1314" s="7"/>
      <c r="BW1314" s="7"/>
      <c r="BX1314" s="7"/>
      <c r="BY1314" s="7"/>
      <c r="BZ1314" s="7"/>
      <c r="CA1314" s="7"/>
      <c r="CB1314" s="7"/>
      <c r="CC1314" s="7"/>
      <c r="CD1314" s="7"/>
      <c r="CE1314" s="7"/>
      <c r="CF1314" s="7"/>
      <c r="CG1314" s="7"/>
    </row>
    <row r="1315" spans="3:85"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  <c r="AC1315" s="7"/>
      <c r="AD1315" s="7"/>
      <c r="AF1315" s="7"/>
      <c r="AG1315" s="7"/>
      <c r="AH1315" s="7"/>
      <c r="AI1315" s="7"/>
      <c r="AJ1315" s="7"/>
      <c r="AK1315" s="7"/>
      <c r="AL1315" s="7"/>
      <c r="AM1315" s="7"/>
      <c r="AN1315" s="7"/>
      <c r="AO1315" s="7"/>
      <c r="AP1315" s="7"/>
      <c r="AQ1315" s="7"/>
      <c r="AR1315" s="7"/>
      <c r="AS1315" s="7"/>
      <c r="AT1315" s="7"/>
      <c r="AU1315" s="7"/>
      <c r="AV1315" s="7"/>
      <c r="AW1315" s="7"/>
      <c r="AX1315" s="7"/>
      <c r="AY1315" s="7"/>
      <c r="AZ1315" s="7"/>
      <c r="BA1315" s="7"/>
      <c r="BB1315" s="7"/>
      <c r="BC1315" s="7"/>
      <c r="BD1315" s="7"/>
      <c r="BE1315" s="7"/>
      <c r="BF1315" s="7"/>
      <c r="BG1315" s="7"/>
      <c r="BH1315" s="7"/>
      <c r="BI1315" s="7"/>
      <c r="BJ1315" s="7"/>
      <c r="BK1315" s="7"/>
      <c r="BL1315" s="7"/>
      <c r="BM1315" s="7"/>
      <c r="BN1315" s="7"/>
      <c r="BO1315" s="7"/>
      <c r="BP1315" s="7"/>
      <c r="BQ1315" s="7"/>
      <c r="BR1315" s="7"/>
      <c r="BS1315" s="7"/>
      <c r="BT1315" s="7"/>
      <c r="BU1315" s="7"/>
      <c r="BV1315" s="7"/>
      <c r="BW1315" s="7"/>
      <c r="BX1315" s="7"/>
      <c r="BY1315" s="7"/>
      <c r="BZ1315" s="7"/>
      <c r="CA1315" s="7"/>
      <c r="CB1315" s="7"/>
      <c r="CC1315" s="7"/>
      <c r="CD1315" s="7"/>
      <c r="CE1315" s="7"/>
      <c r="CF1315" s="7"/>
      <c r="CG1315" s="7"/>
    </row>
    <row r="1316" spans="3:85"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  <c r="AC1316" s="7"/>
      <c r="AD1316" s="7"/>
      <c r="AF1316" s="7"/>
      <c r="AG1316" s="7"/>
      <c r="AH1316" s="7"/>
      <c r="AI1316" s="7"/>
      <c r="AJ1316" s="7"/>
      <c r="AK1316" s="7"/>
      <c r="AL1316" s="7"/>
      <c r="AM1316" s="7"/>
      <c r="AN1316" s="7"/>
      <c r="AO1316" s="7"/>
      <c r="AP1316" s="7"/>
      <c r="AQ1316" s="7"/>
      <c r="AR1316" s="7"/>
      <c r="AS1316" s="7"/>
      <c r="AT1316" s="7"/>
      <c r="AU1316" s="7"/>
      <c r="AV1316" s="7"/>
      <c r="AW1316" s="7"/>
      <c r="AX1316" s="7"/>
      <c r="AY1316" s="7"/>
      <c r="AZ1316" s="7"/>
      <c r="BA1316" s="7"/>
      <c r="BB1316" s="7"/>
      <c r="BC1316" s="7"/>
      <c r="BD1316" s="7"/>
      <c r="BE1316" s="7"/>
      <c r="BF1316" s="7"/>
      <c r="BG1316" s="7"/>
      <c r="BH1316" s="7"/>
      <c r="BI1316" s="7"/>
      <c r="BJ1316" s="7"/>
      <c r="BK1316" s="7"/>
      <c r="BL1316" s="7"/>
      <c r="BM1316" s="7"/>
      <c r="BN1316" s="7"/>
      <c r="BO1316" s="7"/>
      <c r="BP1316" s="7"/>
      <c r="BQ1316" s="7"/>
      <c r="BR1316" s="7"/>
      <c r="BS1316" s="7"/>
      <c r="BT1316" s="7"/>
      <c r="BU1316" s="7"/>
      <c r="BV1316" s="7"/>
      <c r="BW1316" s="7"/>
      <c r="BX1316" s="7"/>
      <c r="BY1316" s="7"/>
      <c r="BZ1316" s="7"/>
      <c r="CA1316" s="7"/>
      <c r="CB1316" s="7"/>
      <c r="CC1316" s="7"/>
      <c r="CD1316" s="7"/>
      <c r="CE1316" s="7"/>
      <c r="CF1316" s="7"/>
      <c r="CG1316" s="7"/>
    </row>
    <row r="1317" spans="3:85"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  <c r="AC1317" s="7"/>
      <c r="AD1317" s="7"/>
      <c r="AF1317" s="7"/>
      <c r="AG1317" s="7"/>
      <c r="AH1317" s="7"/>
      <c r="AI1317" s="7"/>
      <c r="AJ1317" s="7"/>
      <c r="AK1317" s="7"/>
      <c r="AL1317" s="7"/>
      <c r="AM1317" s="7"/>
      <c r="AN1317" s="7"/>
      <c r="AO1317" s="7"/>
      <c r="AP1317" s="7"/>
      <c r="AQ1317" s="7"/>
      <c r="AR1317" s="7"/>
      <c r="AS1317" s="7"/>
      <c r="AT1317" s="7"/>
      <c r="AU1317" s="7"/>
      <c r="AV1317" s="7"/>
      <c r="AW1317" s="7"/>
      <c r="AX1317" s="7"/>
      <c r="AY1317" s="7"/>
      <c r="AZ1317" s="7"/>
      <c r="BA1317" s="7"/>
      <c r="BB1317" s="7"/>
      <c r="BC1317" s="7"/>
      <c r="BD1317" s="7"/>
      <c r="BE1317" s="7"/>
      <c r="BF1317" s="7"/>
      <c r="BG1317" s="7"/>
      <c r="BH1317" s="7"/>
      <c r="BI1317" s="7"/>
      <c r="BJ1317" s="7"/>
      <c r="BK1317" s="7"/>
      <c r="BL1317" s="7"/>
      <c r="BM1317" s="7"/>
      <c r="BN1317" s="7"/>
      <c r="BO1317" s="7"/>
      <c r="BP1317" s="7"/>
      <c r="BQ1317" s="7"/>
      <c r="BR1317" s="7"/>
      <c r="BS1317" s="7"/>
      <c r="BT1317" s="7"/>
      <c r="BU1317" s="7"/>
      <c r="BV1317" s="7"/>
      <c r="BW1317" s="7"/>
      <c r="BX1317" s="7"/>
      <c r="BY1317" s="7"/>
      <c r="BZ1317" s="7"/>
      <c r="CA1317" s="7"/>
      <c r="CB1317" s="7"/>
      <c r="CC1317" s="7"/>
      <c r="CD1317" s="7"/>
      <c r="CE1317" s="7"/>
      <c r="CF1317" s="7"/>
      <c r="CG1317" s="7"/>
    </row>
    <row r="1318" spans="3:85"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  <c r="AC1318" s="7"/>
      <c r="AD1318" s="7"/>
      <c r="AF1318" s="7"/>
      <c r="AG1318" s="7"/>
      <c r="AH1318" s="7"/>
      <c r="AI1318" s="7"/>
      <c r="AJ1318" s="7"/>
      <c r="AK1318" s="7"/>
      <c r="AL1318" s="7"/>
      <c r="AM1318" s="7"/>
      <c r="AN1318" s="7"/>
      <c r="AO1318" s="7"/>
      <c r="AP1318" s="7"/>
      <c r="AQ1318" s="7"/>
      <c r="AR1318" s="7"/>
      <c r="AS1318" s="7"/>
      <c r="AT1318" s="7"/>
      <c r="AU1318" s="7"/>
      <c r="AV1318" s="7"/>
      <c r="AW1318" s="7"/>
      <c r="AX1318" s="7"/>
      <c r="AY1318" s="7"/>
      <c r="AZ1318" s="7"/>
      <c r="BA1318" s="7"/>
      <c r="BB1318" s="7"/>
      <c r="BC1318" s="7"/>
      <c r="BD1318" s="7"/>
      <c r="BE1318" s="7"/>
      <c r="BF1318" s="7"/>
      <c r="BG1318" s="7"/>
      <c r="BH1318" s="7"/>
      <c r="BI1318" s="7"/>
      <c r="BJ1318" s="7"/>
      <c r="BK1318" s="7"/>
      <c r="BL1318" s="7"/>
      <c r="BM1318" s="7"/>
      <c r="BN1318" s="7"/>
      <c r="BO1318" s="7"/>
      <c r="BP1318" s="7"/>
      <c r="BQ1318" s="7"/>
      <c r="BR1318" s="7"/>
      <c r="BS1318" s="7"/>
      <c r="BT1318" s="7"/>
      <c r="BU1318" s="7"/>
      <c r="BV1318" s="7"/>
      <c r="BW1318" s="7"/>
      <c r="BX1318" s="7"/>
      <c r="BY1318" s="7"/>
      <c r="BZ1318" s="7"/>
      <c r="CA1318" s="7"/>
      <c r="CB1318" s="7"/>
      <c r="CC1318" s="7"/>
      <c r="CD1318" s="7"/>
      <c r="CE1318" s="7"/>
      <c r="CF1318" s="7"/>
      <c r="CG1318" s="7"/>
    </row>
    <row r="1319" spans="3:85"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  <c r="AC1319" s="7"/>
      <c r="AD1319" s="7"/>
      <c r="AF1319" s="7"/>
      <c r="AG1319" s="7"/>
      <c r="AH1319" s="7"/>
      <c r="AI1319" s="7"/>
      <c r="AJ1319" s="7"/>
      <c r="AK1319" s="7"/>
      <c r="AL1319" s="7"/>
      <c r="AM1319" s="7"/>
      <c r="AN1319" s="7"/>
      <c r="AO1319" s="7"/>
      <c r="AP1319" s="7"/>
      <c r="AQ1319" s="7"/>
      <c r="AR1319" s="7"/>
      <c r="AS1319" s="7"/>
      <c r="AT1319" s="7"/>
      <c r="AU1319" s="7"/>
      <c r="AV1319" s="7"/>
      <c r="AW1319" s="7"/>
      <c r="AX1319" s="7"/>
      <c r="AY1319" s="7"/>
      <c r="AZ1319" s="7"/>
      <c r="BA1319" s="7"/>
      <c r="BB1319" s="7"/>
      <c r="BC1319" s="7"/>
      <c r="BD1319" s="7"/>
      <c r="BE1319" s="7"/>
      <c r="BF1319" s="7"/>
      <c r="BG1319" s="7"/>
      <c r="BH1319" s="7"/>
      <c r="BI1319" s="7"/>
      <c r="BJ1319" s="7"/>
      <c r="BK1319" s="7"/>
      <c r="BL1319" s="7"/>
      <c r="BM1319" s="7"/>
      <c r="BN1319" s="7"/>
      <c r="BO1319" s="7"/>
      <c r="BP1319" s="7"/>
      <c r="BQ1319" s="7"/>
      <c r="BR1319" s="7"/>
      <c r="BS1319" s="7"/>
      <c r="BT1319" s="7"/>
      <c r="BU1319" s="7"/>
      <c r="BV1319" s="7"/>
      <c r="BW1319" s="7"/>
      <c r="BX1319" s="7"/>
      <c r="BY1319" s="7"/>
      <c r="BZ1319" s="7"/>
      <c r="CA1319" s="7"/>
      <c r="CB1319" s="7"/>
      <c r="CC1319" s="7"/>
      <c r="CD1319" s="7"/>
      <c r="CE1319" s="7"/>
      <c r="CF1319" s="7"/>
      <c r="CG1319" s="7"/>
    </row>
    <row r="1320" spans="3:85"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  <c r="AC1320" s="7"/>
      <c r="AD1320" s="7"/>
      <c r="AF1320" s="7"/>
      <c r="AG1320" s="7"/>
      <c r="AH1320" s="7"/>
      <c r="AI1320" s="7"/>
      <c r="AJ1320" s="7"/>
      <c r="AK1320" s="7"/>
      <c r="AL1320" s="7"/>
      <c r="AM1320" s="7"/>
      <c r="AN1320" s="7"/>
      <c r="AO1320" s="7"/>
      <c r="AP1320" s="7"/>
      <c r="AQ1320" s="7"/>
      <c r="AR1320" s="7"/>
      <c r="AS1320" s="7"/>
      <c r="AT1320" s="7"/>
      <c r="AU1320" s="7"/>
      <c r="AV1320" s="7"/>
      <c r="AW1320" s="7"/>
      <c r="AX1320" s="7"/>
      <c r="AY1320" s="7"/>
      <c r="AZ1320" s="7"/>
      <c r="BA1320" s="7"/>
      <c r="BB1320" s="7"/>
      <c r="BC1320" s="7"/>
      <c r="BD1320" s="7"/>
      <c r="BE1320" s="7"/>
      <c r="BF1320" s="7"/>
      <c r="BG1320" s="7"/>
      <c r="BH1320" s="7"/>
      <c r="BI1320" s="7"/>
      <c r="BJ1320" s="7"/>
      <c r="BK1320" s="7"/>
      <c r="BL1320" s="7"/>
      <c r="BM1320" s="7"/>
      <c r="BN1320" s="7"/>
      <c r="BO1320" s="7"/>
      <c r="BP1320" s="7"/>
      <c r="BQ1320" s="7"/>
      <c r="BR1320" s="7"/>
      <c r="BS1320" s="7"/>
      <c r="BT1320" s="7"/>
      <c r="BU1320" s="7"/>
      <c r="BV1320" s="7"/>
      <c r="BW1320" s="7"/>
      <c r="BX1320" s="7"/>
      <c r="BY1320" s="7"/>
      <c r="BZ1320" s="7"/>
      <c r="CA1320" s="7"/>
      <c r="CB1320" s="7"/>
      <c r="CC1320" s="7"/>
      <c r="CD1320" s="7"/>
      <c r="CE1320" s="7"/>
      <c r="CF1320" s="7"/>
      <c r="CG1320" s="7"/>
    </row>
    <row r="1321" spans="3:85"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  <c r="AC1321" s="7"/>
      <c r="AD1321" s="7"/>
      <c r="AF1321" s="7"/>
      <c r="AG1321" s="7"/>
      <c r="AH1321" s="7"/>
      <c r="AI1321" s="7"/>
      <c r="AJ1321" s="7"/>
      <c r="AK1321" s="7"/>
      <c r="AL1321" s="7"/>
      <c r="AM1321" s="7"/>
      <c r="AN1321" s="7"/>
      <c r="AO1321" s="7"/>
      <c r="AP1321" s="7"/>
      <c r="AQ1321" s="7"/>
      <c r="AR1321" s="7"/>
      <c r="AS1321" s="7"/>
      <c r="AT1321" s="7"/>
      <c r="AU1321" s="7"/>
      <c r="AV1321" s="7"/>
      <c r="AW1321" s="7"/>
      <c r="AX1321" s="7"/>
      <c r="AY1321" s="7"/>
      <c r="AZ1321" s="7"/>
      <c r="BA1321" s="7"/>
      <c r="BB1321" s="7"/>
      <c r="BC1321" s="7"/>
      <c r="BD1321" s="7"/>
      <c r="BE1321" s="7"/>
      <c r="BF1321" s="7"/>
      <c r="BG1321" s="7"/>
      <c r="BH1321" s="7"/>
      <c r="BI1321" s="7"/>
      <c r="BJ1321" s="7"/>
      <c r="BK1321" s="7"/>
      <c r="BL1321" s="7"/>
      <c r="BM1321" s="7"/>
      <c r="BN1321" s="7"/>
      <c r="BO1321" s="7"/>
      <c r="BP1321" s="7"/>
      <c r="BQ1321" s="7"/>
      <c r="BR1321" s="7"/>
      <c r="BS1321" s="7"/>
      <c r="BT1321" s="7"/>
      <c r="BU1321" s="7"/>
      <c r="BV1321" s="7"/>
      <c r="BW1321" s="7"/>
      <c r="BX1321" s="7"/>
      <c r="BY1321" s="7"/>
      <c r="BZ1321" s="7"/>
      <c r="CA1321" s="7"/>
      <c r="CB1321" s="7"/>
      <c r="CC1321" s="7"/>
      <c r="CD1321" s="7"/>
      <c r="CE1321" s="7"/>
      <c r="CF1321" s="7"/>
      <c r="CG1321" s="7"/>
    </row>
    <row r="1322" spans="3:85"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  <c r="AC1322" s="7"/>
      <c r="AD1322" s="7"/>
      <c r="AF1322" s="7"/>
      <c r="AG1322" s="7"/>
      <c r="AH1322" s="7"/>
      <c r="AI1322" s="7"/>
      <c r="AJ1322" s="7"/>
      <c r="AK1322" s="7"/>
      <c r="AL1322" s="7"/>
      <c r="AM1322" s="7"/>
      <c r="AN1322" s="7"/>
      <c r="AO1322" s="7"/>
      <c r="AP1322" s="7"/>
      <c r="AQ1322" s="7"/>
      <c r="AR1322" s="7"/>
      <c r="AS1322" s="7"/>
      <c r="AT1322" s="7"/>
      <c r="AU1322" s="7"/>
      <c r="AV1322" s="7"/>
      <c r="AW1322" s="7"/>
      <c r="AX1322" s="7"/>
      <c r="AY1322" s="7"/>
      <c r="AZ1322" s="7"/>
      <c r="BA1322" s="7"/>
      <c r="BB1322" s="7"/>
      <c r="BC1322" s="7"/>
      <c r="BD1322" s="7"/>
      <c r="BE1322" s="7"/>
      <c r="BF1322" s="7"/>
      <c r="BG1322" s="7"/>
      <c r="BH1322" s="7"/>
      <c r="BI1322" s="7"/>
      <c r="BJ1322" s="7"/>
      <c r="BK1322" s="7"/>
      <c r="BL1322" s="7"/>
      <c r="BM1322" s="7"/>
      <c r="BN1322" s="7"/>
      <c r="BO1322" s="7"/>
      <c r="BP1322" s="7"/>
      <c r="BQ1322" s="7"/>
      <c r="BR1322" s="7"/>
      <c r="BS1322" s="7"/>
      <c r="BT1322" s="7"/>
      <c r="BU1322" s="7"/>
      <c r="BV1322" s="7"/>
      <c r="BW1322" s="7"/>
      <c r="BX1322" s="7"/>
      <c r="BY1322" s="7"/>
      <c r="BZ1322" s="7"/>
      <c r="CA1322" s="7"/>
      <c r="CB1322" s="7"/>
      <c r="CC1322" s="7"/>
      <c r="CD1322" s="7"/>
      <c r="CE1322" s="7"/>
      <c r="CF1322" s="7"/>
      <c r="CG1322" s="7"/>
    </row>
    <row r="1323" spans="3:85"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  <c r="AC1323" s="7"/>
      <c r="AD1323" s="7"/>
      <c r="AF1323" s="7"/>
      <c r="AG1323" s="7"/>
      <c r="AH1323" s="7"/>
      <c r="AI1323" s="7"/>
      <c r="AJ1323" s="7"/>
      <c r="AK1323" s="7"/>
      <c r="AL1323" s="7"/>
      <c r="AM1323" s="7"/>
      <c r="AN1323" s="7"/>
      <c r="AO1323" s="7"/>
      <c r="AP1323" s="7"/>
      <c r="AQ1323" s="7"/>
      <c r="AR1323" s="7"/>
      <c r="AS1323" s="7"/>
      <c r="AT1323" s="7"/>
      <c r="AU1323" s="7"/>
      <c r="AV1323" s="7"/>
      <c r="AW1323" s="7"/>
      <c r="AX1323" s="7"/>
      <c r="AY1323" s="7"/>
      <c r="AZ1323" s="7"/>
      <c r="BA1323" s="7"/>
      <c r="BB1323" s="7"/>
      <c r="BC1323" s="7"/>
      <c r="BD1323" s="7"/>
      <c r="BE1323" s="7"/>
      <c r="BF1323" s="7"/>
      <c r="BG1323" s="7"/>
      <c r="BH1323" s="7"/>
      <c r="BI1323" s="7"/>
      <c r="BJ1323" s="7"/>
      <c r="BK1323" s="7"/>
      <c r="BL1323" s="7"/>
      <c r="BM1323" s="7"/>
      <c r="BN1323" s="7"/>
      <c r="BO1323" s="7"/>
      <c r="BP1323" s="7"/>
      <c r="BQ1323" s="7"/>
      <c r="BR1323" s="7"/>
      <c r="BS1323" s="7"/>
      <c r="BT1323" s="7"/>
      <c r="BU1323" s="7"/>
      <c r="BV1323" s="7"/>
      <c r="BW1323" s="7"/>
      <c r="BX1323" s="7"/>
      <c r="BY1323" s="7"/>
      <c r="BZ1323" s="7"/>
      <c r="CA1323" s="7"/>
      <c r="CB1323" s="7"/>
      <c r="CC1323" s="7"/>
      <c r="CD1323" s="7"/>
      <c r="CE1323" s="7"/>
      <c r="CF1323" s="7"/>
      <c r="CG1323" s="7"/>
    </row>
    <row r="1324" spans="3:85"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  <c r="AC1324" s="7"/>
      <c r="AD1324" s="7"/>
      <c r="AF1324" s="7"/>
      <c r="AG1324" s="7"/>
      <c r="AH1324" s="7"/>
      <c r="AI1324" s="7"/>
      <c r="AJ1324" s="7"/>
      <c r="AK1324" s="7"/>
      <c r="AL1324" s="7"/>
      <c r="AM1324" s="7"/>
      <c r="AN1324" s="7"/>
      <c r="AO1324" s="7"/>
      <c r="AP1324" s="7"/>
      <c r="AQ1324" s="7"/>
      <c r="AR1324" s="7"/>
      <c r="AS1324" s="7"/>
      <c r="AT1324" s="7"/>
      <c r="AU1324" s="7"/>
      <c r="AV1324" s="7"/>
      <c r="AW1324" s="7"/>
      <c r="AX1324" s="7"/>
      <c r="AY1324" s="7"/>
      <c r="AZ1324" s="7"/>
      <c r="BA1324" s="7"/>
      <c r="BB1324" s="7"/>
      <c r="BC1324" s="7"/>
      <c r="BD1324" s="7"/>
      <c r="BE1324" s="7"/>
      <c r="BF1324" s="7"/>
      <c r="BG1324" s="7"/>
      <c r="BH1324" s="7"/>
      <c r="BI1324" s="7"/>
      <c r="BJ1324" s="7"/>
      <c r="BK1324" s="7"/>
      <c r="BL1324" s="7"/>
      <c r="BM1324" s="7"/>
      <c r="BN1324" s="7"/>
      <c r="BO1324" s="7"/>
      <c r="BP1324" s="7"/>
      <c r="BQ1324" s="7"/>
      <c r="BR1324" s="7"/>
      <c r="BS1324" s="7"/>
      <c r="BT1324" s="7"/>
      <c r="BU1324" s="7"/>
      <c r="BV1324" s="7"/>
      <c r="BW1324" s="7"/>
      <c r="BX1324" s="7"/>
      <c r="BY1324" s="7"/>
      <c r="BZ1324" s="7"/>
      <c r="CA1324" s="7"/>
      <c r="CB1324" s="7"/>
      <c r="CC1324" s="7"/>
      <c r="CD1324" s="7"/>
      <c r="CE1324" s="7"/>
      <c r="CF1324" s="7"/>
      <c r="CG1324" s="7"/>
    </row>
    <row r="1325" spans="3:85"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  <c r="AC1325" s="7"/>
      <c r="AD1325" s="7"/>
      <c r="AF1325" s="7"/>
      <c r="AG1325" s="7"/>
      <c r="AH1325" s="7"/>
      <c r="AI1325" s="7"/>
      <c r="AJ1325" s="7"/>
      <c r="AK1325" s="7"/>
      <c r="AL1325" s="7"/>
      <c r="AM1325" s="7"/>
      <c r="AN1325" s="7"/>
      <c r="AO1325" s="7"/>
      <c r="AP1325" s="7"/>
      <c r="AQ1325" s="7"/>
      <c r="AR1325" s="7"/>
      <c r="AS1325" s="7"/>
      <c r="AT1325" s="7"/>
      <c r="AU1325" s="7"/>
      <c r="AV1325" s="7"/>
      <c r="AW1325" s="7"/>
      <c r="AX1325" s="7"/>
      <c r="AY1325" s="7"/>
      <c r="AZ1325" s="7"/>
      <c r="BA1325" s="7"/>
      <c r="BB1325" s="7"/>
      <c r="BC1325" s="7"/>
      <c r="BD1325" s="7"/>
      <c r="BE1325" s="7"/>
      <c r="BF1325" s="7"/>
      <c r="BG1325" s="7"/>
      <c r="BH1325" s="7"/>
      <c r="BI1325" s="7"/>
      <c r="BJ1325" s="7"/>
      <c r="BK1325" s="7"/>
      <c r="BL1325" s="7"/>
      <c r="BM1325" s="7"/>
      <c r="BN1325" s="7"/>
      <c r="BO1325" s="7"/>
      <c r="BP1325" s="7"/>
      <c r="BQ1325" s="7"/>
      <c r="BR1325" s="7"/>
      <c r="BS1325" s="7"/>
      <c r="BT1325" s="7"/>
      <c r="BU1325" s="7"/>
      <c r="BV1325" s="7"/>
      <c r="BW1325" s="7"/>
      <c r="BX1325" s="7"/>
      <c r="BY1325" s="7"/>
      <c r="BZ1325" s="7"/>
      <c r="CA1325" s="7"/>
      <c r="CB1325" s="7"/>
      <c r="CC1325" s="7"/>
      <c r="CD1325" s="7"/>
      <c r="CE1325" s="7"/>
      <c r="CF1325" s="7"/>
      <c r="CG1325" s="7"/>
    </row>
    <row r="1326" spans="3:85"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  <c r="AC1326" s="7"/>
      <c r="AD1326" s="7"/>
      <c r="AF1326" s="7"/>
      <c r="AG1326" s="7"/>
      <c r="AH1326" s="7"/>
      <c r="AI1326" s="7"/>
      <c r="AJ1326" s="7"/>
      <c r="AK1326" s="7"/>
      <c r="AL1326" s="7"/>
      <c r="AM1326" s="7"/>
      <c r="AN1326" s="7"/>
      <c r="AO1326" s="7"/>
      <c r="AP1326" s="7"/>
      <c r="AQ1326" s="7"/>
      <c r="AR1326" s="7"/>
      <c r="AS1326" s="7"/>
      <c r="AT1326" s="7"/>
      <c r="AU1326" s="7"/>
      <c r="AV1326" s="7"/>
      <c r="AW1326" s="7"/>
      <c r="AX1326" s="7"/>
      <c r="AY1326" s="7"/>
      <c r="AZ1326" s="7"/>
      <c r="BA1326" s="7"/>
      <c r="BB1326" s="7"/>
      <c r="BC1326" s="7"/>
      <c r="BD1326" s="7"/>
      <c r="BE1326" s="7"/>
      <c r="BF1326" s="7"/>
      <c r="BG1326" s="7"/>
      <c r="BH1326" s="7"/>
      <c r="BI1326" s="7"/>
      <c r="BJ1326" s="7"/>
      <c r="BK1326" s="7"/>
      <c r="BL1326" s="7"/>
      <c r="BM1326" s="7"/>
      <c r="BN1326" s="7"/>
      <c r="BO1326" s="7"/>
      <c r="BP1326" s="7"/>
      <c r="BQ1326" s="7"/>
      <c r="BR1326" s="7"/>
      <c r="BS1326" s="7"/>
      <c r="BT1326" s="7"/>
      <c r="BU1326" s="7"/>
      <c r="BV1326" s="7"/>
      <c r="BW1326" s="7"/>
      <c r="BX1326" s="7"/>
      <c r="BY1326" s="7"/>
      <c r="BZ1326" s="7"/>
      <c r="CA1326" s="7"/>
      <c r="CB1326" s="7"/>
      <c r="CC1326" s="7"/>
      <c r="CD1326" s="7"/>
      <c r="CE1326" s="7"/>
      <c r="CF1326" s="7"/>
      <c r="CG1326" s="7"/>
    </row>
    <row r="1327" spans="3:85"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  <c r="AC1327" s="7"/>
      <c r="AD1327" s="7"/>
      <c r="AF1327" s="7"/>
      <c r="AG1327" s="7"/>
      <c r="AH1327" s="7"/>
      <c r="AI1327" s="7"/>
      <c r="AJ1327" s="7"/>
      <c r="AK1327" s="7"/>
      <c r="AL1327" s="7"/>
      <c r="AM1327" s="7"/>
      <c r="AN1327" s="7"/>
      <c r="AO1327" s="7"/>
      <c r="AP1327" s="7"/>
      <c r="AQ1327" s="7"/>
      <c r="AR1327" s="7"/>
      <c r="AS1327" s="7"/>
      <c r="AT1327" s="7"/>
      <c r="AU1327" s="7"/>
      <c r="AV1327" s="7"/>
      <c r="AW1327" s="7"/>
      <c r="AX1327" s="7"/>
      <c r="AY1327" s="7"/>
      <c r="AZ1327" s="7"/>
      <c r="BA1327" s="7"/>
      <c r="BB1327" s="7"/>
      <c r="BC1327" s="7"/>
      <c r="BD1327" s="7"/>
      <c r="BE1327" s="7"/>
      <c r="BF1327" s="7"/>
      <c r="BG1327" s="7"/>
      <c r="BH1327" s="7"/>
      <c r="BI1327" s="7"/>
      <c r="BJ1327" s="7"/>
      <c r="BK1327" s="7"/>
      <c r="BL1327" s="7"/>
      <c r="BM1327" s="7"/>
      <c r="BN1327" s="7"/>
      <c r="BO1327" s="7"/>
      <c r="BP1327" s="7"/>
      <c r="BQ1327" s="7"/>
      <c r="BR1327" s="7"/>
      <c r="BS1327" s="7"/>
      <c r="BT1327" s="7"/>
      <c r="BU1327" s="7"/>
      <c r="BV1327" s="7"/>
      <c r="BW1327" s="7"/>
      <c r="BX1327" s="7"/>
      <c r="BY1327" s="7"/>
      <c r="BZ1327" s="7"/>
      <c r="CA1327" s="7"/>
      <c r="CB1327" s="7"/>
      <c r="CC1327" s="7"/>
      <c r="CD1327" s="7"/>
      <c r="CE1327" s="7"/>
      <c r="CF1327" s="7"/>
      <c r="CG1327" s="7"/>
    </row>
    <row r="1328" spans="3:85"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  <c r="AC1328" s="7"/>
      <c r="AD1328" s="7"/>
      <c r="AF1328" s="7"/>
      <c r="AG1328" s="7"/>
      <c r="AH1328" s="7"/>
      <c r="AI1328" s="7"/>
      <c r="AJ1328" s="7"/>
      <c r="AK1328" s="7"/>
      <c r="AL1328" s="7"/>
      <c r="AM1328" s="7"/>
      <c r="AN1328" s="7"/>
      <c r="AO1328" s="7"/>
      <c r="AP1328" s="7"/>
      <c r="AQ1328" s="7"/>
      <c r="AR1328" s="7"/>
      <c r="AS1328" s="7"/>
      <c r="AT1328" s="7"/>
      <c r="AU1328" s="7"/>
      <c r="AV1328" s="7"/>
      <c r="AW1328" s="7"/>
      <c r="AX1328" s="7"/>
      <c r="AY1328" s="7"/>
      <c r="AZ1328" s="7"/>
      <c r="BA1328" s="7"/>
      <c r="BB1328" s="7"/>
      <c r="BC1328" s="7"/>
      <c r="BD1328" s="7"/>
      <c r="BE1328" s="7"/>
      <c r="BF1328" s="7"/>
      <c r="BG1328" s="7"/>
      <c r="BH1328" s="7"/>
      <c r="BI1328" s="7"/>
      <c r="BJ1328" s="7"/>
      <c r="BK1328" s="7"/>
      <c r="BL1328" s="7"/>
      <c r="BM1328" s="7"/>
      <c r="BN1328" s="7"/>
      <c r="BO1328" s="7"/>
      <c r="BP1328" s="7"/>
      <c r="BQ1328" s="7"/>
      <c r="BR1328" s="7"/>
      <c r="BS1328" s="7"/>
      <c r="BT1328" s="7"/>
      <c r="BU1328" s="7"/>
      <c r="BV1328" s="7"/>
      <c r="BW1328" s="7"/>
      <c r="BX1328" s="7"/>
      <c r="BY1328" s="7"/>
      <c r="BZ1328" s="7"/>
      <c r="CA1328" s="7"/>
      <c r="CB1328" s="7"/>
      <c r="CC1328" s="7"/>
      <c r="CD1328" s="7"/>
      <c r="CE1328" s="7"/>
      <c r="CF1328" s="7"/>
      <c r="CG1328" s="7"/>
    </row>
    <row r="1329" spans="3:85"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  <c r="AC1329" s="7"/>
      <c r="AD1329" s="7"/>
      <c r="AF1329" s="7"/>
      <c r="AG1329" s="7"/>
      <c r="AH1329" s="7"/>
      <c r="AI1329" s="7"/>
      <c r="AJ1329" s="7"/>
      <c r="AK1329" s="7"/>
      <c r="AL1329" s="7"/>
      <c r="AM1329" s="7"/>
      <c r="AN1329" s="7"/>
      <c r="AO1329" s="7"/>
      <c r="AP1329" s="7"/>
      <c r="AQ1329" s="7"/>
      <c r="AR1329" s="7"/>
      <c r="AS1329" s="7"/>
      <c r="AT1329" s="7"/>
      <c r="AU1329" s="7"/>
      <c r="AV1329" s="7"/>
      <c r="AW1329" s="7"/>
      <c r="AX1329" s="7"/>
      <c r="AY1329" s="7"/>
      <c r="AZ1329" s="7"/>
      <c r="BA1329" s="7"/>
      <c r="BB1329" s="7"/>
      <c r="BC1329" s="7"/>
      <c r="BD1329" s="7"/>
      <c r="BE1329" s="7"/>
      <c r="BF1329" s="7"/>
      <c r="BG1329" s="7"/>
      <c r="BH1329" s="7"/>
      <c r="BI1329" s="7"/>
      <c r="BJ1329" s="7"/>
      <c r="BK1329" s="7"/>
      <c r="BL1329" s="7"/>
      <c r="BM1329" s="7"/>
      <c r="BN1329" s="7"/>
      <c r="BO1329" s="7"/>
      <c r="BP1329" s="7"/>
      <c r="BQ1329" s="7"/>
      <c r="BR1329" s="7"/>
      <c r="BS1329" s="7"/>
      <c r="BT1329" s="7"/>
      <c r="BU1329" s="7"/>
      <c r="BV1329" s="7"/>
      <c r="BW1329" s="7"/>
      <c r="BX1329" s="7"/>
      <c r="BY1329" s="7"/>
      <c r="BZ1329" s="7"/>
      <c r="CA1329" s="7"/>
      <c r="CB1329" s="7"/>
      <c r="CC1329" s="7"/>
      <c r="CD1329" s="7"/>
      <c r="CE1329" s="7"/>
      <c r="CF1329" s="7"/>
      <c r="CG1329" s="7"/>
    </row>
    <row r="1330" spans="3:85"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  <c r="AC1330" s="7"/>
      <c r="AD1330" s="7"/>
      <c r="AF1330" s="7"/>
      <c r="AG1330" s="7"/>
      <c r="AH1330" s="7"/>
      <c r="AI1330" s="7"/>
      <c r="AJ1330" s="7"/>
      <c r="AK1330" s="7"/>
      <c r="AL1330" s="7"/>
      <c r="AM1330" s="7"/>
      <c r="AN1330" s="7"/>
      <c r="AO1330" s="7"/>
      <c r="AP1330" s="7"/>
      <c r="AQ1330" s="7"/>
      <c r="AR1330" s="7"/>
      <c r="AS1330" s="7"/>
      <c r="AT1330" s="7"/>
      <c r="AU1330" s="7"/>
      <c r="AV1330" s="7"/>
      <c r="AW1330" s="7"/>
      <c r="AX1330" s="7"/>
      <c r="AY1330" s="7"/>
      <c r="AZ1330" s="7"/>
      <c r="BA1330" s="7"/>
      <c r="BB1330" s="7"/>
      <c r="BC1330" s="7"/>
      <c r="BD1330" s="7"/>
      <c r="BE1330" s="7"/>
      <c r="BF1330" s="7"/>
      <c r="BG1330" s="7"/>
      <c r="BH1330" s="7"/>
      <c r="BI1330" s="7"/>
      <c r="BJ1330" s="7"/>
      <c r="BK1330" s="7"/>
      <c r="BL1330" s="7"/>
      <c r="BM1330" s="7"/>
      <c r="BN1330" s="7"/>
      <c r="BO1330" s="7"/>
      <c r="BP1330" s="7"/>
      <c r="BQ1330" s="7"/>
      <c r="BR1330" s="7"/>
      <c r="BS1330" s="7"/>
      <c r="BT1330" s="7"/>
      <c r="BU1330" s="7"/>
      <c r="BV1330" s="7"/>
      <c r="BW1330" s="7"/>
      <c r="BX1330" s="7"/>
      <c r="BY1330" s="7"/>
      <c r="BZ1330" s="7"/>
      <c r="CA1330" s="7"/>
      <c r="CB1330" s="7"/>
      <c r="CC1330" s="7"/>
      <c r="CD1330" s="7"/>
      <c r="CE1330" s="7"/>
      <c r="CF1330" s="7"/>
      <c r="CG1330" s="7"/>
    </row>
    <row r="1331" spans="3:85"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  <c r="AC1331" s="7"/>
      <c r="AD1331" s="7"/>
      <c r="AF1331" s="7"/>
      <c r="AG1331" s="7"/>
      <c r="AH1331" s="7"/>
      <c r="AI1331" s="7"/>
      <c r="AJ1331" s="7"/>
      <c r="AK1331" s="7"/>
      <c r="AL1331" s="7"/>
      <c r="AM1331" s="7"/>
      <c r="AN1331" s="7"/>
      <c r="AO1331" s="7"/>
      <c r="AP1331" s="7"/>
      <c r="AQ1331" s="7"/>
      <c r="AR1331" s="7"/>
      <c r="AS1331" s="7"/>
      <c r="AT1331" s="7"/>
      <c r="AU1331" s="7"/>
      <c r="AV1331" s="7"/>
      <c r="AW1331" s="7"/>
      <c r="AX1331" s="7"/>
      <c r="AY1331" s="7"/>
      <c r="AZ1331" s="7"/>
      <c r="BA1331" s="7"/>
      <c r="BB1331" s="7"/>
      <c r="BC1331" s="7"/>
      <c r="BD1331" s="7"/>
      <c r="BE1331" s="7"/>
      <c r="BF1331" s="7"/>
      <c r="BG1331" s="7"/>
      <c r="BH1331" s="7"/>
      <c r="BI1331" s="7"/>
      <c r="BJ1331" s="7"/>
      <c r="BK1331" s="7"/>
      <c r="BL1331" s="7"/>
      <c r="BM1331" s="7"/>
      <c r="BN1331" s="7"/>
      <c r="BO1331" s="7"/>
      <c r="BP1331" s="7"/>
      <c r="BQ1331" s="7"/>
      <c r="BR1331" s="7"/>
      <c r="BS1331" s="7"/>
      <c r="BT1331" s="7"/>
      <c r="BU1331" s="7"/>
      <c r="BV1331" s="7"/>
      <c r="BW1331" s="7"/>
      <c r="BX1331" s="7"/>
      <c r="BY1331" s="7"/>
      <c r="BZ1331" s="7"/>
      <c r="CA1331" s="7"/>
      <c r="CB1331" s="7"/>
      <c r="CC1331" s="7"/>
      <c r="CD1331" s="7"/>
      <c r="CE1331" s="7"/>
      <c r="CF1331" s="7"/>
      <c r="CG1331" s="7"/>
    </row>
    <row r="1332" spans="3:85"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  <c r="AC1332" s="7"/>
      <c r="AD1332" s="7"/>
      <c r="AF1332" s="7"/>
      <c r="AG1332" s="7"/>
      <c r="AH1332" s="7"/>
      <c r="AI1332" s="7"/>
      <c r="AJ1332" s="7"/>
      <c r="AK1332" s="7"/>
      <c r="AL1332" s="7"/>
      <c r="AM1332" s="7"/>
      <c r="AN1332" s="7"/>
      <c r="AO1332" s="7"/>
      <c r="AP1332" s="7"/>
      <c r="AQ1332" s="7"/>
      <c r="AR1332" s="7"/>
      <c r="AS1332" s="7"/>
      <c r="AT1332" s="7"/>
      <c r="AU1332" s="7"/>
      <c r="AV1332" s="7"/>
      <c r="AW1332" s="7"/>
      <c r="AX1332" s="7"/>
      <c r="AY1332" s="7"/>
      <c r="AZ1332" s="7"/>
      <c r="BA1332" s="7"/>
      <c r="BB1332" s="7"/>
      <c r="BC1332" s="7"/>
      <c r="BD1332" s="7"/>
      <c r="BE1332" s="7"/>
      <c r="BF1332" s="7"/>
      <c r="BG1332" s="7"/>
      <c r="BH1332" s="7"/>
      <c r="BI1332" s="7"/>
      <c r="BJ1332" s="7"/>
      <c r="BK1332" s="7"/>
      <c r="BL1332" s="7"/>
      <c r="BM1332" s="7"/>
      <c r="BN1332" s="7"/>
      <c r="BO1332" s="7"/>
      <c r="BP1332" s="7"/>
      <c r="BQ1332" s="7"/>
      <c r="BR1332" s="7"/>
      <c r="BS1332" s="7"/>
      <c r="BT1332" s="7"/>
      <c r="BU1332" s="7"/>
      <c r="BV1332" s="7"/>
      <c r="BW1332" s="7"/>
      <c r="BX1332" s="7"/>
      <c r="BY1332" s="7"/>
      <c r="BZ1332" s="7"/>
      <c r="CA1332" s="7"/>
      <c r="CB1332" s="7"/>
      <c r="CC1332" s="7"/>
      <c r="CD1332" s="7"/>
      <c r="CE1332" s="7"/>
      <c r="CF1332" s="7"/>
      <c r="CG1332" s="7"/>
    </row>
    <row r="1333" spans="3:85"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  <c r="AC1333" s="7"/>
      <c r="AD1333" s="7"/>
      <c r="AF1333" s="7"/>
      <c r="AG1333" s="7"/>
      <c r="AH1333" s="7"/>
      <c r="AI1333" s="7"/>
      <c r="AJ1333" s="7"/>
      <c r="AK1333" s="7"/>
      <c r="AL1333" s="7"/>
      <c r="AM1333" s="7"/>
      <c r="AN1333" s="7"/>
      <c r="AO1333" s="7"/>
      <c r="AP1333" s="7"/>
      <c r="AQ1333" s="7"/>
      <c r="AR1333" s="7"/>
      <c r="AS1333" s="7"/>
      <c r="AT1333" s="7"/>
      <c r="AU1333" s="7"/>
      <c r="AV1333" s="7"/>
      <c r="AW1333" s="7"/>
      <c r="AX1333" s="7"/>
      <c r="AY1333" s="7"/>
      <c r="AZ1333" s="7"/>
      <c r="BA1333" s="7"/>
      <c r="BB1333" s="7"/>
      <c r="BC1333" s="7"/>
      <c r="BD1333" s="7"/>
      <c r="BE1333" s="7"/>
      <c r="BF1333" s="7"/>
      <c r="BG1333" s="7"/>
      <c r="BH1333" s="7"/>
      <c r="BI1333" s="7"/>
      <c r="BJ1333" s="7"/>
      <c r="BK1333" s="7"/>
      <c r="BL1333" s="7"/>
      <c r="BM1333" s="7"/>
      <c r="BN1333" s="7"/>
      <c r="BO1333" s="7"/>
      <c r="BP1333" s="7"/>
      <c r="BQ1333" s="7"/>
      <c r="BR1333" s="7"/>
      <c r="BS1333" s="7"/>
      <c r="BT1333" s="7"/>
      <c r="BU1333" s="7"/>
      <c r="BV1333" s="7"/>
      <c r="BW1333" s="7"/>
      <c r="BX1333" s="7"/>
      <c r="BY1333" s="7"/>
      <c r="BZ1333" s="7"/>
      <c r="CA1333" s="7"/>
      <c r="CB1333" s="7"/>
      <c r="CC1333" s="7"/>
      <c r="CD1333" s="7"/>
      <c r="CE1333" s="7"/>
      <c r="CF1333" s="7"/>
      <c r="CG1333" s="7"/>
    </row>
    <row r="1334" spans="3:85"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  <c r="AC1334" s="7"/>
      <c r="AD1334" s="7"/>
      <c r="AF1334" s="7"/>
      <c r="AG1334" s="7"/>
      <c r="AH1334" s="7"/>
      <c r="AI1334" s="7"/>
      <c r="AJ1334" s="7"/>
      <c r="AK1334" s="7"/>
      <c r="AL1334" s="7"/>
      <c r="AM1334" s="7"/>
      <c r="AN1334" s="7"/>
      <c r="AO1334" s="7"/>
      <c r="AP1334" s="7"/>
      <c r="AQ1334" s="7"/>
      <c r="AR1334" s="7"/>
      <c r="AS1334" s="7"/>
      <c r="AT1334" s="7"/>
      <c r="AU1334" s="7"/>
      <c r="AV1334" s="7"/>
      <c r="AW1334" s="7"/>
      <c r="AX1334" s="7"/>
      <c r="AY1334" s="7"/>
      <c r="AZ1334" s="7"/>
      <c r="BA1334" s="7"/>
      <c r="BB1334" s="7"/>
      <c r="BC1334" s="7"/>
      <c r="BD1334" s="7"/>
      <c r="BE1334" s="7"/>
      <c r="BF1334" s="7"/>
      <c r="BG1334" s="7"/>
      <c r="BH1334" s="7"/>
      <c r="BI1334" s="7"/>
      <c r="BJ1334" s="7"/>
      <c r="BK1334" s="7"/>
      <c r="BL1334" s="7"/>
      <c r="BM1334" s="7"/>
      <c r="BN1334" s="7"/>
      <c r="BO1334" s="7"/>
      <c r="BP1334" s="7"/>
      <c r="BQ1334" s="7"/>
      <c r="BR1334" s="7"/>
      <c r="BS1334" s="7"/>
      <c r="BT1334" s="7"/>
      <c r="BU1334" s="7"/>
      <c r="BV1334" s="7"/>
      <c r="BW1334" s="7"/>
      <c r="BX1334" s="7"/>
      <c r="BY1334" s="7"/>
      <c r="BZ1334" s="7"/>
      <c r="CA1334" s="7"/>
      <c r="CB1334" s="7"/>
      <c r="CC1334" s="7"/>
      <c r="CD1334" s="7"/>
      <c r="CE1334" s="7"/>
      <c r="CF1334" s="7"/>
      <c r="CG1334" s="7"/>
    </row>
    <row r="1335" spans="3:85"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  <c r="AC1335" s="7"/>
      <c r="AD1335" s="7"/>
      <c r="AF1335" s="7"/>
      <c r="AG1335" s="7"/>
      <c r="AH1335" s="7"/>
      <c r="AI1335" s="7"/>
      <c r="AJ1335" s="7"/>
      <c r="AK1335" s="7"/>
      <c r="AL1335" s="7"/>
      <c r="AM1335" s="7"/>
      <c r="AN1335" s="7"/>
      <c r="AO1335" s="7"/>
      <c r="AP1335" s="7"/>
      <c r="AQ1335" s="7"/>
      <c r="AR1335" s="7"/>
      <c r="AS1335" s="7"/>
      <c r="AT1335" s="7"/>
      <c r="AU1335" s="7"/>
      <c r="AV1335" s="7"/>
      <c r="AW1335" s="7"/>
      <c r="AX1335" s="7"/>
      <c r="AY1335" s="7"/>
      <c r="AZ1335" s="7"/>
      <c r="BA1335" s="7"/>
      <c r="BB1335" s="7"/>
      <c r="BC1335" s="7"/>
      <c r="BD1335" s="7"/>
      <c r="BE1335" s="7"/>
      <c r="BF1335" s="7"/>
      <c r="BG1335" s="7"/>
      <c r="BH1335" s="7"/>
      <c r="BI1335" s="7"/>
      <c r="BJ1335" s="7"/>
      <c r="BK1335" s="7"/>
      <c r="BL1335" s="7"/>
      <c r="BM1335" s="7"/>
      <c r="BN1335" s="7"/>
      <c r="BO1335" s="7"/>
      <c r="BP1335" s="7"/>
      <c r="BQ1335" s="7"/>
      <c r="BR1335" s="7"/>
      <c r="BS1335" s="7"/>
      <c r="BT1335" s="7"/>
      <c r="BU1335" s="7"/>
      <c r="BV1335" s="7"/>
      <c r="BW1335" s="7"/>
      <c r="BX1335" s="7"/>
      <c r="BY1335" s="7"/>
      <c r="BZ1335" s="7"/>
      <c r="CA1335" s="7"/>
      <c r="CB1335" s="7"/>
      <c r="CC1335" s="7"/>
      <c r="CD1335" s="7"/>
      <c r="CE1335" s="7"/>
      <c r="CF1335" s="7"/>
      <c r="CG1335" s="7"/>
    </row>
    <row r="1336" spans="3:85"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  <c r="AC1336" s="7"/>
      <c r="AD1336" s="7"/>
      <c r="AF1336" s="7"/>
      <c r="AG1336" s="7"/>
      <c r="AH1336" s="7"/>
      <c r="AI1336" s="7"/>
      <c r="AJ1336" s="7"/>
      <c r="AK1336" s="7"/>
      <c r="AL1336" s="7"/>
      <c r="AM1336" s="7"/>
      <c r="AN1336" s="7"/>
      <c r="AO1336" s="7"/>
      <c r="AP1336" s="7"/>
      <c r="AQ1336" s="7"/>
      <c r="AR1336" s="7"/>
      <c r="AS1336" s="7"/>
      <c r="AT1336" s="7"/>
      <c r="AU1336" s="7"/>
      <c r="AV1336" s="7"/>
      <c r="AW1336" s="7"/>
      <c r="AX1336" s="7"/>
      <c r="AY1336" s="7"/>
      <c r="AZ1336" s="7"/>
      <c r="BA1336" s="7"/>
      <c r="BB1336" s="7"/>
      <c r="BC1336" s="7"/>
      <c r="BD1336" s="7"/>
      <c r="BE1336" s="7"/>
      <c r="BF1336" s="7"/>
      <c r="BG1336" s="7"/>
      <c r="BH1336" s="7"/>
      <c r="BI1336" s="7"/>
      <c r="BJ1336" s="7"/>
      <c r="BK1336" s="7"/>
      <c r="BL1336" s="7"/>
      <c r="BM1336" s="7"/>
      <c r="BN1336" s="7"/>
      <c r="BO1336" s="7"/>
      <c r="BP1336" s="7"/>
      <c r="BQ1336" s="7"/>
      <c r="BR1336" s="7"/>
      <c r="BS1336" s="7"/>
      <c r="BT1336" s="7"/>
      <c r="BU1336" s="7"/>
      <c r="BV1336" s="7"/>
      <c r="BW1336" s="7"/>
      <c r="BX1336" s="7"/>
      <c r="BY1336" s="7"/>
      <c r="BZ1336" s="7"/>
      <c r="CA1336" s="7"/>
      <c r="CB1336" s="7"/>
      <c r="CC1336" s="7"/>
      <c r="CD1336" s="7"/>
      <c r="CE1336" s="7"/>
      <c r="CF1336" s="7"/>
      <c r="CG1336" s="7"/>
    </row>
    <row r="1337" spans="3:85"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  <c r="AC1337" s="7"/>
      <c r="AD1337" s="7"/>
      <c r="AF1337" s="7"/>
      <c r="AG1337" s="7"/>
      <c r="AH1337" s="7"/>
      <c r="AI1337" s="7"/>
      <c r="AJ1337" s="7"/>
      <c r="AK1337" s="7"/>
      <c r="AL1337" s="7"/>
      <c r="AM1337" s="7"/>
      <c r="AN1337" s="7"/>
      <c r="AO1337" s="7"/>
      <c r="AP1337" s="7"/>
      <c r="AQ1337" s="7"/>
      <c r="AR1337" s="7"/>
      <c r="AS1337" s="7"/>
      <c r="AT1337" s="7"/>
      <c r="AU1337" s="7"/>
      <c r="AV1337" s="7"/>
      <c r="AW1337" s="7"/>
      <c r="AX1337" s="7"/>
      <c r="AY1337" s="7"/>
      <c r="AZ1337" s="7"/>
      <c r="BA1337" s="7"/>
      <c r="BB1337" s="7"/>
      <c r="BC1337" s="7"/>
      <c r="BD1337" s="7"/>
      <c r="BE1337" s="7"/>
      <c r="BF1337" s="7"/>
      <c r="BG1337" s="7"/>
      <c r="BH1337" s="7"/>
      <c r="BI1337" s="7"/>
      <c r="BJ1337" s="7"/>
      <c r="BK1337" s="7"/>
      <c r="BL1337" s="7"/>
      <c r="BM1337" s="7"/>
      <c r="BN1337" s="7"/>
      <c r="BO1337" s="7"/>
      <c r="BP1337" s="7"/>
      <c r="BQ1337" s="7"/>
      <c r="BR1337" s="7"/>
      <c r="BS1337" s="7"/>
      <c r="BT1337" s="7"/>
      <c r="BU1337" s="7"/>
      <c r="BV1337" s="7"/>
      <c r="BW1337" s="7"/>
      <c r="BX1337" s="7"/>
      <c r="BY1337" s="7"/>
      <c r="BZ1337" s="7"/>
      <c r="CA1337" s="7"/>
      <c r="CB1337" s="7"/>
      <c r="CC1337" s="7"/>
      <c r="CD1337" s="7"/>
      <c r="CE1337" s="7"/>
      <c r="CF1337" s="7"/>
      <c r="CG1337" s="7"/>
    </row>
    <row r="1338" spans="3:85"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  <c r="AC1338" s="7"/>
      <c r="AD1338" s="7"/>
      <c r="AF1338" s="7"/>
      <c r="AG1338" s="7"/>
      <c r="AH1338" s="7"/>
      <c r="AI1338" s="7"/>
      <c r="AJ1338" s="7"/>
      <c r="AK1338" s="7"/>
      <c r="AL1338" s="7"/>
      <c r="AM1338" s="7"/>
      <c r="AN1338" s="7"/>
      <c r="AO1338" s="7"/>
      <c r="AP1338" s="7"/>
      <c r="AQ1338" s="7"/>
      <c r="AR1338" s="7"/>
      <c r="AS1338" s="7"/>
      <c r="AT1338" s="7"/>
      <c r="AU1338" s="7"/>
      <c r="AV1338" s="7"/>
      <c r="AW1338" s="7"/>
      <c r="AX1338" s="7"/>
      <c r="AY1338" s="7"/>
      <c r="AZ1338" s="7"/>
      <c r="BA1338" s="7"/>
      <c r="BB1338" s="7"/>
      <c r="BC1338" s="7"/>
      <c r="BD1338" s="7"/>
      <c r="BE1338" s="7"/>
      <c r="BF1338" s="7"/>
      <c r="BG1338" s="7"/>
      <c r="BH1338" s="7"/>
      <c r="BI1338" s="7"/>
      <c r="BJ1338" s="7"/>
      <c r="BK1338" s="7"/>
      <c r="BL1338" s="7"/>
      <c r="BM1338" s="7"/>
      <c r="BN1338" s="7"/>
      <c r="BO1338" s="7"/>
      <c r="BP1338" s="7"/>
      <c r="BQ1338" s="7"/>
      <c r="BR1338" s="7"/>
      <c r="BS1338" s="7"/>
      <c r="BT1338" s="7"/>
      <c r="BU1338" s="7"/>
      <c r="BV1338" s="7"/>
      <c r="BW1338" s="7"/>
      <c r="BX1338" s="7"/>
      <c r="BY1338" s="7"/>
      <c r="BZ1338" s="7"/>
      <c r="CA1338" s="7"/>
      <c r="CB1338" s="7"/>
      <c r="CC1338" s="7"/>
      <c r="CD1338" s="7"/>
      <c r="CE1338" s="7"/>
      <c r="CF1338" s="7"/>
      <c r="CG1338" s="7"/>
    </row>
    <row r="1339" spans="3:85"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  <c r="AC1339" s="7"/>
      <c r="AD1339" s="7"/>
      <c r="AF1339" s="7"/>
      <c r="AG1339" s="7"/>
      <c r="AH1339" s="7"/>
      <c r="AI1339" s="7"/>
      <c r="AJ1339" s="7"/>
      <c r="AK1339" s="7"/>
      <c r="AL1339" s="7"/>
      <c r="AM1339" s="7"/>
      <c r="AN1339" s="7"/>
      <c r="AO1339" s="7"/>
      <c r="AP1339" s="7"/>
      <c r="AQ1339" s="7"/>
      <c r="AR1339" s="7"/>
      <c r="AS1339" s="7"/>
      <c r="AT1339" s="7"/>
      <c r="AU1339" s="7"/>
      <c r="AV1339" s="7"/>
      <c r="AW1339" s="7"/>
      <c r="AX1339" s="7"/>
      <c r="AY1339" s="7"/>
      <c r="AZ1339" s="7"/>
      <c r="BA1339" s="7"/>
      <c r="BB1339" s="7"/>
      <c r="BC1339" s="7"/>
      <c r="BD1339" s="7"/>
      <c r="BE1339" s="7"/>
      <c r="BF1339" s="7"/>
      <c r="BG1339" s="7"/>
      <c r="BH1339" s="7"/>
      <c r="BI1339" s="7"/>
      <c r="BJ1339" s="7"/>
      <c r="BK1339" s="7"/>
      <c r="BL1339" s="7"/>
      <c r="BM1339" s="7"/>
      <c r="BN1339" s="7"/>
      <c r="BO1339" s="7"/>
      <c r="BP1339" s="7"/>
      <c r="BQ1339" s="7"/>
      <c r="BR1339" s="7"/>
      <c r="BS1339" s="7"/>
      <c r="BT1339" s="7"/>
      <c r="BU1339" s="7"/>
      <c r="BV1339" s="7"/>
      <c r="BW1339" s="7"/>
      <c r="BX1339" s="7"/>
      <c r="BY1339" s="7"/>
      <c r="BZ1339" s="7"/>
      <c r="CA1339" s="7"/>
      <c r="CB1339" s="7"/>
      <c r="CC1339" s="7"/>
      <c r="CD1339" s="7"/>
      <c r="CE1339" s="7"/>
      <c r="CF1339" s="7"/>
      <c r="CG1339" s="7"/>
    </row>
    <row r="1340" spans="3:85"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  <c r="AC1340" s="7"/>
      <c r="AD1340" s="7"/>
      <c r="AF1340" s="7"/>
      <c r="AG1340" s="7"/>
      <c r="AH1340" s="7"/>
      <c r="AI1340" s="7"/>
      <c r="AJ1340" s="7"/>
      <c r="AK1340" s="7"/>
      <c r="AL1340" s="7"/>
      <c r="AM1340" s="7"/>
      <c r="AN1340" s="7"/>
      <c r="AO1340" s="7"/>
      <c r="AP1340" s="7"/>
      <c r="AQ1340" s="7"/>
      <c r="AR1340" s="7"/>
      <c r="AS1340" s="7"/>
      <c r="AT1340" s="7"/>
      <c r="AU1340" s="7"/>
      <c r="AV1340" s="7"/>
      <c r="AW1340" s="7"/>
      <c r="AX1340" s="7"/>
      <c r="AY1340" s="7"/>
      <c r="AZ1340" s="7"/>
      <c r="BA1340" s="7"/>
      <c r="BB1340" s="7"/>
      <c r="BC1340" s="7"/>
      <c r="BD1340" s="7"/>
      <c r="BE1340" s="7"/>
      <c r="BF1340" s="7"/>
      <c r="BG1340" s="7"/>
      <c r="BH1340" s="7"/>
      <c r="BI1340" s="7"/>
      <c r="BJ1340" s="7"/>
      <c r="BK1340" s="7"/>
      <c r="BL1340" s="7"/>
      <c r="BM1340" s="7"/>
      <c r="BN1340" s="7"/>
      <c r="BO1340" s="7"/>
      <c r="BP1340" s="7"/>
      <c r="BQ1340" s="7"/>
      <c r="BR1340" s="7"/>
      <c r="BS1340" s="7"/>
      <c r="BT1340" s="7"/>
      <c r="BU1340" s="7"/>
      <c r="BV1340" s="7"/>
      <c r="BW1340" s="7"/>
      <c r="BX1340" s="7"/>
      <c r="BY1340" s="7"/>
      <c r="BZ1340" s="7"/>
      <c r="CA1340" s="7"/>
      <c r="CB1340" s="7"/>
      <c r="CC1340" s="7"/>
      <c r="CD1340" s="7"/>
      <c r="CE1340" s="7"/>
      <c r="CF1340" s="7"/>
      <c r="CG1340" s="7"/>
    </row>
    <row r="1341" spans="3:85"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  <c r="AC1341" s="7"/>
      <c r="AD1341" s="7"/>
      <c r="AF1341" s="7"/>
      <c r="AG1341" s="7"/>
      <c r="AH1341" s="7"/>
      <c r="AI1341" s="7"/>
      <c r="AJ1341" s="7"/>
      <c r="AK1341" s="7"/>
      <c r="AL1341" s="7"/>
      <c r="AM1341" s="7"/>
      <c r="AN1341" s="7"/>
      <c r="AO1341" s="7"/>
      <c r="AP1341" s="7"/>
      <c r="AQ1341" s="7"/>
      <c r="AR1341" s="7"/>
      <c r="AS1341" s="7"/>
      <c r="AT1341" s="7"/>
      <c r="AU1341" s="7"/>
      <c r="AV1341" s="7"/>
      <c r="AW1341" s="7"/>
      <c r="AX1341" s="7"/>
      <c r="AY1341" s="7"/>
      <c r="AZ1341" s="7"/>
      <c r="BA1341" s="7"/>
      <c r="BB1341" s="7"/>
      <c r="BC1341" s="7"/>
      <c r="BD1341" s="7"/>
      <c r="BE1341" s="7"/>
      <c r="BF1341" s="7"/>
      <c r="BG1341" s="7"/>
      <c r="BH1341" s="7"/>
      <c r="BI1341" s="7"/>
      <c r="BJ1341" s="7"/>
      <c r="BK1341" s="7"/>
      <c r="BL1341" s="7"/>
      <c r="BM1341" s="7"/>
      <c r="BN1341" s="7"/>
      <c r="BO1341" s="7"/>
      <c r="BP1341" s="7"/>
      <c r="BQ1341" s="7"/>
      <c r="BR1341" s="7"/>
      <c r="BS1341" s="7"/>
      <c r="BT1341" s="7"/>
      <c r="BU1341" s="7"/>
      <c r="BV1341" s="7"/>
      <c r="BW1341" s="7"/>
      <c r="BX1341" s="7"/>
      <c r="BY1341" s="7"/>
      <c r="BZ1341" s="7"/>
      <c r="CA1341" s="7"/>
      <c r="CB1341" s="7"/>
      <c r="CC1341" s="7"/>
      <c r="CD1341" s="7"/>
      <c r="CE1341" s="7"/>
      <c r="CF1341" s="7"/>
      <c r="CG1341" s="7"/>
    </row>
    <row r="1342" spans="3:85"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  <c r="AC1342" s="7"/>
      <c r="AD1342" s="7"/>
      <c r="AF1342" s="7"/>
      <c r="AG1342" s="7"/>
      <c r="AH1342" s="7"/>
      <c r="AI1342" s="7"/>
      <c r="AJ1342" s="7"/>
      <c r="AK1342" s="7"/>
      <c r="AL1342" s="7"/>
      <c r="AM1342" s="7"/>
      <c r="AN1342" s="7"/>
      <c r="AO1342" s="7"/>
      <c r="AP1342" s="7"/>
      <c r="AQ1342" s="7"/>
      <c r="AR1342" s="7"/>
      <c r="AS1342" s="7"/>
      <c r="AT1342" s="7"/>
      <c r="AU1342" s="7"/>
      <c r="AV1342" s="7"/>
      <c r="AW1342" s="7"/>
      <c r="AX1342" s="7"/>
      <c r="AY1342" s="7"/>
      <c r="AZ1342" s="7"/>
      <c r="BA1342" s="7"/>
      <c r="BB1342" s="7"/>
      <c r="BC1342" s="7"/>
      <c r="BD1342" s="7"/>
      <c r="BE1342" s="7"/>
      <c r="BF1342" s="7"/>
      <c r="BG1342" s="7"/>
      <c r="BH1342" s="7"/>
      <c r="BI1342" s="7"/>
      <c r="BJ1342" s="7"/>
      <c r="BK1342" s="7"/>
      <c r="BL1342" s="7"/>
      <c r="BM1342" s="7"/>
      <c r="BN1342" s="7"/>
      <c r="BO1342" s="7"/>
      <c r="BP1342" s="7"/>
      <c r="BQ1342" s="7"/>
      <c r="BR1342" s="7"/>
      <c r="BS1342" s="7"/>
      <c r="BT1342" s="7"/>
      <c r="BU1342" s="7"/>
      <c r="BV1342" s="7"/>
      <c r="BW1342" s="7"/>
      <c r="BX1342" s="7"/>
      <c r="BY1342" s="7"/>
      <c r="BZ1342" s="7"/>
      <c r="CA1342" s="7"/>
      <c r="CB1342" s="7"/>
      <c r="CC1342" s="7"/>
      <c r="CD1342" s="7"/>
      <c r="CE1342" s="7"/>
      <c r="CF1342" s="7"/>
      <c r="CG1342" s="7"/>
    </row>
    <row r="1343" spans="3:85"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  <c r="AC1343" s="7"/>
      <c r="AD1343" s="7"/>
      <c r="AF1343" s="7"/>
      <c r="AG1343" s="7"/>
      <c r="AH1343" s="7"/>
      <c r="AI1343" s="7"/>
      <c r="AJ1343" s="7"/>
      <c r="AK1343" s="7"/>
      <c r="AL1343" s="7"/>
      <c r="AM1343" s="7"/>
      <c r="AN1343" s="7"/>
      <c r="AO1343" s="7"/>
      <c r="AP1343" s="7"/>
      <c r="AQ1343" s="7"/>
      <c r="AR1343" s="7"/>
      <c r="AS1343" s="7"/>
      <c r="AT1343" s="7"/>
      <c r="AU1343" s="7"/>
      <c r="AV1343" s="7"/>
      <c r="AW1343" s="7"/>
      <c r="AX1343" s="7"/>
      <c r="AY1343" s="7"/>
      <c r="AZ1343" s="7"/>
      <c r="BA1343" s="7"/>
      <c r="BB1343" s="7"/>
      <c r="BC1343" s="7"/>
      <c r="BD1343" s="7"/>
      <c r="BE1343" s="7"/>
      <c r="BF1343" s="7"/>
      <c r="BG1343" s="7"/>
      <c r="BH1343" s="7"/>
      <c r="BI1343" s="7"/>
      <c r="BJ1343" s="7"/>
      <c r="BK1343" s="7"/>
      <c r="BL1343" s="7"/>
      <c r="BM1343" s="7"/>
      <c r="BN1343" s="7"/>
      <c r="BO1343" s="7"/>
      <c r="BP1343" s="7"/>
      <c r="BQ1343" s="7"/>
      <c r="BR1343" s="7"/>
      <c r="BS1343" s="7"/>
      <c r="BT1343" s="7"/>
      <c r="BU1343" s="7"/>
      <c r="BV1343" s="7"/>
      <c r="BW1343" s="7"/>
      <c r="BX1343" s="7"/>
      <c r="BY1343" s="7"/>
      <c r="BZ1343" s="7"/>
      <c r="CA1343" s="7"/>
      <c r="CB1343" s="7"/>
      <c r="CC1343" s="7"/>
      <c r="CD1343" s="7"/>
      <c r="CE1343" s="7"/>
      <c r="CF1343" s="7"/>
      <c r="CG1343" s="7"/>
    </row>
    <row r="1344" spans="3:85"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  <c r="AC1344" s="7"/>
      <c r="AD1344" s="7"/>
      <c r="AF1344" s="7"/>
      <c r="AG1344" s="7"/>
      <c r="AH1344" s="7"/>
      <c r="AI1344" s="7"/>
      <c r="AJ1344" s="7"/>
      <c r="AK1344" s="7"/>
      <c r="AL1344" s="7"/>
      <c r="AM1344" s="7"/>
      <c r="AN1344" s="7"/>
      <c r="AO1344" s="7"/>
      <c r="AP1344" s="7"/>
      <c r="AQ1344" s="7"/>
      <c r="AR1344" s="7"/>
      <c r="AS1344" s="7"/>
      <c r="AT1344" s="7"/>
      <c r="AU1344" s="7"/>
      <c r="AV1344" s="7"/>
      <c r="AW1344" s="7"/>
      <c r="AX1344" s="7"/>
      <c r="AY1344" s="7"/>
      <c r="AZ1344" s="7"/>
      <c r="BA1344" s="7"/>
      <c r="BB1344" s="7"/>
      <c r="BC1344" s="7"/>
      <c r="BD1344" s="7"/>
      <c r="BE1344" s="7"/>
      <c r="BF1344" s="7"/>
      <c r="BG1344" s="7"/>
      <c r="BH1344" s="7"/>
      <c r="BI1344" s="7"/>
      <c r="BJ1344" s="7"/>
      <c r="BK1344" s="7"/>
      <c r="BL1344" s="7"/>
      <c r="BM1344" s="7"/>
      <c r="BN1344" s="7"/>
      <c r="BO1344" s="7"/>
      <c r="BP1344" s="7"/>
      <c r="BQ1344" s="7"/>
      <c r="BR1344" s="7"/>
      <c r="BS1344" s="7"/>
      <c r="BT1344" s="7"/>
      <c r="BU1344" s="7"/>
      <c r="BV1344" s="7"/>
      <c r="BW1344" s="7"/>
      <c r="BX1344" s="7"/>
      <c r="BY1344" s="7"/>
      <c r="BZ1344" s="7"/>
      <c r="CA1344" s="7"/>
      <c r="CB1344" s="7"/>
      <c r="CC1344" s="7"/>
      <c r="CD1344" s="7"/>
      <c r="CE1344" s="7"/>
      <c r="CF1344" s="7"/>
      <c r="CG1344" s="7"/>
    </row>
    <row r="1345" spans="3:85"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  <c r="AC1345" s="7"/>
      <c r="AD1345" s="7"/>
      <c r="AF1345" s="7"/>
      <c r="AG1345" s="7"/>
      <c r="AH1345" s="7"/>
      <c r="AI1345" s="7"/>
      <c r="AJ1345" s="7"/>
      <c r="AK1345" s="7"/>
      <c r="AL1345" s="7"/>
      <c r="AM1345" s="7"/>
      <c r="AN1345" s="7"/>
      <c r="AO1345" s="7"/>
      <c r="AP1345" s="7"/>
      <c r="AQ1345" s="7"/>
      <c r="AR1345" s="7"/>
      <c r="AS1345" s="7"/>
      <c r="AT1345" s="7"/>
      <c r="AU1345" s="7"/>
      <c r="AV1345" s="7"/>
      <c r="AW1345" s="7"/>
      <c r="AX1345" s="7"/>
      <c r="AY1345" s="7"/>
      <c r="AZ1345" s="7"/>
      <c r="BA1345" s="7"/>
      <c r="BB1345" s="7"/>
      <c r="BC1345" s="7"/>
      <c r="BD1345" s="7"/>
      <c r="BE1345" s="7"/>
      <c r="BF1345" s="7"/>
      <c r="BG1345" s="7"/>
      <c r="BH1345" s="7"/>
      <c r="BI1345" s="7"/>
      <c r="BJ1345" s="7"/>
      <c r="BK1345" s="7"/>
      <c r="BL1345" s="7"/>
      <c r="BM1345" s="7"/>
      <c r="BN1345" s="7"/>
      <c r="BO1345" s="7"/>
      <c r="BP1345" s="7"/>
      <c r="BQ1345" s="7"/>
      <c r="BR1345" s="7"/>
      <c r="BS1345" s="7"/>
      <c r="BT1345" s="7"/>
      <c r="BU1345" s="7"/>
      <c r="BV1345" s="7"/>
      <c r="BW1345" s="7"/>
      <c r="BX1345" s="7"/>
      <c r="BY1345" s="7"/>
      <c r="BZ1345" s="7"/>
      <c r="CA1345" s="7"/>
      <c r="CB1345" s="7"/>
      <c r="CC1345" s="7"/>
      <c r="CD1345" s="7"/>
      <c r="CE1345" s="7"/>
      <c r="CF1345" s="7"/>
      <c r="CG1345" s="7"/>
    </row>
    <row r="1346" spans="3:85"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  <c r="AC1346" s="7"/>
      <c r="AD1346" s="7"/>
      <c r="AF1346" s="7"/>
      <c r="AG1346" s="7"/>
      <c r="AH1346" s="7"/>
      <c r="AI1346" s="7"/>
      <c r="AJ1346" s="7"/>
      <c r="AK1346" s="7"/>
      <c r="AL1346" s="7"/>
      <c r="AM1346" s="7"/>
      <c r="AN1346" s="7"/>
      <c r="AO1346" s="7"/>
      <c r="AP1346" s="7"/>
      <c r="AQ1346" s="7"/>
      <c r="AR1346" s="7"/>
      <c r="AS1346" s="7"/>
      <c r="AT1346" s="7"/>
      <c r="AU1346" s="7"/>
      <c r="AV1346" s="7"/>
      <c r="AW1346" s="7"/>
      <c r="AX1346" s="7"/>
      <c r="AY1346" s="7"/>
      <c r="AZ1346" s="7"/>
      <c r="BA1346" s="7"/>
      <c r="BB1346" s="7"/>
      <c r="BC1346" s="7"/>
      <c r="BD1346" s="7"/>
      <c r="BE1346" s="7"/>
      <c r="BF1346" s="7"/>
      <c r="BG1346" s="7"/>
      <c r="BH1346" s="7"/>
      <c r="BI1346" s="7"/>
      <c r="BJ1346" s="7"/>
      <c r="BK1346" s="7"/>
      <c r="BL1346" s="7"/>
      <c r="BM1346" s="7"/>
      <c r="BN1346" s="7"/>
      <c r="BO1346" s="7"/>
      <c r="BP1346" s="7"/>
      <c r="BQ1346" s="7"/>
      <c r="BR1346" s="7"/>
      <c r="BS1346" s="7"/>
      <c r="BT1346" s="7"/>
      <c r="BU1346" s="7"/>
      <c r="BV1346" s="7"/>
      <c r="BW1346" s="7"/>
      <c r="BX1346" s="7"/>
      <c r="BY1346" s="7"/>
      <c r="BZ1346" s="7"/>
      <c r="CA1346" s="7"/>
      <c r="CB1346" s="7"/>
      <c r="CC1346" s="7"/>
      <c r="CD1346" s="7"/>
      <c r="CE1346" s="7"/>
      <c r="CF1346" s="7"/>
      <c r="CG1346" s="7"/>
    </row>
    <row r="1347" spans="3:85"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  <c r="AC1347" s="7"/>
      <c r="AD1347" s="7"/>
      <c r="AF1347" s="7"/>
      <c r="AG1347" s="7"/>
      <c r="AH1347" s="7"/>
      <c r="AI1347" s="7"/>
      <c r="AJ1347" s="7"/>
      <c r="AK1347" s="7"/>
      <c r="AL1347" s="7"/>
      <c r="AM1347" s="7"/>
      <c r="AN1347" s="7"/>
      <c r="AO1347" s="7"/>
      <c r="AP1347" s="7"/>
      <c r="AQ1347" s="7"/>
      <c r="AR1347" s="7"/>
      <c r="AS1347" s="7"/>
      <c r="AT1347" s="7"/>
      <c r="AU1347" s="7"/>
      <c r="AV1347" s="7"/>
      <c r="AW1347" s="7"/>
      <c r="AX1347" s="7"/>
      <c r="AY1347" s="7"/>
      <c r="AZ1347" s="7"/>
      <c r="BA1347" s="7"/>
      <c r="BB1347" s="7"/>
      <c r="BC1347" s="7"/>
      <c r="BD1347" s="7"/>
      <c r="BE1347" s="7"/>
      <c r="BF1347" s="7"/>
      <c r="BG1347" s="7"/>
      <c r="BH1347" s="7"/>
      <c r="BI1347" s="7"/>
      <c r="BJ1347" s="7"/>
      <c r="BK1347" s="7"/>
      <c r="BL1347" s="7"/>
      <c r="BM1347" s="7"/>
      <c r="BN1347" s="7"/>
      <c r="BO1347" s="7"/>
      <c r="BP1347" s="7"/>
      <c r="BQ1347" s="7"/>
      <c r="BR1347" s="7"/>
      <c r="BS1347" s="7"/>
      <c r="BT1347" s="7"/>
      <c r="BU1347" s="7"/>
      <c r="BV1347" s="7"/>
      <c r="BW1347" s="7"/>
      <c r="BX1347" s="7"/>
      <c r="BY1347" s="7"/>
      <c r="BZ1347" s="7"/>
      <c r="CA1347" s="7"/>
      <c r="CB1347" s="7"/>
      <c r="CC1347" s="7"/>
      <c r="CD1347" s="7"/>
      <c r="CE1347" s="7"/>
      <c r="CF1347" s="7"/>
      <c r="CG1347" s="7"/>
    </row>
    <row r="1348" spans="3:85"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  <c r="AC1348" s="7"/>
      <c r="AD1348" s="7"/>
      <c r="AF1348" s="7"/>
      <c r="AG1348" s="7"/>
      <c r="AH1348" s="7"/>
      <c r="AI1348" s="7"/>
      <c r="AJ1348" s="7"/>
      <c r="AK1348" s="7"/>
      <c r="AL1348" s="7"/>
      <c r="AM1348" s="7"/>
      <c r="AN1348" s="7"/>
      <c r="AO1348" s="7"/>
      <c r="AP1348" s="7"/>
      <c r="AQ1348" s="7"/>
      <c r="AR1348" s="7"/>
      <c r="AS1348" s="7"/>
      <c r="AT1348" s="7"/>
      <c r="AU1348" s="7"/>
      <c r="AV1348" s="7"/>
      <c r="AW1348" s="7"/>
      <c r="AX1348" s="7"/>
      <c r="AY1348" s="7"/>
      <c r="AZ1348" s="7"/>
      <c r="BA1348" s="7"/>
      <c r="BB1348" s="7"/>
      <c r="BC1348" s="7"/>
      <c r="BD1348" s="7"/>
      <c r="BE1348" s="7"/>
      <c r="BF1348" s="7"/>
      <c r="BG1348" s="7"/>
      <c r="BH1348" s="7"/>
      <c r="BI1348" s="7"/>
      <c r="BJ1348" s="7"/>
      <c r="BK1348" s="7"/>
      <c r="BL1348" s="7"/>
      <c r="BM1348" s="7"/>
      <c r="BN1348" s="7"/>
      <c r="BO1348" s="7"/>
      <c r="BP1348" s="7"/>
      <c r="BQ1348" s="7"/>
      <c r="BR1348" s="7"/>
      <c r="BS1348" s="7"/>
      <c r="BT1348" s="7"/>
      <c r="BU1348" s="7"/>
      <c r="BV1348" s="7"/>
      <c r="BW1348" s="7"/>
      <c r="BX1348" s="7"/>
      <c r="BY1348" s="7"/>
      <c r="BZ1348" s="7"/>
      <c r="CA1348" s="7"/>
      <c r="CB1348" s="7"/>
      <c r="CC1348" s="7"/>
      <c r="CD1348" s="7"/>
      <c r="CE1348" s="7"/>
      <c r="CF1348" s="7"/>
      <c r="CG1348" s="7"/>
    </row>
    <row r="1349" spans="3:85"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  <c r="AC1349" s="7"/>
      <c r="AD1349" s="7"/>
      <c r="AF1349" s="7"/>
      <c r="AG1349" s="7"/>
      <c r="AH1349" s="7"/>
      <c r="AI1349" s="7"/>
      <c r="AJ1349" s="7"/>
      <c r="AK1349" s="7"/>
      <c r="AL1349" s="7"/>
      <c r="AM1349" s="7"/>
      <c r="AN1349" s="7"/>
      <c r="AO1349" s="7"/>
      <c r="AP1349" s="7"/>
      <c r="AQ1349" s="7"/>
      <c r="AR1349" s="7"/>
      <c r="AS1349" s="7"/>
      <c r="AT1349" s="7"/>
      <c r="AU1349" s="7"/>
      <c r="AV1349" s="7"/>
      <c r="AW1349" s="7"/>
      <c r="AX1349" s="7"/>
      <c r="AY1349" s="7"/>
      <c r="AZ1349" s="7"/>
      <c r="BA1349" s="7"/>
      <c r="BB1349" s="7"/>
      <c r="BC1349" s="7"/>
      <c r="BD1349" s="7"/>
      <c r="BE1349" s="7"/>
      <c r="BF1349" s="7"/>
      <c r="BG1349" s="7"/>
      <c r="BH1349" s="7"/>
      <c r="BI1349" s="7"/>
      <c r="BJ1349" s="7"/>
      <c r="BK1349" s="7"/>
      <c r="BL1349" s="7"/>
      <c r="BM1349" s="7"/>
      <c r="BN1349" s="7"/>
      <c r="BO1349" s="7"/>
      <c r="BP1349" s="7"/>
      <c r="BQ1349" s="7"/>
      <c r="BR1349" s="7"/>
      <c r="BS1349" s="7"/>
      <c r="BT1349" s="7"/>
      <c r="BU1349" s="7"/>
      <c r="BV1349" s="7"/>
      <c r="BW1349" s="7"/>
      <c r="BX1349" s="7"/>
      <c r="BY1349" s="7"/>
      <c r="BZ1349" s="7"/>
      <c r="CA1349" s="7"/>
      <c r="CB1349" s="7"/>
      <c r="CC1349" s="7"/>
      <c r="CD1349" s="7"/>
      <c r="CE1349" s="7"/>
      <c r="CF1349" s="7"/>
      <c r="CG1349" s="7"/>
    </row>
    <row r="1350" spans="3:85"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  <c r="AC1350" s="7"/>
      <c r="AD1350" s="7"/>
      <c r="AF1350" s="7"/>
      <c r="AG1350" s="7"/>
      <c r="AH1350" s="7"/>
      <c r="AI1350" s="7"/>
      <c r="AJ1350" s="7"/>
      <c r="AK1350" s="7"/>
      <c r="AL1350" s="7"/>
      <c r="AM1350" s="7"/>
      <c r="AN1350" s="7"/>
      <c r="AO1350" s="7"/>
      <c r="AP1350" s="7"/>
      <c r="AQ1350" s="7"/>
      <c r="AR1350" s="7"/>
      <c r="AS1350" s="7"/>
      <c r="AT1350" s="7"/>
      <c r="AU1350" s="7"/>
      <c r="AV1350" s="7"/>
      <c r="AW1350" s="7"/>
      <c r="AX1350" s="7"/>
      <c r="AY1350" s="7"/>
      <c r="AZ1350" s="7"/>
      <c r="BA1350" s="7"/>
      <c r="BB1350" s="7"/>
      <c r="BC1350" s="7"/>
      <c r="BD1350" s="7"/>
      <c r="BE1350" s="7"/>
      <c r="BF1350" s="7"/>
      <c r="BG1350" s="7"/>
      <c r="BH1350" s="7"/>
      <c r="BI1350" s="7"/>
      <c r="BJ1350" s="7"/>
      <c r="BK1350" s="7"/>
      <c r="BL1350" s="7"/>
      <c r="BM1350" s="7"/>
      <c r="BN1350" s="7"/>
      <c r="BO1350" s="7"/>
      <c r="BP1350" s="7"/>
      <c r="BQ1350" s="7"/>
      <c r="BR1350" s="7"/>
      <c r="BS1350" s="7"/>
      <c r="BT1350" s="7"/>
      <c r="BU1350" s="7"/>
      <c r="BV1350" s="7"/>
      <c r="BW1350" s="7"/>
      <c r="BX1350" s="7"/>
      <c r="BY1350" s="7"/>
      <c r="BZ1350" s="7"/>
      <c r="CA1350" s="7"/>
      <c r="CB1350" s="7"/>
      <c r="CC1350" s="7"/>
      <c r="CD1350" s="7"/>
      <c r="CE1350" s="7"/>
      <c r="CF1350" s="7"/>
      <c r="CG1350" s="7"/>
    </row>
    <row r="1351" spans="3:85"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  <c r="AC1351" s="7"/>
      <c r="AD1351" s="7"/>
      <c r="AF1351" s="7"/>
      <c r="AG1351" s="7"/>
      <c r="AH1351" s="7"/>
      <c r="AI1351" s="7"/>
      <c r="AJ1351" s="7"/>
      <c r="AK1351" s="7"/>
      <c r="AL1351" s="7"/>
      <c r="AM1351" s="7"/>
      <c r="AN1351" s="7"/>
      <c r="AO1351" s="7"/>
      <c r="AP1351" s="7"/>
      <c r="AQ1351" s="7"/>
      <c r="AR1351" s="7"/>
      <c r="AS1351" s="7"/>
      <c r="AT1351" s="7"/>
      <c r="AU1351" s="7"/>
      <c r="AV1351" s="7"/>
      <c r="AW1351" s="7"/>
      <c r="AX1351" s="7"/>
      <c r="AY1351" s="7"/>
      <c r="AZ1351" s="7"/>
      <c r="BA1351" s="7"/>
      <c r="BB1351" s="7"/>
      <c r="BC1351" s="7"/>
      <c r="BD1351" s="7"/>
      <c r="BE1351" s="7"/>
      <c r="BF1351" s="7"/>
      <c r="BG1351" s="7"/>
      <c r="BH1351" s="7"/>
      <c r="BI1351" s="7"/>
      <c r="BJ1351" s="7"/>
      <c r="BK1351" s="7"/>
      <c r="BL1351" s="7"/>
      <c r="BM1351" s="7"/>
      <c r="BN1351" s="7"/>
      <c r="BO1351" s="7"/>
      <c r="BP1351" s="7"/>
      <c r="BQ1351" s="7"/>
      <c r="BR1351" s="7"/>
      <c r="BS1351" s="7"/>
      <c r="BT1351" s="7"/>
      <c r="BU1351" s="7"/>
      <c r="BV1351" s="7"/>
      <c r="BW1351" s="7"/>
      <c r="BX1351" s="7"/>
      <c r="BY1351" s="7"/>
      <c r="BZ1351" s="7"/>
      <c r="CA1351" s="7"/>
      <c r="CB1351" s="7"/>
      <c r="CC1351" s="7"/>
      <c r="CD1351" s="7"/>
      <c r="CE1351" s="7"/>
      <c r="CF1351" s="7"/>
      <c r="CG1351" s="7"/>
    </row>
    <row r="1352" spans="3:85"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  <c r="AC1352" s="7"/>
      <c r="AD1352" s="7"/>
      <c r="AF1352" s="7"/>
      <c r="AG1352" s="7"/>
      <c r="AH1352" s="7"/>
      <c r="AI1352" s="7"/>
      <c r="AJ1352" s="7"/>
      <c r="AK1352" s="7"/>
      <c r="AL1352" s="7"/>
      <c r="AM1352" s="7"/>
      <c r="AN1352" s="7"/>
      <c r="AO1352" s="7"/>
      <c r="AP1352" s="7"/>
      <c r="AQ1352" s="7"/>
      <c r="AR1352" s="7"/>
      <c r="AS1352" s="7"/>
      <c r="AT1352" s="7"/>
      <c r="AU1352" s="7"/>
      <c r="AV1352" s="7"/>
      <c r="AW1352" s="7"/>
      <c r="AX1352" s="7"/>
      <c r="AY1352" s="7"/>
      <c r="AZ1352" s="7"/>
      <c r="BA1352" s="7"/>
      <c r="BB1352" s="7"/>
      <c r="BC1352" s="7"/>
      <c r="BD1352" s="7"/>
      <c r="BE1352" s="7"/>
      <c r="BF1352" s="7"/>
      <c r="BG1352" s="7"/>
      <c r="BH1352" s="7"/>
      <c r="BI1352" s="7"/>
      <c r="BJ1352" s="7"/>
      <c r="BK1352" s="7"/>
      <c r="BL1352" s="7"/>
      <c r="BM1352" s="7"/>
      <c r="BN1352" s="7"/>
      <c r="BO1352" s="7"/>
      <c r="BP1352" s="7"/>
      <c r="BQ1352" s="7"/>
      <c r="BR1352" s="7"/>
      <c r="BS1352" s="7"/>
      <c r="BT1352" s="7"/>
      <c r="BU1352" s="7"/>
      <c r="BV1352" s="7"/>
      <c r="BW1352" s="7"/>
      <c r="BX1352" s="7"/>
      <c r="BY1352" s="7"/>
      <c r="BZ1352" s="7"/>
      <c r="CA1352" s="7"/>
      <c r="CB1352" s="7"/>
      <c r="CC1352" s="7"/>
      <c r="CD1352" s="7"/>
      <c r="CE1352" s="7"/>
      <c r="CF1352" s="7"/>
      <c r="CG1352" s="7"/>
    </row>
    <row r="1353" spans="3:85"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  <c r="AC1353" s="7"/>
      <c r="AD1353" s="7"/>
      <c r="AF1353" s="7"/>
      <c r="AG1353" s="7"/>
      <c r="AH1353" s="7"/>
      <c r="AI1353" s="7"/>
      <c r="AJ1353" s="7"/>
      <c r="AK1353" s="7"/>
      <c r="AL1353" s="7"/>
      <c r="AM1353" s="7"/>
      <c r="AN1353" s="7"/>
      <c r="AO1353" s="7"/>
      <c r="AP1353" s="7"/>
      <c r="AQ1353" s="7"/>
      <c r="AR1353" s="7"/>
      <c r="AS1353" s="7"/>
      <c r="AT1353" s="7"/>
      <c r="AU1353" s="7"/>
      <c r="AV1353" s="7"/>
      <c r="AW1353" s="7"/>
      <c r="AX1353" s="7"/>
      <c r="AY1353" s="7"/>
      <c r="AZ1353" s="7"/>
      <c r="BA1353" s="7"/>
      <c r="BB1353" s="7"/>
      <c r="BC1353" s="7"/>
      <c r="BD1353" s="7"/>
      <c r="BE1353" s="7"/>
      <c r="BF1353" s="7"/>
      <c r="BG1353" s="7"/>
      <c r="BH1353" s="7"/>
      <c r="BI1353" s="7"/>
      <c r="BJ1353" s="7"/>
      <c r="BK1353" s="7"/>
      <c r="BL1353" s="7"/>
      <c r="BM1353" s="7"/>
      <c r="BN1353" s="7"/>
      <c r="BO1353" s="7"/>
      <c r="BP1353" s="7"/>
      <c r="BQ1353" s="7"/>
      <c r="BR1353" s="7"/>
      <c r="BS1353" s="7"/>
      <c r="BT1353" s="7"/>
      <c r="BU1353" s="7"/>
      <c r="BV1353" s="7"/>
      <c r="BW1353" s="7"/>
      <c r="BX1353" s="7"/>
      <c r="BY1353" s="7"/>
      <c r="BZ1353" s="7"/>
      <c r="CA1353" s="7"/>
      <c r="CB1353" s="7"/>
      <c r="CC1353" s="7"/>
      <c r="CD1353" s="7"/>
      <c r="CE1353" s="7"/>
      <c r="CF1353" s="7"/>
      <c r="CG1353" s="7"/>
    </row>
    <row r="1354" spans="3:85"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  <c r="AC1354" s="7"/>
      <c r="AD1354" s="7"/>
      <c r="AF1354" s="7"/>
      <c r="AG1354" s="7"/>
      <c r="AH1354" s="7"/>
      <c r="AI1354" s="7"/>
      <c r="AJ1354" s="7"/>
      <c r="AK1354" s="7"/>
      <c r="AL1354" s="7"/>
      <c r="AM1354" s="7"/>
      <c r="AN1354" s="7"/>
      <c r="AO1354" s="7"/>
      <c r="AP1354" s="7"/>
      <c r="AQ1354" s="7"/>
      <c r="AR1354" s="7"/>
      <c r="AS1354" s="7"/>
      <c r="AT1354" s="7"/>
      <c r="AU1354" s="7"/>
      <c r="AV1354" s="7"/>
      <c r="AW1354" s="7"/>
      <c r="AX1354" s="7"/>
      <c r="AY1354" s="7"/>
      <c r="AZ1354" s="7"/>
      <c r="BA1354" s="7"/>
      <c r="BB1354" s="7"/>
      <c r="BC1354" s="7"/>
      <c r="BD1354" s="7"/>
      <c r="BE1354" s="7"/>
      <c r="BF1354" s="7"/>
      <c r="BG1354" s="7"/>
      <c r="BH1354" s="7"/>
      <c r="BI1354" s="7"/>
      <c r="BJ1354" s="7"/>
      <c r="BK1354" s="7"/>
      <c r="BL1354" s="7"/>
      <c r="BM1354" s="7"/>
      <c r="BN1354" s="7"/>
      <c r="BO1354" s="7"/>
      <c r="BP1354" s="7"/>
      <c r="BQ1354" s="7"/>
      <c r="BR1354" s="7"/>
      <c r="BS1354" s="7"/>
      <c r="BT1354" s="7"/>
      <c r="BU1354" s="7"/>
      <c r="BV1354" s="7"/>
      <c r="BW1354" s="7"/>
      <c r="BX1354" s="7"/>
      <c r="BY1354" s="7"/>
      <c r="BZ1354" s="7"/>
      <c r="CA1354" s="7"/>
      <c r="CB1354" s="7"/>
      <c r="CC1354" s="7"/>
      <c r="CD1354" s="7"/>
      <c r="CE1354" s="7"/>
      <c r="CF1354" s="7"/>
      <c r="CG1354" s="7"/>
    </row>
    <row r="1355" spans="3:85"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  <c r="AC1355" s="7"/>
      <c r="AD1355" s="7"/>
      <c r="AF1355" s="7"/>
      <c r="AG1355" s="7"/>
      <c r="AH1355" s="7"/>
      <c r="AI1355" s="7"/>
      <c r="AJ1355" s="7"/>
      <c r="AK1355" s="7"/>
      <c r="AL1355" s="7"/>
      <c r="AM1355" s="7"/>
      <c r="AN1355" s="7"/>
      <c r="AO1355" s="7"/>
      <c r="AP1355" s="7"/>
      <c r="AQ1355" s="7"/>
      <c r="AR1355" s="7"/>
      <c r="AS1355" s="7"/>
      <c r="AT1355" s="7"/>
      <c r="AU1355" s="7"/>
      <c r="AV1355" s="7"/>
      <c r="AW1355" s="7"/>
      <c r="AX1355" s="7"/>
      <c r="AY1355" s="7"/>
      <c r="AZ1355" s="7"/>
      <c r="BA1355" s="7"/>
      <c r="BB1355" s="7"/>
      <c r="BC1355" s="7"/>
      <c r="BD1355" s="7"/>
      <c r="BE1355" s="7"/>
      <c r="BF1355" s="7"/>
      <c r="BG1355" s="7"/>
      <c r="BH1355" s="7"/>
      <c r="BI1355" s="7"/>
      <c r="BJ1355" s="7"/>
      <c r="BK1355" s="7"/>
      <c r="BL1355" s="7"/>
      <c r="BM1355" s="7"/>
      <c r="BN1355" s="7"/>
      <c r="BO1355" s="7"/>
      <c r="BP1355" s="7"/>
      <c r="BQ1355" s="7"/>
      <c r="BR1355" s="7"/>
      <c r="BS1355" s="7"/>
      <c r="BT1355" s="7"/>
      <c r="BU1355" s="7"/>
      <c r="BV1355" s="7"/>
      <c r="BW1355" s="7"/>
      <c r="BX1355" s="7"/>
      <c r="BY1355" s="7"/>
      <c r="BZ1355" s="7"/>
      <c r="CA1355" s="7"/>
      <c r="CB1355" s="7"/>
      <c r="CC1355" s="7"/>
      <c r="CD1355" s="7"/>
      <c r="CE1355" s="7"/>
      <c r="CF1355" s="7"/>
      <c r="CG1355" s="7"/>
    </row>
    <row r="1356" spans="3:85"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  <c r="AC1356" s="7"/>
      <c r="AD1356" s="7"/>
      <c r="AF1356" s="7"/>
      <c r="AG1356" s="7"/>
      <c r="AH1356" s="7"/>
      <c r="AI1356" s="7"/>
      <c r="AJ1356" s="7"/>
      <c r="AK1356" s="7"/>
      <c r="AL1356" s="7"/>
      <c r="AM1356" s="7"/>
      <c r="AN1356" s="7"/>
      <c r="AO1356" s="7"/>
      <c r="AP1356" s="7"/>
      <c r="AQ1356" s="7"/>
      <c r="AR1356" s="7"/>
      <c r="AS1356" s="7"/>
      <c r="AT1356" s="7"/>
      <c r="AU1356" s="7"/>
      <c r="AV1356" s="7"/>
      <c r="AW1356" s="7"/>
      <c r="AX1356" s="7"/>
      <c r="AY1356" s="7"/>
      <c r="AZ1356" s="7"/>
      <c r="BA1356" s="7"/>
      <c r="BB1356" s="7"/>
      <c r="BC1356" s="7"/>
      <c r="BD1356" s="7"/>
      <c r="BE1356" s="7"/>
      <c r="BF1356" s="7"/>
      <c r="BG1356" s="7"/>
      <c r="BH1356" s="7"/>
      <c r="BI1356" s="7"/>
      <c r="BJ1356" s="7"/>
      <c r="BK1356" s="7"/>
      <c r="BL1356" s="7"/>
      <c r="BM1356" s="7"/>
      <c r="BN1356" s="7"/>
      <c r="BO1356" s="7"/>
      <c r="BP1356" s="7"/>
      <c r="BQ1356" s="7"/>
      <c r="BR1356" s="7"/>
      <c r="BS1356" s="7"/>
      <c r="BT1356" s="7"/>
      <c r="BU1356" s="7"/>
      <c r="BV1356" s="7"/>
      <c r="BW1356" s="7"/>
      <c r="BX1356" s="7"/>
      <c r="BY1356" s="7"/>
      <c r="BZ1356" s="7"/>
      <c r="CA1356" s="7"/>
      <c r="CB1356" s="7"/>
      <c r="CC1356" s="7"/>
      <c r="CD1356" s="7"/>
      <c r="CE1356" s="7"/>
      <c r="CF1356" s="7"/>
      <c r="CG1356" s="7"/>
    </row>
    <row r="1357" spans="3:85"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  <c r="AC1357" s="7"/>
      <c r="AD1357" s="7"/>
      <c r="AF1357" s="7"/>
      <c r="AG1357" s="7"/>
      <c r="AH1357" s="7"/>
      <c r="AI1357" s="7"/>
      <c r="AJ1357" s="7"/>
      <c r="AK1357" s="7"/>
      <c r="AL1357" s="7"/>
      <c r="AM1357" s="7"/>
      <c r="AN1357" s="7"/>
      <c r="AO1357" s="7"/>
      <c r="AP1357" s="7"/>
      <c r="AQ1357" s="7"/>
      <c r="AR1357" s="7"/>
      <c r="AS1357" s="7"/>
      <c r="AT1357" s="7"/>
      <c r="AU1357" s="7"/>
      <c r="AV1357" s="7"/>
      <c r="AW1357" s="7"/>
      <c r="AX1357" s="7"/>
      <c r="AY1357" s="7"/>
      <c r="AZ1357" s="7"/>
      <c r="BA1357" s="7"/>
      <c r="BB1357" s="7"/>
      <c r="BC1357" s="7"/>
      <c r="BD1357" s="7"/>
      <c r="BE1357" s="7"/>
      <c r="BF1357" s="7"/>
      <c r="BG1357" s="7"/>
      <c r="BH1357" s="7"/>
      <c r="BI1357" s="7"/>
      <c r="BJ1357" s="7"/>
      <c r="BK1357" s="7"/>
      <c r="BL1357" s="7"/>
      <c r="BM1357" s="7"/>
      <c r="BN1357" s="7"/>
      <c r="BO1357" s="7"/>
      <c r="BP1357" s="7"/>
      <c r="BQ1357" s="7"/>
      <c r="BR1357" s="7"/>
      <c r="BS1357" s="7"/>
      <c r="BT1357" s="7"/>
      <c r="BU1357" s="7"/>
      <c r="BV1357" s="7"/>
      <c r="BW1357" s="7"/>
      <c r="BX1357" s="7"/>
      <c r="BY1357" s="7"/>
      <c r="BZ1357" s="7"/>
      <c r="CA1357" s="7"/>
      <c r="CB1357" s="7"/>
      <c r="CC1357" s="7"/>
      <c r="CD1357" s="7"/>
      <c r="CE1357" s="7"/>
      <c r="CF1357" s="7"/>
      <c r="CG1357" s="7"/>
    </row>
    <row r="1358" spans="3:85"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  <c r="AC1358" s="7"/>
      <c r="AD1358" s="7"/>
      <c r="AF1358" s="7"/>
      <c r="AG1358" s="7"/>
      <c r="AH1358" s="7"/>
      <c r="AI1358" s="7"/>
      <c r="AJ1358" s="7"/>
      <c r="AK1358" s="7"/>
      <c r="AL1358" s="7"/>
      <c r="AM1358" s="7"/>
      <c r="AN1358" s="7"/>
      <c r="AO1358" s="7"/>
      <c r="AP1358" s="7"/>
      <c r="AQ1358" s="7"/>
      <c r="AR1358" s="7"/>
      <c r="AS1358" s="7"/>
      <c r="AT1358" s="7"/>
      <c r="AU1358" s="7"/>
      <c r="AV1358" s="7"/>
      <c r="AW1358" s="7"/>
      <c r="AX1358" s="7"/>
      <c r="AY1358" s="7"/>
      <c r="AZ1358" s="7"/>
      <c r="BA1358" s="7"/>
      <c r="BB1358" s="7"/>
      <c r="BC1358" s="7"/>
      <c r="BD1358" s="7"/>
      <c r="BE1358" s="7"/>
      <c r="BF1358" s="7"/>
      <c r="BG1358" s="7"/>
      <c r="BH1358" s="7"/>
      <c r="BI1358" s="7"/>
      <c r="BJ1358" s="7"/>
      <c r="BK1358" s="7"/>
      <c r="BL1358" s="7"/>
      <c r="BM1358" s="7"/>
      <c r="BN1358" s="7"/>
      <c r="BO1358" s="7"/>
      <c r="BP1358" s="7"/>
      <c r="BQ1358" s="7"/>
      <c r="BR1358" s="7"/>
      <c r="BS1358" s="7"/>
      <c r="BT1358" s="7"/>
      <c r="BU1358" s="7"/>
      <c r="BV1358" s="7"/>
      <c r="BW1358" s="7"/>
      <c r="BX1358" s="7"/>
      <c r="BY1358" s="7"/>
      <c r="BZ1358" s="7"/>
      <c r="CA1358" s="7"/>
      <c r="CB1358" s="7"/>
      <c r="CC1358" s="7"/>
      <c r="CD1358" s="7"/>
      <c r="CE1358" s="7"/>
      <c r="CF1358" s="7"/>
      <c r="CG1358" s="7"/>
    </row>
    <row r="1359" spans="3:85"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  <c r="AC1359" s="7"/>
      <c r="AD1359" s="7"/>
      <c r="AF1359" s="7"/>
      <c r="AG1359" s="7"/>
      <c r="AH1359" s="7"/>
      <c r="AI1359" s="7"/>
      <c r="AJ1359" s="7"/>
      <c r="AK1359" s="7"/>
      <c r="AL1359" s="7"/>
      <c r="AM1359" s="7"/>
      <c r="AN1359" s="7"/>
      <c r="AO1359" s="7"/>
      <c r="AP1359" s="7"/>
      <c r="AQ1359" s="7"/>
      <c r="AR1359" s="7"/>
      <c r="AS1359" s="7"/>
      <c r="AT1359" s="7"/>
      <c r="AU1359" s="7"/>
      <c r="AV1359" s="7"/>
      <c r="AW1359" s="7"/>
      <c r="AX1359" s="7"/>
      <c r="AY1359" s="7"/>
      <c r="AZ1359" s="7"/>
      <c r="BA1359" s="7"/>
      <c r="BB1359" s="7"/>
      <c r="BC1359" s="7"/>
      <c r="BD1359" s="7"/>
      <c r="BE1359" s="7"/>
      <c r="BF1359" s="7"/>
      <c r="BG1359" s="7"/>
      <c r="BH1359" s="7"/>
      <c r="BI1359" s="7"/>
      <c r="BJ1359" s="7"/>
      <c r="BK1359" s="7"/>
      <c r="BL1359" s="7"/>
      <c r="BM1359" s="7"/>
      <c r="BN1359" s="7"/>
      <c r="BO1359" s="7"/>
      <c r="BP1359" s="7"/>
      <c r="BQ1359" s="7"/>
      <c r="BR1359" s="7"/>
      <c r="BS1359" s="7"/>
      <c r="BT1359" s="7"/>
      <c r="BU1359" s="7"/>
      <c r="BV1359" s="7"/>
      <c r="BW1359" s="7"/>
      <c r="BX1359" s="7"/>
      <c r="BY1359" s="7"/>
      <c r="BZ1359" s="7"/>
      <c r="CA1359" s="7"/>
      <c r="CB1359" s="7"/>
      <c r="CC1359" s="7"/>
      <c r="CD1359" s="7"/>
      <c r="CE1359" s="7"/>
      <c r="CF1359" s="7"/>
      <c r="CG1359" s="7"/>
    </row>
    <row r="1360" spans="3:85"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  <c r="AC1360" s="7"/>
      <c r="AD1360" s="7"/>
      <c r="AF1360" s="7"/>
      <c r="AG1360" s="7"/>
      <c r="AH1360" s="7"/>
      <c r="AI1360" s="7"/>
      <c r="AJ1360" s="7"/>
      <c r="AK1360" s="7"/>
      <c r="AL1360" s="7"/>
      <c r="AM1360" s="7"/>
      <c r="AN1360" s="7"/>
      <c r="AO1360" s="7"/>
      <c r="AP1360" s="7"/>
      <c r="AQ1360" s="7"/>
      <c r="AR1360" s="7"/>
      <c r="AS1360" s="7"/>
      <c r="AT1360" s="7"/>
      <c r="AU1360" s="7"/>
      <c r="AV1360" s="7"/>
      <c r="AW1360" s="7"/>
      <c r="AX1360" s="7"/>
      <c r="AY1360" s="7"/>
      <c r="AZ1360" s="7"/>
      <c r="BA1360" s="7"/>
      <c r="BB1360" s="7"/>
      <c r="BC1360" s="7"/>
      <c r="BD1360" s="7"/>
      <c r="BE1360" s="7"/>
      <c r="BF1360" s="7"/>
      <c r="BG1360" s="7"/>
      <c r="BH1360" s="7"/>
      <c r="BI1360" s="7"/>
      <c r="BJ1360" s="7"/>
      <c r="BK1360" s="7"/>
      <c r="BL1360" s="7"/>
      <c r="BM1360" s="7"/>
      <c r="BN1360" s="7"/>
      <c r="BO1360" s="7"/>
      <c r="BP1360" s="7"/>
      <c r="BQ1360" s="7"/>
      <c r="BR1360" s="7"/>
      <c r="BS1360" s="7"/>
      <c r="BT1360" s="7"/>
      <c r="BU1360" s="7"/>
      <c r="BV1360" s="7"/>
      <c r="BW1360" s="7"/>
      <c r="BX1360" s="7"/>
      <c r="BY1360" s="7"/>
      <c r="BZ1360" s="7"/>
      <c r="CA1360" s="7"/>
      <c r="CB1360" s="7"/>
      <c r="CC1360" s="7"/>
      <c r="CD1360" s="7"/>
      <c r="CE1360" s="7"/>
      <c r="CF1360" s="7"/>
      <c r="CG1360" s="7"/>
    </row>
    <row r="1361" spans="3:85"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  <c r="AC1361" s="7"/>
      <c r="AD1361" s="7"/>
      <c r="AF1361" s="7"/>
      <c r="AG1361" s="7"/>
      <c r="AH1361" s="7"/>
      <c r="AI1361" s="7"/>
      <c r="AJ1361" s="7"/>
      <c r="AK1361" s="7"/>
      <c r="AL1361" s="7"/>
      <c r="AM1361" s="7"/>
      <c r="AN1361" s="7"/>
      <c r="AO1361" s="7"/>
      <c r="AP1361" s="7"/>
      <c r="AQ1361" s="7"/>
      <c r="AR1361" s="7"/>
      <c r="AS1361" s="7"/>
      <c r="AT1361" s="7"/>
      <c r="AU1361" s="7"/>
      <c r="AV1361" s="7"/>
      <c r="AW1361" s="7"/>
      <c r="AX1361" s="7"/>
      <c r="AY1361" s="7"/>
      <c r="AZ1361" s="7"/>
      <c r="BA1361" s="7"/>
      <c r="BB1361" s="7"/>
      <c r="BC1361" s="7"/>
      <c r="BD1361" s="7"/>
      <c r="BE1361" s="7"/>
      <c r="BF1361" s="7"/>
      <c r="BG1361" s="7"/>
      <c r="BH1361" s="7"/>
      <c r="BI1361" s="7"/>
      <c r="BJ1361" s="7"/>
      <c r="BK1361" s="7"/>
      <c r="BL1361" s="7"/>
      <c r="BM1361" s="7"/>
      <c r="BN1361" s="7"/>
      <c r="BO1361" s="7"/>
      <c r="BP1361" s="7"/>
      <c r="BQ1361" s="7"/>
      <c r="BR1361" s="7"/>
      <c r="BS1361" s="7"/>
      <c r="BT1361" s="7"/>
      <c r="BU1361" s="7"/>
      <c r="BV1361" s="7"/>
      <c r="BW1361" s="7"/>
      <c r="BX1361" s="7"/>
      <c r="BY1361" s="7"/>
      <c r="BZ1361" s="7"/>
      <c r="CA1361" s="7"/>
      <c r="CB1361" s="7"/>
      <c r="CC1361" s="7"/>
      <c r="CD1361" s="7"/>
      <c r="CE1361" s="7"/>
      <c r="CF1361" s="7"/>
      <c r="CG1361" s="7"/>
    </row>
    <row r="1362" spans="3:85"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  <c r="AC1362" s="7"/>
      <c r="AD1362" s="7"/>
      <c r="AF1362" s="7"/>
      <c r="AG1362" s="7"/>
      <c r="AH1362" s="7"/>
      <c r="AI1362" s="7"/>
      <c r="AJ1362" s="7"/>
      <c r="AK1362" s="7"/>
      <c r="AL1362" s="7"/>
      <c r="AM1362" s="7"/>
      <c r="AN1362" s="7"/>
      <c r="AO1362" s="7"/>
      <c r="AP1362" s="7"/>
      <c r="AQ1362" s="7"/>
      <c r="AR1362" s="7"/>
      <c r="AS1362" s="7"/>
      <c r="AT1362" s="7"/>
      <c r="AU1362" s="7"/>
      <c r="AV1362" s="7"/>
      <c r="AW1362" s="7"/>
      <c r="AX1362" s="7"/>
      <c r="AY1362" s="7"/>
      <c r="AZ1362" s="7"/>
      <c r="BA1362" s="7"/>
      <c r="BB1362" s="7"/>
      <c r="BC1362" s="7"/>
      <c r="BD1362" s="7"/>
      <c r="BE1362" s="7"/>
      <c r="BF1362" s="7"/>
      <c r="BG1362" s="7"/>
      <c r="BH1362" s="7"/>
      <c r="BI1362" s="7"/>
      <c r="BJ1362" s="7"/>
      <c r="BK1362" s="7"/>
      <c r="BL1362" s="7"/>
      <c r="BM1362" s="7"/>
      <c r="BN1362" s="7"/>
      <c r="BO1362" s="7"/>
      <c r="BP1362" s="7"/>
      <c r="BQ1362" s="7"/>
      <c r="BR1362" s="7"/>
      <c r="BS1362" s="7"/>
      <c r="BT1362" s="7"/>
      <c r="BU1362" s="7"/>
      <c r="BV1362" s="7"/>
      <c r="BW1362" s="7"/>
      <c r="BX1362" s="7"/>
      <c r="BY1362" s="7"/>
      <c r="BZ1362" s="7"/>
      <c r="CA1362" s="7"/>
      <c r="CB1362" s="7"/>
      <c r="CC1362" s="7"/>
      <c r="CD1362" s="7"/>
      <c r="CE1362" s="7"/>
      <c r="CF1362" s="7"/>
      <c r="CG1362" s="7"/>
    </row>
    <row r="1363" spans="3:85"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  <c r="AC1363" s="7"/>
      <c r="AD1363" s="7"/>
      <c r="AF1363" s="7"/>
      <c r="AG1363" s="7"/>
      <c r="AH1363" s="7"/>
      <c r="AI1363" s="7"/>
      <c r="AJ1363" s="7"/>
      <c r="AK1363" s="7"/>
      <c r="AL1363" s="7"/>
      <c r="AM1363" s="7"/>
      <c r="AN1363" s="7"/>
      <c r="AO1363" s="7"/>
      <c r="AP1363" s="7"/>
      <c r="AQ1363" s="7"/>
      <c r="AR1363" s="7"/>
      <c r="AS1363" s="7"/>
      <c r="AT1363" s="7"/>
      <c r="AU1363" s="7"/>
      <c r="AV1363" s="7"/>
      <c r="AW1363" s="7"/>
      <c r="AX1363" s="7"/>
      <c r="AY1363" s="7"/>
      <c r="AZ1363" s="7"/>
      <c r="BA1363" s="7"/>
      <c r="BB1363" s="7"/>
      <c r="BC1363" s="7"/>
      <c r="BD1363" s="7"/>
      <c r="BE1363" s="7"/>
      <c r="BF1363" s="7"/>
      <c r="BG1363" s="7"/>
      <c r="BH1363" s="7"/>
      <c r="BI1363" s="7"/>
      <c r="BJ1363" s="7"/>
      <c r="BK1363" s="7"/>
      <c r="BL1363" s="7"/>
      <c r="BM1363" s="7"/>
      <c r="BN1363" s="7"/>
      <c r="BO1363" s="7"/>
      <c r="BP1363" s="7"/>
      <c r="BQ1363" s="7"/>
      <c r="BR1363" s="7"/>
      <c r="BS1363" s="7"/>
      <c r="BT1363" s="7"/>
      <c r="BU1363" s="7"/>
      <c r="BV1363" s="7"/>
      <c r="BW1363" s="7"/>
      <c r="BX1363" s="7"/>
      <c r="BY1363" s="7"/>
      <c r="BZ1363" s="7"/>
      <c r="CA1363" s="7"/>
      <c r="CB1363" s="7"/>
      <c r="CC1363" s="7"/>
      <c r="CD1363" s="7"/>
      <c r="CE1363" s="7"/>
      <c r="CF1363" s="7"/>
      <c r="CG1363" s="7"/>
    </row>
    <row r="1364" spans="3:85"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  <c r="AC1364" s="7"/>
      <c r="AD1364" s="7"/>
      <c r="AF1364" s="7"/>
      <c r="AG1364" s="7"/>
      <c r="AH1364" s="7"/>
      <c r="AI1364" s="7"/>
      <c r="AJ1364" s="7"/>
      <c r="AK1364" s="7"/>
      <c r="AL1364" s="7"/>
      <c r="AM1364" s="7"/>
      <c r="AN1364" s="7"/>
      <c r="AO1364" s="7"/>
      <c r="AP1364" s="7"/>
      <c r="AQ1364" s="7"/>
      <c r="AR1364" s="7"/>
      <c r="AS1364" s="7"/>
      <c r="AT1364" s="7"/>
      <c r="AU1364" s="7"/>
      <c r="AV1364" s="7"/>
      <c r="AW1364" s="7"/>
      <c r="AX1364" s="7"/>
      <c r="AY1364" s="7"/>
      <c r="AZ1364" s="7"/>
      <c r="BA1364" s="7"/>
      <c r="BB1364" s="7"/>
      <c r="BC1364" s="7"/>
      <c r="BD1364" s="7"/>
      <c r="BE1364" s="7"/>
      <c r="BF1364" s="7"/>
      <c r="BG1364" s="7"/>
      <c r="BH1364" s="7"/>
      <c r="BI1364" s="7"/>
      <c r="BJ1364" s="7"/>
      <c r="BK1364" s="7"/>
      <c r="BL1364" s="7"/>
      <c r="BM1364" s="7"/>
      <c r="BN1364" s="7"/>
      <c r="BO1364" s="7"/>
      <c r="BP1364" s="7"/>
      <c r="BQ1364" s="7"/>
      <c r="BR1364" s="7"/>
      <c r="BS1364" s="7"/>
      <c r="BT1364" s="7"/>
      <c r="BU1364" s="7"/>
      <c r="BV1364" s="7"/>
      <c r="BW1364" s="7"/>
      <c r="BX1364" s="7"/>
      <c r="BY1364" s="7"/>
      <c r="BZ1364" s="7"/>
      <c r="CA1364" s="7"/>
      <c r="CB1364" s="7"/>
      <c r="CC1364" s="7"/>
      <c r="CD1364" s="7"/>
      <c r="CE1364" s="7"/>
      <c r="CF1364" s="7"/>
      <c r="CG1364" s="7"/>
    </row>
    <row r="1365" spans="3:85"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  <c r="AC1365" s="7"/>
      <c r="AD1365" s="7"/>
      <c r="AF1365" s="7"/>
      <c r="AG1365" s="7"/>
      <c r="AH1365" s="7"/>
      <c r="AI1365" s="7"/>
      <c r="AJ1365" s="7"/>
      <c r="AK1365" s="7"/>
      <c r="AL1365" s="7"/>
      <c r="AM1365" s="7"/>
      <c r="AN1365" s="7"/>
      <c r="AO1365" s="7"/>
      <c r="AP1365" s="7"/>
      <c r="AQ1365" s="7"/>
      <c r="AR1365" s="7"/>
      <c r="AS1365" s="7"/>
      <c r="AT1365" s="7"/>
      <c r="AU1365" s="7"/>
      <c r="AV1365" s="7"/>
      <c r="AW1365" s="7"/>
      <c r="AX1365" s="7"/>
      <c r="AY1365" s="7"/>
      <c r="AZ1365" s="7"/>
      <c r="BA1365" s="7"/>
      <c r="BB1365" s="7"/>
      <c r="BC1365" s="7"/>
      <c r="BD1365" s="7"/>
      <c r="BE1365" s="7"/>
      <c r="BF1365" s="7"/>
      <c r="BG1365" s="7"/>
      <c r="BH1365" s="7"/>
      <c r="BI1365" s="7"/>
      <c r="BJ1365" s="7"/>
      <c r="BK1365" s="7"/>
      <c r="BL1365" s="7"/>
      <c r="BM1365" s="7"/>
      <c r="BN1365" s="7"/>
      <c r="BO1365" s="7"/>
      <c r="BP1365" s="7"/>
      <c r="BQ1365" s="7"/>
      <c r="BR1365" s="7"/>
      <c r="BS1365" s="7"/>
      <c r="BT1365" s="7"/>
      <c r="BU1365" s="7"/>
      <c r="BV1365" s="7"/>
      <c r="BW1365" s="7"/>
      <c r="BX1365" s="7"/>
      <c r="BY1365" s="7"/>
      <c r="BZ1365" s="7"/>
      <c r="CA1365" s="7"/>
      <c r="CB1365" s="7"/>
      <c r="CC1365" s="7"/>
      <c r="CD1365" s="7"/>
      <c r="CE1365" s="7"/>
      <c r="CF1365" s="7"/>
      <c r="CG1365" s="7"/>
    </row>
    <row r="1366" spans="3:85"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  <c r="AC1366" s="7"/>
      <c r="AD1366" s="7"/>
      <c r="AF1366" s="7"/>
      <c r="AG1366" s="7"/>
      <c r="AH1366" s="7"/>
      <c r="AI1366" s="7"/>
      <c r="AJ1366" s="7"/>
      <c r="AK1366" s="7"/>
      <c r="AL1366" s="7"/>
      <c r="AM1366" s="7"/>
      <c r="AN1366" s="7"/>
      <c r="AO1366" s="7"/>
      <c r="AP1366" s="7"/>
      <c r="AQ1366" s="7"/>
      <c r="AR1366" s="7"/>
      <c r="AS1366" s="7"/>
      <c r="AT1366" s="7"/>
      <c r="AU1366" s="7"/>
      <c r="AV1366" s="7"/>
      <c r="AW1366" s="7"/>
      <c r="AX1366" s="7"/>
      <c r="AY1366" s="7"/>
      <c r="AZ1366" s="7"/>
      <c r="BA1366" s="7"/>
      <c r="BB1366" s="7"/>
      <c r="BC1366" s="7"/>
      <c r="BD1366" s="7"/>
      <c r="BE1366" s="7"/>
      <c r="BF1366" s="7"/>
      <c r="BG1366" s="7"/>
      <c r="BH1366" s="7"/>
      <c r="BI1366" s="7"/>
      <c r="BJ1366" s="7"/>
      <c r="BK1366" s="7"/>
      <c r="BL1366" s="7"/>
      <c r="BM1366" s="7"/>
      <c r="BN1366" s="7"/>
      <c r="BO1366" s="7"/>
      <c r="BP1366" s="7"/>
      <c r="BQ1366" s="7"/>
      <c r="BR1366" s="7"/>
      <c r="BS1366" s="7"/>
      <c r="BT1366" s="7"/>
      <c r="BU1366" s="7"/>
      <c r="BV1366" s="7"/>
      <c r="BW1366" s="7"/>
      <c r="BX1366" s="7"/>
      <c r="BY1366" s="7"/>
      <c r="BZ1366" s="7"/>
      <c r="CA1366" s="7"/>
      <c r="CB1366" s="7"/>
      <c r="CC1366" s="7"/>
      <c r="CD1366" s="7"/>
      <c r="CE1366" s="7"/>
      <c r="CF1366" s="7"/>
      <c r="CG1366" s="7"/>
    </row>
    <row r="1367" spans="3:85"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  <c r="AC1367" s="7"/>
      <c r="AD1367" s="7"/>
      <c r="AF1367" s="7"/>
      <c r="AG1367" s="7"/>
      <c r="AH1367" s="7"/>
      <c r="AI1367" s="7"/>
      <c r="AJ1367" s="7"/>
      <c r="AK1367" s="7"/>
      <c r="AL1367" s="7"/>
      <c r="AM1367" s="7"/>
      <c r="AN1367" s="7"/>
      <c r="AO1367" s="7"/>
      <c r="AP1367" s="7"/>
      <c r="AQ1367" s="7"/>
      <c r="AR1367" s="7"/>
      <c r="AS1367" s="7"/>
      <c r="AT1367" s="7"/>
      <c r="AU1367" s="7"/>
      <c r="AV1367" s="7"/>
      <c r="AW1367" s="7"/>
      <c r="AX1367" s="7"/>
      <c r="AY1367" s="7"/>
      <c r="AZ1367" s="7"/>
      <c r="BA1367" s="7"/>
      <c r="BB1367" s="7"/>
      <c r="BC1367" s="7"/>
      <c r="BD1367" s="7"/>
      <c r="BE1367" s="7"/>
      <c r="BF1367" s="7"/>
      <c r="BG1367" s="7"/>
      <c r="BH1367" s="7"/>
      <c r="BI1367" s="7"/>
      <c r="BJ1367" s="7"/>
      <c r="BK1367" s="7"/>
      <c r="BL1367" s="7"/>
      <c r="BM1367" s="7"/>
      <c r="BN1367" s="7"/>
      <c r="BO1367" s="7"/>
      <c r="BP1367" s="7"/>
      <c r="BQ1367" s="7"/>
      <c r="BR1367" s="7"/>
      <c r="BS1367" s="7"/>
      <c r="BT1367" s="7"/>
      <c r="BU1367" s="7"/>
      <c r="BV1367" s="7"/>
      <c r="BW1367" s="7"/>
      <c r="BX1367" s="7"/>
      <c r="BY1367" s="7"/>
      <c r="BZ1367" s="7"/>
      <c r="CA1367" s="7"/>
      <c r="CB1367" s="7"/>
      <c r="CC1367" s="7"/>
      <c r="CD1367" s="7"/>
      <c r="CE1367" s="7"/>
      <c r="CF1367" s="7"/>
      <c r="CG1367" s="7"/>
    </row>
    <row r="1368" spans="3:85"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  <c r="AC1368" s="7"/>
      <c r="AD1368" s="7"/>
      <c r="AF1368" s="7"/>
      <c r="AG1368" s="7"/>
      <c r="AH1368" s="7"/>
      <c r="AI1368" s="7"/>
      <c r="AJ1368" s="7"/>
      <c r="AK1368" s="7"/>
      <c r="AL1368" s="7"/>
      <c r="AM1368" s="7"/>
      <c r="AN1368" s="7"/>
      <c r="AO1368" s="7"/>
      <c r="AP1368" s="7"/>
      <c r="AQ1368" s="7"/>
      <c r="AR1368" s="7"/>
      <c r="AS1368" s="7"/>
      <c r="AT1368" s="7"/>
      <c r="AU1368" s="7"/>
      <c r="AV1368" s="7"/>
      <c r="AW1368" s="7"/>
      <c r="AX1368" s="7"/>
      <c r="AY1368" s="7"/>
      <c r="AZ1368" s="7"/>
      <c r="BA1368" s="7"/>
      <c r="BB1368" s="7"/>
      <c r="BC1368" s="7"/>
      <c r="BD1368" s="7"/>
      <c r="BE1368" s="7"/>
      <c r="BF1368" s="7"/>
      <c r="BG1368" s="7"/>
      <c r="BH1368" s="7"/>
      <c r="BI1368" s="7"/>
      <c r="BJ1368" s="7"/>
      <c r="BK1368" s="7"/>
      <c r="BL1368" s="7"/>
      <c r="BM1368" s="7"/>
      <c r="BN1368" s="7"/>
      <c r="BO1368" s="7"/>
      <c r="BP1368" s="7"/>
      <c r="BQ1368" s="7"/>
      <c r="BR1368" s="7"/>
      <c r="BS1368" s="7"/>
      <c r="BT1368" s="7"/>
      <c r="BU1368" s="7"/>
      <c r="BV1368" s="7"/>
      <c r="BW1368" s="7"/>
      <c r="BX1368" s="7"/>
      <c r="BY1368" s="7"/>
      <c r="BZ1368" s="7"/>
      <c r="CA1368" s="7"/>
      <c r="CB1368" s="7"/>
      <c r="CC1368" s="7"/>
      <c r="CD1368" s="7"/>
      <c r="CE1368" s="7"/>
      <c r="CF1368" s="7"/>
      <c r="CG1368" s="7"/>
    </row>
    <row r="1369" spans="3:85"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  <c r="AC1369" s="7"/>
      <c r="AD1369" s="7"/>
      <c r="AF1369" s="7"/>
      <c r="AG1369" s="7"/>
      <c r="AH1369" s="7"/>
      <c r="AI1369" s="7"/>
      <c r="AJ1369" s="7"/>
      <c r="AK1369" s="7"/>
      <c r="AL1369" s="7"/>
      <c r="AM1369" s="7"/>
      <c r="AN1369" s="7"/>
      <c r="AO1369" s="7"/>
      <c r="AP1369" s="7"/>
      <c r="AQ1369" s="7"/>
      <c r="AR1369" s="7"/>
      <c r="AS1369" s="7"/>
      <c r="AT1369" s="7"/>
      <c r="AU1369" s="7"/>
      <c r="AV1369" s="7"/>
      <c r="AW1369" s="7"/>
      <c r="AX1369" s="7"/>
      <c r="AY1369" s="7"/>
      <c r="AZ1369" s="7"/>
      <c r="BA1369" s="7"/>
      <c r="BB1369" s="7"/>
      <c r="BC1369" s="7"/>
      <c r="BD1369" s="7"/>
      <c r="BE1369" s="7"/>
      <c r="BF1369" s="7"/>
      <c r="BG1369" s="7"/>
      <c r="BH1369" s="7"/>
      <c r="BI1369" s="7"/>
      <c r="BJ1369" s="7"/>
      <c r="BK1369" s="7"/>
      <c r="BL1369" s="7"/>
      <c r="BM1369" s="7"/>
      <c r="BN1369" s="7"/>
      <c r="BO1369" s="7"/>
      <c r="BP1369" s="7"/>
      <c r="BQ1369" s="7"/>
      <c r="BR1369" s="7"/>
      <c r="BS1369" s="7"/>
      <c r="BT1369" s="7"/>
      <c r="BU1369" s="7"/>
      <c r="BV1369" s="7"/>
      <c r="BW1369" s="7"/>
      <c r="BX1369" s="7"/>
      <c r="BY1369" s="7"/>
      <c r="BZ1369" s="7"/>
      <c r="CA1369" s="7"/>
      <c r="CB1369" s="7"/>
      <c r="CC1369" s="7"/>
      <c r="CD1369" s="7"/>
      <c r="CE1369" s="7"/>
      <c r="CF1369" s="7"/>
      <c r="CG1369" s="7"/>
    </row>
    <row r="1370" spans="3:85"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  <c r="AC1370" s="7"/>
      <c r="AD1370" s="7"/>
      <c r="AF1370" s="7"/>
      <c r="AG1370" s="7"/>
      <c r="AH1370" s="7"/>
      <c r="AI1370" s="7"/>
      <c r="AJ1370" s="7"/>
      <c r="AK1370" s="7"/>
      <c r="AL1370" s="7"/>
      <c r="AM1370" s="7"/>
      <c r="AN1370" s="7"/>
      <c r="AO1370" s="7"/>
      <c r="AP1370" s="7"/>
      <c r="AQ1370" s="7"/>
      <c r="AR1370" s="7"/>
      <c r="AS1370" s="7"/>
      <c r="AT1370" s="7"/>
      <c r="AU1370" s="7"/>
      <c r="AV1370" s="7"/>
      <c r="AW1370" s="7"/>
      <c r="AX1370" s="7"/>
      <c r="AY1370" s="7"/>
      <c r="AZ1370" s="7"/>
      <c r="BA1370" s="7"/>
      <c r="BB1370" s="7"/>
      <c r="BC1370" s="7"/>
      <c r="BD1370" s="7"/>
      <c r="BE1370" s="7"/>
      <c r="BF1370" s="7"/>
      <c r="BG1370" s="7"/>
      <c r="BH1370" s="7"/>
      <c r="BI1370" s="7"/>
      <c r="BJ1370" s="7"/>
      <c r="BK1370" s="7"/>
      <c r="BL1370" s="7"/>
      <c r="BM1370" s="7"/>
      <c r="BN1370" s="7"/>
      <c r="BO1370" s="7"/>
      <c r="BP1370" s="7"/>
      <c r="BQ1370" s="7"/>
      <c r="BR1370" s="7"/>
      <c r="BS1370" s="7"/>
      <c r="BT1370" s="7"/>
      <c r="BU1370" s="7"/>
      <c r="BV1370" s="7"/>
      <c r="BW1370" s="7"/>
      <c r="BX1370" s="7"/>
      <c r="BY1370" s="7"/>
      <c r="BZ1370" s="7"/>
      <c r="CA1370" s="7"/>
      <c r="CB1370" s="7"/>
      <c r="CC1370" s="7"/>
      <c r="CD1370" s="7"/>
      <c r="CE1370" s="7"/>
      <c r="CF1370" s="7"/>
      <c r="CG1370" s="7"/>
    </row>
    <row r="1371" spans="3:85"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  <c r="AC1371" s="7"/>
      <c r="AD1371" s="7"/>
      <c r="AF1371" s="7"/>
      <c r="AG1371" s="7"/>
      <c r="AH1371" s="7"/>
      <c r="AI1371" s="7"/>
      <c r="AJ1371" s="7"/>
      <c r="AK1371" s="7"/>
      <c r="AL1371" s="7"/>
      <c r="AM1371" s="7"/>
      <c r="AN1371" s="7"/>
      <c r="AO1371" s="7"/>
      <c r="AP1371" s="7"/>
      <c r="AQ1371" s="7"/>
      <c r="AR1371" s="7"/>
      <c r="AS1371" s="7"/>
      <c r="AT1371" s="7"/>
      <c r="AU1371" s="7"/>
      <c r="AV1371" s="7"/>
      <c r="AW1371" s="7"/>
      <c r="AX1371" s="7"/>
      <c r="AY1371" s="7"/>
      <c r="AZ1371" s="7"/>
      <c r="BA1371" s="7"/>
      <c r="BB1371" s="7"/>
      <c r="BC1371" s="7"/>
      <c r="BD1371" s="7"/>
      <c r="BE1371" s="7"/>
      <c r="BF1371" s="7"/>
      <c r="BG1371" s="7"/>
      <c r="BH1371" s="7"/>
      <c r="BI1371" s="7"/>
      <c r="BJ1371" s="7"/>
      <c r="BK1371" s="7"/>
      <c r="BL1371" s="7"/>
      <c r="BM1371" s="7"/>
      <c r="BN1371" s="7"/>
      <c r="BO1371" s="7"/>
      <c r="BP1371" s="7"/>
      <c r="BQ1371" s="7"/>
      <c r="BR1371" s="7"/>
      <c r="BS1371" s="7"/>
      <c r="BT1371" s="7"/>
      <c r="BU1371" s="7"/>
      <c r="BV1371" s="7"/>
      <c r="BW1371" s="7"/>
      <c r="BX1371" s="7"/>
      <c r="BY1371" s="7"/>
      <c r="BZ1371" s="7"/>
      <c r="CA1371" s="7"/>
      <c r="CB1371" s="7"/>
      <c r="CC1371" s="7"/>
      <c r="CD1371" s="7"/>
      <c r="CE1371" s="7"/>
      <c r="CF1371" s="7"/>
      <c r="CG1371" s="7"/>
    </row>
    <row r="1372" spans="3:85"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  <c r="AC1372" s="7"/>
      <c r="AD1372" s="7"/>
      <c r="AF1372" s="7"/>
      <c r="AG1372" s="7"/>
      <c r="AH1372" s="7"/>
      <c r="AI1372" s="7"/>
      <c r="AJ1372" s="7"/>
      <c r="AK1372" s="7"/>
      <c r="AL1372" s="7"/>
      <c r="AM1372" s="7"/>
      <c r="AN1372" s="7"/>
      <c r="AO1372" s="7"/>
      <c r="AP1372" s="7"/>
      <c r="AQ1372" s="7"/>
      <c r="AR1372" s="7"/>
      <c r="AS1372" s="7"/>
      <c r="AT1372" s="7"/>
      <c r="AU1372" s="7"/>
      <c r="AV1372" s="7"/>
      <c r="AW1372" s="7"/>
      <c r="AX1372" s="7"/>
      <c r="AY1372" s="7"/>
      <c r="AZ1372" s="7"/>
      <c r="BA1372" s="7"/>
      <c r="BB1372" s="7"/>
      <c r="BC1372" s="7"/>
      <c r="BD1372" s="7"/>
      <c r="BE1372" s="7"/>
      <c r="BF1372" s="7"/>
      <c r="BG1372" s="7"/>
      <c r="BH1372" s="7"/>
      <c r="BI1372" s="7"/>
      <c r="BJ1372" s="7"/>
      <c r="BK1372" s="7"/>
      <c r="BL1372" s="7"/>
      <c r="BM1372" s="7"/>
      <c r="BN1372" s="7"/>
      <c r="BO1372" s="7"/>
      <c r="BP1372" s="7"/>
      <c r="BQ1372" s="7"/>
      <c r="BR1372" s="7"/>
      <c r="BS1372" s="7"/>
      <c r="BT1372" s="7"/>
      <c r="BU1372" s="7"/>
      <c r="BV1372" s="7"/>
      <c r="BW1372" s="7"/>
      <c r="BX1372" s="7"/>
      <c r="BY1372" s="7"/>
      <c r="BZ1372" s="7"/>
      <c r="CA1372" s="7"/>
      <c r="CB1372" s="7"/>
      <c r="CC1372" s="7"/>
      <c r="CD1372" s="7"/>
      <c r="CE1372" s="7"/>
      <c r="CF1372" s="7"/>
      <c r="CG1372" s="7"/>
    </row>
    <row r="1373" spans="3:85"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  <c r="AC1373" s="7"/>
      <c r="AD1373" s="7"/>
      <c r="AF1373" s="7"/>
      <c r="AG1373" s="7"/>
      <c r="AH1373" s="7"/>
      <c r="AI1373" s="7"/>
      <c r="AJ1373" s="7"/>
      <c r="AK1373" s="7"/>
      <c r="AL1373" s="7"/>
      <c r="AM1373" s="7"/>
      <c r="AN1373" s="7"/>
      <c r="AO1373" s="7"/>
      <c r="AP1373" s="7"/>
      <c r="AQ1373" s="7"/>
      <c r="AR1373" s="7"/>
      <c r="AS1373" s="7"/>
      <c r="AT1373" s="7"/>
      <c r="AU1373" s="7"/>
      <c r="AV1373" s="7"/>
      <c r="AW1373" s="7"/>
      <c r="AX1373" s="7"/>
      <c r="AY1373" s="7"/>
      <c r="AZ1373" s="7"/>
      <c r="BA1373" s="7"/>
      <c r="BB1373" s="7"/>
      <c r="BC1373" s="7"/>
      <c r="BD1373" s="7"/>
      <c r="BE1373" s="7"/>
      <c r="BF1373" s="7"/>
      <c r="BG1373" s="7"/>
      <c r="BH1373" s="7"/>
      <c r="BI1373" s="7"/>
      <c r="BJ1373" s="7"/>
      <c r="BK1373" s="7"/>
      <c r="BL1373" s="7"/>
      <c r="BM1373" s="7"/>
      <c r="BN1373" s="7"/>
      <c r="BO1373" s="7"/>
      <c r="BP1373" s="7"/>
      <c r="BQ1373" s="7"/>
      <c r="BR1373" s="7"/>
      <c r="BS1373" s="7"/>
      <c r="BT1373" s="7"/>
      <c r="BU1373" s="7"/>
      <c r="BV1373" s="7"/>
      <c r="BW1373" s="7"/>
      <c r="BX1373" s="7"/>
      <c r="BY1373" s="7"/>
      <c r="BZ1373" s="7"/>
      <c r="CA1373" s="7"/>
      <c r="CB1373" s="7"/>
      <c r="CC1373" s="7"/>
      <c r="CD1373" s="7"/>
      <c r="CE1373" s="7"/>
      <c r="CF1373" s="7"/>
      <c r="CG1373" s="7"/>
    </row>
    <row r="1374" spans="3:85"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  <c r="AC1374" s="7"/>
      <c r="AD1374" s="7"/>
      <c r="AF1374" s="7"/>
      <c r="AG1374" s="7"/>
      <c r="AH1374" s="7"/>
      <c r="AI1374" s="7"/>
      <c r="AJ1374" s="7"/>
      <c r="AK1374" s="7"/>
      <c r="AL1374" s="7"/>
      <c r="AM1374" s="7"/>
      <c r="AN1374" s="7"/>
      <c r="AO1374" s="7"/>
      <c r="AP1374" s="7"/>
      <c r="AQ1374" s="7"/>
      <c r="AR1374" s="7"/>
      <c r="AS1374" s="7"/>
      <c r="AT1374" s="7"/>
      <c r="AU1374" s="7"/>
      <c r="AV1374" s="7"/>
      <c r="AW1374" s="7"/>
      <c r="AX1374" s="7"/>
      <c r="AY1374" s="7"/>
      <c r="AZ1374" s="7"/>
      <c r="BA1374" s="7"/>
      <c r="BB1374" s="7"/>
      <c r="BC1374" s="7"/>
      <c r="BD1374" s="7"/>
      <c r="BE1374" s="7"/>
      <c r="BF1374" s="7"/>
      <c r="BG1374" s="7"/>
      <c r="BH1374" s="7"/>
      <c r="BI1374" s="7"/>
      <c r="BJ1374" s="7"/>
      <c r="BK1374" s="7"/>
      <c r="BL1374" s="7"/>
      <c r="BM1374" s="7"/>
      <c r="BN1374" s="7"/>
      <c r="BO1374" s="7"/>
      <c r="BP1374" s="7"/>
      <c r="BQ1374" s="7"/>
      <c r="BR1374" s="7"/>
      <c r="BS1374" s="7"/>
      <c r="BT1374" s="7"/>
      <c r="BU1374" s="7"/>
      <c r="BV1374" s="7"/>
      <c r="BW1374" s="7"/>
      <c r="BX1374" s="7"/>
      <c r="BY1374" s="7"/>
      <c r="BZ1374" s="7"/>
      <c r="CA1374" s="7"/>
      <c r="CB1374" s="7"/>
      <c r="CC1374" s="7"/>
      <c r="CD1374" s="7"/>
      <c r="CE1374" s="7"/>
      <c r="CF1374" s="7"/>
      <c r="CG1374" s="7"/>
    </row>
    <row r="1375" spans="3:85"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  <c r="AC1375" s="7"/>
      <c r="AD1375" s="7"/>
      <c r="AF1375" s="7"/>
      <c r="AG1375" s="7"/>
      <c r="AH1375" s="7"/>
      <c r="AI1375" s="7"/>
      <c r="AJ1375" s="7"/>
      <c r="AK1375" s="7"/>
      <c r="AL1375" s="7"/>
      <c r="AM1375" s="7"/>
      <c r="AN1375" s="7"/>
      <c r="AO1375" s="7"/>
      <c r="AP1375" s="7"/>
      <c r="AQ1375" s="7"/>
      <c r="AR1375" s="7"/>
      <c r="AS1375" s="7"/>
      <c r="AT1375" s="7"/>
      <c r="AU1375" s="7"/>
      <c r="AV1375" s="7"/>
      <c r="AW1375" s="7"/>
      <c r="AX1375" s="7"/>
      <c r="AY1375" s="7"/>
      <c r="AZ1375" s="7"/>
      <c r="BA1375" s="7"/>
      <c r="BB1375" s="7"/>
      <c r="BC1375" s="7"/>
      <c r="BD1375" s="7"/>
      <c r="BE1375" s="7"/>
      <c r="BF1375" s="7"/>
      <c r="BG1375" s="7"/>
      <c r="BH1375" s="7"/>
      <c r="BI1375" s="7"/>
      <c r="BJ1375" s="7"/>
      <c r="BK1375" s="7"/>
      <c r="BL1375" s="7"/>
      <c r="BM1375" s="7"/>
      <c r="BN1375" s="7"/>
      <c r="BO1375" s="7"/>
      <c r="BP1375" s="7"/>
      <c r="BQ1375" s="7"/>
      <c r="BR1375" s="7"/>
      <c r="BS1375" s="7"/>
      <c r="BT1375" s="7"/>
      <c r="BU1375" s="7"/>
      <c r="BV1375" s="7"/>
      <c r="BW1375" s="7"/>
      <c r="BX1375" s="7"/>
      <c r="BY1375" s="7"/>
      <c r="BZ1375" s="7"/>
      <c r="CA1375" s="7"/>
      <c r="CB1375" s="7"/>
      <c r="CC1375" s="7"/>
      <c r="CD1375" s="7"/>
      <c r="CE1375" s="7"/>
      <c r="CF1375" s="7"/>
      <c r="CG1375" s="7"/>
    </row>
    <row r="1376" spans="3:85"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  <c r="AC1376" s="7"/>
      <c r="AD1376" s="7"/>
      <c r="AF1376" s="7"/>
      <c r="AG1376" s="7"/>
      <c r="AH1376" s="7"/>
      <c r="AI1376" s="7"/>
      <c r="AJ1376" s="7"/>
      <c r="AK1376" s="7"/>
      <c r="AL1376" s="7"/>
      <c r="AM1376" s="7"/>
      <c r="AN1376" s="7"/>
      <c r="AO1376" s="7"/>
      <c r="AP1376" s="7"/>
      <c r="AQ1376" s="7"/>
      <c r="AR1376" s="7"/>
      <c r="AS1376" s="7"/>
      <c r="AT1376" s="7"/>
      <c r="AU1376" s="7"/>
      <c r="AV1376" s="7"/>
      <c r="AW1376" s="7"/>
      <c r="AX1376" s="7"/>
      <c r="AY1376" s="7"/>
      <c r="AZ1376" s="7"/>
      <c r="BA1376" s="7"/>
      <c r="BB1376" s="7"/>
      <c r="BC1376" s="7"/>
      <c r="BD1376" s="7"/>
      <c r="BE1376" s="7"/>
      <c r="BF1376" s="7"/>
      <c r="BG1376" s="7"/>
      <c r="BH1376" s="7"/>
      <c r="BI1376" s="7"/>
      <c r="BJ1376" s="7"/>
      <c r="BK1376" s="7"/>
      <c r="BL1376" s="7"/>
      <c r="BM1376" s="7"/>
      <c r="BN1376" s="7"/>
      <c r="BO1376" s="7"/>
      <c r="BP1376" s="7"/>
      <c r="BQ1376" s="7"/>
      <c r="BR1376" s="7"/>
      <c r="BS1376" s="7"/>
      <c r="BT1376" s="7"/>
      <c r="BU1376" s="7"/>
      <c r="BV1376" s="7"/>
      <c r="BW1376" s="7"/>
      <c r="BX1376" s="7"/>
      <c r="BY1376" s="7"/>
      <c r="BZ1376" s="7"/>
      <c r="CA1376" s="7"/>
      <c r="CB1376" s="7"/>
      <c r="CC1376" s="7"/>
      <c r="CD1376" s="7"/>
      <c r="CE1376" s="7"/>
      <c r="CF1376" s="7"/>
      <c r="CG1376" s="7"/>
    </row>
    <row r="1377" spans="3:85"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  <c r="AC1377" s="7"/>
      <c r="AD1377" s="7"/>
      <c r="AF1377" s="7"/>
      <c r="AG1377" s="7"/>
      <c r="AH1377" s="7"/>
      <c r="AI1377" s="7"/>
      <c r="AJ1377" s="7"/>
      <c r="AK1377" s="7"/>
      <c r="AL1377" s="7"/>
      <c r="AM1377" s="7"/>
      <c r="AN1377" s="7"/>
      <c r="AO1377" s="7"/>
      <c r="AP1377" s="7"/>
      <c r="AQ1377" s="7"/>
      <c r="AR1377" s="7"/>
      <c r="AS1377" s="7"/>
      <c r="AT1377" s="7"/>
      <c r="AU1377" s="7"/>
      <c r="AV1377" s="7"/>
      <c r="AW1377" s="7"/>
      <c r="AX1377" s="7"/>
      <c r="AY1377" s="7"/>
      <c r="AZ1377" s="7"/>
      <c r="BA1377" s="7"/>
      <c r="BB1377" s="7"/>
      <c r="BC1377" s="7"/>
      <c r="BD1377" s="7"/>
      <c r="BE1377" s="7"/>
      <c r="BF1377" s="7"/>
      <c r="BG1377" s="7"/>
      <c r="BH1377" s="7"/>
      <c r="BI1377" s="7"/>
      <c r="BJ1377" s="7"/>
      <c r="BK1377" s="7"/>
      <c r="BL1377" s="7"/>
      <c r="BM1377" s="7"/>
      <c r="BN1377" s="7"/>
      <c r="BO1377" s="7"/>
      <c r="BP1377" s="7"/>
      <c r="BQ1377" s="7"/>
      <c r="BR1377" s="7"/>
      <c r="BS1377" s="7"/>
      <c r="BT1377" s="7"/>
      <c r="BU1377" s="7"/>
      <c r="BV1377" s="7"/>
      <c r="BW1377" s="7"/>
      <c r="BX1377" s="7"/>
      <c r="BY1377" s="7"/>
      <c r="BZ1377" s="7"/>
      <c r="CA1377" s="7"/>
      <c r="CB1377" s="7"/>
      <c r="CC1377" s="7"/>
      <c r="CD1377" s="7"/>
      <c r="CE1377" s="7"/>
      <c r="CF1377" s="7"/>
      <c r="CG1377" s="7"/>
    </row>
    <row r="1378" spans="3:85"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  <c r="AC1378" s="7"/>
      <c r="AD1378" s="7"/>
      <c r="AF1378" s="7"/>
      <c r="AG1378" s="7"/>
      <c r="AH1378" s="7"/>
      <c r="AI1378" s="7"/>
      <c r="AJ1378" s="7"/>
      <c r="AK1378" s="7"/>
      <c r="AL1378" s="7"/>
      <c r="AM1378" s="7"/>
      <c r="AN1378" s="7"/>
      <c r="AO1378" s="7"/>
      <c r="AP1378" s="7"/>
      <c r="AQ1378" s="7"/>
      <c r="AR1378" s="7"/>
      <c r="AS1378" s="7"/>
      <c r="AT1378" s="7"/>
      <c r="AU1378" s="7"/>
      <c r="AV1378" s="7"/>
      <c r="AW1378" s="7"/>
      <c r="AX1378" s="7"/>
      <c r="AY1378" s="7"/>
      <c r="AZ1378" s="7"/>
      <c r="BA1378" s="7"/>
      <c r="BB1378" s="7"/>
      <c r="BC1378" s="7"/>
      <c r="BD1378" s="7"/>
      <c r="BE1378" s="7"/>
      <c r="BF1378" s="7"/>
      <c r="BG1378" s="7"/>
      <c r="BH1378" s="7"/>
      <c r="BI1378" s="7"/>
      <c r="BJ1378" s="7"/>
      <c r="BK1378" s="7"/>
      <c r="BL1378" s="7"/>
      <c r="BM1378" s="7"/>
      <c r="BN1378" s="7"/>
      <c r="BO1378" s="7"/>
      <c r="BP1378" s="7"/>
      <c r="BQ1378" s="7"/>
      <c r="BR1378" s="7"/>
      <c r="BS1378" s="7"/>
      <c r="BT1378" s="7"/>
      <c r="BU1378" s="7"/>
      <c r="BV1378" s="7"/>
      <c r="BW1378" s="7"/>
      <c r="BX1378" s="7"/>
      <c r="BY1378" s="7"/>
      <c r="BZ1378" s="7"/>
      <c r="CA1378" s="7"/>
      <c r="CB1378" s="7"/>
      <c r="CC1378" s="7"/>
      <c r="CD1378" s="7"/>
      <c r="CE1378" s="7"/>
      <c r="CF1378" s="7"/>
      <c r="CG1378" s="7"/>
    </row>
    <row r="1379" spans="3:85"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  <c r="AC1379" s="7"/>
      <c r="AD1379" s="7"/>
      <c r="AF1379" s="7"/>
      <c r="AG1379" s="7"/>
      <c r="AH1379" s="7"/>
      <c r="AI1379" s="7"/>
      <c r="AJ1379" s="7"/>
      <c r="AK1379" s="7"/>
      <c r="AL1379" s="7"/>
      <c r="AM1379" s="7"/>
      <c r="AN1379" s="7"/>
      <c r="AO1379" s="7"/>
      <c r="AP1379" s="7"/>
      <c r="AQ1379" s="7"/>
      <c r="AR1379" s="7"/>
      <c r="AS1379" s="7"/>
      <c r="AT1379" s="7"/>
      <c r="AU1379" s="7"/>
      <c r="AV1379" s="7"/>
      <c r="AW1379" s="7"/>
      <c r="AX1379" s="7"/>
      <c r="AY1379" s="7"/>
      <c r="AZ1379" s="7"/>
      <c r="BA1379" s="7"/>
      <c r="BB1379" s="7"/>
      <c r="BC1379" s="7"/>
      <c r="BD1379" s="7"/>
      <c r="BE1379" s="7"/>
      <c r="BF1379" s="7"/>
      <c r="BG1379" s="7"/>
      <c r="BH1379" s="7"/>
      <c r="BI1379" s="7"/>
      <c r="BJ1379" s="7"/>
      <c r="BK1379" s="7"/>
      <c r="BL1379" s="7"/>
      <c r="BM1379" s="7"/>
      <c r="BN1379" s="7"/>
      <c r="BO1379" s="7"/>
      <c r="BP1379" s="7"/>
      <c r="BQ1379" s="7"/>
      <c r="BR1379" s="7"/>
      <c r="BS1379" s="7"/>
      <c r="BT1379" s="7"/>
      <c r="BU1379" s="7"/>
      <c r="BV1379" s="7"/>
      <c r="BW1379" s="7"/>
      <c r="BX1379" s="7"/>
      <c r="BY1379" s="7"/>
      <c r="BZ1379" s="7"/>
      <c r="CA1379" s="7"/>
      <c r="CB1379" s="7"/>
      <c r="CC1379" s="7"/>
      <c r="CD1379" s="7"/>
      <c r="CE1379" s="7"/>
      <c r="CF1379" s="7"/>
      <c r="CG1379" s="7"/>
    </row>
    <row r="1380" spans="3:85"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  <c r="AC1380" s="7"/>
      <c r="AD1380" s="7"/>
      <c r="AF1380" s="7"/>
      <c r="AG1380" s="7"/>
      <c r="AH1380" s="7"/>
      <c r="AI1380" s="7"/>
      <c r="AJ1380" s="7"/>
      <c r="AK1380" s="7"/>
      <c r="AL1380" s="7"/>
      <c r="AM1380" s="7"/>
      <c r="AN1380" s="7"/>
      <c r="AO1380" s="7"/>
      <c r="AP1380" s="7"/>
      <c r="AQ1380" s="7"/>
      <c r="AR1380" s="7"/>
      <c r="AS1380" s="7"/>
      <c r="AT1380" s="7"/>
      <c r="AU1380" s="7"/>
      <c r="AV1380" s="7"/>
      <c r="AW1380" s="7"/>
      <c r="AX1380" s="7"/>
      <c r="AY1380" s="7"/>
      <c r="AZ1380" s="7"/>
      <c r="BA1380" s="7"/>
      <c r="BB1380" s="7"/>
      <c r="BC1380" s="7"/>
      <c r="BD1380" s="7"/>
      <c r="BE1380" s="7"/>
      <c r="BF1380" s="7"/>
      <c r="BG1380" s="7"/>
      <c r="BH1380" s="7"/>
      <c r="BI1380" s="7"/>
      <c r="BJ1380" s="7"/>
      <c r="BK1380" s="7"/>
      <c r="BL1380" s="7"/>
      <c r="BM1380" s="7"/>
      <c r="BN1380" s="7"/>
      <c r="BO1380" s="7"/>
      <c r="BP1380" s="7"/>
      <c r="BQ1380" s="7"/>
      <c r="BR1380" s="7"/>
      <c r="BS1380" s="7"/>
      <c r="BT1380" s="7"/>
      <c r="BU1380" s="7"/>
      <c r="BV1380" s="7"/>
      <c r="BW1380" s="7"/>
      <c r="BX1380" s="7"/>
      <c r="BY1380" s="7"/>
      <c r="BZ1380" s="7"/>
      <c r="CA1380" s="7"/>
      <c r="CB1380" s="7"/>
      <c r="CC1380" s="7"/>
      <c r="CD1380" s="7"/>
      <c r="CE1380" s="7"/>
      <c r="CF1380" s="7"/>
      <c r="CG1380" s="7"/>
    </row>
    <row r="1381" spans="3:85"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  <c r="AC1381" s="7"/>
      <c r="AD1381" s="7"/>
      <c r="AF1381" s="7"/>
      <c r="AG1381" s="7"/>
      <c r="AH1381" s="7"/>
      <c r="AI1381" s="7"/>
      <c r="AJ1381" s="7"/>
      <c r="AK1381" s="7"/>
      <c r="AL1381" s="7"/>
      <c r="AM1381" s="7"/>
      <c r="AN1381" s="7"/>
      <c r="AO1381" s="7"/>
      <c r="AP1381" s="7"/>
      <c r="AQ1381" s="7"/>
      <c r="AR1381" s="7"/>
      <c r="AS1381" s="7"/>
      <c r="AT1381" s="7"/>
      <c r="AU1381" s="7"/>
      <c r="AV1381" s="7"/>
      <c r="AW1381" s="7"/>
      <c r="AX1381" s="7"/>
      <c r="AY1381" s="7"/>
      <c r="AZ1381" s="7"/>
      <c r="BA1381" s="7"/>
      <c r="BB1381" s="7"/>
      <c r="BC1381" s="7"/>
      <c r="BD1381" s="7"/>
      <c r="BE1381" s="7"/>
      <c r="BF1381" s="7"/>
      <c r="BG1381" s="7"/>
      <c r="BH1381" s="7"/>
      <c r="BI1381" s="7"/>
      <c r="BJ1381" s="7"/>
      <c r="BK1381" s="7"/>
      <c r="BL1381" s="7"/>
      <c r="BM1381" s="7"/>
      <c r="BN1381" s="7"/>
      <c r="BO1381" s="7"/>
      <c r="BP1381" s="7"/>
      <c r="BQ1381" s="7"/>
      <c r="BR1381" s="7"/>
      <c r="BS1381" s="7"/>
      <c r="BT1381" s="7"/>
      <c r="BU1381" s="7"/>
      <c r="BV1381" s="7"/>
      <c r="BW1381" s="7"/>
      <c r="BX1381" s="7"/>
      <c r="BY1381" s="7"/>
      <c r="BZ1381" s="7"/>
      <c r="CA1381" s="7"/>
      <c r="CB1381" s="7"/>
      <c r="CC1381" s="7"/>
      <c r="CD1381" s="7"/>
      <c r="CE1381" s="7"/>
      <c r="CF1381" s="7"/>
      <c r="CG1381" s="7"/>
    </row>
    <row r="1382" spans="3:85"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  <c r="AC1382" s="7"/>
      <c r="AD1382" s="7"/>
      <c r="AF1382" s="7"/>
      <c r="AG1382" s="7"/>
      <c r="AH1382" s="7"/>
      <c r="AI1382" s="7"/>
      <c r="AJ1382" s="7"/>
      <c r="AK1382" s="7"/>
      <c r="AL1382" s="7"/>
      <c r="AM1382" s="7"/>
      <c r="AN1382" s="7"/>
      <c r="AO1382" s="7"/>
      <c r="AP1382" s="7"/>
      <c r="AQ1382" s="7"/>
      <c r="AR1382" s="7"/>
      <c r="AS1382" s="7"/>
      <c r="AT1382" s="7"/>
      <c r="AU1382" s="7"/>
      <c r="AV1382" s="7"/>
      <c r="AW1382" s="7"/>
      <c r="AX1382" s="7"/>
      <c r="AY1382" s="7"/>
      <c r="AZ1382" s="7"/>
      <c r="BA1382" s="7"/>
      <c r="BB1382" s="7"/>
      <c r="BC1382" s="7"/>
      <c r="BD1382" s="7"/>
      <c r="BE1382" s="7"/>
      <c r="BF1382" s="7"/>
      <c r="BG1382" s="7"/>
      <c r="BH1382" s="7"/>
      <c r="BI1382" s="7"/>
      <c r="BJ1382" s="7"/>
      <c r="BK1382" s="7"/>
      <c r="BL1382" s="7"/>
      <c r="BM1382" s="7"/>
      <c r="BN1382" s="7"/>
      <c r="BO1382" s="7"/>
      <c r="BP1382" s="7"/>
      <c r="BQ1382" s="7"/>
      <c r="BR1382" s="7"/>
      <c r="BS1382" s="7"/>
      <c r="BT1382" s="7"/>
      <c r="BU1382" s="7"/>
      <c r="BV1382" s="7"/>
      <c r="BW1382" s="7"/>
      <c r="BX1382" s="7"/>
      <c r="BY1382" s="7"/>
      <c r="BZ1382" s="7"/>
      <c r="CA1382" s="7"/>
      <c r="CB1382" s="7"/>
      <c r="CC1382" s="7"/>
      <c r="CD1382" s="7"/>
      <c r="CE1382" s="7"/>
      <c r="CF1382" s="7"/>
      <c r="CG1382" s="7"/>
    </row>
    <row r="1383" spans="3:85"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  <c r="AC1383" s="7"/>
      <c r="AD1383" s="7"/>
      <c r="AF1383" s="7"/>
      <c r="AG1383" s="7"/>
      <c r="AH1383" s="7"/>
      <c r="AI1383" s="7"/>
      <c r="AJ1383" s="7"/>
      <c r="AK1383" s="7"/>
      <c r="AL1383" s="7"/>
      <c r="AM1383" s="7"/>
      <c r="AN1383" s="7"/>
      <c r="AO1383" s="7"/>
      <c r="AP1383" s="7"/>
      <c r="AQ1383" s="7"/>
      <c r="AR1383" s="7"/>
      <c r="AS1383" s="7"/>
      <c r="AT1383" s="7"/>
      <c r="AU1383" s="7"/>
      <c r="AV1383" s="7"/>
      <c r="AW1383" s="7"/>
      <c r="AX1383" s="7"/>
      <c r="AY1383" s="7"/>
      <c r="AZ1383" s="7"/>
      <c r="BA1383" s="7"/>
      <c r="BB1383" s="7"/>
      <c r="BC1383" s="7"/>
      <c r="BD1383" s="7"/>
      <c r="BE1383" s="7"/>
      <c r="BF1383" s="7"/>
      <c r="BG1383" s="7"/>
      <c r="BH1383" s="7"/>
      <c r="BI1383" s="7"/>
      <c r="BJ1383" s="7"/>
      <c r="BK1383" s="7"/>
      <c r="BL1383" s="7"/>
      <c r="BM1383" s="7"/>
      <c r="BN1383" s="7"/>
      <c r="BO1383" s="7"/>
      <c r="BP1383" s="7"/>
      <c r="BQ1383" s="7"/>
      <c r="BR1383" s="7"/>
      <c r="BS1383" s="7"/>
      <c r="BT1383" s="7"/>
      <c r="BU1383" s="7"/>
      <c r="BV1383" s="7"/>
      <c r="BW1383" s="7"/>
      <c r="BX1383" s="7"/>
      <c r="BY1383" s="7"/>
      <c r="BZ1383" s="7"/>
      <c r="CA1383" s="7"/>
      <c r="CB1383" s="7"/>
      <c r="CC1383" s="7"/>
      <c r="CD1383" s="7"/>
      <c r="CE1383" s="7"/>
      <c r="CF1383" s="7"/>
      <c r="CG1383" s="7"/>
    </row>
    <row r="1384" spans="3:85"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  <c r="AC1384" s="7"/>
      <c r="AD1384" s="7"/>
      <c r="AF1384" s="7"/>
      <c r="AG1384" s="7"/>
      <c r="AH1384" s="7"/>
      <c r="AI1384" s="7"/>
      <c r="AJ1384" s="7"/>
      <c r="AK1384" s="7"/>
      <c r="AL1384" s="7"/>
      <c r="AM1384" s="7"/>
      <c r="AN1384" s="7"/>
      <c r="AO1384" s="7"/>
      <c r="AP1384" s="7"/>
      <c r="AQ1384" s="7"/>
      <c r="AR1384" s="7"/>
      <c r="AS1384" s="7"/>
      <c r="AT1384" s="7"/>
      <c r="AU1384" s="7"/>
      <c r="AV1384" s="7"/>
      <c r="AW1384" s="7"/>
      <c r="AX1384" s="7"/>
      <c r="AY1384" s="7"/>
      <c r="AZ1384" s="7"/>
      <c r="BA1384" s="7"/>
      <c r="BB1384" s="7"/>
      <c r="BC1384" s="7"/>
      <c r="BD1384" s="7"/>
      <c r="BE1384" s="7"/>
      <c r="BF1384" s="7"/>
      <c r="BG1384" s="7"/>
      <c r="BH1384" s="7"/>
      <c r="BI1384" s="7"/>
      <c r="BJ1384" s="7"/>
      <c r="BK1384" s="7"/>
      <c r="BL1384" s="7"/>
      <c r="BM1384" s="7"/>
      <c r="BN1384" s="7"/>
      <c r="BO1384" s="7"/>
      <c r="BP1384" s="7"/>
      <c r="BQ1384" s="7"/>
      <c r="BR1384" s="7"/>
      <c r="BS1384" s="7"/>
      <c r="BT1384" s="7"/>
      <c r="BU1384" s="7"/>
      <c r="BV1384" s="7"/>
      <c r="BW1384" s="7"/>
      <c r="BX1384" s="7"/>
      <c r="BY1384" s="7"/>
      <c r="BZ1384" s="7"/>
      <c r="CA1384" s="7"/>
      <c r="CB1384" s="7"/>
      <c r="CC1384" s="7"/>
      <c r="CD1384" s="7"/>
      <c r="CE1384" s="7"/>
      <c r="CF1384" s="7"/>
      <c r="CG1384" s="7"/>
    </row>
    <row r="1385" spans="3:85"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  <c r="AC1385" s="7"/>
      <c r="AD1385" s="7"/>
      <c r="AF1385" s="7"/>
      <c r="AG1385" s="7"/>
      <c r="AH1385" s="7"/>
      <c r="AI1385" s="7"/>
      <c r="AJ1385" s="7"/>
      <c r="AK1385" s="7"/>
      <c r="AL1385" s="7"/>
      <c r="AM1385" s="7"/>
      <c r="AN1385" s="7"/>
      <c r="AO1385" s="7"/>
      <c r="AP1385" s="7"/>
      <c r="AQ1385" s="7"/>
      <c r="AR1385" s="7"/>
      <c r="AS1385" s="7"/>
      <c r="AT1385" s="7"/>
      <c r="AU1385" s="7"/>
      <c r="AV1385" s="7"/>
      <c r="AW1385" s="7"/>
      <c r="AX1385" s="7"/>
      <c r="AY1385" s="7"/>
      <c r="AZ1385" s="7"/>
      <c r="BA1385" s="7"/>
      <c r="BB1385" s="7"/>
      <c r="BC1385" s="7"/>
      <c r="BD1385" s="7"/>
      <c r="BE1385" s="7"/>
      <c r="BF1385" s="7"/>
      <c r="BG1385" s="7"/>
      <c r="BH1385" s="7"/>
      <c r="BI1385" s="7"/>
      <c r="BJ1385" s="7"/>
      <c r="BK1385" s="7"/>
      <c r="BL1385" s="7"/>
      <c r="BM1385" s="7"/>
      <c r="BN1385" s="7"/>
      <c r="BO1385" s="7"/>
      <c r="BP1385" s="7"/>
      <c r="BQ1385" s="7"/>
      <c r="BR1385" s="7"/>
      <c r="BS1385" s="7"/>
      <c r="BT1385" s="7"/>
      <c r="BU1385" s="7"/>
      <c r="BV1385" s="7"/>
      <c r="BW1385" s="7"/>
      <c r="BX1385" s="7"/>
      <c r="BY1385" s="7"/>
      <c r="BZ1385" s="7"/>
      <c r="CA1385" s="7"/>
      <c r="CB1385" s="7"/>
      <c r="CC1385" s="7"/>
      <c r="CD1385" s="7"/>
      <c r="CE1385" s="7"/>
      <c r="CF1385" s="7"/>
      <c r="CG1385" s="7"/>
    </row>
    <row r="1386" spans="3:85"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  <c r="AC1386" s="7"/>
      <c r="AD1386" s="7"/>
      <c r="AF1386" s="7"/>
      <c r="AG1386" s="7"/>
      <c r="AH1386" s="7"/>
      <c r="AI1386" s="7"/>
      <c r="AJ1386" s="7"/>
      <c r="AK1386" s="7"/>
      <c r="AL1386" s="7"/>
      <c r="AM1386" s="7"/>
      <c r="AN1386" s="7"/>
      <c r="AO1386" s="7"/>
      <c r="AP1386" s="7"/>
      <c r="AQ1386" s="7"/>
      <c r="AR1386" s="7"/>
      <c r="AS1386" s="7"/>
      <c r="AT1386" s="7"/>
      <c r="AU1386" s="7"/>
      <c r="AV1386" s="7"/>
      <c r="AW1386" s="7"/>
      <c r="AX1386" s="7"/>
      <c r="AY1386" s="7"/>
      <c r="AZ1386" s="7"/>
      <c r="BA1386" s="7"/>
      <c r="BB1386" s="7"/>
      <c r="BC1386" s="7"/>
      <c r="BD1386" s="7"/>
      <c r="BE1386" s="7"/>
      <c r="BF1386" s="7"/>
      <c r="BG1386" s="7"/>
      <c r="BH1386" s="7"/>
      <c r="BI1386" s="7"/>
      <c r="BJ1386" s="7"/>
      <c r="BK1386" s="7"/>
      <c r="BL1386" s="7"/>
      <c r="BM1386" s="7"/>
      <c r="BN1386" s="7"/>
      <c r="BO1386" s="7"/>
      <c r="BP1386" s="7"/>
      <c r="BQ1386" s="7"/>
      <c r="BR1386" s="7"/>
      <c r="BS1386" s="7"/>
      <c r="BT1386" s="7"/>
      <c r="BU1386" s="7"/>
      <c r="BV1386" s="7"/>
      <c r="BW1386" s="7"/>
      <c r="BX1386" s="7"/>
      <c r="BY1386" s="7"/>
      <c r="BZ1386" s="7"/>
      <c r="CA1386" s="7"/>
      <c r="CB1386" s="7"/>
      <c r="CC1386" s="7"/>
      <c r="CD1386" s="7"/>
      <c r="CE1386" s="7"/>
      <c r="CF1386" s="7"/>
      <c r="CG1386" s="7"/>
    </row>
    <row r="1387" spans="3:85"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  <c r="AC1387" s="7"/>
      <c r="AD1387" s="7"/>
      <c r="AF1387" s="7"/>
      <c r="AG1387" s="7"/>
      <c r="AH1387" s="7"/>
      <c r="AI1387" s="7"/>
      <c r="AJ1387" s="7"/>
      <c r="AK1387" s="7"/>
      <c r="AL1387" s="7"/>
      <c r="AM1387" s="7"/>
      <c r="AN1387" s="7"/>
      <c r="AO1387" s="7"/>
      <c r="AP1387" s="7"/>
      <c r="AQ1387" s="7"/>
      <c r="AR1387" s="7"/>
      <c r="AS1387" s="7"/>
      <c r="AT1387" s="7"/>
      <c r="AU1387" s="7"/>
      <c r="AV1387" s="7"/>
      <c r="AW1387" s="7"/>
      <c r="AX1387" s="7"/>
      <c r="AY1387" s="7"/>
      <c r="AZ1387" s="7"/>
      <c r="BA1387" s="7"/>
      <c r="BB1387" s="7"/>
      <c r="BC1387" s="7"/>
      <c r="BD1387" s="7"/>
      <c r="BE1387" s="7"/>
      <c r="BF1387" s="7"/>
      <c r="BG1387" s="7"/>
      <c r="BH1387" s="7"/>
      <c r="BI1387" s="7"/>
      <c r="BJ1387" s="7"/>
      <c r="BK1387" s="7"/>
      <c r="BL1387" s="7"/>
      <c r="BM1387" s="7"/>
      <c r="BN1387" s="7"/>
      <c r="BO1387" s="7"/>
      <c r="BP1387" s="7"/>
      <c r="BQ1387" s="7"/>
      <c r="BR1387" s="7"/>
      <c r="BS1387" s="7"/>
      <c r="BT1387" s="7"/>
      <c r="BU1387" s="7"/>
      <c r="BV1387" s="7"/>
      <c r="BW1387" s="7"/>
      <c r="BX1387" s="7"/>
      <c r="BY1387" s="7"/>
      <c r="BZ1387" s="7"/>
      <c r="CA1387" s="7"/>
      <c r="CB1387" s="7"/>
      <c r="CC1387" s="7"/>
      <c r="CD1387" s="7"/>
      <c r="CE1387" s="7"/>
      <c r="CF1387" s="7"/>
      <c r="CG1387" s="7"/>
    </row>
    <row r="1388" spans="3:85"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  <c r="AC1388" s="7"/>
      <c r="AD1388" s="7"/>
      <c r="AF1388" s="7"/>
      <c r="AG1388" s="7"/>
      <c r="AH1388" s="7"/>
      <c r="AI1388" s="7"/>
      <c r="AJ1388" s="7"/>
      <c r="AK1388" s="7"/>
      <c r="AL1388" s="7"/>
      <c r="AM1388" s="7"/>
      <c r="AN1388" s="7"/>
      <c r="AO1388" s="7"/>
      <c r="AP1388" s="7"/>
      <c r="AQ1388" s="7"/>
      <c r="AR1388" s="7"/>
      <c r="AS1388" s="7"/>
      <c r="AT1388" s="7"/>
      <c r="AU1388" s="7"/>
      <c r="AV1388" s="7"/>
      <c r="AW1388" s="7"/>
      <c r="AX1388" s="7"/>
      <c r="AY1388" s="7"/>
      <c r="AZ1388" s="7"/>
      <c r="BA1388" s="7"/>
      <c r="BB1388" s="7"/>
      <c r="BC1388" s="7"/>
      <c r="BD1388" s="7"/>
      <c r="BE1388" s="7"/>
      <c r="BF1388" s="7"/>
      <c r="BG1388" s="7"/>
      <c r="BH1388" s="7"/>
      <c r="BI1388" s="7"/>
      <c r="BJ1388" s="7"/>
      <c r="BK1388" s="7"/>
      <c r="BL1388" s="7"/>
      <c r="BM1388" s="7"/>
      <c r="BN1388" s="7"/>
      <c r="BO1388" s="7"/>
      <c r="BP1388" s="7"/>
      <c r="BQ1388" s="7"/>
      <c r="BR1388" s="7"/>
      <c r="BS1388" s="7"/>
      <c r="BT1388" s="7"/>
      <c r="BU1388" s="7"/>
      <c r="BV1388" s="7"/>
      <c r="BW1388" s="7"/>
      <c r="BX1388" s="7"/>
      <c r="BY1388" s="7"/>
      <c r="BZ1388" s="7"/>
      <c r="CA1388" s="7"/>
      <c r="CB1388" s="7"/>
      <c r="CC1388" s="7"/>
      <c r="CD1388" s="7"/>
      <c r="CE1388" s="7"/>
      <c r="CF1388" s="7"/>
      <c r="CG1388" s="7"/>
    </row>
    <row r="1389" spans="3:85"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  <c r="AC1389" s="7"/>
      <c r="AD1389" s="7"/>
      <c r="AF1389" s="7"/>
      <c r="AG1389" s="7"/>
      <c r="AH1389" s="7"/>
      <c r="AI1389" s="7"/>
      <c r="AJ1389" s="7"/>
      <c r="AK1389" s="7"/>
      <c r="AL1389" s="7"/>
      <c r="AM1389" s="7"/>
      <c r="AN1389" s="7"/>
      <c r="AO1389" s="7"/>
      <c r="AP1389" s="7"/>
      <c r="AQ1389" s="7"/>
      <c r="AR1389" s="7"/>
      <c r="AS1389" s="7"/>
      <c r="AT1389" s="7"/>
      <c r="AU1389" s="7"/>
      <c r="AV1389" s="7"/>
      <c r="AW1389" s="7"/>
      <c r="AX1389" s="7"/>
      <c r="AY1389" s="7"/>
      <c r="AZ1389" s="7"/>
      <c r="BA1389" s="7"/>
      <c r="BB1389" s="7"/>
      <c r="BC1389" s="7"/>
      <c r="BD1389" s="7"/>
      <c r="BE1389" s="7"/>
      <c r="BF1389" s="7"/>
      <c r="BG1389" s="7"/>
      <c r="BH1389" s="7"/>
      <c r="BI1389" s="7"/>
      <c r="BJ1389" s="7"/>
      <c r="BK1389" s="7"/>
      <c r="BL1389" s="7"/>
      <c r="BM1389" s="7"/>
      <c r="BN1389" s="7"/>
      <c r="BO1389" s="7"/>
      <c r="BP1389" s="7"/>
      <c r="BQ1389" s="7"/>
      <c r="BR1389" s="7"/>
      <c r="BS1389" s="7"/>
      <c r="BT1389" s="7"/>
      <c r="BU1389" s="7"/>
      <c r="BV1389" s="7"/>
      <c r="BW1389" s="7"/>
      <c r="BX1389" s="7"/>
      <c r="BY1389" s="7"/>
      <c r="BZ1389" s="7"/>
      <c r="CA1389" s="7"/>
      <c r="CB1389" s="7"/>
      <c r="CC1389" s="7"/>
      <c r="CD1389" s="7"/>
      <c r="CE1389" s="7"/>
      <c r="CF1389" s="7"/>
      <c r="CG1389" s="7"/>
    </row>
    <row r="1390" spans="3:85"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  <c r="AC1390" s="7"/>
      <c r="AD1390" s="7"/>
      <c r="AF1390" s="7"/>
      <c r="AG1390" s="7"/>
      <c r="AH1390" s="7"/>
      <c r="AI1390" s="7"/>
      <c r="AJ1390" s="7"/>
      <c r="AK1390" s="7"/>
      <c r="AL1390" s="7"/>
      <c r="AM1390" s="7"/>
      <c r="AN1390" s="7"/>
      <c r="AO1390" s="7"/>
      <c r="AP1390" s="7"/>
      <c r="AQ1390" s="7"/>
      <c r="AR1390" s="7"/>
      <c r="AS1390" s="7"/>
      <c r="AT1390" s="7"/>
      <c r="AU1390" s="7"/>
      <c r="AV1390" s="7"/>
      <c r="AW1390" s="7"/>
      <c r="AX1390" s="7"/>
      <c r="AY1390" s="7"/>
      <c r="AZ1390" s="7"/>
      <c r="BA1390" s="7"/>
      <c r="BB1390" s="7"/>
      <c r="BC1390" s="7"/>
      <c r="BD1390" s="7"/>
      <c r="BE1390" s="7"/>
      <c r="BF1390" s="7"/>
      <c r="BG1390" s="7"/>
      <c r="BH1390" s="7"/>
      <c r="BI1390" s="7"/>
      <c r="BJ1390" s="7"/>
      <c r="BK1390" s="7"/>
      <c r="BL1390" s="7"/>
      <c r="BM1390" s="7"/>
      <c r="BN1390" s="7"/>
      <c r="BO1390" s="7"/>
      <c r="BP1390" s="7"/>
      <c r="BQ1390" s="7"/>
      <c r="BR1390" s="7"/>
      <c r="BS1390" s="7"/>
      <c r="BT1390" s="7"/>
      <c r="BU1390" s="7"/>
      <c r="BV1390" s="7"/>
      <c r="BW1390" s="7"/>
      <c r="BX1390" s="7"/>
      <c r="BY1390" s="7"/>
      <c r="BZ1390" s="7"/>
      <c r="CA1390" s="7"/>
      <c r="CB1390" s="7"/>
      <c r="CC1390" s="7"/>
      <c r="CD1390" s="7"/>
      <c r="CE1390" s="7"/>
      <c r="CF1390" s="7"/>
      <c r="CG1390" s="7"/>
    </row>
    <row r="1391" spans="3:85"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  <c r="AC1391" s="7"/>
      <c r="AD1391" s="7"/>
      <c r="AF1391" s="7"/>
      <c r="AG1391" s="7"/>
      <c r="AH1391" s="7"/>
      <c r="AI1391" s="7"/>
      <c r="AJ1391" s="7"/>
      <c r="AK1391" s="7"/>
      <c r="AL1391" s="7"/>
      <c r="AM1391" s="7"/>
      <c r="AN1391" s="7"/>
      <c r="AO1391" s="7"/>
      <c r="AP1391" s="7"/>
      <c r="AQ1391" s="7"/>
      <c r="AR1391" s="7"/>
      <c r="AS1391" s="7"/>
      <c r="AT1391" s="7"/>
      <c r="AU1391" s="7"/>
      <c r="AV1391" s="7"/>
      <c r="AW1391" s="7"/>
      <c r="AX1391" s="7"/>
      <c r="AY1391" s="7"/>
      <c r="AZ1391" s="7"/>
      <c r="BA1391" s="7"/>
      <c r="BB1391" s="7"/>
      <c r="BC1391" s="7"/>
      <c r="BD1391" s="7"/>
      <c r="BE1391" s="7"/>
      <c r="BF1391" s="7"/>
      <c r="BG1391" s="7"/>
      <c r="BH1391" s="7"/>
      <c r="BI1391" s="7"/>
      <c r="BJ1391" s="7"/>
      <c r="BK1391" s="7"/>
      <c r="BL1391" s="7"/>
      <c r="BM1391" s="7"/>
      <c r="BN1391" s="7"/>
      <c r="BO1391" s="7"/>
      <c r="BP1391" s="7"/>
      <c r="BQ1391" s="7"/>
      <c r="BR1391" s="7"/>
      <c r="BS1391" s="7"/>
      <c r="BT1391" s="7"/>
      <c r="BU1391" s="7"/>
      <c r="BV1391" s="7"/>
      <c r="BW1391" s="7"/>
      <c r="BX1391" s="7"/>
      <c r="BY1391" s="7"/>
      <c r="BZ1391" s="7"/>
      <c r="CA1391" s="7"/>
      <c r="CB1391" s="7"/>
      <c r="CC1391" s="7"/>
      <c r="CD1391" s="7"/>
      <c r="CE1391" s="7"/>
      <c r="CF1391" s="7"/>
      <c r="CG1391" s="7"/>
    </row>
    <row r="1392" spans="3:85"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  <c r="AC1392" s="7"/>
      <c r="AD1392" s="7"/>
      <c r="AF1392" s="7"/>
      <c r="AG1392" s="7"/>
      <c r="AH1392" s="7"/>
      <c r="AI1392" s="7"/>
      <c r="AJ1392" s="7"/>
      <c r="AK1392" s="7"/>
      <c r="AL1392" s="7"/>
      <c r="AM1392" s="7"/>
      <c r="AN1392" s="7"/>
      <c r="AO1392" s="7"/>
      <c r="AP1392" s="7"/>
      <c r="AQ1392" s="7"/>
      <c r="AR1392" s="7"/>
      <c r="AS1392" s="7"/>
      <c r="AT1392" s="7"/>
      <c r="AU1392" s="7"/>
      <c r="AV1392" s="7"/>
      <c r="AW1392" s="7"/>
      <c r="AX1392" s="7"/>
      <c r="AY1392" s="7"/>
      <c r="AZ1392" s="7"/>
      <c r="BA1392" s="7"/>
      <c r="BB1392" s="7"/>
      <c r="BC1392" s="7"/>
      <c r="BD1392" s="7"/>
      <c r="BE1392" s="7"/>
      <c r="BF1392" s="7"/>
      <c r="BG1392" s="7"/>
      <c r="BH1392" s="7"/>
      <c r="BI1392" s="7"/>
      <c r="BJ1392" s="7"/>
      <c r="BK1392" s="7"/>
      <c r="BL1392" s="7"/>
      <c r="BM1392" s="7"/>
      <c r="BN1392" s="7"/>
      <c r="BO1392" s="7"/>
      <c r="BP1392" s="7"/>
      <c r="BQ1392" s="7"/>
      <c r="BR1392" s="7"/>
      <c r="BS1392" s="7"/>
      <c r="BT1392" s="7"/>
      <c r="BU1392" s="7"/>
      <c r="BV1392" s="7"/>
      <c r="BW1392" s="7"/>
      <c r="BX1392" s="7"/>
      <c r="BY1392" s="7"/>
      <c r="BZ1392" s="7"/>
      <c r="CA1392" s="7"/>
      <c r="CB1392" s="7"/>
      <c r="CC1392" s="7"/>
      <c r="CD1392" s="7"/>
      <c r="CE1392" s="7"/>
      <c r="CF1392" s="7"/>
      <c r="CG1392" s="7"/>
    </row>
    <row r="1393" spans="3:85"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  <c r="AC1393" s="7"/>
      <c r="AD1393" s="7"/>
      <c r="AF1393" s="7"/>
      <c r="AG1393" s="7"/>
      <c r="AH1393" s="7"/>
      <c r="AI1393" s="7"/>
      <c r="AJ1393" s="7"/>
      <c r="AK1393" s="7"/>
      <c r="AL1393" s="7"/>
      <c r="AM1393" s="7"/>
      <c r="AN1393" s="7"/>
      <c r="AO1393" s="7"/>
      <c r="AP1393" s="7"/>
      <c r="AQ1393" s="7"/>
      <c r="AR1393" s="7"/>
      <c r="AS1393" s="7"/>
      <c r="AT1393" s="7"/>
      <c r="AU1393" s="7"/>
      <c r="AV1393" s="7"/>
      <c r="AW1393" s="7"/>
      <c r="AX1393" s="7"/>
      <c r="AY1393" s="7"/>
      <c r="AZ1393" s="7"/>
      <c r="BA1393" s="7"/>
      <c r="BB1393" s="7"/>
      <c r="BC1393" s="7"/>
      <c r="BD1393" s="7"/>
      <c r="BE1393" s="7"/>
      <c r="BF1393" s="7"/>
      <c r="BG1393" s="7"/>
      <c r="BH1393" s="7"/>
      <c r="BI1393" s="7"/>
      <c r="BJ1393" s="7"/>
      <c r="BK1393" s="7"/>
      <c r="BL1393" s="7"/>
      <c r="BM1393" s="7"/>
      <c r="BN1393" s="7"/>
      <c r="BO1393" s="7"/>
      <c r="BP1393" s="7"/>
      <c r="BQ1393" s="7"/>
      <c r="BR1393" s="7"/>
      <c r="BS1393" s="7"/>
      <c r="BT1393" s="7"/>
      <c r="BU1393" s="7"/>
      <c r="BV1393" s="7"/>
      <c r="BW1393" s="7"/>
      <c r="BX1393" s="7"/>
      <c r="BY1393" s="7"/>
      <c r="BZ1393" s="7"/>
      <c r="CA1393" s="7"/>
      <c r="CB1393" s="7"/>
      <c r="CC1393" s="7"/>
      <c r="CD1393" s="7"/>
      <c r="CE1393" s="7"/>
      <c r="CF1393" s="7"/>
      <c r="CG1393" s="7"/>
    </row>
    <row r="1394" spans="3:85"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  <c r="AC1394" s="7"/>
      <c r="AD1394" s="7"/>
      <c r="AF1394" s="7"/>
      <c r="AG1394" s="7"/>
      <c r="AH1394" s="7"/>
      <c r="AI1394" s="7"/>
      <c r="AJ1394" s="7"/>
      <c r="AK1394" s="7"/>
      <c r="AL1394" s="7"/>
      <c r="AM1394" s="7"/>
      <c r="AN1394" s="7"/>
      <c r="AO1394" s="7"/>
      <c r="AP1394" s="7"/>
      <c r="AQ1394" s="7"/>
      <c r="AR1394" s="7"/>
      <c r="AS1394" s="7"/>
      <c r="AT1394" s="7"/>
      <c r="AU1394" s="7"/>
      <c r="AV1394" s="7"/>
      <c r="AW1394" s="7"/>
      <c r="AX1394" s="7"/>
      <c r="AY1394" s="7"/>
      <c r="AZ1394" s="7"/>
      <c r="BA1394" s="7"/>
      <c r="BB1394" s="7"/>
      <c r="BC1394" s="7"/>
      <c r="BD1394" s="7"/>
      <c r="BE1394" s="7"/>
      <c r="BF1394" s="7"/>
      <c r="BG1394" s="7"/>
      <c r="BH1394" s="7"/>
      <c r="BI1394" s="7"/>
      <c r="BJ1394" s="7"/>
      <c r="BK1394" s="7"/>
      <c r="BL1394" s="7"/>
      <c r="BM1394" s="7"/>
      <c r="BN1394" s="7"/>
      <c r="BO1394" s="7"/>
      <c r="BP1394" s="7"/>
      <c r="BQ1394" s="7"/>
      <c r="BR1394" s="7"/>
      <c r="BS1394" s="7"/>
      <c r="BT1394" s="7"/>
      <c r="BU1394" s="7"/>
      <c r="BV1394" s="7"/>
      <c r="BW1394" s="7"/>
      <c r="BX1394" s="7"/>
      <c r="BY1394" s="7"/>
      <c r="BZ1394" s="7"/>
      <c r="CA1394" s="7"/>
      <c r="CB1394" s="7"/>
      <c r="CC1394" s="7"/>
      <c r="CD1394" s="7"/>
      <c r="CE1394" s="7"/>
      <c r="CF1394" s="7"/>
      <c r="CG1394" s="7"/>
    </row>
    <row r="1395" spans="3:85"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  <c r="AC1395" s="7"/>
      <c r="AD1395" s="7"/>
      <c r="AF1395" s="7"/>
      <c r="AG1395" s="7"/>
      <c r="AH1395" s="7"/>
      <c r="AI1395" s="7"/>
      <c r="AJ1395" s="7"/>
      <c r="AK1395" s="7"/>
      <c r="AL1395" s="7"/>
      <c r="AM1395" s="7"/>
      <c r="AN1395" s="7"/>
      <c r="AO1395" s="7"/>
      <c r="AP1395" s="7"/>
      <c r="AQ1395" s="7"/>
      <c r="AR1395" s="7"/>
      <c r="AS1395" s="7"/>
      <c r="AT1395" s="7"/>
      <c r="AU1395" s="7"/>
      <c r="AV1395" s="7"/>
      <c r="AW1395" s="7"/>
      <c r="AX1395" s="7"/>
      <c r="AY1395" s="7"/>
      <c r="AZ1395" s="7"/>
      <c r="BA1395" s="7"/>
      <c r="BB1395" s="7"/>
      <c r="BC1395" s="7"/>
      <c r="BD1395" s="7"/>
      <c r="BE1395" s="7"/>
      <c r="BF1395" s="7"/>
      <c r="BG1395" s="7"/>
      <c r="BH1395" s="7"/>
      <c r="BI1395" s="7"/>
      <c r="BJ1395" s="7"/>
      <c r="BK1395" s="7"/>
      <c r="BL1395" s="7"/>
      <c r="BM1395" s="7"/>
      <c r="BN1395" s="7"/>
      <c r="BO1395" s="7"/>
      <c r="BP1395" s="7"/>
      <c r="BQ1395" s="7"/>
      <c r="BR1395" s="7"/>
      <c r="BS1395" s="7"/>
      <c r="BT1395" s="7"/>
      <c r="BU1395" s="7"/>
      <c r="BV1395" s="7"/>
      <c r="BW1395" s="7"/>
      <c r="BX1395" s="7"/>
      <c r="BY1395" s="7"/>
      <c r="BZ1395" s="7"/>
      <c r="CA1395" s="7"/>
      <c r="CB1395" s="7"/>
      <c r="CC1395" s="7"/>
      <c r="CD1395" s="7"/>
      <c r="CE1395" s="7"/>
      <c r="CF1395" s="7"/>
      <c r="CG1395" s="7"/>
    </row>
    <row r="1396" spans="3:85"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  <c r="AC1396" s="7"/>
      <c r="AD1396" s="7"/>
      <c r="AF1396" s="7"/>
      <c r="AG1396" s="7"/>
      <c r="AH1396" s="7"/>
      <c r="AI1396" s="7"/>
      <c r="AJ1396" s="7"/>
      <c r="AK1396" s="7"/>
      <c r="AL1396" s="7"/>
      <c r="AM1396" s="7"/>
      <c r="AN1396" s="7"/>
      <c r="AO1396" s="7"/>
      <c r="AP1396" s="7"/>
      <c r="AQ1396" s="7"/>
      <c r="AR1396" s="7"/>
      <c r="AS1396" s="7"/>
      <c r="AT1396" s="7"/>
      <c r="AU1396" s="7"/>
      <c r="AV1396" s="7"/>
      <c r="AW1396" s="7"/>
      <c r="AX1396" s="7"/>
      <c r="AY1396" s="7"/>
      <c r="AZ1396" s="7"/>
      <c r="BA1396" s="7"/>
      <c r="BB1396" s="7"/>
      <c r="BC1396" s="7"/>
      <c r="BD1396" s="7"/>
      <c r="BE1396" s="7"/>
      <c r="BF1396" s="7"/>
      <c r="BG1396" s="7"/>
      <c r="BH1396" s="7"/>
      <c r="BI1396" s="7"/>
      <c r="BJ1396" s="7"/>
      <c r="BK1396" s="7"/>
      <c r="BL1396" s="7"/>
      <c r="BM1396" s="7"/>
      <c r="BN1396" s="7"/>
      <c r="BO1396" s="7"/>
      <c r="BP1396" s="7"/>
      <c r="BQ1396" s="7"/>
      <c r="BR1396" s="7"/>
      <c r="BS1396" s="7"/>
      <c r="BT1396" s="7"/>
      <c r="BU1396" s="7"/>
      <c r="BV1396" s="7"/>
      <c r="BW1396" s="7"/>
      <c r="BX1396" s="7"/>
      <c r="BY1396" s="7"/>
      <c r="BZ1396" s="7"/>
      <c r="CA1396" s="7"/>
      <c r="CB1396" s="7"/>
      <c r="CC1396" s="7"/>
      <c r="CD1396" s="7"/>
      <c r="CE1396" s="7"/>
      <c r="CF1396" s="7"/>
      <c r="CG1396" s="7"/>
    </row>
    <row r="1397" spans="3:85"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  <c r="AC1397" s="7"/>
      <c r="AD1397" s="7"/>
      <c r="AF1397" s="7"/>
      <c r="AG1397" s="7"/>
      <c r="AH1397" s="7"/>
      <c r="AI1397" s="7"/>
      <c r="AJ1397" s="7"/>
      <c r="AK1397" s="7"/>
      <c r="AL1397" s="7"/>
      <c r="AM1397" s="7"/>
      <c r="AN1397" s="7"/>
      <c r="AO1397" s="7"/>
      <c r="AP1397" s="7"/>
      <c r="AQ1397" s="7"/>
      <c r="AR1397" s="7"/>
      <c r="AS1397" s="7"/>
      <c r="AT1397" s="7"/>
      <c r="AU1397" s="7"/>
      <c r="AV1397" s="7"/>
      <c r="AW1397" s="7"/>
      <c r="AX1397" s="7"/>
      <c r="AY1397" s="7"/>
      <c r="AZ1397" s="7"/>
      <c r="BA1397" s="7"/>
      <c r="BB1397" s="7"/>
      <c r="BC1397" s="7"/>
      <c r="BD1397" s="7"/>
      <c r="BE1397" s="7"/>
      <c r="BF1397" s="7"/>
      <c r="BG1397" s="7"/>
      <c r="BH1397" s="7"/>
      <c r="BI1397" s="7"/>
      <c r="BJ1397" s="7"/>
      <c r="BK1397" s="7"/>
      <c r="BL1397" s="7"/>
      <c r="BM1397" s="7"/>
      <c r="BN1397" s="7"/>
      <c r="BO1397" s="7"/>
      <c r="BP1397" s="7"/>
      <c r="BQ1397" s="7"/>
      <c r="BR1397" s="7"/>
      <c r="BS1397" s="7"/>
      <c r="BT1397" s="7"/>
      <c r="BU1397" s="7"/>
      <c r="BV1397" s="7"/>
      <c r="BW1397" s="7"/>
      <c r="BX1397" s="7"/>
      <c r="BY1397" s="7"/>
      <c r="BZ1397" s="7"/>
      <c r="CA1397" s="7"/>
      <c r="CB1397" s="7"/>
      <c r="CC1397" s="7"/>
      <c r="CD1397" s="7"/>
      <c r="CE1397" s="7"/>
      <c r="CF1397" s="7"/>
      <c r="CG1397" s="7"/>
    </row>
    <row r="1398" spans="3:85"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  <c r="AC1398" s="7"/>
      <c r="AD1398" s="7"/>
      <c r="AF1398" s="7"/>
      <c r="AG1398" s="7"/>
      <c r="AH1398" s="7"/>
      <c r="AI1398" s="7"/>
      <c r="AJ1398" s="7"/>
      <c r="AK1398" s="7"/>
      <c r="AL1398" s="7"/>
      <c r="AM1398" s="7"/>
      <c r="AN1398" s="7"/>
      <c r="AO1398" s="7"/>
      <c r="AP1398" s="7"/>
      <c r="AQ1398" s="7"/>
      <c r="AR1398" s="7"/>
      <c r="AS1398" s="7"/>
      <c r="AT1398" s="7"/>
      <c r="AU1398" s="7"/>
      <c r="AV1398" s="7"/>
      <c r="AW1398" s="7"/>
      <c r="AX1398" s="7"/>
      <c r="AY1398" s="7"/>
      <c r="AZ1398" s="7"/>
      <c r="BA1398" s="7"/>
      <c r="BB1398" s="7"/>
      <c r="BC1398" s="7"/>
      <c r="BD1398" s="7"/>
      <c r="BE1398" s="7"/>
      <c r="BF1398" s="7"/>
      <c r="BG1398" s="7"/>
      <c r="BH1398" s="7"/>
      <c r="BI1398" s="7"/>
      <c r="BJ1398" s="7"/>
      <c r="BK1398" s="7"/>
      <c r="BL1398" s="7"/>
      <c r="BM1398" s="7"/>
      <c r="BN1398" s="7"/>
      <c r="BO1398" s="7"/>
      <c r="BP1398" s="7"/>
      <c r="BQ1398" s="7"/>
      <c r="BR1398" s="7"/>
      <c r="BS1398" s="7"/>
      <c r="BT1398" s="7"/>
      <c r="BU1398" s="7"/>
      <c r="BV1398" s="7"/>
      <c r="BW1398" s="7"/>
      <c r="BX1398" s="7"/>
      <c r="BY1398" s="7"/>
      <c r="BZ1398" s="7"/>
      <c r="CA1398" s="7"/>
      <c r="CB1398" s="7"/>
      <c r="CC1398" s="7"/>
      <c r="CD1398" s="7"/>
      <c r="CE1398" s="7"/>
      <c r="CF1398" s="7"/>
      <c r="CG1398" s="7"/>
    </row>
    <row r="1399" spans="3:85"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  <c r="AC1399" s="7"/>
      <c r="AD1399" s="7"/>
      <c r="AF1399" s="7"/>
      <c r="AG1399" s="7"/>
      <c r="AH1399" s="7"/>
      <c r="AI1399" s="7"/>
      <c r="AJ1399" s="7"/>
      <c r="AK1399" s="7"/>
      <c r="AL1399" s="7"/>
      <c r="AM1399" s="7"/>
      <c r="AN1399" s="7"/>
      <c r="AO1399" s="7"/>
      <c r="AP1399" s="7"/>
      <c r="AQ1399" s="7"/>
      <c r="AR1399" s="7"/>
      <c r="AS1399" s="7"/>
      <c r="AT1399" s="7"/>
      <c r="AU1399" s="7"/>
      <c r="AV1399" s="7"/>
      <c r="AW1399" s="7"/>
      <c r="AX1399" s="7"/>
      <c r="AY1399" s="7"/>
      <c r="AZ1399" s="7"/>
      <c r="BA1399" s="7"/>
      <c r="BB1399" s="7"/>
      <c r="BC1399" s="7"/>
      <c r="BD1399" s="7"/>
      <c r="BE1399" s="7"/>
      <c r="BF1399" s="7"/>
      <c r="BG1399" s="7"/>
      <c r="BH1399" s="7"/>
      <c r="BI1399" s="7"/>
      <c r="BJ1399" s="7"/>
      <c r="BK1399" s="7"/>
      <c r="BL1399" s="7"/>
      <c r="BM1399" s="7"/>
      <c r="BN1399" s="7"/>
      <c r="BO1399" s="7"/>
      <c r="BP1399" s="7"/>
      <c r="BQ1399" s="7"/>
      <c r="BR1399" s="7"/>
      <c r="BS1399" s="7"/>
      <c r="BT1399" s="7"/>
      <c r="BU1399" s="7"/>
      <c r="BV1399" s="7"/>
      <c r="BW1399" s="7"/>
      <c r="BX1399" s="7"/>
      <c r="BY1399" s="7"/>
      <c r="BZ1399" s="7"/>
      <c r="CA1399" s="7"/>
      <c r="CB1399" s="7"/>
      <c r="CC1399" s="7"/>
      <c r="CD1399" s="7"/>
      <c r="CE1399" s="7"/>
      <c r="CF1399" s="7"/>
      <c r="CG1399" s="7"/>
    </row>
    <row r="1400" spans="3:85"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  <c r="AC1400" s="7"/>
      <c r="AD1400" s="7"/>
      <c r="AF1400" s="7"/>
      <c r="AG1400" s="7"/>
      <c r="AH1400" s="7"/>
      <c r="AI1400" s="7"/>
      <c r="AJ1400" s="7"/>
      <c r="AK1400" s="7"/>
      <c r="AL1400" s="7"/>
      <c r="AM1400" s="7"/>
      <c r="AN1400" s="7"/>
      <c r="AO1400" s="7"/>
      <c r="AP1400" s="7"/>
      <c r="AQ1400" s="7"/>
      <c r="AR1400" s="7"/>
      <c r="AS1400" s="7"/>
      <c r="AT1400" s="7"/>
      <c r="AU1400" s="7"/>
      <c r="AV1400" s="7"/>
      <c r="AW1400" s="7"/>
      <c r="AX1400" s="7"/>
      <c r="AY1400" s="7"/>
      <c r="AZ1400" s="7"/>
      <c r="BA1400" s="7"/>
      <c r="BB1400" s="7"/>
      <c r="BC1400" s="7"/>
      <c r="BD1400" s="7"/>
      <c r="BE1400" s="7"/>
      <c r="BF1400" s="7"/>
      <c r="BG1400" s="7"/>
      <c r="BH1400" s="7"/>
      <c r="BI1400" s="7"/>
      <c r="BJ1400" s="7"/>
      <c r="BK1400" s="7"/>
      <c r="BL1400" s="7"/>
      <c r="BM1400" s="7"/>
      <c r="BN1400" s="7"/>
      <c r="BO1400" s="7"/>
      <c r="BP1400" s="7"/>
      <c r="BQ1400" s="7"/>
      <c r="BR1400" s="7"/>
      <c r="BS1400" s="7"/>
      <c r="BT1400" s="7"/>
      <c r="BU1400" s="7"/>
      <c r="BV1400" s="7"/>
      <c r="BW1400" s="7"/>
      <c r="BX1400" s="7"/>
      <c r="BY1400" s="7"/>
      <c r="BZ1400" s="7"/>
      <c r="CA1400" s="7"/>
      <c r="CB1400" s="7"/>
      <c r="CC1400" s="7"/>
      <c r="CD1400" s="7"/>
      <c r="CE1400" s="7"/>
      <c r="CF1400" s="7"/>
      <c r="CG1400" s="7"/>
    </row>
    <row r="1401" spans="3:85"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  <c r="AC1401" s="7"/>
      <c r="AD1401" s="7"/>
      <c r="AF1401" s="7"/>
      <c r="AG1401" s="7"/>
      <c r="AH1401" s="7"/>
      <c r="AI1401" s="7"/>
      <c r="AJ1401" s="7"/>
      <c r="AK1401" s="7"/>
      <c r="AL1401" s="7"/>
      <c r="AM1401" s="7"/>
      <c r="AN1401" s="7"/>
      <c r="AO1401" s="7"/>
      <c r="AP1401" s="7"/>
      <c r="AQ1401" s="7"/>
      <c r="AR1401" s="7"/>
      <c r="AS1401" s="7"/>
      <c r="AT1401" s="7"/>
      <c r="AU1401" s="7"/>
      <c r="AV1401" s="7"/>
      <c r="AW1401" s="7"/>
      <c r="AX1401" s="7"/>
      <c r="AY1401" s="7"/>
      <c r="AZ1401" s="7"/>
      <c r="BA1401" s="7"/>
      <c r="BB1401" s="7"/>
      <c r="BC1401" s="7"/>
      <c r="BD1401" s="7"/>
      <c r="BE1401" s="7"/>
      <c r="BF1401" s="7"/>
      <c r="BG1401" s="7"/>
      <c r="BH1401" s="7"/>
      <c r="BI1401" s="7"/>
      <c r="BJ1401" s="7"/>
      <c r="BK1401" s="7"/>
      <c r="BL1401" s="7"/>
      <c r="BM1401" s="7"/>
      <c r="BN1401" s="7"/>
      <c r="BO1401" s="7"/>
      <c r="BP1401" s="7"/>
      <c r="BQ1401" s="7"/>
      <c r="BR1401" s="7"/>
      <c r="BS1401" s="7"/>
      <c r="BT1401" s="7"/>
      <c r="BU1401" s="7"/>
      <c r="BV1401" s="7"/>
      <c r="BW1401" s="7"/>
      <c r="BX1401" s="7"/>
      <c r="BY1401" s="7"/>
      <c r="BZ1401" s="7"/>
      <c r="CA1401" s="7"/>
      <c r="CB1401" s="7"/>
      <c r="CC1401" s="7"/>
      <c r="CD1401" s="7"/>
      <c r="CE1401" s="7"/>
      <c r="CF1401" s="7"/>
      <c r="CG1401" s="7"/>
    </row>
    <row r="1402" spans="3:85"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  <c r="AC1402" s="7"/>
      <c r="AD1402" s="7"/>
      <c r="AF1402" s="7"/>
      <c r="AG1402" s="7"/>
      <c r="AH1402" s="7"/>
      <c r="AI1402" s="7"/>
      <c r="AJ1402" s="7"/>
      <c r="AK1402" s="7"/>
      <c r="AL1402" s="7"/>
      <c r="AM1402" s="7"/>
      <c r="AN1402" s="7"/>
      <c r="AO1402" s="7"/>
      <c r="AP1402" s="7"/>
      <c r="AQ1402" s="7"/>
      <c r="AR1402" s="7"/>
      <c r="AS1402" s="7"/>
      <c r="AT1402" s="7"/>
      <c r="AU1402" s="7"/>
      <c r="AV1402" s="7"/>
      <c r="AW1402" s="7"/>
      <c r="AX1402" s="7"/>
      <c r="AY1402" s="7"/>
      <c r="AZ1402" s="7"/>
      <c r="BA1402" s="7"/>
      <c r="BB1402" s="7"/>
      <c r="BC1402" s="7"/>
      <c r="BD1402" s="7"/>
      <c r="BE1402" s="7"/>
      <c r="BF1402" s="7"/>
      <c r="BG1402" s="7"/>
      <c r="BH1402" s="7"/>
      <c r="BI1402" s="7"/>
      <c r="BJ1402" s="7"/>
      <c r="BK1402" s="7"/>
      <c r="BL1402" s="7"/>
      <c r="BM1402" s="7"/>
      <c r="BN1402" s="7"/>
      <c r="BO1402" s="7"/>
      <c r="BP1402" s="7"/>
      <c r="BQ1402" s="7"/>
      <c r="BR1402" s="7"/>
      <c r="BS1402" s="7"/>
      <c r="BT1402" s="7"/>
      <c r="BU1402" s="7"/>
      <c r="BV1402" s="7"/>
      <c r="BW1402" s="7"/>
      <c r="BX1402" s="7"/>
      <c r="BY1402" s="7"/>
      <c r="BZ1402" s="7"/>
      <c r="CA1402" s="7"/>
      <c r="CB1402" s="7"/>
      <c r="CC1402" s="7"/>
      <c r="CD1402" s="7"/>
      <c r="CE1402" s="7"/>
      <c r="CF1402" s="7"/>
      <c r="CG1402" s="7"/>
    </row>
    <row r="1403" spans="3:85"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  <c r="AC1403" s="7"/>
      <c r="AD1403" s="7"/>
      <c r="AF1403" s="7"/>
      <c r="AG1403" s="7"/>
      <c r="AH1403" s="7"/>
      <c r="AI1403" s="7"/>
      <c r="AJ1403" s="7"/>
      <c r="AK1403" s="7"/>
      <c r="AL1403" s="7"/>
      <c r="AM1403" s="7"/>
      <c r="AN1403" s="7"/>
      <c r="AO1403" s="7"/>
      <c r="AP1403" s="7"/>
      <c r="AQ1403" s="7"/>
      <c r="AR1403" s="7"/>
      <c r="AS1403" s="7"/>
      <c r="AT1403" s="7"/>
      <c r="AU1403" s="7"/>
      <c r="AV1403" s="7"/>
      <c r="AW1403" s="7"/>
      <c r="AX1403" s="7"/>
      <c r="AY1403" s="7"/>
      <c r="AZ1403" s="7"/>
      <c r="BA1403" s="7"/>
      <c r="BB1403" s="7"/>
      <c r="BC1403" s="7"/>
      <c r="BD1403" s="7"/>
      <c r="BE1403" s="7"/>
      <c r="BF1403" s="7"/>
      <c r="BG1403" s="7"/>
      <c r="BH1403" s="7"/>
      <c r="BI1403" s="7"/>
      <c r="BJ1403" s="7"/>
      <c r="BK1403" s="7"/>
      <c r="BL1403" s="7"/>
      <c r="BM1403" s="7"/>
      <c r="BN1403" s="7"/>
      <c r="BO1403" s="7"/>
      <c r="BP1403" s="7"/>
      <c r="BQ1403" s="7"/>
      <c r="BR1403" s="7"/>
      <c r="BS1403" s="7"/>
      <c r="BT1403" s="7"/>
      <c r="BU1403" s="7"/>
      <c r="BV1403" s="7"/>
      <c r="BW1403" s="7"/>
      <c r="BX1403" s="7"/>
      <c r="BY1403" s="7"/>
      <c r="BZ1403" s="7"/>
      <c r="CA1403" s="7"/>
      <c r="CB1403" s="7"/>
      <c r="CC1403" s="7"/>
      <c r="CD1403" s="7"/>
      <c r="CE1403" s="7"/>
      <c r="CF1403" s="7"/>
      <c r="CG1403" s="7"/>
    </row>
    <row r="1404" spans="3:85"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  <c r="AC1404" s="7"/>
      <c r="AD1404" s="7"/>
      <c r="AF1404" s="7"/>
      <c r="AG1404" s="7"/>
      <c r="AH1404" s="7"/>
      <c r="AI1404" s="7"/>
      <c r="AJ1404" s="7"/>
      <c r="AK1404" s="7"/>
      <c r="AL1404" s="7"/>
      <c r="AM1404" s="7"/>
      <c r="AN1404" s="7"/>
      <c r="AO1404" s="7"/>
      <c r="AP1404" s="7"/>
      <c r="AQ1404" s="7"/>
      <c r="AR1404" s="7"/>
      <c r="AS1404" s="7"/>
      <c r="AT1404" s="7"/>
      <c r="AU1404" s="7"/>
      <c r="AV1404" s="7"/>
      <c r="AW1404" s="7"/>
      <c r="AX1404" s="7"/>
      <c r="AY1404" s="7"/>
      <c r="AZ1404" s="7"/>
      <c r="BA1404" s="7"/>
      <c r="BB1404" s="7"/>
      <c r="BC1404" s="7"/>
      <c r="BD1404" s="7"/>
      <c r="BE1404" s="7"/>
      <c r="BF1404" s="7"/>
      <c r="BG1404" s="7"/>
      <c r="BH1404" s="7"/>
      <c r="BI1404" s="7"/>
      <c r="BJ1404" s="7"/>
      <c r="BK1404" s="7"/>
      <c r="BL1404" s="7"/>
      <c r="BM1404" s="7"/>
      <c r="BN1404" s="7"/>
      <c r="BO1404" s="7"/>
      <c r="BP1404" s="7"/>
      <c r="BQ1404" s="7"/>
      <c r="BR1404" s="7"/>
      <c r="BS1404" s="7"/>
      <c r="BT1404" s="7"/>
      <c r="BU1404" s="7"/>
      <c r="BV1404" s="7"/>
      <c r="BW1404" s="7"/>
      <c r="BX1404" s="7"/>
      <c r="BY1404" s="7"/>
      <c r="BZ1404" s="7"/>
      <c r="CA1404" s="7"/>
      <c r="CB1404" s="7"/>
      <c r="CC1404" s="7"/>
      <c r="CD1404" s="7"/>
      <c r="CE1404" s="7"/>
      <c r="CF1404" s="7"/>
      <c r="CG1404" s="7"/>
    </row>
    <row r="1405" spans="3:85"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  <c r="AC1405" s="7"/>
      <c r="AD1405" s="7"/>
      <c r="AF1405" s="7"/>
      <c r="AG1405" s="7"/>
      <c r="AH1405" s="7"/>
      <c r="AI1405" s="7"/>
      <c r="AJ1405" s="7"/>
      <c r="AK1405" s="7"/>
      <c r="AL1405" s="7"/>
      <c r="AM1405" s="7"/>
      <c r="AN1405" s="7"/>
      <c r="AO1405" s="7"/>
      <c r="AP1405" s="7"/>
      <c r="AQ1405" s="7"/>
      <c r="AR1405" s="7"/>
      <c r="AS1405" s="7"/>
      <c r="AT1405" s="7"/>
      <c r="AU1405" s="7"/>
      <c r="AV1405" s="7"/>
      <c r="AW1405" s="7"/>
      <c r="AX1405" s="7"/>
      <c r="AY1405" s="7"/>
      <c r="AZ1405" s="7"/>
      <c r="BA1405" s="7"/>
      <c r="BB1405" s="7"/>
      <c r="BC1405" s="7"/>
      <c r="BD1405" s="7"/>
      <c r="BE1405" s="7"/>
      <c r="BF1405" s="7"/>
      <c r="BG1405" s="7"/>
      <c r="BH1405" s="7"/>
      <c r="BI1405" s="7"/>
      <c r="BJ1405" s="7"/>
      <c r="BK1405" s="7"/>
      <c r="BL1405" s="7"/>
      <c r="BM1405" s="7"/>
      <c r="BN1405" s="7"/>
      <c r="BO1405" s="7"/>
      <c r="BP1405" s="7"/>
      <c r="BQ1405" s="7"/>
      <c r="BR1405" s="7"/>
      <c r="BS1405" s="7"/>
      <c r="BT1405" s="7"/>
      <c r="BU1405" s="7"/>
      <c r="BV1405" s="7"/>
      <c r="BW1405" s="7"/>
      <c r="BX1405" s="7"/>
      <c r="BY1405" s="7"/>
      <c r="BZ1405" s="7"/>
      <c r="CA1405" s="7"/>
      <c r="CB1405" s="7"/>
      <c r="CC1405" s="7"/>
      <c r="CD1405" s="7"/>
      <c r="CE1405" s="7"/>
      <c r="CF1405" s="7"/>
      <c r="CG1405" s="7"/>
    </row>
    <row r="1406" spans="3:85"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  <c r="AC1406" s="7"/>
      <c r="AD1406" s="7"/>
      <c r="AF1406" s="7"/>
      <c r="AG1406" s="7"/>
      <c r="AH1406" s="7"/>
      <c r="AI1406" s="7"/>
      <c r="AJ1406" s="7"/>
      <c r="AK1406" s="7"/>
      <c r="AL1406" s="7"/>
      <c r="AM1406" s="7"/>
      <c r="AN1406" s="7"/>
      <c r="AO1406" s="7"/>
      <c r="AP1406" s="7"/>
      <c r="AQ1406" s="7"/>
      <c r="AR1406" s="7"/>
      <c r="AS1406" s="7"/>
      <c r="AT1406" s="7"/>
      <c r="AU1406" s="7"/>
      <c r="AV1406" s="7"/>
      <c r="AW1406" s="7"/>
      <c r="AX1406" s="7"/>
      <c r="AY1406" s="7"/>
      <c r="AZ1406" s="7"/>
      <c r="BA1406" s="7"/>
      <c r="BB1406" s="7"/>
      <c r="BC1406" s="7"/>
      <c r="BD1406" s="7"/>
      <c r="BE1406" s="7"/>
      <c r="BF1406" s="7"/>
      <c r="BG1406" s="7"/>
      <c r="BH1406" s="7"/>
      <c r="BI1406" s="7"/>
      <c r="BJ1406" s="7"/>
      <c r="BK1406" s="7"/>
      <c r="BL1406" s="7"/>
      <c r="BM1406" s="7"/>
      <c r="BN1406" s="7"/>
      <c r="BO1406" s="7"/>
      <c r="BP1406" s="7"/>
      <c r="BQ1406" s="7"/>
      <c r="BR1406" s="7"/>
      <c r="BS1406" s="7"/>
      <c r="BT1406" s="7"/>
      <c r="BU1406" s="7"/>
      <c r="BV1406" s="7"/>
      <c r="BW1406" s="7"/>
      <c r="BX1406" s="7"/>
      <c r="BY1406" s="7"/>
      <c r="BZ1406" s="7"/>
      <c r="CA1406" s="7"/>
      <c r="CB1406" s="7"/>
      <c r="CC1406" s="7"/>
      <c r="CD1406" s="7"/>
      <c r="CE1406" s="7"/>
      <c r="CF1406" s="7"/>
      <c r="CG1406" s="7"/>
    </row>
    <row r="1407" spans="3:85"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  <c r="AC1407" s="7"/>
      <c r="AD1407" s="7"/>
      <c r="AF1407" s="7"/>
      <c r="AG1407" s="7"/>
      <c r="AH1407" s="7"/>
      <c r="AI1407" s="7"/>
      <c r="AJ1407" s="7"/>
      <c r="AK1407" s="7"/>
      <c r="AL1407" s="7"/>
      <c r="AM1407" s="7"/>
      <c r="AN1407" s="7"/>
      <c r="AO1407" s="7"/>
      <c r="AP1407" s="7"/>
      <c r="AQ1407" s="7"/>
      <c r="AR1407" s="7"/>
      <c r="AS1407" s="7"/>
      <c r="AT1407" s="7"/>
      <c r="AU1407" s="7"/>
      <c r="AV1407" s="7"/>
      <c r="AW1407" s="7"/>
      <c r="AX1407" s="7"/>
      <c r="AY1407" s="7"/>
      <c r="AZ1407" s="7"/>
      <c r="BA1407" s="7"/>
      <c r="BB1407" s="7"/>
      <c r="BC1407" s="7"/>
      <c r="BD1407" s="7"/>
      <c r="BE1407" s="7"/>
      <c r="BF1407" s="7"/>
      <c r="BG1407" s="7"/>
      <c r="BH1407" s="7"/>
      <c r="BI1407" s="7"/>
      <c r="BJ1407" s="7"/>
      <c r="BK1407" s="7"/>
      <c r="BL1407" s="7"/>
      <c r="BM1407" s="7"/>
      <c r="BN1407" s="7"/>
      <c r="BO1407" s="7"/>
      <c r="BP1407" s="7"/>
      <c r="BQ1407" s="7"/>
      <c r="BR1407" s="7"/>
      <c r="BS1407" s="7"/>
      <c r="BT1407" s="7"/>
      <c r="BU1407" s="7"/>
      <c r="BV1407" s="7"/>
      <c r="BW1407" s="7"/>
      <c r="BX1407" s="7"/>
      <c r="BY1407" s="7"/>
      <c r="BZ1407" s="7"/>
      <c r="CA1407" s="7"/>
      <c r="CB1407" s="7"/>
      <c r="CC1407" s="7"/>
      <c r="CD1407" s="7"/>
      <c r="CE1407" s="7"/>
      <c r="CF1407" s="7"/>
      <c r="CG1407" s="7"/>
    </row>
    <row r="1408" spans="3:85"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  <c r="AC1408" s="7"/>
      <c r="AD1408" s="7"/>
      <c r="AF1408" s="7"/>
      <c r="AG1408" s="7"/>
      <c r="AH1408" s="7"/>
      <c r="AI1408" s="7"/>
      <c r="AJ1408" s="7"/>
      <c r="AK1408" s="7"/>
      <c r="AL1408" s="7"/>
      <c r="AM1408" s="7"/>
      <c r="AN1408" s="7"/>
      <c r="AO1408" s="7"/>
      <c r="AP1408" s="7"/>
      <c r="AQ1408" s="7"/>
      <c r="AR1408" s="7"/>
      <c r="AS1408" s="7"/>
      <c r="AT1408" s="7"/>
      <c r="AU1408" s="7"/>
      <c r="AV1408" s="7"/>
      <c r="AW1408" s="7"/>
      <c r="AX1408" s="7"/>
      <c r="AY1408" s="7"/>
      <c r="AZ1408" s="7"/>
      <c r="BA1408" s="7"/>
      <c r="BB1408" s="7"/>
      <c r="BC1408" s="7"/>
      <c r="BD1408" s="7"/>
      <c r="BE1408" s="7"/>
      <c r="BF1408" s="7"/>
      <c r="BG1408" s="7"/>
      <c r="BH1408" s="7"/>
      <c r="BI1408" s="7"/>
      <c r="BJ1408" s="7"/>
      <c r="BK1408" s="7"/>
      <c r="BL1408" s="7"/>
      <c r="BM1408" s="7"/>
      <c r="BN1408" s="7"/>
      <c r="BO1408" s="7"/>
      <c r="BP1408" s="7"/>
      <c r="BQ1408" s="7"/>
      <c r="BR1408" s="7"/>
      <c r="BS1408" s="7"/>
      <c r="BT1408" s="7"/>
      <c r="BU1408" s="7"/>
      <c r="BV1408" s="7"/>
      <c r="BW1408" s="7"/>
      <c r="BX1408" s="7"/>
      <c r="BY1408" s="7"/>
      <c r="BZ1408" s="7"/>
      <c r="CA1408" s="7"/>
      <c r="CB1408" s="7"/>
      <c r="CC1408" s="7"/>
      <c r="CD1408" s="7"/>
      <c r="CE1408" s="7"/>
      <c r="CF1408" s="7"/>
      <c r="CG1408" s="7"/>
    </row>
    <row r="1409" spans="3:85"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  <c r="AC1409" s="7"/>
      <c r="AD1409" s="7"/>
      <c r="AF1409" s="7"/>
      <c r="AG1409" s="7"/>
      <c r="AH1409" s="7"/>
      <c r="AI1409" s="7"/>
      <c r="AJ1409" s="7"/>
      <c r="AK1409" s="7"/>
      <c r="AL1409" s="7"/>
      <c r="AM1409" s="7"/>
      <c r="AN1409" s="7"/>
      <c r="AO1409" s="7"/>
      <c r="AP1409" s="7"/>
      <c r="AQ1409" s="7"/>
      <c r="AR1409" s="7"/>
      <c r="AS1409" s="7"/>
      <c r="AT1409" s="7"/>
      <c r="AU1409" s="7"/>
      <c r="AV1409" s="7"/>
      <c r="AW1409" s="7"/>
      <c r="AX1409" s="7"/>
      <c r="AY1409" s="7"/>
      <c r="AZ1409" s="7"/>
      <c r="BA1409" s="7"/>
      <c r="BB1409" s="7"/>
      <c r="BC1409" s="7"/>
      <c r="BD1409" s="7"/>
      <c r="BE1409" s="7"/>
      <c r="BF1409" s="7"/>
      <c r="BG1409" s="7"/>
      <c r="BH1409" s="7"/>
      <c r="BI1409" s="7"/>
      <c r="BJ1409" s="7"/>
      <c r="BK1409" s="7"/>
      <c r="BL1409" s="7"/>
      <c r="BM1409" s="7"/>
      <c r="BN1409" s="7"/>
      <c r="BO1409" s="7"/>
      <c r="BP1409" s="7"/>
      <c r="BQ1409" s="7"/>
      <c r="BR1409" s="7"/>
      <c r="BS1409" s="7"/>
      <c r="BT1409" s="7"/>
      <c r="BU1409" s="7"/>
      <c r="BV1409" s="7"/>
      <c r="BW1409" s="7"/>
      <c r="BX1409" s="7"/>
      <c r="BY1409" s="7"/>
      <c r="BZ1409" s="7"/>
      <c r="CA1409" s="7"/>
      <c r="CB1409" s="7"/>
      <c r="CC1409" s="7"/>
      <c r="CD1409" s="7"/>
      <c r="CE1409" s="7"/>
      <c r="CF1409" s="7"/>
      <c r="CG1409" s="7"/>
    </row>
    <row r="1410" spans="3:85"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  <c r="AC1410" s="7"/>
      <c r="AD1410" s="7"/>
      <c r="AF1410" s="7"/>
      <c r="AG1410" s="7"/>
      <c r="AH1410" s="7"/>
      <c r="AI1410" s="7"/>
      <c r="AJ1410" s="7"/>
      <c r="AK1410" s="7"/>
      <c r="AL1410" s="7"/>
      <c r="AM1410" s="7"/>
      <c r="AN1410" s="7"/>
      <c r="AO1410" s="7"/>
      <c r="AP1410" s="7"/>
      <c r="AQ1410" s="7"/>
      <c r="AR1410" s="7"/>
      <c r="AS1410" s="7"/>
      <c r="AT1410" s="7"/>
      <c r="AU1410" s="7"/>
      <c r="AV1410" s="7"/>
      <c r="AW1410" s="7"/>
      <c r="AX1410" s="7"/>
      <c r="AY1410" s="7"/>
      <c r="AZ1410" s="7"/>
      <c r="BA1410" s="7"/>
      <c r="BB1410" s="7"/>
      <c r="BC1410" s="7"/>
      <c r="BD1410" s="7"/>
      <c r="BE1410" s="7"/>
      <c r="BF1410" s="7"/>
      <c r="BG1410" s="7"/>
      <c r="BH1410" s="7"/>
      <c r="BI1410" s="7"/>
      <c r="BJ1410" s="7"/>
      <c r="BK1410" s="7"/>
      <c r="BL1410" s="7"/>
      <c r="BM1410" s="7"/>
      <c r="BN1410" s="7"/>
      <c r="BO1410" s="7"/>
      <c r="BP1410" s="7"/>
      <c r="BQ1410" s="7"/>
      <c r="BR1410" s="7"/>
      <c r="BS1410" s="7"/>
      <c r="BT1410" s="7"/>
      <c r="BU1410" s="7"/>
      <c r="BV1410" s="7"/>
      <c r="BW1410" s="7"/>
      <c r="BX1410" s="7"/>
      <c r="BY1410" s="7"/>
      <c r="BZ1410" s="7"/>
      <c r="CA1410" s="7"/>
      <c r="CB1410" s="7"/>
      <c r="CC1410" s="7"/>
      <c r="CD1410" s="7"/>
      <c r="CE1410" s="7"/>
      <c r="CF1410" s="7"/>
      <c r="CG1410" s="7"/>
    </row>
    <row r="1411" spans="3:85"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  <c r="AC1411" s="7"/>
      <c r="AD1411" s="7"/>
      <c r="AF1411" s="7"/>
      <c r="AG1411" s="7"/>
      <c r="AH1411" s="7"/>
      <c r="AI1411" s="7"/>
      <c r="AJ1411" s="7"/>
      <c r="AK1411" s="7"/>
      <c r="AL1411" s="7"/>
      <c r="AM1411" s="7"/>
      <c r="AN1411" s="7"/>
      <c r="AO1411" s="7"/>
      <c r="AP1411" s="7"/>
      <c r="AQ1411" s="7"/>
      <c r="AR1411" s="7"/>
      <c r="AS1411" s="7"/>
      <c r="AT1411" s="7"/>
      <c r="AU1411" s="7"/>
      <c r="AV1411" s="7"/>
      <c r="AW1411" s="7"/>
      <c r="AX1411" s="7"/>
      <c r="AY1411" s="7"/>
      <c r="AZ1411" s="7"/>
      <c r="BA1411" s="7"/>
      <c r="BB1411" s="7"/>
      <c r="BC1411" s="7"/>
      <c r="BD1411" s="7"/>
      <c r="BE1411" s="7"/>
      <c r="BF1411" s="7"/>
      <c r="BG1411" s="7"/>
      <c r="BH1411" s="7"/>
      <c r="BI1411" s="7"/>
      <c r="BJ1411" s="7"/>
      <c r="BK1411" s="7"/>
      <c r="BL1411" s="7"/>
      <c r="BM1411" s="7"/>
      <c r="BN1411" s="7"/>
      <c r="BO1411" s="7"/>
      <c r="BP1411" s="7"/>
      <c r="BQ1411" s="7"/>
      <c r="BR1411" s="7"/>
      <c r="BS1411" s="7"/>
      <c r="BT1411" s="7"/>
      <c r="BU1411" s="7"/>
      <c r="BV1411" s="7"/>
      <c r="BW1411" s="7"/>
      <c r="BX1411" s="7"/>
      <c r="BY1411" s="7"/>
      <c r="BZ1411" s="7"/>
      <c r="CA1411" s="7"/>
      <c r="CB1411" s="7"/>
      <c r="CC1411" s="7"/>
      <c r="CD1411" s="7"/>
      <c r="CE1411" s="7"/>
      <c r="CF1411" s="7"/>
      <c r="CG1411" s="7"/>
    </row>
    <row r="1412" spans="3:85"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  <c r="AC1412" s="7"/>
      <c r="AD1412" s="7"/>
      <c r="AF1412" s="7"/>
      <c r="AG1412" s="7"/>
      <c r="AH1412" s="7"/>
      <c r="AI1412" s="7"/>
      <c r="AJ1412" s="7"/>
      <c r="AK1412" s="7"/>
      <c r="AL1412" s="7"/>
      <c r="AM1412" s="7"/>
      <c r="AN1412" s="7"/>
      <c r="AO1412" s="7"/>
      <c r="AP1412" s="7"/>
      <c r="AQ1412" s="7"/>
      <c r="AR1412" s="7"/>
      <c r="AS1412" s="7"/>
      <c r="AT1412" s="7"/>
      <c r="AU1412" s="7"/>
      <c r="AV1412" s="7"/>
      <c r="AW1412" s="7"/>
      <c r="AX1412" s="7"/>
      <c r="AY1412" s="7"/>
      <c r="AZ1412" s="7"/>
      <c r="BA1412" s="7"/>
      <c r="BB1412" s="7"/>
      <c r="BC1412" s="7"/>
      <c r="BD1412" s="7"/>
      <c r="BE1412" s="7"/>
      <c r="BF1412" s="7"/>
      <c r="BG1412" s="7"/>
      <c r="BH1412" s="7"/>
      <c r="BI1412" s="7"/>
      <c r="BJ1412" s="7"/>
      <c r="BK1412" s="7"/>
      <c r="BL1412" s="7"/>
      <c r="BM1412" s="7"/>
      <c r="BN1412" s="7"/>
      <c r="BO1412" s="7"/>
      <c r="BP1412" s="7"/>
      <c r="BQ1412" s="7"/>
      <c r="BR1412" s="7"/>
      <c r="BS1412" s="7"/>
      <c r="BT1412" s="7"/>
      <c r="BU1412" s="7"/>
      <c r="BV1412" s="7"/>
      <c r="BW1412" s="7"/>
      <c r="BX1412" s="7"/>
      <c r="BY1412" s="7"/>
      <c r="BZ1412" s="7"/>
      <c r="CA1412" s="7"/>
      <c r="CB1412" s="7"/>
      <c r="CC1412" s="7"/>
      <c r="CD1412" s="7"/>
      <c r="CE1412" s="7"/>
      <c r="CF1412" s="7"/>
      <c r="CG1412" s="7"/>
    </row>
    <row r="1413" spans="3:85"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  <c r="AC1413" s="7"/>
      <c r="AD1413" s="7"/>
      <c r="AF1413" s="7"/>
      <c r="AG1413" s="7"/>
      <c r="AH1413" s="7"/>
      <c r="AI1413" s="7"/>
      <c r="AJ1413" s="7"/>
      <c r="AK1413" s="7"/>
      <c r="AL1413" s="7"/>
      <c r="AM1413" s="7"/>
      <c r="AN1413" s="7"/>
      <c r="AO1413" s="7"/>
      <c r="AP1413" s="7"/>
      <c r="AQ1413" s="7"/>
      <c r="AR1413" s="7"/>
      <c r="AS1413" s="7"/>
      <c r="AT1413" s="7"/>
      <c r="AU1413" s="7"/>
      <c r="AV1413" s="7"/>
      <c r="AW1413" s="7"/>
      <c r="AX1413" s="7"/>
      <c r="AY1413" s="7"/>
      <c r="AZ1413" s="7"/>
      <c r="BA1413" s="7"/>
      <c r="BB1413" s="7"/>
      <c r="BC1413" s="7"/>
      <c r="BD1413" s="7"/>
      <c r="BE1413" s="7"/>
      <c r="BF1413" s="7"/>
      <c r="BG1413" s="7"/>
      <c r="BH1413" s="7"/>
      <c r="BI1413" s="7"/>
      <c r="BJ1413" s="7"/>
      <c r="BK1413" s="7"/>
      <c r="BL1413" s="7"/>
      <c r="BM1413" s="7"/>
      <c r="BN1413" s="7"/>
      <c r="BO1413" s="7"/>
      <c r="BP1413" s="7"/>
      <c r="BQ1413" s="7"/>
      <c r="BR1413" s="7"/>
      <c r="BS1413" s="7"/>
      <c r="BT1413" s="7"/>
      <c r="BU1413" s="7"/>
      <c r="BV1413" s="7"/>
      <c r="BW1413" s="7"/>
      <c r="BX1413" s="7"/>
      <c r="BY1413" s="7"/>
      <c r="BZ1413" s="7"/>
      <c r="CA1413" s="7"/>
      <c r="CB1413" s="7"/>
      <c r="CC1413" s="7"/>
      <c r="CD1413" s="7"/>
      <c r="CE1413" s="7"/>
      <c r="CF1413" s="7"/>
      <c r="CG1413" s="7"/>
    </row>
    <row r="1414" spans="3:85"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  <c r="AC1414" s="7"/>
      <c r="AD1414" s="7"/>
      <c r="AF1414" s="7"/>
      <c r="AG1414" s="7"/>
      <c r="AH1414" s="7"/>
      <c r="AI1414" s="7"/>
      <c r="AJ1414" s="7"/>
      <c r="AK1414" s="7"/>
      <c r="AL1414" s="7"/>
      <c r="AM1414" s="7"/>
      <c r="AN1414" s="7"/>
      <c r="AO1414" s="7"/>
      <c r="AP1414" s="7"/>
      <c r="AQ1414" s="7"/>
      <c r="AR1414" s="7"/>
      <c r="AS1414" s="7"/>
      <c r="AT1414" s="7"/>
      <c r="AU1414" s="7"/>
      <c r="AV1414" s="7"/>
      <c r="AW1414" s="7"/>
      <c r="AX1414" s="7"/>
      <c r="AY1414" s="7"/>
      <c r="AZ1414" s="7"/>
      <c r="BA1414" s="7"/>
      <c r="BB1414" s="7"/>
      <c r="BC1414" s="7"/>
      <c r="BD1414" s="7"/>
      <c r="BE1414" s="7"/>
      <c r="BF1414" s="7"/>
      <c r="BG1414" s="7"/>
      <c r="BH1414" s="7"/>
      <c r="BI1414" s="7"/>
      <c r="BJ1414" s="7"/>
      <c r="BK1414" s="7"/>
      <c r="BL1414" s="7"/>
      <c r="BM1414" s="7"/>
      <c r="BN1414" s="7"/>
      <c r="BO1414" s="7"/>
      <c r="BP1414" s="7"/>
      <c r="BQ1414" s="7"/>
      <c r="BR1414" s="7"/>
      <c r="BS1414" s="7"/>
      <c r="BT1414" s="7"/>
      <c r="BU1414" s="7"/>
      <c r="BV1414" s="7"/>
      <c r="BW1414" s="7"/>
      <c r="BX1414" s="7"/>
      <c r="BY1414" s="7"/>
      <c r="BZ1414" s="7"/>
      <c r="CA1414" s="7"/>
      <c r="CB1414" s="7"/>
      <c r="CC1414" s="7"/>
      <c r="CD1414" s="7"/>
      <c r="CE1414" s="7"/>
      <c r="CF1414" s="7"/>
      <c r="CG1414" s="7"/>
    </row>
    <row r="1415" spans="3:85"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  <c r="AC1415" s="7"/>
      <c r="AD1415" s="7"/>
      <c r="AF1415" s="7"/>
      <c r="AG1415" s="7"/>
      <c r="AH1415" s="7"/>
      <c r="AI1415" s="7"/>
      <c r="AJ1415" s="7"/>
      <c r="AK1415" s="7"/>
      <c r="AL1415" s="7"/>
      <c r="AM1415" s="7"/>
      <c r="AN1415" s="7"/>
      <c r="AO1415" s="7"/>
      <c r="AP1415" s="7"/>
      <c r="AQ1415" s="7"/>
      <c r="AR1415" s="7"/>
      <c r="AS1415" s="7"/>
      <c r="AT1415" s="7"/>
      <c r="AU1415" s="7"/>
      <c r="AV1415" s="7"/>
      <c r="AW1415" s="7"/>
      <c r="AX1415" s="7"/>
      <c r="AY1415" s="7"/>
      <c r="AZ1415" s="7"/>
      <c r="BA1415" s="7"/>
      <c r="BB1415" s="7"/>
      <c r="BC1415" s="7"/>
      <c r="BD1415" s="7"/>
      <c r="BE1415" s="7"/>
      <c r="BF1415" s="7"/>
      <c r="BG1415" s="7"/>
      <c r="BH1415" s="7"/>
      <c r="BI1415" s="7"/>
      <c r="BJ1415" s="7"/>
      <c r="BK1415" s="7"/>
      <c r="BL1415" s="7"/>
      <c r="BM1415" s="7"/>
      <c r="BN1415" s="7"/>
      <c r="BO1415" s="7"/>
      <c r="BP1415" s="7"/>
      <c r="BQ1415" s="7"/>
      <c r="BR1415" s="7"/>
      <c r="BS1415" s="7"/>
      <c r="BT1415" s="7"/>
      <c r="BU1415" s="7"/>
      <c r="BV1415" s="7"/>
      <c r="BW1415" s="7"/>
      <c r="BX1415" s="7"/>
      <c r="BY1415" s="7"/>
      <c r="BZ1415" s="7"/>
      <c r="CA1415" s="7"/>
      <c r="CB1415" s="7"/>
      <c r="CC1415" s="7"/>
      <c r="CD1415" s="7"/>
      <c r="CE1415" s="7"/>
      <c r="CF1415" s="7"/>
      <c r="CG1415" s="7"/>
    </row>
    <row r="1416" spans="3:85"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  <c r="AC1416" s="7"/>
      <c r="AD1416" s="7"/>
      <c r="AF1416" s="7"/>
      <c r="AG1416" s="7"/>
      <c r="AH1416" s="7"/>
      <c r="AI1416" s="7"/>
      <c r="AJ1416" s="7"/>
      <c r="AK1416" s="7"/>
      <c r="AL1416" s="7"/>
      <c r="AM1416" s="7"/>
      <c r="AN1416" s="7"/>
      <c r="AO1416" s="7"/>
      <c r="AP1416" s="7"/>
      <c r="AQ1416" s="7"/>
      <c r="AR1416" s="7"/>
      <c r="AS1416" s="7"/>
      <c r="AT1416" s="7"/>
      <c r="AU1416" s="7"/>
      <c r="AV1416" s="7"/>
      <c r="AW1416" s="7"/>
      <c r="AX1416" s="7"/>
      <c r="AY1416" s="7"/>
      <c r="AZ1416" s="7"/>
      <c r="BA1416" s="7"/>
      <c r="BB1416" s="7"/>
      <c r="BC1416" s="7"/>
      <c r="BD1416" s="7"/>
      <c r="BE1416" s="7"/>
      <c r="BF1416" s="7"/>
      <c r="BG1416" s="7"/>
      <c r="BH1416" s="7"/>
      <c r="BI1416" s="7"/>
      <c r="BJ1416" s="7"/>
      <c r="BK1416" s="7"/>
      <c r="BL1416" s="7"/>
      <c r="BM1416" s="7"/>
      <c r="BN1416" s="7"/>
      <c r="BO1416" s="7"/>
      <c r="BP1416" s="7"/>
      <c r="BQ1416" s="7"/>
      <c r="BR1416" s="7"/>
      <c r="BS1416" s="7"/>
      <c r="BT1416" s="7"/>
      <c r="BU1416" s="7"/>
      <c r="BV1416" s="7"/>
      <c r="BW1416" s="7"/>
      <c r="BX1416" s="7"/>
      <c r="BY1416" s="7"/>
      <c r="BZ1416" s="7"/>
      <c r="CA1416" s="7"/>
      <c r="CB1416" s="7"/>
      <c r="CC1416" s="7"/>
      <c r="CD1416" s="7"/>
      <c r="CE1416" s="7"/>
      <c r="CF1416" s="7"/>
      <c r="CG1416" s="7"/>
    </row>
    <row r="1417" spans="3:85"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  <c r="AC1417" s="7"/>
      <c r="AD1417" s="7"/>
      <c r="AF1417" s="7"/>
      <c r="AG1417" s="7"/>
      <c r="AH1417" s="7"/>
      <c r="AI1417" s="7"/>
      <c r="AJ1417" s="7"/>
      <c r="AK1417" s="7"/>
      <c r="AL1417" s="7"/>
      <c r="AM1417" s="7"/>
      <c r="AN1417" s="7"/>
      <c r="AO1417" s="7"/>
      <c r="AP1417" s="7"/>
      <c r="AQ1417" s="7"/>
      <c r="AR1417" s="7"/>
      <c r="AS1417" s="7"/>
      <c r="AT1417" s="7"/>
      <c r="AU1417" s="7"/>
      <c r="AV1417" s="7"/>
      <c r="AW1417" s="7"/>
      <c r="AX1417" s="7"/>
      <c r="AY1417" s="7"/>
      <c r="AZ1417" s="7"/>
      <c r="BA1417" s="7"/>
      <c r="BB1417" s="7"/>
      <c r="BC1417" s="7"/>
      <c r="BD1417" s="7"/>
      <c r="BE1417" s="7"/>
      <c r="BF1417" s="7"/>
      <c r="BG1417" s="7"/>
      <c r="BH1417" s="7"/>
      <c r="BI1417" s="7"/>
      <c r="BJ1417" s="7"/>
      <c r="BK1417" s="7"/>
      <c r="BL1417" s="7"/>
      <c r="BM1417" s="7"/>
      <c r="BN1417" s="7"/>
      <c r="BO1417" s="7"/>
      <c r="BP1417" s="7"/>
      <c r="BQ1417" s="7"/>
      <c r="BR1417" s="7"/>
      <c r="BS1417" s="7"/>
      <c r="BT1417" s="7"/>
      <c r="BU1417" s="7"/>
      <c r="BV1417" s="7"/>
      <c r="BW1417" s="7"/>
      <c r="BX1417" s="7"/>
      <c r="BY1417" s="7"/>
      <c r="BZ1417" s="7"/>
      <c r="CA1417" s="7"/>
      <c r="CB1417" s="7"/>
      <c r="CC1417" s="7"/>
      <c r="CD1417" s="7"/>
      <c r="CE1417" s="7"/>
      <c r="CF1417" s="7"/>
      <c r="CG1417" s="7"/>
    </row>
    <row r="1418" spans="3:85"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  <c r="AC1418" s="7"/>
      <c r="AD1418" s="7"/>
      <c r="AF1418" s="7"/>
      <c r="AG1418" s="7"/>
      <c r="AH1418" s="7"/>
      <c r="AI1418" s="7"/>
      <c r="AJ1418" s="7"/>
      <c r="AK1418" s="7"/>
      <c r="AL1418" s="7"/>
      <c r="AM1418" s="7"/>
      <c r="AN1418" s="7"/>
      <c r="AO1418" s="7"/>
      <c r="AP1418" s="7"/>
      <c r="AQ1418" s="7"/>
      <c r="AR1418" s="7"/>
      <c r="AS1418" s="7"/>
      <c r="AT1418" s="7"/>
      <c r="AU1418" s="7"/>
      <c r="AV1418" s="7"/>
      <c r="AW1418" s="7"/>
      <c r="AX1418" s="7"/>
      <c r="AY1418" s="7"/>
      <c r="AZ1418" s="7"/>
      <c r="BA1418" s="7"/>
      <c r="BB1418" s="7"/>
      <c r="BC1418" s="7"/>
      <c r="BD1418" s="7"/>
      <c r="BE1418" s="7"/>
      <c r="BF1418" s="7"/>
      <c r="BG1418" s="7"/>
      <c r="BH1418" s="7"/>
      <c r="BI1418" s="7"/>
      <c r="BJ1418" s="7"/>
      <c r="BK1418" s="7"/>
      <c r="BL1418" s="7"/>
      <c r="BM1418" s="7"/>
      <c r="BN1418" s="7"/>
      <c r="BO1418" s="7"/>
      <c r="BP1418" s="7"/>
      <c r="BQ1418" s="7"/>
      <c r="BR1418" s="7"/>
      <c r="BS1418" s="7"/>
      <c r="BT1418" s="7"/>
      <c r="BU1418" s="7"/>
      <c r="BV1418" s="7"/>
      <c r="BW1418" s="7"/>
      <c r="BX1418" s="7"/>
      <c r="BY1418" s="7"/>
      <c r="BZ1418" s="7"/>
      <c r="CA1418" s="7"/>
      <c r="CB1418" s="7"/>
      <c r="CC1418" s="7"/>
      <c r="CD1418" s="7"/>
      <c r="CE1418" s="7"/>
      <c r="CF1418" s="7"/>
      <c r="CG1418" s="7"/>
    </row>
    <row r="1419" spans="3:85"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  <c r="AC1419" s="7"/>
      <c r="AD1419" s="7"/>
      <c r="AF1419" s="7"/>
      <c r="AG1419" s="7"/>
      <c r="AH1419" s="7"/>
      <c r="AI1419" s="7"/>
      <c r="AJ1419" s="7"/>
      <c r="AK1419" s="7"/>
      <c r="AL1419" s="7"/>
      <c r="AM1419" s="7"/>
      <c r="AN1419" s="7"/>
      <c r="AO1419" s="7"/>
      <c r="AP1419" s="7"/>
      <c r="AQ1419" s="7"/>
      <c r="AR1419" s="7"/>
      <c r="AS1419" s="7"/>
      <c r="AT1419" s="7"/>
      <c r="AU1419" s="7"/>
      <c r="AV1419" s="7"/>
      <c r="AW1419" s="7"/>
      <c r="AX1419" s="7"/>
      <c r="AY1419" s="7"/>
      <c r="AZ1419" s="7"/>
      <c r="BA1419" s="7"/>
      <c r="BB1419" s="7"/>
      <c r="BC1419" s="7"/>
      <c r="BD1419" s="7"/>
      <c r="BE1419" s="7"/>
      <c r="BF1419" s="7"/>
      <c r="BG1419" s="7"/>
      <c r="BH1419" s="7"/>
      <c r="BI1419" s="7"/>
      <c r="BJ1419" s="7"/>
      <c r="BK1419" s="7"/>
      <c r="BL1419" s="7"/>
      <c r="BM1419" s="7"/>
      <c r="BN1419" s="7"/>
      <c r="BO1419" s="7"/>
      <c r="BP1419" s="7"/>
      <c r="BQ1419" s="7"/>
      <c r="BR1419" s="7"/>
      <c r="BS1419" s="7"/>
      <c r="BT1419" s="7"/>
      <c r="BU1419" s="7"/>
      <c r="BV1419" s="7"/>
      <c r="BW1419" s="7"/>
      <c r="BX1419" s="7"/>
      <c r="BY1419" s="7"/>
      <c r="BZ1419" s="7"/>
      <c r="CA1419" s="7"/>
      <c r="CB1419" s="7"/>
      <c r="CC1419" s="7"/>
      <c r="CD1419" s="7"/>
      <c r="CE1419" s="7"/>
      <c r="CF1419" s="7"/>
      <c r="CG1419" s="7"/>
    </row>
    <row r="1420" spans="3:85"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  <c r="AC1420" s="7"/>
      <c r="AD1420" s="7"/>
      <c r="AF1420" s="7"/>
      <c r="AG1420" s="7"/>
      <c r="AH1420" s="7"/>
      <c r="AI1420" s="7"/>
      <c r="AJ1420" s="7"/>
      <c r="AK1420" s="7"/>
      <c r="AL1420" s="7"/>
      <c r="AM1420" s="7"/>
      <c r="AN1420" s="7"/>
      <c r="AO1420" s="7"/>
      <c r="AP1420" s="7"/>
      <c r="AQ1420" s="7"/>
      <c r="AR1420" s="7"/>
      <c r="AS1420" s="7"/>
      <c r="AT1420" s="7"/>
      <c r="AU1420" s="7"/>
      <c r="AV1420" s="7"/>
      <c r="AW1420" s="7"/>
      <c r="AX1420" s="7"/>
      <c r="AY1420" s="7"/>
      <c r="AZ1420" s="7"/>
      <c r="BA1420" s="7"/>
      <c r="BB1420" s="7"/>
      <c r="BC1420" s="7"/>
      <c r="BD1420" s="7"/>
      <c r="BE1420" s="7"/>
      <c r="BF1420" s="7"/>
      <c r="BG1420" s="7"/>
      <c r="BH1420" s="7"/>
      <c r="BI1420" s="7"/>
      <c r="BJ1420" s="7"/>
      <c r="BK1420" s="7"/>
      <c r="BL1420" s="7"/>
      <c r="BM1420" s="7"/>
      <c r="BN1420" s="7"/>
      <c r="BO1420" s="7"/>
      <c r="BP1420" s="7"/>
      <c r="BQ1420" s="7"/>
      <c r="BR1420" s="7"/>
      <c r="BS1420" s="7"/>
      <c r="BT1420" s="7"/>
      <c r="BU1420" s="7"/>
      <c r="BV1420" s="7"/>
      <c r="BW1420" s="7"/>
      <c r="BX1420" s="7"/>
      <c r="BY1420" s="7"/>
      <c r="BZ1420" s="7"/>
      <c r="CA1420" s="7"/>
      <c r="CB1420" s="7"/>
      <c r="CC1420" s="7"/>
      <c r="CD1420" s="7"/>
      <c r="CE1420" s="7"/>
      <c r="CF1420" s="7"/>
      <c r="CG1420" s="7"/>
    </row>
    <row r="1421" spans="3:85"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  <c r="AC1421" s="7"/>
      <c r="AD1421" s="7"/>
      <c r="AF1421" s="7"/>
      <c r="AG1421" s="7"/>
      <c r="AH1421" s="7"/>
      <c r="AI1421" s="7"/>
      <c r="AJ1421" s="7"/>
      <c r="AK1421" s="7"/>
      <c r="AL1421" s="7"/>
      <c r="AM1421" s="7"/>
      <c r="AN1421" s="7"/>
      <c r="AO1421" s="7"/>
      <c r="AP1421" s="7"/>
      <c r="AQ1421" s="7"/>
      <c r="AR1421" s="7"/>
      <c r="AS1421" s="7"/>
      <c r="AT1421" s="7"/>
      <c r="AU1421" s="7"/>
      <c r="AV1421" s="7"/>
      <c r="AW1421" s="7"/>
      <c r="AX1421" s="7"/>
      <c r="AY1421" s="7"/>
      <c r="AZ1421" s="7"/>
      <c r="BA1421" s="7"/>
      <c r="BB1421" s="7"/>
      <c r="BC1421" s="7"/>
      <c r="BD1421" s="7"/>
      <c r="BE1421" s="7"/>
      <c r="BF1421" s="7"/>
      <c r="BG1421" s="7"/>
      <c r="BH1421" s="7"/>
      <c r="BI1421" s="7"/>
      <c r="BJ1421" s="7"/>
      <c r="BK1421" s="7"/>
      <c r="BL1421" s="7"/>
      <c r="BM1421" s="7"/>
      <c r="BN1421" s="7"/>
      <c r="BO1421" s="7"/>
      <c r="BP1421" s="7"/>
      <c r="BQ1421" s="7"/>
      <c r="BR1421" s="7"/>
      <c r="BS1421" s="7"/>
      <c r="BT1421" s="7"/>
      <c r="BU1421" s="7"/>
      <c r="BV1421" s="7"/>
      <c r="BW1421" s="7"/>
      <c r="BX1421" s="7"/>
      <c r="BY1421" s="7"/>
      <c r="BZ1421" s="7"/>
      <c r="CA1421" s="7"/>
      <c r="CB1421" s="7"/>
      <c r="CC1421" s="7"/>
      <c r="CD1421" s="7"/>
      <c r="CE1421" s="7"/>
      <c r="CF1421" s="7"/>
      <c r="CG1421" s="7"/>
    </row>
    <row r="1422" spans="3:85"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  <c r="AC1422" s="7"/>
      <c r="AD1422" s="7"/>
      <c r="AF1422" s="7"/>
      <c r="AG1422" s="7"/>
      <c r="AH1422" s="7"/>
      <c r="AI1422" s="7"/>
      <c r="AJ1422" s="7"/>
      <c r="AK1422" s="7"/>
      <c r="AL1422" s="7"/>
      <c r="AM1422" s="7"/>
      <c r="AN1422" s="7"/>
      <c r="AO1422" s="7"/>
      <c r="AP1422" s="7"/>
      <c r="AQ1422" s="7"/>
      <c r="AR1422" s="7"/>
      <c r="AS1422" s="7"/>
      <c r="AT1422" s="7"/>
      <c r="AU1422" s="7"/>
      <c r="AV1422" s="7"/>
      <c r="AW1422" s="7"/>
      <c r="AX1422" s="7"/>
      <c r="AY1422" s="7"/>
      <c r="AZ1422" s="7"/>
      <c r="BA1422" s="7"/>
      <c r="BB1422" s="7"/>
      <c r="BC1422" s="7"/>
      <c r="BD1422" s="7"/>
      <c r="BE1422" s="7"/>
      <c r="BF1422" s="7"/>
      <c r="BG1422" s="7"/>
      <c r="BH1422" s="7"/>
      <c r="BI1422" s="7"/>
      <c r="BJ1422" s="7"/>
      <c r="BK1422" s="7"/>
      <c r="BL1422" s="7"/>
      <c r="BM1422" s="7"/>
      <c r="BN1422" s="7"/>
      <c r="BO1422" s="7"/>
      <c r="BP1422" s="7"/>
      <c r="BQ1422" s="7"/>
      <c r="BR1422" s="7"/>
      <c r="BS1422" s="7"/>
      <c r="BT1422" s="7"/>
      <c r="BU1422" s="7"/>
      <c r="BV1422" s="7"/>
      <c r="BW1422" s="7"/>
      <c r="BX1422" s="7"/>
      <c r="BY1422" s="7"/>
      <c r="BZ1422" s="7"/>
      <c r="CA1422" s="7"/>
      <c r="CB1422" s="7"/>
      <c r="CC1422" s="7"/>
      <c r="CD1422" s="7"/>
      <c r="CE1422" s="7"/>
      <c r="CF1422" s="7"/>
      <c r="CG1422" s="7"/>
    </row>
    <row r="1423" spans="3:85"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  <c r="AC1423" s="7"/>
      <c r="AD1423" s="7"/>
      <c r="AF1423" s="7"/>
      <c r="AG1423" s="7"/>
      <c r="AH1423" s="7"/>
      <c r="AI1423" s="7"/>
      <c r="AJ1423" s="7"/>
      <c r="AK1423" s="7"/>
      <c r="AL1423" s="7"/>
      <c r="AM1423" s="7"/>
      <c r="AN1423" s="7"/>
      <c r="AO1423" s="7"/>
      <c r="AP1423" s="7"/>
      <c r="AQ1423" s="7"/>
      <c r="AR1423" s="7"/>
      <c r="AS1423" s="7"/>
      <c r="AT1423" s="7"/>
      <c r="AU1423" s="7"/>
      <c r="AV1423" s="7"/>
      <c r="AW1423" s="7"/>
      <c r="AX1423" s="7"/>
      <c r="AY1423" s="7"/>
      <c r="AZ1423" s="7"/>
      <c r="BA1423" s="7"/>
      <c r="BB1423" s="7"/>
      <c r="BC1423" s="7"/>
      <c r="BD1423" s="7"/>
      <c r="BE1423" s="7"/>
      <c r="BF1423" s="7"/>
      <c r="BG1423" s="7"/>
      <c r="BH1423" s="7"/>
      <c r="BI1423" s="7"/>
      <c r="BJ1423" s="7"/>
      <c r="BK1423" s="7"/>
      <c r="BL1423" s="7"/>
      <c r="BM1423" s="7"/>
      <c r="BN1423" s="7"/>
      <c r="BO1423" s="7"/>
      <c r="BP1423" s="7"/>
      <c r="BQ1423" s="7"/>
      <c r="BR1423" s="7"/>
      <c r="BS1423" s="7"/>
      <c r="BT1423" s="7"/>
      <c r="BU1423" s="7"/>
      <c r="BV1423" s="7"/>
      <c r="BW1423" s="7"/>
      <c r="BX1423" s="7"/>
      <c r="BY1423" s="7"/>
      <c r="BZ1423" s="7"/>
      <c r="CA1423" s="7"/>
      <c r="CB1423" s="7"/>
      <c r="CC1423" s="7"/>
      <c r="CD1423" s="7"/>
      <c r="CE1423" s="7"/>
      <c r="CF1423" s="7"/>
      <c r="CG1423" s="7"/>
    </row>
    <row r="1424" spans="3:85"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  <c r="AC1424" s="7"/>
      <c r="AD1424" s="7"/>
      <c r="AF1424" s="7"/>
      <c r="AG1424" s="7"/>
      <c r="AH1424" s="7"/>
      <c r="AI1424" s="7"/>
      <c r="AJ1424" s="7"/>
      <c r="AK1424" s="7"/>
      <c r="AL1424" s="7"/>
      <c r="AM1424" s="7"/>
      <c r="AN1424" s="7"/>
      <c r="AO1424" s="7"/>
      <c r="AP1424" s="7"/>
      <c r="AQ1424" s="7"/>
      <c r="AR1424" s="7"/>
      <c r="AS1424" s="7"/>
      <c r="AT1424" s="7"/>
      <c r="AU1424" s="7"/>
      <c r="AV1424" s="7"/>
      <c r="AW1424" s="7"/>
      <c r="AX1424" s="7"/>
      <c r="AY1424" s="7"/>
      <c r="AZ1424" s="7"/>
      <c r="BA1424" s="7"/>
      <c r="BB1424" s="7"/>
      <c r="BC1424" s="7"/>
      <c r="BD1424" s="7"/>
      <c r="BE1424" s="7"/>
      <c r="BF1424" s="7"/>
      <c r="BG1424" s="7"/>
      <c r="BH1424" s="7"/>
      <c r="BI1424" s="7"/>
      <c r="BJ1424" s="7"/>
      <c r="BK1424" s="7"/>
      <c r="BL1424" s="7"/>
      <c r="BM1424" s="7"/>
      <c r="BN1424" s="7"/>
      <c r="BO1424" s="7"/>
      <c r="BP1424" s="7"/>
      <c r="BQ1424" s="7"/>
      <c r="BR1424" s="7"/>
      <c r="BS1424" s="7"/>
      <c r="BT1424" s="7"/>
      <c r="BU1424" s="7"/>
      <c r="BV1424" s="7"/>
      <c r="BW1424" s="7"/>
      <c r="BX1424" s="7"/>
      <c r="BY1424" s="7"/>
      <c r="BZ1424" s="7"/>
      <c r="CA1424" s="7"/>
      <c r="CB1424" s="7"/>
      <c r="CC1424" s="7"/>
      <c r="CD1424" s="7"/>
      <c r="CE1424" s="7"/>
      <c r="CF1424" s="7"/>
      <c r="CG1424" s="7"/>
    </row>
    <row r="1425" spans="3:85"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  <c r="AC1425" s="7"/>
      <c r="AD1425" s="7"/>
      <c r="AF1425" s="7"/>
      <c r="AG1425" s="7"/>
      <c r="AH1425" s="7"/>
      <c r="AI1425" s="7"/>
      <c r="AJ1425" s="7"/>
      <c r="AK1425" s="7"/>
      <c r="AL1425" s="7"/>
      <c r="AM1425" s="7"/>
      <c r="AN1425" s="7"/>
      <c r="AO1425" s="7"/>
      <c r="AP1425" s="7"/>
      <c r="AQ1425" s="7"/>
      <c r="AR1425" s="7"/>
      <c r="AS1425" s="7"/>
      <c r="AT1425" s="7"/>
      <c r="AU1425" s="7"/>
      <c r="AV1425" s="7"/>
      <c r="AW1425" s="7"/>
      <c r="AX1425" s="7"/>
      <c r="AY1425" s="7"/>
      <c r="AZ1425" s="7"/>
      <c r="BA1425" s="7"/>
      <c r="BB1425" s="7"/>
      <c r="BC1425" s="7"/>
      <c r="BD1425" s="7"/>
      <c r="BE1425" s="7"/>
      <c r="BF1425" s="7"/>
      <c r="BG1425" s="7"/>
      <c r="BH1425" s="7"/>
      <c r="BI1425" s="7"/>
      <c r="BJ1425" s="7"/>
      <c r="BK1425" s="7"/>
      <c r="BL1425" s="7"/>
      <c r="BM1425" s="7"/>
      <c r="BN1425" s="7"/>
      <c r="BO1425" s="7"/>
      <c r="BP1425" s="7"/>
      <c r="BQ1425" s="7"/>
      <c r="BR1425" s="7"/>
      <c r="BS1425" s="7"/>
      <c r="BT1425" s="7"/>
      <c r="BU1425" s="7"/>
      <c r="BV1425" s="7"/>
      <c r="BW1425" s="7"/>
      <c r="BX1425" s="7"/>
      <c r="BY1425" s="7"/>
      <c r="BZ1425" s="7"/>
      <c r="CA1425" s="7"/>
      <c r="CB1425" s="7"/>
      <c r="CC1425" s="7"/>
      <c r="CD1425" s="7"/>
      <c r="CE1425" s="7"/>
      <c r="CF1425" s="7"/>
      <c r="CG1425" s="7"/>
    </row>
    <row r="1426" spans="3:85"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  <c r="AC1426" s="7"/>
      <c r="AD1426" s="7"/>
      <c r="AF1426" s="7"/>
      <c r="AG1426" s="7"/>
      <c r="AH1426" s="7"/>
      <c r="AI1426" s="7"/>
      <c r="AJ1426" s="7"/>
      <c r="AK1426" s="7"/>
      <c r="AL1426" s="7"/>
      <c r="AM1426" s="7"/>
      <c r="AN1426" s="7"/>
      <c r="AO1426" s="7"/>
      <c r="AP1426" s="7"/>
      <c r="AQ1426" s="7"/>
      <c r="AR1426" s="7"/>
      <c r="AS1426" s="7"/>
      <c r="AT1426" s="7"/>
      <c r="AU1426" s="7"/>
      <c r="AV1426" s="7"/>
      <c r="AW1426" s="7"/>
      <c r="AX1426" s="7"/>
      <c r="AY1426" s="7"/>
      <c r="AZ1426" s="7"/>
      <c r="BA1426" s="7"/>
      <c r="BB1426" s="7"/>
      <c r="BC1426" s="7"/>
      <c r="BD1426" s="7"/>
      <c r="BE1426" s="7"/>
      <c r="BF1426" s="7"/>
      <c r="BG1426" s="7"/>
      <c r="BH1426" s="7"/>
      <c r="BI1426" s="7"/>
      <c r="BJ1426" s="7"/>
      <c r="BK1426" s="7"/>
      <c r="BL1426" s="7"/>
      <c r="BM1426" s="7"/>
      <c r="BN1426" s="7"/>
      <c r="BO1426" s="7"/>
      <c r="BP1426" s="7"/>
      <c r="BQ1426" s="7"/>
      <c r="BR1426" s="7"/>
      <c r="BS1426" s="7"/>
      <c r="BT1426" s="7"/>
      <c r="BU1426" s="7"/>
      <c r="BV1426" s="7"/>
      <c r="BW1426" s="7"/>
      <c r="BX1426" s="7"/>
      <c r="BY1426" s="7"/>
      <c r="BZ1426" s="7"/>
      <c r="CA1426" s="7"/>
      <c r="CB1426" s="7"/>
      <c r="CC1426" s="7"/>
      <c r="CD1426" s="7"/>
      <c r="CE1426" s="7"/>
      <c r="CF1426" s="7"/>
      <c r="CG1426" s="7"/>
    </row>
    <row r="1427" spans="3:85"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  <c r="AC1427" s="7"/>
      <c r="AD1427" s="7"/>
      <c r="AF1427" s="7"/>
      <c r="AG1427" s="7"/>
      <c r="AH1427" s="7"/>
      <c r="AI1427" s="7"/>
      <c r="AJ1427" s="7"/>
      <c r="AK1427" s="7"/>
      <c r="AL1427" s="7"/>
      <c r="AM1427" s="7"/>
      <c r="AN1427" s="7"/>
      <c r="AO1427" s="7"/>
      <c r="AP1427" s="7"/>
      <c r="AQ1427" s="7"/>
      <c r="AR1427" s="7"/>
      <c r="AS1427" s="7"/>
      <c r="AT1427" s="7"/>
      <c r="AU1427" s="7"/>
      <c r="AV1427" s="7"/>
      <c r="AW1427" s="7"/>
      <c r="AX1427" s="7"/>
      <c r="AY1427" s="7"/>
      <c r="AZ1427" s="7"/>
      <c r="BA1427" s="7"/>
      <c r="BB1427" s="7"/>
      <c r="BC1427" s="7"/>
      <c r="BD1427" s="7"/>
      <c r="BE1427" s="7"/>
      <c r="BF1427" s="7"/>
      <c r="BG1427" s="7"/>
      <c r="BH1427" s="7"/>
      <c r="BI1427" s="7"/>
      <c r="BJ1427" s="7"/>
      <c r="BK1427" s="7"/>
      <c r="BL1427" s="7"/>
      <c r="BM1427" s="7"/>
      <c r="BN1427" s="7"/>
      <c r="BO1427" s="7"/>
      <c r="BP1427" s="7"/>
      <c r="BQ1427" s="7"/>
      <c r="BR1427" s="7"/>
      <c r="BS1427" s="7"/>
      <c r="BT1427" s="7"/>
      <c r="BU1427" s="7"/>
      <c r="BV1427" s="7"/>
      <c r="BW1427" s="7"/>
      <c r="BX1427" s="7"/>
      <c r="BY1427" s="7"/>
      <c r="BZ1427" s="7"/>
      <c r="CA1427" s="7"/>
      <c r="CB1427" s="7"/>
      <c r="CC1427" s="7"/>
      <c r="CD1427" s="7"/>
      <c r="CE1427" s="7"/>
      <c r="CF1427" s="7"/>
      <c r="CG1427" s="7"/>
    </row>
    <row r="1428" spans="3:85"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  <c r="AC1428" s="7"/>
      <c r="AD1428" s="7"/>
      <c r="AF1428" s="7"/>
      <c r="AG1428" s="7"/>
      <c r="AH1428" s="7"/>
      <c r="AI1428" s="7"/>
      <c r="AJ1428" s="7"/>
      <c r="AK1428" s="7"/>
      <c r="AL1428" s="7"/>
      <c r="AM1428" s="7"/>
      <c r="AN1428" s="7"/>
      <c r="AO1428" s="7"/>
      <c r="AP1428" s="7"/>
      <c r="AQ1428" s="7"/>
      <c r="AR1428" s="7"/>
      <c r="AS1428" s="7"/>
      <c r="AT1428" s="7"/>
      <c r="AU1428" s="7"/>
      <c r="AV1428" s="7"/>
      <c r="AW1428" s="7"/>
      <c r="AX1428" s="7"/>
      <c r="AY1428" s="7"/>
      <c r="AZ1428" s="7"/>
      <c r="BA1428" s="7"/>
      <c r="BB1428" s="7"/>
      <c r="BC1428" s="7"/>
      <c r="BD1428" s="7"/>
      <c r="BE1428" s="7"/>
      <c r="BF1428" s="7"/>
      <c r="BG1428" s="7"/>
      <c r="BH1428" s="7"/>
      <c r="BI1428" s="7"/>
      <c r="BJ1428" s="7"/>
      <c r="BK1428" s="7"/>
      <c r="BL1428" s="7"/>
      <c r="BM1428" s="7"/>
      <c r="BN1428" s="7"/>
      <c r="BO1428" s="7"/>
      <c r="BP1428" s="7"/>
      <c r="BQ1428" s="7"/>
      <c r="BR1428" s="7"/>
      <c r="BS1428" s="7"/>
      <c r="BT1428" s="7"/>
      <c r="BU1428" s="7"/>
      <c r="BV1428" s="7"/>
      <c r="BW1428" s="7"/>
      <c r="BX1428" s="7"/>
      <c r="BY1428" s="7"/>
      <c r="BZ1428" s="7"/>
      <c r="CA1428" s="7"/>
      <c r="CB1428" s="7"/>
      <c r="CC1428" s="7"/>
      <c r="CD1428" s="7"/>
      <c r="CE1428" s="7"/>
      <c r="CF1428" s="7"/>
      <c r="CG1428" s="7"/>
    </row>
    <row r="1429" spans="3:85"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  <c r="AC1429" s="7"/>
      <c r="AD1429" s="7"/>
      <c r="AF1429" s="7"/>
      <c r="AG1429" s="7"/>
      <c r="AH1429" s="7"/>
      <c r="AI1429" s="7"/>
      <c r="AJ1429" s="7"/>
      <c r="AK1429" s="7"/>
      <c r="AL1429" s="7"/>
      <c r="AM1429" s="7"/>
      <c r="AN1429" s="7"/>
      <c r="AO1429" s="7"/>
      <c r="AP1429" s="7"/>
      <c r="AQ1429" s="7"/>
      <c r="AR1429" s="7"/>
      <c r="AS1429" s="7"/>
      <c r="AT1429" s="7"/>
      <c r="AU1429" s="7"/>
      <c r="AV1429" s="7"/>
      <c r="AW1429" s="7"/>
      <c r="AX1429" s="7"/>
      <c r="AY1429" s="7"/>
      <c r="AZ1429" s="7"/>
      <c r="BA1429" s="7"/>
      <c r="BB1429" s="7"/>
      <c r="BC1429" s="7"/>
      <c r="BD1429" s="7"/>
      <c r="BE1429" s="7"/>
      <c r="BF1429" s="7"/>
      <c r="BG1429" s="7"/>
      <c r="BH1429" s="7"/>
      <c r="BI1429" s="7"/>
      <c r="BJ1429" s="7"/>
      <c r="BK1429" s="7"/>
      <c r="BL1429" s="7"/>
      <c r="BM1429" s="7"/>
      <c r="BN1429" s="7"/>
      <c r="BO1429" s="7"/>
      <c r="BP1429" s="7"/>
      <c r="BQ1429" s="7"/>
      <c r="BR1429" s="7"/>
      <c r="BS1429" s="7"/>
      <c r="BT1429" s="7"/>
      <c r="BU1429" s="7"/>
      <c r="BV1429" s="7"/>
      <c r="BW1429" s="7"/>
      <c r="BX1429" s="7"/>
      <c r="BY1429" s="7"/>
      <c r="BZ1429" s="7"/>
      <c r="CA1429" s="7"/>
      <c r="CB1429" s="7"/>
      <c r="CC1429" s="7"/>
      <c r="CD1429" s="7"/>
      <c r="CE1429" s="7"/>
      <c r="CF1429" s="7"/>
      <c r="CG1429" s="7"/>
    </row>
    <row r="1430" spans="3:85"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  <c r="AC1430" s="7"/>
      <c r="AD1430" s="7"/>
      <c r="AF1430" s="7"/>
      <c r="AG1430" s="7"/>
      <c r="AH1430" s="7"/>
      <c r="AI1430" s="7"/>
      <c r="AJ1430" s="7"/>
      <c r="AK1430" s="7"/>
      <c r="AL1430" s="7"/>
      <c r="AM1430" s="7"/>
      <c r="AN1430" s="7"/>
      <c r="AO1430" s="7"/>
      <c r="AP1430" s="7"/>
      <c r="AQ1430" s="7"/>
      <c r="AR1430" s="7"/>
      <c r="AS1430" s="7"/>
      <c r="AT1430" s="7"/>
      <c r="AU1430" s="7"/>
      <c r="AV1430" s="7"/>
      <c r="AW1430" s="7"/>
      <c r="AX1430" s="7"/>
      <c r="AY1430" s="7"/>
      <c r="AZ1430" s="7"/>
      <c r="BA1430" s="7"/>
      <c r="BB1430" s="7"/>
      <c r="BC1430" s="7"/>
      <c r="BD1430" s="7"/>
      <c r="BE1430" s="7"/>
      <c r="BF1430" s="7"/>
      <c r="BG1430" s="7"/>
      <c r="BH1430" s="7"/>
      <c r="BI1430" s="7"/>
      <c r="BJ1430" s="7"/>
      <c r="BK1430" s="7"/>
      <c r="BL1430" s="7"/>
      <c r="BM1430" s="7"/>
      <c r="BN1430" s="7"/>
      <c r="BO1430" s="7"/>
      <c r="BP1430" s="7"/>
      <c r="BQ1430" s="7"/>
      <c r="BR1430" s="7"/>
      <c r="BS1430" s="7"/>
      <c r="BT1430" s="7"/>
      <c r="BU1430" s="7"/>
      <c r="BV1430" s="7"/>
      <c r="BW1430" s="7"/>
      <c r="BX1430" s="7"/>
      <c r="BY1430" s="7"/>
      <c r="BZ1430" s="7"/>
      <c r="CA1430" s="7"/>
      <c r="CB1430" s="7"/>
      <c r="CC1430" s="7"/>
      <c r="CD1430" s="7"/>
      <c r="CE1430" s="7"/>
      <c r="CF1430" s="7"/>
      <c r="CG1430" s="7"/>
    </row>
    <row r="1431" spans="3:85"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  <c r="AC1431" s="7"/>
      <c r="AD1431" s="7"/>
      <c r="AF1431" s="7"/>
      <c r="AG1431" s="7"/>
      <c r="AH1431" s="7"/>
      <c r="AI1431" s="7"/>
      <c r="AJ1431" s="7"/>
      <c r="AK1431" s="7"/>
      <c r="AL1431" s="7"/>
      <c r="AM1431" s="7"/>
      <c r="AN1431" s="7"/>
      <c r="AO1431" s="7"/>
      <c r="AP1431" s="7"/>
      <c r="AQ1431" s="7"/>
      <c r="AR1431" s="7"/>
      <c r="AS1431" s="7"/>
      <c r="AT1431" s="7"/>
      <c r="AU1431" s="7"/>
      <c r="AV1431" s="7"/>
      <c r="AW1431" s="7"/>
      <c r="AX1431" s="7"/>
      <c r="AY1431" s="7"/>
      <c r="AZ1431" s="7"/>
      <c r="BA1431" s="7"/>
      <c r="BB1431" s="7"/>
      <c r="BC1431" s="7"/>
      <c r="BD1431" s="7"/>
      <c r="BE1431" s="7"/>
      <c r="BF1431" s="7"/>
      <c r="BG1431" s="7"/>
      <c r="BH1431" s="7"/>
      <c r="BI1431" s="7"/>
      <c r="BJ1431" s="7"/>
      <c r="BK1431" s="7"/>
      <c r="BL1431" s="7"/>
      <c r="BM1431" s="7"/>
      <c r="BN1431" s="7"/>
      <c r="BO1431" s="7"/>
      <c r="BP1431" s="7"/>
      <c r="BQ1431" s="7"/>
      <c r="BR1431" s="7"/>
      <c r="BS1431" s="7"/>
      <c r="BT1431" s="7"/>
      <c r="BU1431" s="7"/>
      <c r="BV1431" s="7"/>
      <c r="BW1431" s="7"/>
      <c r="BX1431" s="7"/>
      <c r="BY1431" s="7"/>
      <c r="BZ1431" s="7"/>
      <c r="CA1431" s="7"/>
      <c r="CB1431" s="7"/>
      <c r="CC1431" s="7"/>
      <c r="CD1431" s="7"/>
      <c r="CE1431" s="7"/>
      <c r="CF1431" s="7"/>
      <c r="CG1431" s="7"/>
    </row>
    <row r="1432" spans="3:85"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  <c r="AC1432" s="7"/>
      <c r="AD1432" s="7"/>
      <c r="AF1432" s="7"/>
      <c r="AG1432" s="7"/>
      <c r="AH1432" s="7"/>
      <c r="AI1432" s="7"/>
      <c r="AJ1432" s="7"/>
      <c r="AK1432" s="7"/>
      <c r="AL1432" s="7"/>
      <c r="AM1432" s="7"/>
      <c r="AN1432" s="7"/>
      <c r="AO1432" s="7"/>
      <c r="AP1432" s="7"/>
      <c r="AQ1432" s="7"/>
      <c r="AR1432" s="7"/>
      <c r="AS1432" s="7"/>
      <c r="AT1432" s="7"/>
      <c r="AU1432" s="7"/>
      <c r="AV1432" s="7"/>
      <c r="AW1432" s="7"/>
      <c r="AX1432" s="7"/>
      <c r="AY1432" s="7"/>
      <c r="AZ1432" s="7"/>
      <c r="BA1432" s="7"/>
      <c r="BB1432" s="7"/>
      <c r="BC1432" s="7"/>
      <c r="BD1432" s="7"/>
      <c r="BE1432" s="7"/>
      <c r="BF1432" s="7"/>
      <c r="BG1432" s="7"/>
      <c r="BH1432" s="7"/>
      <c r="BI1432" s="7"/>
      <c r="BJ1432" s="7"/>
      <c r="BK1432" s="7"/>
      <c r="BL1432" s="7"/>
      <c r="BM1432" s="7"/>
      <c r="BN1432" s="7"/>
      <c r="BO1432" s="7"/>
      <c r="BP1432" s="7"/>
      <c r="BQ1432" s="7"/>
      <c r="BR1432" s="7"/>
      <c r="BS1432" s="7"/>
      <c r="BT1432" s="7"/>
      <c r="BU1432" s="7"/>
      <c r="BV1432" s="7"/>
      <c r="BW1432" s="7"/>
      <c r="BX1432" s="7"/>
      <c r="BY1432" s="7"/>
      <c r="BZ1432" s="7"/>
      <c r="CA1432" s="7"/>
      <c r="CB1432" s="7"/>
      <c r="CC1432" s="7"/>
      <c r="CD1432" s="7"/>
      <c r="CE1432" s="7"/>
      <c r="CF1432" s="7"/>
      <c r="CG1432" s="7"/>
    </row>
    <row r="1433" spans="3:85"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  <c r="AC1433" s="7"/>
      <c r="AD1433" s="7"/>
      <c r="AF1433" s="7"/>
      <c r="AG1433" s="7"/>
      <c r="AH1433" s="7"/>
      <c r="AI1433" s="7"/>
      <c r="AJ1433" s="7"/>
      <c r="AK1433" s="7"/>
      <c r="AL1433" s="7"/>
      <c r="AM1433" s="7"/>
      <c r="AN1433" s="7"/>
      <c r="AO1433" s="7"/>
      <c r="AP1433" s="7"/>
      <c r="AQ1433" s="7"/>
      <c r="AR1433" s="7"/>
      <c r="AS1433" s="7"/>
      <c r="AT1433" s="7"/>
      <c r="AU1433" s="7"/>
      <c r="AV1433" s="7"/>
      <c r="AW1433" s="7"/>
      <c r="AX1433" s="7"/>
      <c r="AY1433" s="7"/>
      <c r="AZ1433" s="7"/>
      <c r="BA1433" s="7"/>
      <c r="BB1433" s="7"/>
      <c r="BC1433" s="7"/>
      <c r="BD1433" s="7"/>
      <c r="BE1433" s="7"/>
      <c r="BF1433" s="7"/>
      <c r="BG1433" s="7"/>
      <c r="BH1433" s="7"/>
      <c r="BI1433" s="7"/>
      <c r="BJ1433" s="7"/>
      <c r="BK1433" s="7"/>
      <c r="BL1433" s="7"/>
      <c r="BM1433" s="7"/>
      <c r="BN1433" s="7"/>
      <c r="BO1433" s="7"/>
      <c r="BP1433" s="7"/>
      <c r="BQ1433" s="7"/>
      <c r="BR1433" s="7"/>
      <c r="BS1433" s="7"/>
      <c r="BT1433" s="7"/>
      <c r="BU1433" s="7"/>
      <c r="BV1433" s="7"/>
      <c r="BW1433" s="7"/>
      <c r="BX1433" s="7"/>
      <c r="BY1433" s="7"/>
      <c r="BZ1433" s="7"/>
      <c r="CA1433" s="7"/>
      <c r="CB1433" s="7"/>
      <c r="CC1433" s="7"/>
      <c r="CD1433" s="7"/>
      <c r="CE1433" s="7"/>
      <c r="CF1433" s="7"/>
      <c r="CG1433" s="7"/>
    </row>
    <row r="1434" spans="3:85"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  <c r="AC1434" s="7"/>
      <c r="AD1434" s="7"/>
      <c r="AF1434" s="7"/>
      <c r="AG1434" s="7"/>
      <c r="AH1434" s="7"/>
      <c r="AI1434" s="7"/>
      <c r="AJ1434" s="7"/>
      <c r="AK1434" s="7"/>
      <c r="AL1434" s="7"/>
      <c r="AM1434" s="7"/>
      <c r="AN1434" s="7"/>
      <c r="AO1434" s="7"/>
      <c r="AP1434" s="7"/>
      <c r="AQ1434" s="7"/>
      <c r="AR1434" s="7"/>
      <c r="AS1434" s="7"/>
      <c r="AT1434" s="7"/>
      <c r="AU1434" s="7"/>
      <c r="AV1434" s="7"/>
      <c r="AW1434" s="7"/>
      <c r="AX1434" s="7"/>
      <c r="AY1434" s="7"/>
      <c r="AZ1434" s="7"/>
      <c r="BA1434" s="7"/>
      <c r="BB1434" s="7"/>
      <c r="BC1434" s="7"/>
      <c r="BD1434" s="7"/>
      <c r="BE1434" s="7"/>
      <c r="BF1434" s="7"/>
      <c r="BG1434" s="7"/>
      <c r="BH1434" s="7"/>
      <c r="BI1434" s="7"/>
      <c r="BJ1434" s="7"/>
      <c r="BK1434" s="7"/>
      <c r="BL1434" s="7"/>
      <c r="BM1434" s="7"/>
      <c r="BN1434" s="7"/>
      <c r="BO1434" s="7"/>
      <c r="BP1434" s="7"/>
      <c r="BQ1434" s="7"/>
      <c r="BR1434" s="7"/>
      <c r="BS1434" s="7"/>
      <c r="BT1434" s="7"/>
      <c r="BU1434" s="7"/>
      <c r="BV1434" s="7"/>
      <c r="BW1434" s="7"/>
      <c r="BX1434" s="7"/>
      <c r="BY1434" s="7"/>
      <c r="BZ1434" s="7"/>
      <c r="CA1434" s="7"/>
      <c r="CB1434" s="7"/>
      <c r="CC1434" s="7"/>
      <c r="CD1434" s="7"/>
      <c r="CE1434" s="7"/>
      <c r="CF1434" s="7"/>
      <c r="CG1434" s="7"/>
    </row>
    <row r="1435" spans="3:85"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  <c r="AC1435" s="7"/>
      <c r="AD1435" s="7"/>
      <c r="AF1435" s="7"/>
      <c r="AG1435" s="7"/>
      <c r="AH1435" s="7"/>
      <c r="AI1435" s="7"/>
      <c r="AJ1435" s="7"/>
      <c r="AK1435" s="7"/>
      <c r="AL1435" s="7"/>
      <c r="AM1435" s="7"/>
      <c r="AN1435" s="7"/>
      <c r="AO1435" s="7"/>
      <c r="AP1435" s="7"/>
      <c r="AQ1435" s="7"/>
      <c r="AR1435" s="7"/>
      <c r="AS1435" s="7"/>
      <c r="AT1435" s="7"/>
      <c r="AU1435" s="7"/>
      <c r="AV1435" s="7"/>
      <c r="AW1435" s="7"/>
      <c r="AX1435" s="7"/>
      <c r="AY1435" s="7"/>
      <c r="AZ1435" s="7"/>
      <c r="BA1435" s="7"/>
      <c r="BB1435" s="7"/>
      <c r="BC1435" s="7"/>
      <c r="BD1435" s="7"/>
      <c r="BE1435" s="7"/>
      <c r="BF1435" s="7"/>
      <c r="BG1435" s="7"/>
      <c r="BH1435" s="7"/>
      <c r="BI1435" s="7"/>
      <c r="BJ1435" s="7"/>
      <c r="BK1435" s="7"/>
      <c r="BL1435" s="7"/>
      <c r="BM1435" s="7"/>
      <c r="BN1435" s="7"/>
      <c r="BO1435" s="7"/>
      <c r="BP1435" s="7"/>
      <c r="BQ1435" s="7"/>
      <c r="BR1435" s="7"/>
      <c r="BS1435" s="7"/>
      <c r="BT1435" s="7"/>
      <c r="BU1435" s="7"/>
      <c r="BV1435" s="7"/>
      <c r="BW1435" s="7"/>
      <c r="BX1435" s="7"/>
      <c r="BY1435" s="7"/>
      <c r="BZ1435" s="7"/>
      <c r="CA1435" s="7"/>
      <c r="CB1435" s="7"/>
      <c r="CC1435" s="7"/>
      <c r="CD1435" s="7"/>
      <c r="CE1435" s="7"/>
      <c r="CF1435" s="7"/>
      <c r="CG1435" s="7"/>
    </row>
    <row r="1436" spans="3:85"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  <c r="AC1436" s="7"/>
      <c r="AD1436" s="7"/>
      <c r="AF1436" s="7"/>
      <c r="AG1436" s="7"/>
      <c r="AH1436" s="7"/>
      <c r="AI1436" s="7"/>
      <c r="AJ1436" s="7"/>
      <c r="AK1436" s="7"/>
      <c r="AL1436" s="7"/>
      <c r="AM1436" s="7"/>
      <c r="AN1436" s="7"/>
      <c r="AO1436" s="7"/>
      <c r="AP1436" s="7"/>
      <c r="AQ1436" s="7"/>
      <c r="AR1436" s="7"/>
      <c r="AS1436" s="7"/>
      <c r="AT1436" s="7"/>
      <c r="AU1436" s="7"/>
      <c r="AV1436" s="7"/>
      <c r="AW1436" s="7"/>
      <c r="AX1436" s="7"/>
      <c r="AY1436" s="7"/>
      <c r="AZ1436" s="7"/>
      <c r="BA1436" s="7"/>
      <c r="BB1436" s="7"/>
      <c r="BC1436" s="7"/>
      <c r="BD1436" s="7"/>
      <c r="BE1436" s="7"/>
      <c r="BF1436" s="7"/>
      <c r="BG1436" s="7"/>
      <c r="BH1436" s="7"/>
      <c r="BI1436" s="7"/>
      <c r="BJ1436" s="7"/>
      <c r="BK1436" s="7"/>
      <c r="BL1436" s="7"/>
      <c r="BM1436" s="7"/>
      <c r="BN1436" s="7"/>
      <c r="BO1436" s="7"/>
      <c r="BP1436" s="7"/>
      <c r="BQ1436" s="7"/>
      <c r="BR1436" s="7"/>
      <c r="BS1436" s="7"/>
      <c r="BT1436" s="7"/>
      <c r="BU1436" s="7"/>
      <c r="BV1436" s="7"/>
      <c r="BW1436" s="7"/>
      <c r="BX1436" s="7"/>
      <c r="BY1436" s="7"/>
      <c r="BZ1436" s="7"/>
      <c r="CA1436" s="7"/>
      <c r="CB1436" s="7"/>
      <c r="CC1436" s="7"/>
      <c r="CD1436" s="7"/>
      <c r="CE1436" s="7"/>
      <c r="CF1436" s="7"/>
      <c r="CG1436" s="7"/>
    </row>
    <row r="1437" spans="3:85"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  <c r="AC1437" s="7"/>
      <c r="AD1437" s="7"/>
      <c r="AF1437" s="7"/>
      <c r="AG1437" s="7"/>
      <c r="AH1437" s="7"/>
      <c r="AI1437" s="7"/>
      <c r="AJ1437" s="7"/>
      <c r="AK1437" s="7"/>
      <c r="AL1437" s="7"/>
      <c r="AM1437" s="7"/>
      <c r="AN1437" s="7"/>
      <c r="AO1437" s="7"/>
      <c r="AP1437" s="7"/>
      <c r="AQ1437" s="7"/>
      <c r="AR1437" s="7"/>
      <c r="AS1437" s="7"/>
      <c r="AT1437" s="7"/>
      <c r="AU1437" s="7"/>
      <c r="AV1437" s="7"/>
      <c r="AW1437" s="7"/>
      <c r="AX1437" s="7"/>
      <c r="AY1437" s="7"/>
      <c r="AZ1437" s="7"/>
      <c r="BA1437" s="7"/>
      <c r="BB1437" s="7"/>
      <c r="BC1437" s="7"/>
      <c r="BD1437" s="7"/>
      <c r="BE1437" s="7"/>
      <c r="BF1437" s="7"/>
      <c r="BG1437" s="7"/>
      <c r="BH1437" s="7"/>
      <c r="BI1437" s="7"/>
      <c r="BJ1437" s="7"/>
      <c r="BK1437" s="7"/>
      <c r="BL1437" s="7"/>
      <c r="BM1437" s="7"/>
      <c r="BN1437" s="7"/>
      <c r="BO1437" s="7"/>
      <c r="BP1437" s="7"/>
      <c r="BQ1437" s="7"/>
      <c r="BR1437" s="7"/>
      <c r="BS1437" s="7"/>
      <c r="BT1437" s="7"/>
      <c r="BU1437" s="7"/>
      <c r="BV1437" s="7"/>
      <c r="BW1437" s="7"/>
      <c r="BX1437" s="7"/>
      <c r="BY1437" s="7"/>
      <c r="BZ1437" s="7"/>
      <c r="CA1437" s="7"/>
      <c r="CB1437" s="7"/>
      <c r="CC1437" s="7"/>
      <c r="CD1437" s="7"/>
      <c r="CE1437" s="7"/>
      <c r="CF1437" s="7"/>
      <c r="CG1437" s="7"/>
    </row>
    <row r="1438" spans="3:85"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  <c r="AA1438" s="7"/>
      <c r="AB1438" s="7"/>
      <c r="AC1438" s="7"/>
      <c r="AD1438" s="7"/>
      <c r="AF1438" s="7"/>
      <c r="AG1438" s="7"/>
      <c r="AH1438" s="7"/>
      <c r="AI1438" s="7"/>
      <c r="AJ1438" s="7"/>
      <c r="AK1438" s="7"/>
      <c r="AL1438" s="7"/>
      <c r="AM1438" s="7"/>
      <c r="AN1438" s="7"/>
      <c r="AO1438" s="7"/>
      <c r="AP1438" s="7"/>
      <c r="AQ1438" s="7"/>
      <c r="AR1438" s="7"/>
      <c r="AS1438" s="7"/>
      <c r="AT1438" s="7"/>
      <c r="AU1438" s="7"/>
      <c r="AV1438" s="7"/>
      <c r="AW1438" s="7"/>
      <c r="AX1438" s="7"/>
      <c r="AY1438" s="7"/>
      <c r="AZ1438" s="7"/>
      <c r="BA1438" s="7"/>
      <c r="BB1438" s="7"/>
      <c r="BC1438" s="7"/>
      <c r="BD1438" s="7"/>
      <c r="BE1438" s="7"/>
      <c r="BF1438" s="7"/>
      <c r="BG1438" s="7"/>
      <c r="BH1438" s="7"/>
      <c r="BI1438" s="7"/>
      <c r="BJ1438" s="7"/>
      <c r="BK1438" s="7"/>
      <c r="BL1438" s="7"/>
      <c r="BM1438" s="7"/>
      <c r="BN1438" s="7"/>
      <c r="BO1438" s="7"/>
      <c r="BP1438" s="7"/>
      <c r="BQ1438" s="7"/>
      <c r="BR1438" s="7"/>
      <c r="BS1438" s="7"/>
      <c r="BT1438" s="7"/>
      <c r="BU1438" s="7"/>
      <c r="BV1438" s="7"/>
      <c r="BW1438" s="7"/>
      <c r="BX1438" s="7"/>
      <c r="BY1438" s="7"/>
      <c r="BZ1438" s="7"/>
      <c r="CA1438" s="7"/>
      <c r="CB1438" s="7"/>
      <c r="CC1438" s="7"/>
      <c r="CD1438" s="7"/>
      <c r="CE1438" s="7"/>
      <c r="CF1438" s="7"/>
      <c r="CG1438" s="7"/>
    </row>
    <row r="1439" spans="3:85"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  <c r="AA1439" s="7"/>
      <c r="AB1439" s="7"/>
      <c r="AC1439" s="7"/>
      <c r="AD1439" s="7"/>
      <c r="AF1439" s="7"/>
      <c r="AG1439" s="7"/>
      <c r="AH1439" s="7"/>
      <c r="AI1439" s="7"/>
      <c r="AJ1439" s="7"/>
      <c r="AK1439" s="7"/>
      <c r="AL1439" s="7"/>
      <c r="AM1439" s="7"/>
      <c r="AN1439" s="7"/>
      <c r="AO1439" s="7"/>
      <c r="AP1439" s="7"/>
      <c r="AQ1439" s="7"/>
      <c r="AR1439" s="7"/>
      <c r="AS1439" s="7"/>
      <c r="AT1439" s="7"/>
      <c r="AU1439" s="7"/>
      <c r="AV1439" s="7"/>
      <c r="AW1439" s="7"/>
      <c r="AX1439" s="7"/>
      <c r="AY1439" s="7"/>
      <c r="AZ1439" s="7"/>
      <c r="BA1439" s="7"/>
      <c r="BB1439" s="7"/>
      <c r="BC1439" s="7"/>
      <c r="BD1439" s="7"/>
      <c r="BE1439" s="7"/>
      <c r="BF1439" s="7"/>
      <c r="BG1439" s="7"/>
      <c r="BH1439" s="7"/>
      <c r="BI1439" s="7"/>
      <c r="BJ1439" s="7"/>
      <c r="BK1439" s="7"/>
      <c r="BL1439" s="7"/>
      <c r="BM1439" s="7"/>
      <c r="BN1439" s="7"/>
      <c r="BO1439" s="7"/>
      <c r="BP1439" s="7"/>
      <c r="BQ1439" s="7"/>
      <c r="BR1439" s="7"/>
      <c r="BS1439" s="7"/>
      <c r="BT1439" s="7"/>
      <c r="BU1439" s="7"/>
      <c r="BV1439" s="7"/>
      <c r="BW1439" s="7"/>
      <c r="BX1439" s="7"/>
      <c r="BY1439" s="7"/>
      <c r="BZ1439" s="7"/>
      <c r="CA1439" s="7"/>
      <c r="CB1439" s="7"/>
      <c r="CC1439" s="7"/>
      <c r="CD1439" s="7"/>
      <c r="CE1439" s="7"/>
      <c r="CF1439" s="7"/>
      <c r="CG1439" s="7"/>
    </row>
    <row r="1440" spans="3:85"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  <c r="AA1440" s="7"/>
      <c r="AB1440" s="7"/>
      <c r="AC1440" s="7"/>
      <c r="AD1440" s="7"/>
      <c r="AF1440" s="7"/>
      <c r="AG1440" s="7"/>
      <c r="AH1440" s="7"/>
      <c r="AI1440" s="7"/>
      <c r="AJ1440" s="7"/>
      <c r="AK1440" s="7"/>
      <c r="AL1440" s="7"/>
      <c r="AM1440" s="7"/>
      <c r="AN1440" s="7"/>
      <c r="AO1440" s="7"/>
      <c r="AP1440" s="7"/>
      <c r="AQ1440" s="7"/>
      <c r="AR1440" s="7"/>
      <c r="AS1440" s="7"/>
      <c r="AT1440" s="7"/>
      <c r="AU1440" s="7"/>
      <c r="AV1440" s="7"/>
      <c r="AW1440" s="7"/>
      <c r="AX1440" s="7"/>
      <c r="AY1440" s="7"/>
      <c r="AZ1440" s="7"/>
      <c r="BA1440" s="7"/>
      <c r="BB1440" s="7"/>
      <c r="BC1440" s="7"/>
      <c r="BD1440" s="7"/>
      <c r="BE1440" s="7"/>
      <c r="BF1440" s="7"/>
      <c r="BG1440" s="7"/>
      <c r="BH1440" s="7"/>
      <c r="BI1440" s="7"/>
      <c r="BJ1440" s="7"/>
      <c r="BK1440" s="7"/>
      <c r="BL1440" s="7"/>
      <c r="BM1440" s="7"/>
      <c r="BN1440" s="7"/>
      <c r="BO1440" s="7"/>
      <c r="BP1440" s="7"/>
      <c r="BQ1440" s="7"/>
      <c r="BR1440" s="7"/>
      <c r="BS1440" s="7"/>
      <c r="BT1440" s="7"/>
      <c r="BU1440" s="7"/>
      <c r="BV1440" s="7"/>
      <c r="BW1440" s="7"/>
      <c r="BX1440" s="7"/>
      <c r="BY1440" s="7"/>
      <c r="BZ1440" s="7"/>
      <c r="CA1440" s="7"/>
      <c r="CB1440" s="7"/>
      <c r="CC1440" s="7"/>
      <c r="CD1440" s="7"/>
      <c r="CE1440" s="7"/>
      <c r="CF1440" s="7"/>
      <c r="CG1440" s="7"/>
    </row>
    <row r="1441" spans="3:85"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  <c r="AA1441" s="7"/>
      <c r="AB1441" s="7"/>
      <c r="AC1441" s="7"/>
      <c r="AD1441" s="7"/>
      <c r="AF1441" s="7"/>
      <c r="AG1441" s="7"/>
      <c r="AH1441" s="7"/>
      <c r="AI1441" s="7"/>
      <c r="AJ1441" s="7"/>
      <c r="AK1441" s="7"/>
      <c r="AL1441" s="7"/>
      <c r="AM1441" s="7"/>
      <c r="AN1441" s="7"/>
      <c r="AO1441" s="7"/>
      <c r="AP1441" s="7"/>
      <c r="AQ1441" s="7"/>
      <c r="AR1441" s="7"/>
      <c r="AS1441" s="7"/>
      <c r="AT1441" s="7"/>
      <c r="AU1441" s="7"/>
      <c r="AV1441" s="7"/>
      <c r="AW1441" s="7"/>
      <c r="AX1441" s="7"/>
      <c r="AY1441" s="7"/>
      <c r="AZ1441" s="7"/>
      <c r="BA1441" s="7"/>
      <c r="BB1441" s="7"/>
      <c r="BC1441" s="7"/>
      <c r="BD1441" s="7"/>
      <c r="BE1441" s="7"/>
      <c r="BF1441" s="7"/>
      <c r="BG1441" s="7"/>
      <c r="BH1441" s="7"/>
      <c r="BI1441" s="7"/>
      <c r="BJ1441" s="7"/>
      <c r="BK1441" s="7"/>
      <c r="BL1441" s="7"/>
      <c r="BM1441" s="7"/>
      <c r="BN1441" s="7"/>
      <c r="BO1441" s="7"/>
      <c r="BP1441" s="7"/>
      <c r="BQ1441" s="7"/>
      <c r="BR1441" s="7"/>
      <c r="BS1441" s="7"/>
      <c r="BT1441" s="7"/>
      <c r="BU1441" s="7"/>
      <c r="BV1441" s="7"/>
      <c r="BW1441" s="7"/>
      <c r="BX1441" s="7"/>
      <c r="BY1441" s="7"/>
      <c r="BZ1441" s="7"/>
      <c r="CA1441" s="7"/>
      <c r="CB1441" s="7"/>
      <c r="CC1441" s="7"/>
      <c r="CD1441" s="7"/>
      <c r="CE1441" s="7"/>
      <c r="CF1441" s="7"/>
      <c r="CG1441" s="7"/>
    </row>
    <row r="1442" spans="3:85"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  <c r="AA1442" s="7"/>
      <c r="AB1442" s="7"/>
      <c r="AC1442" s="7"/>
      <c r="AD1442" s="7"/>
      <c r="AF1442" s="7"/>
      <c r="AG1442" s="7"/>
      <c r="AH1442" s="7"/>
      <c r="AI1442" s="7"/>
      <c r="AJ1442" s="7"/>
      <c r="AK1442" s="7"/>
      <c r="AL1442" s="7"/>
      <c r="AM1442" s="7"/>
      <c r="AN1442" s="7"/>
      <c r="AO1442" s="7"/>
      <c r="AP1442" s="7"/>
      <c r="AQ1442" s="7"/>
      <c r="AR1442" s="7"/>
      <c r="AS1442" s="7"/>
      <c r="AT1442" s="7"/>
      <c r="AU1442" s="7"/>
      <c r="AV1442" s="7"/>
      <c r="AW1442" s="7"/>
      <c r="AX1442" s="7"/>
      <c r="AY1442" s="7"/>
      <c r="AZ1442" s="7"/>
      <c r="BA1442" s="7"/>
      <c r="BB1442" s="7"/>
      <c r="BC1442" s="7"/>
      <c r="BD1442" s="7"/>
      <c r="BE1442" s="7"/>
      <c r="BF1442" s="7"/>
      <c r="BG1442" s="7"/>
      <c r="BH1442" s="7"/>
      <c r="BI1442" s="7"/>
      <c r="BJ1442" s="7"/>
      <c r="BK1442" s="7"/>
      <c r="BL1442" s="7"/>
      <c r="BM1442" s="7"/>
      <c r="BN1442" s="7"/>
      <c r="BO1442" s="7"/>
      <c r="BP1442" s="7"/>
      <c r="BQ1442" s="7"/>
      <c r="BR1442" s="7"/>
      <c r="BS1442" s="7"/>
      <c r="BT1442" s="7"/>
      <c r="BU1442" s="7"/>
      <c r="BV1442" s="7"/>
      <c r="BW1442" s="7"/>
      <c r="BX1442" s="7"/>
      <c r="BY1442" s="7"/>
      <c r="BZ1442" s="7"/>
      <c r="CA1442" s="7"/>
      <c r="CB1442" s="7"/>
      <c r="CC1442" s="7"/>
      <c r="CD1442" s="7"/>
      <c r="CE1442" s="7"/>
      <c r="CF1442" s="7"/>
      <c r="CG1442" s="7"/>
    </row>
    <row r="1443" spans="3:85"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  <c r="AA1443" s="7"/>
      <c r="AB1443" s="7"/>
      <c r="AC1443" s="7"/>
      <c r="AD1443" s="7"/>
      <c r="AF1443" s="7"/>
      <c r="AG1443" s="7"/>
      <c r="AH1443" s="7"/>
      <c r="AI1443" s="7"/>
      <c r="AJ1443" s="7"/>
      <c r="AK1443" s="7"/>
      <c r="AL1443" s="7"/>
      <c r="AM1443" s="7"/>
      <c r="AN1443" s="7"/>
      <c r="AO1443" s="7"/>
      <c r="AP1443" s="7"/>
      <c r="AQ1443" s="7"/>
      <c r="AR1443" s="7"/>
      <c r="AS1443" s="7"/>
      <c r="AT1443" s="7"/>
      <c r="AU1443" s="7"/>
      <c r="AV1443" s="7"/>
      <c r="AW1443" s="7"/>
      <c r="AX1443" s="7"/>
      <c r="AY1443" s="7"/>
      <c r="AZ1443" s="7"/>
      <c r="BA1443" s="7"/>
      <c r="BB1443" s="7"/>
      <c r="BC1443" s="7"/>
      <c r="BD1443" s="7"/>
      <c r="BE1443" s="7"/>
      <c r="BF1443" s="7"/>
      <c r="BG1443" s="7"/>
      <c r="BH1443" s="7"/>
      <c r="BI1443" s="7"/>
      <c r="BJ1443" s="7"/>
      <c r="BK1443" s="7"/>
      <c r="BL1443" s="7"/>
      <c r="BM1443" s="7"/>
      <c r="BN1443" s="7"/>
      <c r="BO1443" s="7"/>
      <c r="BP1443" s="7"/>
      <c r="BQ1443" s="7"/>
      <c r="BR1443" s="7"/>
      <c r="BS1443" s="7"/>
      <c r="BT1443" s="7"/>
      <c r="BU1443" s="7"/>
      <c r="BV1443" s="7"/>
      <c r="BW1443" s="7"/>
      <c r="BX1443" s="7"/>
      <c r="BY1443" s="7"/>
      <c r="BZ1443" s="7"/>
      <c r="CA1443" s="7"/>
      <c r="CB1443" s="7"/>
      <c r="CC1443" s="7"/>
      <c r="CD1443" s="7"/>
      <c r="CE1443" s="7"/>
      <c r="CF1443" s="7"/>
      <c r="CG1443" s="7"/>
    </row>
    <row r="1444" spans="3:85"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  <c r="AA1444" s="7"/>
      <c r="AB1444" s="7"/>
      <c r="AC1444" s="7"/>
      <c r="AD1444" s="7"/>
      <c r="AF1444" s="7"/>
      <c r="AG1444" s="7"/>
      <c r="AH1444" s="7"/>
      <c r="AI1444" s="7"/>
      <c r="AJ1444" s="7"/>
      <c r="AK1444" s="7"/>
      <c r="AL1444" s="7"/>
      <c r="AM1444" s="7"/>
      <c r="AN1444" s="7"/>
      <c r="AO1444" s="7"/>
      <c r="AP1444" s="7"/>
      <c r="AQ1444" s="7"/>
      <c r="AR1444" s="7"/>
      <c r="AS1444" s="7"/>
      <c r="AT1444" s="7"/>
      <c r="AU1444" s="7"/>
      <c r="AV1444" s="7"/>
      <c r="AW1444" s="7"/>
      <c r="AX1444" s="7"/>
      <c r="AY1444" s="7"/>
      <c r="AZ1444" s="7"/>
      <c r="BA1444" s="7"/>
      <c r="BB1444" s="7"/>
      <c r="BC1444" s="7"/>
      <c r="BD1444" s="7"/>
      <c r="BE1444" s="7"/>
      <c r="BF1444" s="7"/>
      <c r="BG1444" s="7"/>
      <c r="BH1444" s="7"/>
      <c r="BI1444" s="7"/>
      <c r="BJ1444" s="7"/>
      <c r="BK1444" s="7"/>
      <c r="BL1444" s="7"/>
      <c r="BM1444" s="7"/>
      <c r="BN1444" s="7"/>
      <c r="BO1444" s="7"/>
      <c r="BP1444" s="7"/>
      <c r="BQ1444" s="7"/>
      <c r="BR1444" s="7"/>
      <c r="BS1444" s="7"/>
      <c r="BT1444" s="7"/>
      <c r="BU1444" s="7"/>
      <c r="BV1444" s="7"/>
      <c r="BW1444" s="7"/>
      <c r="BX1444" s="7"/>
      <c r="BY1444" s="7"/>
      <c r="BZ1444" s="7"/>
      <c r="CA1444" s="7"/>
      <c r="CB1444" s="7"/>
      <c r="CC1444" s="7"/>
      <c r="CD1444" s="7"/>
      <c r="CE1444" s="7"/>
      <c r="CF1444" s="7"/>
      <c r="CG1444" s="7"/>
    </row>
    <row r="1445" spans="3:85"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  <c r="AA1445" s="7"/>
      <c r="AB1445" s="7"/>
      <c r="AC1445" s="7"/>
      <c r="AD1445" s="7"/>
      <c r="AF1445" s="7"/>
      <c r="AG1445" s="7"/>
      <c r="AH1445" s="7"/>
      <c r="AI1445" s="7"/>
      <c r="AJ1445" s="7"/>
      <c r="AK1445" s="7"/>
      <c r="AL1445" s="7"/>
      <c r="AM1445" s="7"/>
      <c r="AN1445" s="7"/>
      <c r="AO1445" s="7"/>
      <c r="AP1445" s="7"/>
      <c r="AQ1445" s="7"/>
      <c r="AR1445" s="7"/>
      <c r="AS1445" s="7"/>
      <c r="AT1445" s="7"/>
      <c r="AU1445" s="7"/>
      <c r="AV1445" s="7"/>
      <c r="AW1445" s="7"/>
      <c r="AX1445" s="7"/>
      <c r="AY1445" s="7"/>
      <c r="AZ1445" s="7"/>
      <c r="BA1445" s="7"/>
      <c r="BB1445" s="7"/>
      <c r="BC1445" s="7"/>
      <c r="BD1445" s="7"/>
      <c r="BE1445" s="7"/>
      <c r="BF1445" s="7"/>
      <c r="BG1445" s="7"/>
      <c r="BH1445" s="7"/>
      <c r="BI1445" s="7"/>
      <c r="BJ1445" s="7"/>
      <c r="BK1445" s="7"/>
      <c r="BL1445" s="7"/>
      <c r="BM1445" s="7"/>
      <c r="BN1445" s="7"/>
      <c r="BO1445" s="7"/>
      <c r="BP1445" s="7"/>
      <c r="BQ1445" s="7"/>
      <c r="BR1445" s="7"/>
      <c r="BS1445" s="7"/>
      <c r="BT1445" s="7"/>
      <c r="BU1445" s="7"/>
      <c r="BV1445" s="7"/>
      <c r="BW1445" s="7"/>
      <c r="BX1445" s="7"/>
      <c r="BY1445" s="7"/>
      <c r="BZ1445" s="7"/>
      <c r="CA1445" s="7"/>
      <c r="CB1445" s="7"/>
      <c r="CC1445" s="7"/>
      <c r="CD1445" s="7"/>
      <c r="CE1445" s="7"/>
      <c r="CF1445" s="7"/>
      <c r="CG1445" s="7"/>
    </row>
    <row r="1446" spans="3:85"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  <c r="AA1446" s="7"/>
      <c r="AB1446" s="7"/>
      <c r="AC1446" s="7"/>
      <c r="AD1446" s="7"/>
      <c r="AF1446" s="7"/>
      <c r="AG1446" s="7"/>
      <c r="AH1446" s="7"/>
      <c r="AI1446" s="7"/>
      <c r="AJ1446" s="7"/>
      <c r="AK1446" s="7"/>
      <c r="AL1446" s="7"/>
      <c r="AM1446" s="7"/>
      <c r="AN1446" s="7"/>
      <c r="AO1446" s="7"/>
      <c r="AP1446" s="7"/>
      <c r="AQ1446" s="7"/>
      <c r="AR1446" s="7"/>
      <c r="AS1446" s="7"/>
      <c r="AT1446" s="7"/>
      <c r="AU1446" s="7"/>
      <c r="AV1446" s="7"/>
      <c r="AW1446" s="7"/>
      <c r="AX1446" s="7"/>
      <c r="AY1446" s="7"/>
      <c r="AZ1446" s="7"/>
      <c r="BA1446" s="7"/>
      <c r="BB1446" s="7"/>
      <c r="BC1446" s="7"/>
      <c r="BD1446" s="7"/>
      <c r="BE1446" s="7"/>
      <c r="BF1446" s="7"/>
      <c r="BG1446" s="7"/>
      <c r="BH1446" s="7"/>
      <c r="BI1446" s="7"/>
      <c r="BJ1446" s="7"/>
      <c r="BK1446" s="7"/>
      <c r="BL1446" s="7"/>
      <c r="BM1446" s="7"/>
      <c r="BN1446" s="7"/>
      <c r="BO1446" s="7"/>
      <c r="BP1446" s="7"/>
      <c r="BQ1446" s="7"/>
      <c r="BR1446" s="7"/>
      <c r="BS1446" s="7"/>
      <c r="BT1446" s="7"/>
      <c r="BU1446" s="7"/>
      <c r="BV1446" s="7"/>
      <c r="BW1446" s="7"/>
      <c r="BX1446" s="7"/>
      <c r="BY1446" s="7"/>
      <c r="BZ1446" s="7"/>
      <c r="CA1446" s="7"/>
      <c r="CB1446" s="7"/>
      <c r="CC1446" s="7"/>
      <c r="CD1446" s="7"/>
      <c r="CE1446" s="7"/>
      <c r="CF1446" s="7"/>
      <c r="CG1446" s="7"/>
    </row>
    <row r="1447" spans="3:85"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  <c r="AA1447" s="7"/>
      <c r="AB1447" s="7"/>
      <c r="AC1447" s="7"/>
      <c r="AD1447" s="7"/>
      <c r="AF1447" s="7"/>
      <c r="AG1447" s="7"/>
      <c r="AH1447" s="7"/>
      <c r="AI1447" s="7"/>
      <c r="AJ1447" s="7"/>
      <c r="AK1447" s="7"/>
      <c r="AL1447" s="7"/>
      <c r="AM1447" s="7"/>
      <c r="AN1447" s="7"/>
      <c r="AO1447" s="7"/>
      <c r="AP1447" s="7"/>
      <c r="AQ1447" s="7"/>
      <c r="AR1447" s="7"/>
      <c r="AS1447" s="7"/>
      <c r="AT1447" s="7"/>
      <c r="AU1447" s="7"/>
      <c r="AV1447" s="7"/>
      <c r="AW1447" s="7"/>
      <c r="AX1447" s="7"/>
      <c r="AY1447" s="7"/>
      <c r="AZ1447" s="7"/>
      <c r="BA1447" s="7"/>
      <c r="BB1447" s="7"/>
      <c r="BC1447" s="7"/>
      <c r="BD1447" s="7"/>
      <c r="BE1447" s="7"/>
      <c r="BF1447" s="7"/>
      <c r="BG1447" s="7"/>
      <c r="BH1447" s="7"/>
      <c r="BI1447" s="7"/>
      <c r="BJ1447" s="7"/>
      <c r="BK1447" s="7"/>
      <c r="BL1447" s="7"/>
      <c r="BM1447" s="7"/>
      <c r="BN1447" s="7"/>
      <c r="BO1447" s="7"/>
      <c r="BP1447" s="7"/>
      <c r="BQ1447" s="7"/>
      <c r="BR1447" s="7"/>
      <c r="BS1447" s="7"/>
      <c r="BT1447" s="7"/>
      <c r="BU1447" s="7"/>
      <c r="BV1447" s="7"/>
      <c r="BW1447" s="7"/>
      <c r="BX1447" s="7"/>
      <c r="BY1447" s="7"/>
      <c r="BZ1447" s="7"/>
      <c r="CA1447" s="7"/>
      <c r="CB1447" s="7"/>
      <c r="CC1447" s="7"/>
      <c r="CD1447" s="7"/>
      <c r="CE1447" s="7"/>
      <c r="CF1447" s="7"/>
      <c r="CG1447" s="7"/>
    </row>
    <row r="1448" spans="3:85"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  <c r="AA1448" s="7"/>
      <c r="AB1448" s="7"/>
      <c r="AC1448" s="7"/>
      <c r="AD1448" s="7"/>
      <c r="AF1448" s="7"/>
      <c r="AG1448" s="7"/>
      <c r="AH1448" s="7"/>
      <c r="AI1448" s="7"/>
      <c r="AJ1448" s="7"/>
      <c r="AK1448" s="7"/>
      <c r="AL1448" s="7"/>
      <c r="AM1448" s="7"/>
      <c r="AN1448" s="7"/>
      <c r="AO1448" s="7"/>
      <c r="AP1448" s="7"/>
      <c r="AQ1448" s="7"/>
      <c r="AR1448" s="7"/>
      <c r="AS1448" s="7"/>
      <c r="AT1448" s="7"/>
      <c r="AU1448" s="7"/>
      <c r="AV1448" s="7"/>
      <c r="AW1448" s="7"/>
      <c r="AX1448" s="7"/>
      <c r="AY1448" s="7"/>
      <c r="AZ1448" s="7"/>
      <c r="BA1448" s="7"/>
      <c r="BB1448" s="7"/>
      <c r="BC1448" s="7"/>
      <c r="BD1448" s="7"/>
      <c r="BE1448" s="7"/>
      <c r="BF1448" s="7"/>
      <c r="BG1448" s="7"/>
      <c r="BH1448" s="7"/>
      <c r="BI1448" s="7"/>
      <c r="BJ1448" s="7"/>
      <c r="BK1448" s="7"/>
      <c r="BL1448" s="7"/>
      <c r="BM1448" s="7"/>
      <c r="BN1448" s="7"/>
      <c r="BO1448" s="7"/>
      <c r="BP1448" s="7"/>
      <c r="BQ1448" s="7"/>
      <c r="BR1448" s="7"/>
      <c r="BS1448" s="7"/>
      <c r="BT1448" s="7"/>
      <c r="BU1448" s="7"/>
      <c r="BV1448" s="7"/>
      <c r="BW1448" s="7"/>
      <c r="BX1448" s="7"/>
      <c r="BY1448" s="7"/>
      <c r="BZ1448" s="7"/>
      <c r="CA1448" s="7"/>
      <c r="CB1448" s="7"/>
      <c r="CC1448" s="7"/>
      <c r="CD1448" s="7"/>
      <c r="CE1448" s="7"/>
      <c r="CF1448" s="7"/>
      <c r="CG1448" s="7"/>
    </row>
    <row r="1449" spans="3:85"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  <c r="AA1449" s="7"/>
      <c r="AB1449" s="7"/>
      <c r="AC1449" s="7"/>
      <c r="AD1449" s="7"/>
      <c r="AF1449" s="7"/>
      <c r="AG1449" s="7"/>
      <c r="AH1449" s="7"/>
      <c r="AI1449" s="7"/>
      <c r="AJ1449" s="7"/>
      <c r="AK1449" s="7"/>
      <c r="AL1449" s="7"/>
      <c r="AM1449" s="7"/>
      <c r="AN1449" s="7"/>
      <c r="AO1449" s="7"/>
      <c r="AP1449" s="7"/>
      <c r="AQ1449" s="7"/>
      <c r="AR1449" s="7"/>
      <c r="AS1449" s="7"/>
      <c r="AT1449" s="7"/>
      <c r="AU1449" s="7"/>
      <c r="AV1449" s="7"/>
      <c r="AW1449" s="7"/>
      <c r="AX1449" s="7"/>
      <c r="AY1449" s="7"/>
      <c r="AZ1449" s="7"/>
      <c r="BA1449" s="7"/>
      <c r="BB1449" s="7"/>
      <c r="BC1449" s="7"/>
      <c r="BD1449" s="7"/>
      <c r="BE1449" s="7"/>
      <c r="BF1449" s="7"/>
      <c r="BG1449" s="7"/>
      <c r="BH1449" s="7"/>
      <c r="BI1449" s="7"/>
      <c r="BJ1449" s="7"/>
      <c r="BK1449" s="7"/>
      <c r="BL1449" s="7"/>
      <c r="BM1449" s="7"/>
      <c r="BN1449" s="7"/>
      <c r="BO1449" s="7"/>
      <c r="BP1449" s="7"/>
      <c r="BQ1449" s="7"/>
      <c r="BR1449" s="7"/>
      <c r="BS1449" s="7"/>
      <c r="BT1449" s="7"/>
      <c r="BU1449" s="7"/>
      <c r="BV1449" s="7"/>
      <c r="BW1449" s="7"/>
      <c r="BX1449" s="7"/>
      <c r="BY1449" s="7"/>
      <c r="BZ1449" s="7"/>
      <c r="CA1449" s="7"/>
      <c r="CB1449" s="7"/>
      <c r="CC1449" s="7"/>
      <c r="CD1449" s="7"/>
      <c r="CE1449" s="7"/>
      <c r="CF1449" s="7"/>
      <c r="CG1449" s="7"/>
    </row>
    <row r="1450" spans="3:85"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  <c r="AA1450" s="7"/>
      <c r="AB1450" s="7"/>
      <c r="AC1450" s="7"/>
      <c r="AD1450" s="7"/>
      <c r="AF1450" s="7"/>
      <c r="AG1450" s="7"/>
      <c r="AH1450" s="7"/>
      <c r="AI1450" s="7"/>
      <c r="AJ1450" s="7"/>
      <c r="AK1450" s="7"/>
      <c r="AL1450" s="7"/>
      <c r="AM1450" s="7"/>
      <c r="AN1450" s="7"/>
      <c r="AO1450" s="7"/>
      <c r="AP1450" s="7"/>
      <c r="AQ1450" s="7"/>
      <c r="AR1450" s="7"/>
      <c r="AS1450" s="7"/>
      <c r="AT1450" s="7"/>
      <c r="AU1450" s="7"/>
      <c r="AV1450" s="7"/>
      <c r="AW1450" s="7"/>
      <c r="AX1450" s="7"/>
      <c r="AY1450" s="7"/>
      <c r="AZ1450" s="7"/>
      <c r="BA1450" s="7"/>
      <c r="BB1450" s="7"/>
      <c r="BC1450" s="7"/>
      <c r="BD1450" s="7"/>
      <c r="BE1450" s="7"/>
      <c r="BF1450" s="7"/>
      <c r="BG1450" s="7"/>
      <c r="BH1450" s="7"/>
      <c r="BI1450" s="7"/>
      <c r="BJ1450" s="7"/>
      <c r="BK1450" s="7"/>
      <c r="BL1450" s="7"/>
      <c r="BM1450" s="7"/>
      <c r="BN1450" s="7"/>
      <c r="BO1450" s="7"/>
      <c r="BP1450" s="7"/>
      <c r="BQ1450" s="7"/>
      <c r="BR1450" s="7"/>
      <c r="BS1450" s="7"/>
      <c r="BT1450" s="7"/>
      <c r="BU1450" s="7"/>
      <c r="BV1450" s="7"/>
      <c r="BW1450" s="7"/>
      <c r="BX1450" s="7"/>
      <c r="BY1450" s="7"/>
      <c r="BZ1450" s="7"/>
      <c r="CA1450" s="7"/>
      <c r="CB1450" s="7"/>
      <c r="CC1450" s="7"/>
      <c r="CD1450" s="7"/>
      <c r="CE1450" s="7"/>
      <c r="CF1450" s="7"/>
      <c r="CG1450" s="7"/>
    </row>
    <row r="1451" spans="3:85"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  <c r="AA1451" s="7"/>
      <c r="AB1451" s="7"/>
      <c r="AC1451" s="7"/>
      <c r="AD1451" s="7"/>
      <c r="AF1451" s="7"/>
      <c r="AG1451" s="7"/>
      <c r="AH1451" s="7"/>
      <c r="AI1451" s="7"/>
      <c r="AJ1451" s="7"/>
      <c r="AK1451" s="7"/>
      <c r="AL1451" s="7"/>
      <c r="AM1451" s="7"/>
      <c r="AN1451" s="7"/>
      <c r="AO1451" s="7"/>
      <c r="AP1451" s="7"/>
      <c r="AQ1451" s="7"/>
      <c r="AR1451" s="7"/>
      <c r="AS1451" s="7"/>
      <c r="AT1451" s="7"/>
      <c r="AU1451" s="7"/>
      <c r="AV1451" s="7"/>
      <c r="AW1451" s="7"/>
      <c r="AX1451" s="7"/>
      <c r="AY1451" s="7"/>
      <c r="AZ1451" s="7"/>
      <c r="BA1451" s="7"/>
      <c r="BB1451" s="7"/>
      <c r="BC1451" s="7"/>
      <c r="BD1451" s="7"/>
      <c r="BE1451" s="7"/>
      <c r="BF1451" s="7"/>
      <c r="BG1451" s="7"/>
      <c r="BH1451" s="7"/>
      <c r="BI1451" s="7"/>
      <c r="BJ1451" s="7"/>
      <c r="BK1451" s="7"/>
      <c r="BL1451" s="7"/>
      <c r="BM1451" s="7"/>
      <c r="BN1451" s="7"/>
      <c r="BO1451" s="7"/>
      <c r="BP1451" s="7"/>
      <c r="BQ1451" s="7"/>
      <c r="BR1451" s="7"/>
      <c r="BS1451" s="7"/>
      <c r="BT1451" s="7"/>
      <c r="BU1451" s="7"/>
      <c r="BV1451" s="7"/>
      <c r="BW1451" s="7"/>
      <c r="BX1451" s="7"/>
      <c r="BY1451" s="7"/>
      <c r="BZ1451" s="7"/>
      <c r="CA1451" s="7"/>
      <c r="CB1451" s="7"/>
      <c r="CC1451" s="7"/>
      <c r="CD1451" s="7"/>
      <c r="CE1451" s="7"/>
      <c r="CF1451" s="7"/>
      <c r="CG1451" s="7"/>
    </row>
    <row r="1452" spans="3:85"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  <c r="AA1452" s="7"/>
      <c r="AB1452" s="7"/>
      <c r="AC1452" s="7"/>
      <c r="AD1452" s="7"/>
      <c r="AF1452" s="7"/>
      <c r="AG1452" s="7"/>
      <c r="AH1452" s="7"/>
      <c r="AI1452" s="7"/>
      <c r="AJ1452" s="7"/>
      <c r="AK1452" s="7"/>
      <c r="AL1452" s="7"/>
      <c r="AM1452" s="7"/>
      <c r="AN1452" s="7"/>
      <c r="AO1452" s="7"/>
      <c r="AP1452" s="7"/>
      <c r="AQ1452" s="7"/>
      <c r="AR1452" s="7"/>
      <c r="AS1452" s="7"/>
      <c r="AT1452" s="7"/>
      <c r="AU1452" s="7"/>
      <c r="AV1452" s="7"/>
      <c r="AW1452" s="7"/>
      <c r="AX1452" s="7"/>
      <c r="AY1452" s="7"/>
      <c r="AZ1452" s="7"/>
      <c r="BA1452" s="7"/>
      <c r="BB1452" s="7"/>
      <c r="BC1452" s="7"/>
      <c r="BD1452" s="7"/>
      <c r="BE1452" s="7"/>
      <c r="BF1452" s="7"/>
      <c r="BG1452" s="7"/>
      <c r="BH1452" s="7"/>
      <c r="BI1452" s="7"/>
      <c r="BJ1452" s="7"/>
      <c r="BK1452" s="7"/>
      <c r="BL1452" s="7"/>
      <c r="BM1452" s="7"/>
      <c r="BN1452" s="7"/>
      <c r="BO1452" s="7"/>
      <c r="BP1452" s="7"/>
      <c r="BQ1452" s="7"/>
      <c r="BR1452" s="7"/>
      <c r="BS1452" s="7"/>
      <c r="BT1452" s="7"/>
      <c r="BU1452" s="7"/>
      <c r="BV1452" s="7"/>
      <c r="BW1452" s="7"/>
      <c r="BX1452" s="7"/>
      <c r="BY1452" s="7"/>
      <c r="BZ1452" s="7"/>
      <c r="CA1452" s="7"/>
      <c r="CB1452" s="7"/>
      <c r="CC1452" s="7"/>
      <c r="CD1452" s="7"/>
      <c r="CE1452" s="7"/>
      <c r="CF1452" s="7"/>
      <c r="CG1452" s="7"/>
    </row>
    <row r="1453" spans="3:85"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  <c r="AA1453" s="7"/>
      <c r="AB1453" s="7"/>
      <c r="AC1453" s="7"/>
      <c r="AD1453" s="7"/>
      <c r="AF1453" s="7"/>
      <c r="AG1453" s="7"/>
      <c r="AH1453" s="7"/>
      <c r="AI1453" s="7"/>
      <c r="AJ1453" s="7"/>
      <c r="AK1453" s="7"/>
      <c r="AL1453" s="7"/>
      <c r="AM1453" s="7"/>
      <c r="AN1453" s="7"/>
      <c r="AO1453" s="7"/>
      <c r="AP1453" s="7"/>
      <c r="AQ1453" s="7"/>
      <c r="AR1453" s="7"/>
      <c r="AS1453" s="7"/>
      <c r="AT1453" s="7"/>
      <c r="AU1453" s="7"/>
      <c r="AV1453" s="7"/>
      <c r="AW1453" s="7"/>
      <c r="AX1453" s="7"/>
      <c r="AY1453" s="7"/>
      <c r="AZ1453" s="7"/>
      <c r="BA1453" s="7"/>
      <c r="BB1453" s="7"/>
      <c r="BC1453" s="7"/>
      <c r="BD1453" s="7"/>
      <c r="BE1453" s="7"/>
      <c r="BF1453" s="7"/>
      <c r="BG1453" s="7"/>
      <c r="BH1453" s="7"/>
      <c r="BI1453" s="7"/>
      <c r="BJ1453" s="7"/>
      <c r="BK1453" s="7"/>
      <c r="BL1453" s="7"/>
      <c r="BM1453" s="7"/>
      <c r="BN1453" s="7"/>
      <c r="BO1453" s="7"/>
      <c r="BP1453" s="7"/>
      <c r="BQ1453" s="7"/>
      <c r="BR1453" s="7"/>
      <c r="BS1453" s="7"/>
      <c r="BT1453" s="7"/>
      <c r="BU1453" s="7"/>
      <c r="BV1453" s="7"/>
      <c r="BW1453" s="7"/>
      <c r="BX1453" s="7"/>
      <c r="BY1453" s="7"/>
      <c r="BZ1453" s="7"/>
      <c r="CA1453" s="7"/>
      <c r="CB1453" s="7"/>
      <c r="CC1453" s="7"/>
      <c r="CD1453" s="7"/>
      <c r="CE1453" s="7"/>
      <c r="CF1453" s="7"/>
      <c r="CG1453" s="7"/>
    </row>
    <row r="1454" spans="3:85"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  <c r="AA1454" s="7"/>
      <c r="AB1454" s="7"/>
      <c r="AC1454" s="7"/>
      <c r="AD1454" s="7"/>
      <c r="AF1454" s="7"/>
      <c r="AG1454" s="7"/>
      <c r="AH1454" s="7"/>
      <c r="AI1454" s="7"/>
      <c r="AJ1454" s="7"/>
      <c r="AK1454" s="7"/>
      <c r="AL1454" s="7"/>
      <c r="AM1454" s="7"/>
      <c r="AN1454" s="7"/>
      <c r="AO1454" s="7"/>
      <c r="AP1454" s="7"/>
      <c r="AQ1454" s="7"/>
      <c r="AR1454" s="7"/>
      <c r="AS1454" s="7"/>
      <c r="AT1454" s="7"/>
      <c r="AU1454" s="7"/>
      <c r="AV1454" s="7"/>
      <c r="AW1454" s="7"/>
      <c r="AX1454" s="7"/>
      <c r="AY1454" s="7"/>
      <c r="AZ1454" s="7"/>
      <c r="BA1454" s="7"/>
      <c r="BB1454" s="7"/>
      <c r="BC1454" s="7"/>
      <c r="BD1454" s="7"/>
      <c r="BE1454" s="7"/>
      <c r="BF1454" s="7"/>
      <c r="BG1454" s="7"/>
      <c r="BH1454" s="7"/>
      <c r="BI1454" s="7"/>
      <c r="BJ1454" s="7"/>
      <c r="BK1454" s="7"/>
      <c r="BL1454" s="7"/>
      <c r="BM1454" s="7"/>
      <c r="BN1454" s="7"/>
      <c r="BO1454" s="7"/>
      <c r="BP1454" s="7"/>
      <c r="BQ1454" s="7"/>
      <c r="BR1454" s="7"/>
      <c r="BS1454" s="7"/>
      <c r="BT1454" s="7"/>
      <c r="BU1454" s="7"/>
      <c r="BV1454" s="7"/>
      <c r="BW1454" s="7"/>
      <c r="BX1454" s="7"/>
      <c r="BY1454" s="7"/>
      <c r="BZ1454" s="7"/>
      <c r="CA1454" s="7"/>
      <c r="CB1454" s="7"/>
      <c r="CC1454" s="7"/>
      <c r="CD1454" s="7"/>
      <c r="CE1454" s="7"/>
      <c r="CF1454" s="7"/>
      <c r="CG1454" s="7"/>
    </row>
    <row r="1455" spans="3:85"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  <c r="AA1455" s="7"/>
      <c r="AB1455" s="7"/>
      <c r="AC1455" s="7"/>
      <c r="AD1455" s="7"/>
      <c r="AF1455" s="7"/>
      <c r="AG1455" s="7"/>
      <c r="AH1455" s="7"/>
      <c r="AI1455" s="7"/>
      <c r="AJ1455" s="7"/>
      <c r="AK1455" s="7"/>
      <c r="AL1455" s="7"/>
      <c r="AM1455" s="7"/>
      <c r="AN1455" s="7"/>
      <c r="AO1455" s="7"/>
      <c r="AP1455" s="7"/>
      <c r="AQ1455" s="7"/>
      <c r="AR1455" s="7"/>
      <c r="AS1455" s="7"/>
      <c r="AT1455" s="7"/>
      <c r="AU1455" s="7"/>
      <c r="AV1455" s="7"/>
      <c r="AW1455" s="7"/>
      <c r="AX1455" s="7"/>
      <c r="AY1455" s="7"/>
      <c r="AZ1455" s="7"/>
      <c r="BA1455" s="7"/>
      <c r="BB1455" s="7"/>
      <c r="BC1455" s="7"/>
      <c r="BD1455" s="7"/>
      <c r="BE1455" s="7"/>
      <c r="BF1455" s="7"/>
      <c r="BG1455" s="7"/>
      <c r="BH1455" s="7"/>
      <c r="BI1455" s="7"/>
      <c r="BJ1455" s="7"/>
      <c r="BK1455" s="7"/>
      <c r="BL1455" s="7"/>
      <c r="BM1455" s="7"/>
      <c r="BN1455" s="7"/>
      <c r="BO1455" s="7"/>
      <c r="BP1455" s="7"/>
      <c r="BQ1455" s="7"/>
      <c r="BR1455" s="7"/>
      <c r="BS1455" s="7"/>
      <c r="BT1455" s="7"/>
      <c r="BU1455" s="7"/>
      <c r="BV1455" s="7"/>
      <c r="BW1455" s="7"/>
      <c r="BX1455" s="7"/>
      <c r="BY1455" s="7"/>
      <c r="BZ1455" s="7"/>
      <c r="CA1455" s="7"/>
      <c r="CB1455" s="7"/>
      <c r="CC1455" s="7"/>
      <c r="CD1455" s="7"/>
      <c r="CE1455" s="7"/>
      <c r="CF1455" s="7"/>
      <c r="CG1455" s="7"/>
    </row>
    <row r="1456" spans="3:85"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  <c r="AA1456" s="7"/>
      <c r="AB1456" s="7"/>
      <c r="AC1456" s="7"/>
      <c r="AD1456" s="7"/>
      <c r="AF1456" s="7"/>
      <c r="AG1456" s="7"/>
      <c r="AH1456" s="7"/>
      <c r="AI1456" s="7"/>
      <c r="AJ1456" s="7"/>
      <c r="AK1456" s="7"/>
      <c r="AL1456" s="7"/>
      <c r="AM1456" s="7"/>
      <c r="AN1456" s="7"/>
      <c r="AO1456" s="7"/>
      <c r="AP1456" s="7"/>
      <c r="AQ1456" s="7"/>
      <c r="AR1456" s="7"/>
      <c r="AS1456" s="7"/>
      <c r="AT1456" s="7"/>
      <c r="AU1456" s="7"/>
      <c r="AV1456" s="7"/>
      <c r="AW1456" s="7"/>
      <c r="AX1456" s="7"/>
      <c r="AY1456" s="7"/>
      <c r="AZ1456" s="7"/>
      <c r="BA1456" s="7"/>
      <c r="BB1456" s="7"/>
      <c r="BC1456" s="7"/>
      <c r="BD1456" s="7"/>
      <c r="BE1456" s="7"/>
      <c r="BF1456" s="7"/>
      <c r="BG1456" s="7"/>
      <c r="BH1456" s="7"/>
      <c r="BI1456" s="7"/>
      <c r="BJ1456" s="7"/>
      <c r="BK1456" s="7"/>
      <c r="BL1456" s="7"/>
      <c r="BM1456" s="7"/>
      <c r="BN1456" s="7"/>
      <c r="BO1456" s="7"/>
      <c r="BP1456" s="7"/>
      <c r="BQ1456" s="7"/>
      <c r="BR1456" s="7"/>
      <c r="BS1456" s="7"/>
      <c r="BT1456" s="7"/>
      <c r="BU1456" s="7"/>
      <c r="BV1456" s="7"/>
      <c r="BW1456" s="7"/>
      <c r="BX1456" s="7"/>
      <c r="BY1456" s="7"/>
      <c r="BZ1456" s="7"/>
      <c r="CA1456" s="7"/>
      <c r="CB1456" s="7"/>
      <c r="CC1456" s="7"/>
      <c r="CD1456" s="7"/>
      <c r="CE1456" s="7"/>
      <c r="CF1456" s="7"/>
      <c r="CG1456" s="7"/>
    </row>
    <row r="1457" spans="3:85"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  <c r="AA1457" s="7"/>
      <c r="AB1457" s="7"/>
      <c r="AC1457" s="7"/>
      <c r="AD1457" s="7"/>
      <c r="AF1457" s="7"/>
      <c r="AG1457" s="7"/>
      <c r="AH1457" s="7"/>
      <c r="AI1457" s="7"/>
      <c r="AJ1457" s="7"/>
      <c r="AK1457" s="7"/>
      <c r="AL1457" s="7"/>
      <c r="AM1457" s="7"/>
      <c r="AN1457" s="7"/>
      <c r="AO1457" s="7"/>
      <c r="AP1457" s="7"/>
      <c r="AQ1457" s="7"/>
      <c r="AR1457" s="7"/>
      <c r="AS1457" s="7"/>
      <c r="AT1457" s="7"/>
      <c r="AU1457" s="7"/>
      <c r="AV1457" s="7"/>
      <c r="AW1457" s="7"/>
      <c r="AX1457" s="7"/>
      <c r="AY1457" s="7"/>
      <c r="AZ1457" s="7"/>
      <c r="BA1457" s="7"/>
      <c r="BB1457" s="7"/>
      <c r="BC1457" s="7"/>
      <c r="BD1457" s="7"/>
      <c r="BE1457" s="7"/>
      <c r="BF1457" s="7"/>
      <c r="BG1457" s="7"/>
      <c r="BH1457" s="7"/>
      <c r="BI1457" s="7"/>
      <c r="BJ1457" s="7"/>
      <c r="BK1457" s="7"/>
      <c r="BL1457" s="7"/>
      <c r="BM1457" s="7"/>
      <c r="BN1457" s="7"/>
      <c r="BO1457" s="7"/>
      <c r="BP1457" s="7"/>
      <c r="BQ1457" s="7"/>
      <c r="BR1457" s="7"/>
      <c r="BS1457" s="7"/>
      <c r="BT1457" s="7"/>
      <c r="BU1457" s="7"/>
      <c r="BV1457" s="7"/>
      <c r="BW1457" s="7"/>
      <c r="BX1457" s="7"/>
      <c r="BY1457" s="7"/>
      <c r="BZ1457" s="7"/>
      <c r="CA1457" s="7"/>
      <c r="CB1457" s="7"/>
      <c r="CC1457" s="7"/>
      <c r="CD1457" s="7"/>
      <c r="CE1457" s="7"/>
      <c r="CF1457" s="7"/>
      <c r="CG1457" s="7"/>
    </row>
    <row r="1458" spans="3:85"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  <c r="AA1458" s="7"/>
      <c r="AB1458" s="7"/>
      <c r="AC1458" s="7"/>
      <c r="AD1458" s="7"/>
      <c r="AF1458" s="7"/>
      <c r="AG1458" s="7"/>
      <c r="AH1458" s="7"/>
      <c r="AI1458" s="7"/>
      <c r="AJ1458" s="7"/>
      <c r="AK1458" s="7"/>
      <c r="AL1458" s="7"/>
      <c r="AM1458" s="7"/>
      <c r="AN1458" s="7"/>
      <c r="AO1458" s="7"/>
      <c r="AP1458" s="7"/>
      <c r="AQ1458" s="7"/>
      <c r="AR1458" s="7"/>
      <c r="AS1458" s="7"/>
      <c r="AT1458" s="7"/>
      <c r="AU1458" s="7"/>
      <c r="AV1458" s="7"/>
      <c r="AW1458" s="7"/>
      <c r="AX1458" s="7"/>
      <c r="AY1458" s="7"/>
      <c r="AZ1458" s="7"/>
      <c r="BA1458" s="7"/>
      <c r="BB1458" s="7"/>
      <c r="BC1458" s="7"/>
      <c r="BD1458" s="7"/>
      <c r="BE1458" s="7"/>
      <c r="BF1458" s="7"/>
      <c r="BG1458" s="7"/>
      <c r="BH1458" s="7"/>
      <c r="BI1458" s="7"/>
      <c r="BJ1458" s="7"/>
      <c r="BK1458" s="7"/>
      <c r="BL1458" s="7"/>
      <c r="BM1458" s="7"/>
      <c r="BN1458" s="7"/>
      <c r="BO1458" s="7"/>
      <c r="BP1458" s="7"/>
      <c r="BQ1458" s="7"/>
      <c r="BR1458" s="7"/>
      <c r="BS1458" s="7"/>
      <c r="BT1458" s="7"/>
      <c r="BU1458" s="7"/>
      <c r="BV1458" s="7"/>
      <c r="BW1458" s="7"/>
      <c r="BX1458" s="7"/>
      <c r="BY1458" s="7"/>
      <c r="BZ1458" s="7"/>
      <c r="CA1458" s="7"/>
      <c r="CB1458" s="7"/>
      <c r="CC1458" s="7"/>
      <c r="CD1458" s="7"/>
      <c r="CE1458" s="7"/>
      <c r="CF1458" s="7"/>
      <c r="CG1458" s="7"/>
    </row>
    <row r="1459" spans="3:85"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  <c r="AA1459" s="7"/>
      <c r="AB1459" s="7"/>
      <c r="AC1459" s="7"/>
      <c r="AD1459" s="7"/>
      <c r="AF1459" s="7"/>
      <c r="AG1459" s="7"/>
      <c r="AH1459" s="7"/>
      <c r="AI1459" s="7"/>
      <c r="AJ1459" s="7"/>
      <c r="AK1459" s="7"/>
      <c r="AL1459" s="7"/>
      <c r="AM1459" s="7"/>
      <c r="AN1459" s="7"/>
      <c r="AO1459" s="7"/>
      <c r="AP1459" s="7"/>
      <c r="AQ1459" s="7"/>
      <c r="AR1459" s="7"/>
      <c r="AS1459" s="7"/>
      <c r="AT1459" s="7"/>
      <c r="AU1459" s="7"/>
      <c r="AV1459" s="7"/>
      <c r="AW1459" s="7"/>
      <c r="AX1459" s="7"/>
      <c r="AY1459" s="7"/>
      <c r="AZ1459" s="7"/>
      <c r="BA1459" s="7"/>
      <c r="BB1459" s="7"/>
      <c r="BC1459" s="7"/>
      <c r="BD1459" s="7"/>
      <c r="BE1459" s="7"/>
      <c r="BF1459" s="7"/>
      <c r="BG1459" s="7"/>
      <c r="BH1459" s="7"/>
      <c r="BI1459" s="7"/>
      <c r="BJ1459" s="7"/>
      <c r="BK1459" s="7"/>
      <c r="BL1459" s="7"/>
      <c r="BM1459" s="7"/>
      <c r="BN1459" s="7"/>
      <c r="BO1459" s="7"/>
      <c r="BP1459" s="7"/>
      <c r="BQ1459" s="7"/>
      <c r="BR1459" s="7"/>
      <c r="BS1459" s="7"/>
      <c r="BT1459" s="7"/>
      <c r="BU1459" s="7"/>
      <c r="BV1459" s="7"/>
      <c r="BW1459" s="7"/>
      <c r="BX1459" s="7"/>
      <c r="BY1459" s="7"/>
      <c r="BZ1459" s="7"/>
      <c r="CA1459" s="7"/>
      <c r="CB1459" s="7"/>
      <c r="CC1459" s="7"/>
      <c r="CD1459" s="7"/>
      <c r="CE1459" s="7"/>
      <c r="CF1459" s="7"/>
      <c r="CG1459" s="7"/>
    </row>
    <row r="1460" spans="3:85"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  <c r="AA1460" s="7"/>
      <c r="AB1460" s="7"/>
      <c r="AC1460" s="7"/>
      <c r="AD1460" s="7"/>
      <c r="AF1460" s="7"/>
      <c r="AG1460" s="7"/>
      <c r="AH1460" s="7"/>
      <c r="AI1460" s="7"/>
      <c r="AJ1460" s="7"/>
      <c r="AK1460" s="7"/>
      <c r="AL1460" s="7"/>
      <c r="AM1460" s="7"/>
      <c r="AN1460" s="7"/>
      <c r="AO1460" s="7"/>
      <c r="AP1460" s="7"/>
      <c r="AQ1460" s="7"/>
      <c r="AR1460" s="7"/>
      <c r="AS1460" s="7"/>
      <c r="AT1460" s="7"/>
      <c r="AU1460" s="7"/>
      <c r="AV1460" s="7"/>
      <c r="AW1460" s="7"/>
      <c r="AX1460" s="7"/>
      <c r="AY1460" s="7"/>
      <c r="AZ1460" s="7"/>
      <c r="BA1460" s="7"/>
      <c r="BB1460" s="7"/>
      <c r="BC1460" s="7"/>
      <c r="BD1460" s="7"/>
      <c r="BE1460" s="7"/>
      <c r="BF1460" s="7"/>
      <c r="BG1460" s="7"/>
      <c r="BH1460" s="7"/>
      <c r="BI1460" s="7"/>
      <c r="BJ1460" s="7"/>
      <c r="BK1460" s="7"/>
      <c r="BL1460" s="7"/>
      <c r="BM1460" s="7"/>
      <c r="BN1460" s="7"/>
      <c r="BO1460" s="7"/>
      <c r="BP1460" s="7"/>
      <c r="BQ1460" s="7"/>
      <c r="BR1460" s="7"/>
      <c r="BS1460" s="7"/>
      <c r="BT1460" s="7"/>
      <c r="BU1460" s="7"/>
      <c r="BV1460" s="7"/>
      <c r="BW1460" s="7"/>
      <c r="BX1460" s="7"/>
      <c r="BY1460" s="7"/>
      <c r="BZ1460" s="7"/>
      <c r="CA1460" s="7"/>
      <c r="CB1460" s="7"/>
      <c r="CC1460" s="7"/>
      <c r="CD1460" s="7"/>
      <c r="CE1460" s="7"/>
      <c r="CF1460" s="7"/>
      <c r="CG1460" s="7"/>
    </row>
    <row r="1461" spans="3:85"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  <c r="AA1461" s="7"/>
      <c r="AB1461" s="7"/>
      <c r="AC1461" s="7"/>
      <c r="AD1461" s="7"/>
      <c r="AF1461" s="7"/>
      <c r="AG1461" s="7"/>
      <c r="AH1461" s="7"/>
      <c r="AI1461" s="7"/>
      <c r="AJ1461" s="7"/>
      <c r="AK1461" s="7"/>
      <c r="AL1461" s="7"/>
      <c r="AM1461" s="7"/>
      <c r="AN1461" s="7"/>
      <c r="AO1461" s="7"/>
      <c r="AP1461" s="7"/>
      <c r="AQ1461" s="7"/>
      <c r="AR1461" s="7"/>
      <c r="AS1461" s="7"/>
      <c r="AT1461" s="7"/>
      <c r="AU1461" s="7"/>
      <c r="AV1461" s="7"/>
      <c r="AW1461" s="7"/>
      <c r="AX1461" s="7"/>
      <c r="AY1461" s="7"/>
      <c r="AZ1461" s="7"/>
      <c r="BA1461" s="7"/>
      <c r="BB1461" s="7"/>
      <c r="BC1461" s="7"/>
      <c r="BD1461" s="7"/>
      <c r="BE1461" s="7"/>
      <c r="BF1461" s="7"/>
      <c r="BG1461" s="7"/>
      <c r="BH1461" s="7"/>
      <c r="BI1461" s="7"/>
      <c r="BJ1461" s="7"/>
      <c r="BK1461" s="7"/>
      <c r="BL1461" s="7"/>
      <c r="BM1461" s="7"/>
      <c r="BN1461" s="7"/>
      <c r="BO1461" s="7"/>
      <c r="BP1461" s="7"/>
      <c r="BQ1461" s="7"/>
      <c r="BR1461" s="7"/>
      <c r="BS1461" s="7"/>
      <c r="BT1461" s="7"/>
      <c r="BU1461" s="7"/>
      <c r="BV1461" s="7"/>
      <c r="BW1461" s="7"/>
      <c r="BX1461" s="7"/>
      <c r="BY1461" s="7"/>
      <c r="BZ1461" s="7"/>
      <c r="CA1461" s="7"/>
      <c r="CB1461" s="7"/>
      <c r="CC1461" s="7"/>
      <c r="CD1461" s="7"/>
      <c r="CE1461" s="7"/>
      <c r="CF1461" s="7"/>
      <c r="CG1461" s="7"/>
    </row>
    <row r="1462" spans="3:85"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  <c r="AA1462" s="7"/>
      <c r="AB1462" s="7"/>
      <c r="AC1462" s="7"/>
      <c r="AD1462" s="7"/>
      <c r="AF1462" s="7"/>
      <c r="AG1462" s="7"/>
      <c r="AH1462" s="7"/>
      <c r="AI1462" s="7"/>
      <c r="AJ1462" s="7"/>
      <c r="AK1462" s="7"/>
      <c r="AL1462" s="7"/>
      <c r="AM1462" s="7"/>
      <c r="AN1462" s="7"/>
      <c r="AO1462" s="7"/>
      <c r="AP1462" s="7"/>
      <c r="AQ1462" s="7"/>
      <c r="AR1462" s="7"/>
      <c r="AS1462" s="7"/>
      <c r="AT1462" s="7"/>
      <c r="AU1462" s="7"/>
      <c r="AV1462" s="7"/>
      <c r="AW1462" s="7"/>
      <c r="AX1462" s="7"/>
      <c r="AY1462" s="7"/>
      <c r="AZ1462" s="7"/>
      <c r="BA1462" s="7"/>
      <c r="BB1462" s="7"/>
      <c r="BC1462" s="7"/>
      <c r="BD1462" s="7"/>
      <c r="BE1462" s="7"/>
      <c r="BF1462" s="7"/>
      <c r="BG1462" s="7"/>
      <c r="BH1462" s="7"/>
      <c r="BI1462" s="7"/>
      <c r="BJ1462" s="7"/>
      <c r="BK1462" s="7"/>
      <c r="BL1462" s="7"/>
      <c r="BM1462" s="7"/>
      <c r="BN1462" s="7"/>
      <c r="BO1462" s="7"/>
      <c r="BP1462" s="7"/>
      <c r="BQ1462" s="7"/>
      <c r="BR1462" s="7"/>
      <c r="BS1462" s="7"/>
      <c r="BT1462" s="7"/>
      <c r="BU1462" s="7"/>
      <c r="BV1462" s="7"/>
      <c r="BW1462" s="7"/>
      <c r="BX1462" s="7"/>
      <c r="BY1462" s="7"/>
      <c r="BZ1462" s="7"/>
      <c r="CA1462" s="7"/>
      <c r="CB1462" s="7"/>
      <c r="CC1462" s="7"/>
      <c r="CD1462" s="7"/>
      <c r="CE1462" s="7"/>
      <c r="CF1462" s="7"/>
      <c r="CG1462" s="7"/>
    </row>
    <row r="1463" spans="3:85"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  <c r="AA1463" s="7"/>
      <c r="AB1463" s="7"/>
      <c r="AC1463" s="7"/>
      <c r="AD1463" s="7"/>
      <c r="AF1463" s="7"/>
      <c r="AG1463" s="7"/>
      <c r="AH1463" s="7"/>
      <c r="AI1463" s="7"/>
      <c r="AJ1463" s="7"/>
      <c r="AK1463" s="7"/>
      <c r="AL1463" s="7"/>
      <c r="AM1463" s="7"/>
      <c r="AN1463" s="7"/>
      <c r="AO1463" s="7"/>
      <c r="AP1463" s="7"/>
      <c r="AQ1463" s="7"/>
      <c r="AR1463" s="7"/>
      <c r="AS1463" s="7"/>
      <c r="AT1463" s="7"/>
      <c r="AU1463" s="7"/>
      <c r="AV1463" s="7"/>
      <c r="AW1463" s="7"/>
      <c r="AX1463" s="7"/>
      <c r="AY1463" s="7"/>
      <c r="AZ1463" s="7"/>
      <c r="BA1463" s="7"/>
      <c r="BB1463" s="7"/>
      <c r="BC1463" s="7"/>
      <c r="BD1463" s="7"/>
      <c r="BE1463" s="7"/>
      <c r="BF1463" s="7"/>
      <c r="BG1463" s="7"/>
      <c r="BH1463" s="7"/>
      <c r="BI1463" s="7"/>
      <c r="BJ1463" s="7"/>
      <c r="BK1463" s="7"/>
      <c r="BL1463" s="7"/>
      <c r="BM1463" s="7"/>
      <c r="BN1463" s="7"/>
      <c r="BO1463" s="7"/>
      <c r="BP1463" s="7"/>
      <c r="BQ1463" s="7"/>
      <c r="BR1463" s="7"/>
      <c r="BS1463" s="7"/>
      <c r="BT1463" s="7"/>
      <c r="BU1463" s="7"/>
      <c r="BV1463" s="7"/>
      <c r="BW1463" s="7"/>
      <c r="BX1463" s="7"/>
      <c r="BY1463" s="7"/>
      <c r="BZ1463" s="7"/>
      <c r="CA1463" s="7"/>
      <c r="CB1463" s="7"/>
      <c r="CC1463" s="7"/>
      <c r="CD1463" s="7"/>
      <c r="CE1463" s="7"/>
      <c r="CF1463" s="7"/>
      <c r="CG1463" s="7"/>
    </row>
    <row r="1464" spans="3:85"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  <c r="AA1464" s="7"/>
      <c r="AB1464" s="7"/>
      <c r="AC1464" s="7"/>
      <c r="AD1464" s="7"/>
      <c r="AF1464" s="7"/>
      <c r="AG1464" s="7"/>
      <c r="AH1464" s="7"/>
      <c r="AI1464" s="7"/>
      <c r="AJ1464" s="7"/>
      <c r="AK1464" s="7"/>
      <c r="AL1464" s="7"/>
      <c r="AM1464" s="7"/>
      <c r="AN1464" s="7"/>
      <c r="AO1464" s="7"/>
      <c r="AP1464" s="7"/>
      <c r="AQ1464" s="7"/>
      <c r="AR1464" s="7"/>
      <c r="AS1464" s="7"/>
      <c r="AT1464" s="7"/>
      <c r="AU1464" s="7"/>
      <c r="AV1464" s="7"/>
      <c r="AW1464" s="7"/>
      <c r="AX1464" s="7"/>
      <c r="AY1464" s="7"/>
      <c r="AZ1464" s="7"/>
      <c r="BA1464" s="7"/>
      <c r="BB1464" s="7"/>
      <c r="BC1464" s="7"/>
      <c r="BD1464" s="7"/>
      <c r="BE1464" s="7"/>
      <c r="BF1464" s="7"/>
      <c r="BG1464" s="7"/>
      <c r="BH1464" s="7"/>
      <c r="BI1464" s="7"/>
      <c r="BJ1464" s="7"/>
      <c r="BK1464" s="7"/>
      <c r="BL1464" s="7"/>
      <c r="BM1464" s="7"/>
      <c r="BN1464" s="7"/>
      <c r="BO1464" s="7"/>
      <c r="BP1464" s="7"/>
      <c r="BQ1464" s="7"/>
      <c r="BR1464" s="7"/>
      <c r="BS1464" s="7"/>
      <c r="BT1464" s="7"/>
      <c r="BU1464" s="7"/>
      <c r="BV1464" s="7"/>
      <c r="BW1464" s="7"/>
      <c r="BX1464" s="7"/>
      <c r="BY1464" s="7"/>
      <c r="BZ1464" s="7"/>
      <c r="CA1464" s="7"/>
      <c r="CB1464" s="7"/>
      <c r="CC1464" s="7"/>
      <c r="CD1464" s="7"/>
      <c r="CE1464" s="7"/>
      <c r="CF1464" s="7"/>
      <c r="CG1464" s="7"/>
    </row>
    <row r="1465" spans="3:85"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  <c r="AA1465" s="7"/>
      <c r="AB1465" s="7"/>
      <c r="AC1465" s="7"/>
      <c r="AD1465" s="7"/>
      <c r="AF1465" s="7"/>
      <c r="AG1465" s="7"/>
      <c r="AH1465" s="7"/>
      <c r="AI1465" s="7"/>
      <c r="AJ1465" s="7"/>
      <c r="AK1465" s="7"/>
      <c r="AL1465" s="7"/>
      <c r="AM1465" s="7"/>
      <c r="AN1465" s="7"/>
      <c r="AO1465" s="7"/>
      <c r="AP1465" s="7"/>
      <c r="AQ1465" s="7"/>
      <c r="AR1465" s="7"/>
      <c r="AS1465" s="7"/>
      <c r="AT1465" s="7"/>
      <c r="AU1465" s="7"/>
      <c r="AV1465" s="7"/>
      <c r="AW1465" s="7"/>
      <c r="AX1465" s="7"/>
      <c r="AY1465" s="7"/>
      <c r="AZ1465" s="7"/>
      <c r="BA1465" s="7"/>
      <c r="BB1465" s="7"/>
      <c r="BC1465" s="7"/>
      <c r="BD1465" s="7"/>
      <c r="BE1465" s="7"/>
      <c r="BF1465" s="7"/>
      <c r="BG1465" s="7"/>
      <c r="BH1465" s="7"/>
      <c r="BI1465" s="7"/>
      <c r="BJ1465" s="7"/>
      <c r="BK1465" s="7"/>
      <c r="BL1465" s="7"/>
      <c r="BM1465" s="7"/>
      <c r="BN1465" s="7"/>
      <c r="BO1465" s="7"/>
      <c r="BP1465" s="7"/>
      <c r="BQ1465" s="7"/>
      <c r="BR1465" s="7"/>
      <c r="BS1465" s="7"/>
      <c r="BT1465" s="7"/>
      <c r="BU1465" s="7"/>
      <c r="BV1465" s="7"/>
      <c r="BW1465" s="7"/>
      <c r="BX1465" s="7"/>
      <c r="BY1465" s="7"/>
      <c r="BZ1465" s="7"/>
      <c r="CA1465" s="7"/>
      <c r="CB1465" s="7"/>
      <c r="CC1465" s="7"/>
      <c r="CD1465" s="7"/>
      <c r="CE1465" s="7"/>
      <c r="CF1465" s="7"/>
      <c r="CG1465" s="7"/>
    </row>
    <row r="1466" spans="3:85"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  <c r="AA1466" s="7"/>
      <c r="AB1466" s="7"/>
      <c r="AC1466" s="7"/>
      <c r="AD1466" s="7"/>
      <c r="AF1466" s="7"/>
      <c r="AG1466" s="7"/>
      <c r="AH1466" s="7"/>
      <c r="AI1466" s="7"/>
      <c r="AJ1466" s="7"/>
      <c r="AK1466" s="7"/>
      <c r="AL1466" s="7"/>
      <c r="AM1466" s="7"/>
      <c r="AN1466" s="7"/>
      <c r="AO1466" s="7"/>
      <c r="AP1466" s="7"/>
      <c r="AQ1466" s="7"/>
      <c r="AR1466" s="7"/>
      <c r="AS1466" s="7"/>
      <c r="AT1466" s="7"/>
      <c r="AU1466" s="7"/>
      <c r="AV1466" s="7"/>
      <c r="AW1466" s="7"/>
      <c r="AX1466" s="7"/>
      <c r="AY1466" s="7"/>
      <c r="AZ1466" s="7"/>
      <c r="BA1466" s="7"/>
      <c r="BB1466" s="7"/>
      <c r="BC1466" s="7"/>
      <c r="BD1466" s="7"/>
      <c r="BE1466" s="7"/>
      <c r="BF1466" s="7"/>
      <c r="BG1466" s="7"/>
      <c r="BH1466" s="7"/>
      <c r="BI1466" s="7"/>
      <c r="BJ1466" s="7"/>
      <c r="BK1466" s="7"/>
      <c r="BL1466" s="7"/>
      <c r="BM1466" s="7"/>
      <c r="BN1466" s="7"/>
      <c r="BO1466" s="7"/>
      <c r="BP1466" s="7"/>
      <c r="BQ1466" s="7"/>
      <c r="BR1466" s="7"/>
      <c r="BS1466" s="7"/>
      <c r="BT1466" s="7"/>
      <c r="BU1466" s="7"/>
      <c r="BV1466" s="7"/>
      <c r="BW1466" s="7"/>
      <c r="BX1466" s="7"/>
      <c r="BY1466" s="7"/>
      <c r="BZ1466" s="7"/>
      <c r="CA1466" s="7"/>
      <c r="CB1466" s="7"/>
      <c r="CC1466" s="7"/>
      <c r="CD1466" s="7"/>
      <c r="CE1466" s="7"/>
      <c r="CF1466" s="7"/>
      <c r="CG1466" s="7"/>
    </row>
    <row r="1467" spans="3:85"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  <c r="AA1467" s="7"/>
      <c r="AB1467" s="7"/>
      <c r="AC1467" s="7"/>
      <c r="AD1467" s="7"/>
      <c r="AF1467" s="7"/>
      <c r="AG1467" s="7"/>
      <c r="AH1467" s="7"/>
      <c r="AI1467" s="7"/>
      <c r="AJ1467" s="7"/>
      <c r="AK1467" s="7"/>
      <c r="AL1467" s="7"/>
      <c r="AM1467" s="7"/>
      <c r="AN1467" s="7"/>
      <c r="AO1467" s="7"/>
      <c r="AP1467" s="7"/>
      <c r="AQ1467" s="7"/>
      <c r="AR1467" s="7"/>
      <c r="AS1467" s="7"/>
      <c r="AT1467" s="7"/>
      <c r="AU1467" s="7"/>
      <c r="AV1467" s="7"/>
      <c r="AW1467" s="7"/>
      <c r="AX1467" s="7"/>
      <c r="AY1467" s="7"/>
      <c r="AZ1467" s="7"/>
      <c r="BA1467" s="7"/>
      <c r="BB1467" s="7"/>
      <c r="BC1467" s="7"/>
      <c r="BD1467" s="7"/>
      <c r="BE1467" s="7"/>
      <c r="BF1467" s="7"/>
      <c r="BG1467" s="7"/>
      <c r="BH1467" s="7"/>
      <c r="BI1467" s="7"/>
      <c r="BJ1467" s="7"/>
      <c r="BK1467" s="7"/>
      <c r="BL1467" s="7"/>
      <c r="BM1467" s="7"/>
      <c r="BN1467" s="7"/>
      <c r="BO1467" s="7"/>
      <c r="BP1467" s="7"/>
      <c r="BQ1467" s="7"/>
      <c r="BR1467" s="7"/>
      <c r="BS1467" s="7"/>
      <c r="BT1467" s="7"/>
      <c r="BU1467" s="7"/>
      <c r="BV1467" s="7"/>
      <c r="BW1467" s="7"/>
      <c r="BX1467" s="7"/>
      <c r="BY1467" s="7"/>
      <c r="BZ1467" s="7"/>
      <c r="CA1467" s="7"/>
      <c r="CB1467" s="7"/>
      <c r="CC1467" s="7"/>
      <c r="CD1467" s="7"/>
      <c r="CE1467" s="7"/>
      <c r="CF1467" s="7"/>
      <c r="CG1467" s="7"/>
    </row>
    <row r="1468" spans="3:85"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  <c r="AA1468" s="7"/>
      <c r="AB1468" s="7"/>
      <c r="AC1468" s="7"/>
      <c r="AD1468" s="7"/>
      <c r="AF1468" s="7"/>
      <c r="AG1468" s="7"/>
      <c r="AH1468" s="7"/>
      <c r="AI1468" s="7"/>
      <c r="AJ1468" s="7"/>
      <c r="AK1468" s="7"/>
      <c r="AL1468" s="7"/>
      <c r="AM1468" s="7"/>
      <c r="AN1468" s="7"/>
      <c r="AO1468" s="7"/>
      <c r="AP1468" s="7"/>
      <c r="AQ1468" s="7"/>
      <c r="AR1468" s="7"/>
      <c r="AS1468" s="7"/>
      <c r="AT1468" s="7"/>
      <c r="AU1468" s="7"/>
      <c r="AV1468" s="7"/>
      <c r="AW1468" s="7"/>
      <c r="AX1468" s="7"/>
      <c r="AY1468" s="7"/>
      <c r="AZ1468" s="7"/>
      <c r="BA1468" s="7"/>
      <c r="BB1468" s="7"/>
      <c r="BC1468" s="7"/>
      <c r="BD1468" s="7"/>
      <c r="BE1468" s="7"/>
      <c r="BF1468" s="7"/>
      <c r="BG1468" s="7"/>
      <c r="BH1468" s="7"/>
      <c r="BI1468" s="7"/>
      <c r="BJ1468" s="7"/>
      <c r="BK1468" s="7"/>
      <c r="BL1468" s="7"/>
      <c r="BM1468" s="7"/>
      <c r="BN1468" s="7"/>
      <c r="BO1468" s="7"/>
      <c r="BP1468" s="7"/>
      <c r="BQ1468" s="7"/>
      <c r="BR1468" s="7"/>
      <c r="BS1468" s="7"/>
      <c r="BT1468" s="7"/>
      <c r="BU1468" s="7"/>
      <c r="BV1468" s="7"/>
      <c r="BW1468" s="7"/>
      <c r="BX1468" s="7"/>
      <c r="BY1468" s="7"/>
      <c r="BZ1468" s="7"/>
      <c r="CA1468" s="7"/>
      <c r="CB1468" s="7"/>
      <c r="CC1468" s="7"/>
      <c r="CD1468" s="7"/>
      <c r="CE1468" s="7"/>
      <c r="CF1468" s="7"/>
      <c r="CG1468" s="7"/>
    </row>
    <row r="1469" spans="3:85"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  <c r="AA1469" s="7"/>
      <c r="AB1469" s="7"/>
      <c r="AC1469" s="7"/>
      <c r="AD1469" s="7"/>
      <c r="AF1469" s="7"/>
      <c r="AG1469" s="7"/>
      <c r="AH1469" s="7"/>
      <c r="AI1469" s="7"/>
      <c r="AJ1469" s="7"/>
      <c r="AK1469" s="7"/>
      <c r="AL1469" s="7"/>
      <c r="AM1469" s="7"/>
      <c r="AN1469" s="7"/>
      <c r="AO1469" s="7"/>
      <c r="AP1469" s="7"/>
      <c r="AQ1469" s="7"/>
      <c r="AR1469" s="7"/>
      <c r="AS1469" s="7"/>
      <c r="AT1469" s="7"/>
      <c r="AU1469" s="7"/>
      <c r="AV1469" s="7"/>
      <c r="AW1469" s="7"/>
      <c r="AX1469" s="7"/>
      <c r="AY1469" s="7"/>
      <c r="AZ1469" s="7"/>
      <c r="BA1469" s="7"/>
      <c r="BB1469" s="7"/>
      <c r="BC1469" s="7"/>
      <c r="BD1469" s="7"/>
      <c r="BE1469" s="7"/>
      <c r="BF1469" s="7"/>
      <c r="BG1469" s="7"/>
      <c r="BH1469" s="7"/>
      <c r="BI1469" s="7"/>
      <c r="BJ1469" s="7"/>
      <c r="BK1469" s="7"/>
      <c r="BL1469" s="7"/>
      <c r="BM1469" s="7"/>
      <c r="BN1469" s="7"/>
      <c r="BO1469" s="7"/>
      <c r="BP1469" s="7"/>
      <c r="BQ1469" s="7"/>
      <c r="BR1469" s="7"/>
      <c r="BS1469" s="7"/>
      <c r="BT1469" s="7"/>
      <c r="BU1469" s="7"/>
      <c r="BV1469" s="7"/>
      <c r="BW1469" s="7"/>
      <c r="BX1469" s="7"/>
      <c r="BY1469" s="7"/>
      <c r="BZ1469" s="7"/>
      <c r="CA1469" s="7"/>
      <c r="CB1469" s="7"/>
      <c r="CC1469" s="7"/>
      <c r="CD1469" s="7"/>
      <c r="CE1469" s="7"/>
      <c r="CF1469" s="7"/>
      <c r="CG1469" s="7"/>
    </row>
    <row r="1470" spans="3:85"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  <c r="AA1470" s="7"/>
      <c r="AB1470" s="7"/>
      <c r="AC1470" s="7"/>
      <c r="AD1470" s="7"/>
      <c r="AF1470" s="7"/>
      <c r="AG1470" s="7"/>
      <c r="AH1470" s="7"/>
      <c r="AI1470" s="7"/>
      <c r="AJ1470" s="7"/>
      <c r="AK1470" s="7"/>
      <c r="AL1470" s="7"/>
      <c r="AM1470" s="7"/>
      <c r="AN1470" s="7"/>
      <c r="AO1470" s="7"/>
      <c r="AP1470" s="7"/>
      <c r="AQ1470" s="7"/>
      <c r="AR1470" s="7"/>
      <c r="AS1470" s="7"/>
      <c r="AT1470" s="7"/>
      <c r="AU1470" s="7"/>
      <c r="AV1470" s="7"/>
      <c r="AW1470" s="7"/>
      <c r="AX1470" s="7"/>
      <c r="AY1470" s="7"/>
      <c r="AZ1470" s="7"/>
      <c r="BA1470" s="7"/>
      <c r="BB1470" s="7"/>
      <c r="BC1470" s="7"/>
      <c r="BD1470" s="7"/>
      <c r="BE1470" s="7"/>
      <c r="BF1470" s="7"/>
      <c r="BG1470" s="7"/>
      <c r="BH1470" s="7"/>
      <c r="BI1470" s="7"/>
      <c r="BJ1470" s="7"/>
      <c r="BK1470" s="7"/>
      <c r="BL1470" s="7"/>
      <c r="BM1470" s="7"/>
      <c r="BN1470" s="7"/>
      <c r="BO1470" s="7"/>
      <c r="BP1470" s="7"/>
      <c r="BQ1470" s="7"/>
      <c r="BR1470" s="7"/>
      <c r="BS1470" s="7"/>
      <c r="BT1470" s="7"/>
      <c r="BU1470" s="7"/>
      <c r="BV1470" s="7"/>
      <c r="BW1470" s="7"/>
      <c r="BX1470" s="7"/>
      <c r="BY1470" s="7"/>
      <c r="BZ1470" s="7"/>
      <c r="CA1470" s="7"/>
      <c r="CB1470" s="7"/>
      <c r="CC1470" s="7"/>
      <c r="CD1470" s="7"/>
      <c r="CE1470" s="7"/>
      <c r="CF1470" s="7"/>
      <c r="CG1470" s="7"/>
    </row>
    <row r="1471" spans="3:85"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  <c r="AA1471" s="7"/>
      <c r="AB1471" s="7"/>
      <c r="AC1471" s="7"/>
      <c r="AD1471" s="7"/>
      <c r="AF1471" s="7"/>
      <c r="AG1471" s="7"/>
      <c r="AH1471" s="7"/>
      <c r="AI1471" s="7"/>
      <c r="AJ1471" s="7"/>
      <c r="AK1471" s="7"/>
      <c r="AL1471" s="7"/>
      <c r="AM1471" s="7"/>
      <c r="AN1471" s="7"/>
      <c r="AO1471" s="7"/>
      <c r="AP1471" s="7"/>
      <c r="AQ1471" s="7"/>
      <c r="AR1471" s="7"/>
      <c r="AS1471" s="7"/>
      <c r="AT1471" s="7"/>
      <c r="AU1471" s="7"/>
      <c r="AV1471" s="7"/>
      <c r="AW1471" s="7"/>
      <c r="AX1471" s="7"/>
      <c r="AY1471" s="7"/>
      <c r="AZ1471" s="7"/>
      <c r="BA1471" s="7"/>
      <c r="BB1471" s="7"/>
      <c r="BC1471" s="7"/>
      <c r="BD1471" s="7"/>
      <c r="BE1471" s="7"/>
      <c r="BF1471" s="7"/>
      <c r="BG1471" s="7"/>
      <c r="BH1471" s="7"/>
      <c r="BI1471" s="7"/>
      <c r="BJ1471" s="7"/>
      <c r="BK1471" s="7"/>
      <c r="BL1471" s="7"/>
      <c r="BM1471" s="7"/>
      <c r="BN1471" s="7"/>
      <c r="BO1471" s="7"/>
      <c r="BP1471" s="7"/>
      <c r="BQ1471" s="7"/>
      <c r="BR1471" s="7"/>
      <c r="BS1471" s="7"/>
      <c r="BT1471" s="7"/>
      <c r="BU1471" s="7"/>
      <c r="BV1471" s="7"/>
      <c r="BW1471" s="7"/>
      <c r="BX1471" s="7"/>
      <c r="BY1471" s="7"/>
      <c r="BZ1471" s="7"/>
      <c r="CA1471" s="7"/>
      <c r="CB1471" s="7"/>
      <c r="CC1471" s="7"/>
      <c r="CD1471" s="7"/>
      <c r="CE1471" s="7"/>
      <c r="CF1471" s="7"/>
      <c r="CG1471" s="7"/>
    </row>
    <row r="1472" spans="3:85"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  <c r="AA1472" s="7"/>
      <c r="AB1472" s="7"/>
      <c r="AC1472" s="7"/>
      <c r="AD1472" s="7"/>
      <c r="AF1472" s="7"/>
      <c r="AG1472" s="7"/>
      <c r="AH1472" s="7"/>
      <c r="AI1472" s="7"/>
      <c r="AJ1472" s="7"/>
      <c r="AK1472" s="7"/>
      <c r="AL1472" s="7"/>
      <c r="AM1472" s="7"/>
      <c r="AN1472" s="7"/>
      <c r="AO1472" s="7"/>
      <c r="AP1472" s="7"/>
      <c r="AQ1472" s="7"/>
      <c r="AR1472" s="7"/>
      <c r="AS1472" s="7"/>
      <c r="AT1472" s="7"/>
      <c r="AU1472" s="7"/>
      <c r="AV1472" s="7"/>
      <c r="AW1472" s="7"/>
      <c r="AX1472" s="7"/>
      <c r="AY1472" s="7"/>
      <c r="AZ1472" s="7"/>
      <c r="BA1472" s="7"/>
      <c r="BB1472" s="7"/>
      <c r="BC1472" s="7"/>
      <c r="BD1472" s="7"/>
      <c r="BE1472" s="7"/>
      <c r="BF1472" s="7"/>
      <c r="BG1472" s="7"/>
      <c r="BH1472" s="7"/>
      <c r="BI1472" s="7"/>
      <c r="BJ1472" s="7"/>
      <c r="BK1472" s="7"/>
      <c r="BL1472" s="7"/>
      <c r="BM1472" s="7"/>
      <c r="BN1472" s="7"/>
      <c r="BO1472" s="7"/>
      <c r="BP1472" s="7"/>
      <c r="BQ1472" s="7"/>
      <c r="BR1472" s="7"/>
      <c r="BS1472" s="7"/>
      <c r="BT1472" s="7"/>
      <c r="BU1472" s="7"/>
      <c r="BV1472" s="7"/>
      <c r="BW1472" s="7"/>
      <c r="BX1472" s="7"/>
      <c r="BY1472" s="7"/>
      <c r="BZ1472" s="7"/>
      <c r="CA1472" s="7"/>
      <c r="CB1472" s="7"/>
      <c r="CC1472" s="7"/>
      <c r="CD1472" s="7"/>
      <c r="CE1472" s="7"/>
      <c r="CF1472" s="7"/>
      <c r="CG1472" s="7"/>
    </row>
    <row r="1473" spans="3:85"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  <c r="AA1473" s="7"/>
      <c r="AB1473" s="7"/>
      <c r="AC1473" s="7"/>
      <c r="AD1473" s="7"/>
      <c r="AF1473" s="7"/>
      <c r="AG1473" s="7"/>
      <c r="AH1473" s="7"/>
      <c r="AI1473" s="7"/>
      <c r="AJ1473" s="7"/>
      <c r="AK1473" s="7"/>
      <c r="AL1473" s="7"/>
      <c r="AM1473" s="7"/>
      <c r="AN1473" s="7"/>
      <c r="AO1473" s="7"/>
      <c r="AP1473" s="7"/>
      <c r="AQ1473" s="7"/>
      <c r="AR1473" s="7"/>
      <c r="AS1473" s="7"/>
      <c r="AT1473" s="7"/>
      <c r="AU1473" s="7"/>
      <c r="AV1473" s="7"/>
      <c r="AW1473" s="7"/>
      <c r="AX1473" s="7"/>
      <c r="AY1473" s="7"/>
      <c r="AZ1473" s="7"/>
      <c r="BA1473" s="7"/>
      <c r="BB1473" s="7"/>
      <c r="BC1473" s="7"/>
      <c r="BD1473" s="7"/>
      <c r="BE1473" s="7"/>
      <c r="BF1473" s="7"/>
      <c r="BG1473" s="7"/>
      <c r="BH1473" s="7"/>
      <c r="BI1473" s="7"/>
      <c r="BJ1473" s="7"/>
      <c r="BK1473" s="7"/>
      <c r="BL1473" s="7"/>
      <c r="BM1473" s="7"/>
      <c r="BN1473" s="7"/>
      <c r="BO1473" s="7"/>
      <c r="BP1473" s="7"/>
      <c r="BQ1473" s="7"/>
      <c r="BR1473" s="7"/>
      <c r="BS1473" s="7"/>
      <c r="BT1473" s="7"/>
      <c r="BU1473" s="7"/>
      <c r="BV1473" s="7"/>
      <c r="BW1473" s="7"/>
      <c r="BX1473" s="7"/>
      <c r="BY1473" s="7"/>
      <c r="BZ1473" s="7"/>
      <c r="CA1473" s="7"/>
      <c r="CB1473" s="7"/>
      <c r="CC1473" s="7"/>
      <c r="CD1473" s="7"/>
      <c r="CE1473" s="7"/>
      <c r="CF1473" s="7"/>
      <c r="CG1473" s="7"/>
    </row>
    <row r="1474" spans="3:85"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  <c r="AA1474" s="7"/>
      <c r="AB1474" s="7"/>
      <c r="AC1474" s="7"/>
      <c r="AD1474" s="7"/>
      <c r="AF1474" s="7"/>
      <c r="AG1474" s="7"/>
      <c r="AH1474" s="7"/>
      <c r="AI1474" s="7"/>
      <c r="AJ1474" s="7"/>
      <c r="AK1474" s="7"/>
      <c r="AL1474" s="7"/>
      <c r="AM1474" s="7"/>
      <c r="AN1474" s="7"/>
      <c r="AO1474" s="7"/>
      <c r="AP1474" s="7"/>
      <c r="AQ1474" s="7"/>
      <c r="AR1474" s="7"/>
      <c r="AS1474" s="7"/>
      <c r="AT1474" s="7"/>
      <c r="AU1474" s="7"/>
      <c r="AV1474" s="7"/>
      <c r="AW1474" s="7"/>
      <c r="AX1474" s="7"/>
      <c r="AY1474" s="7"/>
      <c r="AZ1474" s="7"/>
      <c r="BA1474" s="7"/>
      <c r="BB1474" s="7"/>
      <c r="BC1474" s="7"/>
      <c r="BD1474" s="7"/>
      <c r="BE1474" s="7"/>
      <c r="BF1474" s="7"/>
      <c r="BG1474" s="7"/>
      <c r="BH1474" s="7"/>
      <c r="BI1474" s="7"/>
      <c r="BJ1474" s="7"/>
      <c r="BK1474" s="7"/>
      <c r="BL1474" s="7"/>
      <c r="BM1474" s="7"/>
      <c r="BN1474" s="7"/>
      <c r="BO1474" s="7"/>
      <c r="BP1474" s="7"/>
      <c r="BQ1474" s="7"/>
      <c r="BR1474" s="7"/>
      <c r="BS1474" s="7"/>
      <c r="BT1474" s="7"/>
      <c r="BU1474" s="7"/>
      <c r="BV1474" s="7"/>
      <c r="BW1474" s="7"/>
      <c r="BX1474" s="7"/>
      <c r="BY1474" s="7"/>
      <c r="BZ1474" s="7"/>
      <c r="CA1474" s="7"/>
      <c r="CB1474" s="7"/>
      <c r="CC1474" s="7"/>
      <c r="CD1474" s="7"/>
      <c r="CE1474" s="7"/>
      <c r="CF1474" s="7"/>
      <c r="CG1474" s="7"/>
    </row>
    <row r="1475" spans="3:85"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  <c r="AA1475" s="7"/>
      <c r="AB1475" s="7"/>
      <c r="AC1475" s="7"/>
      <c r="AD1475" s="7"/>
      <c r="AF1475" s="7"/>
      <c r="AG1475" s="7"/>
      <c r="AH1475" s="7"/>
      <c r="AI1475" s="7"/>
      <c r="AJ1475" s="7"/>
      <c r="AK1475" s="7"/>
      <c r="AL1475" s="7"/>
      <c r="AM1475" s="7"/>
      <c r="AN1475" s="7"/>
      <c r="AO1475" s="7"/>
      <c r="AP1475" s="7"/>
      <c r="AQ1475" s="7"/>
      <c r="AR1475" s="7"/>
      <c r="AS1475" s="7"/>
      <c r="AT1475" s="7"/>
      <c r="AU1475" s="7"/>
      <c r="AV1475" s="7"/>
      <c r="AW1475" s="7"/>
      <c r="AX1475" s="7"/>
      <c r="AY1475" s="7"/>
      <c r="AZ1475" s="7"/>
      <c r="BA1475" s="7"/>
      <c r="BB1475" s="7"/>
      <c r="BC1475" s="7"/>
      <c r="BD1475" s="7"/>
      <c r="BE1475" s="7"/>
      <c r="BF1475" s="7"/>
      <c r="BG1475" s="7"/>
      <c r="BH1475" s="7"/>
      <c r="BI1475" s="7"/>
      <c r="BJ1475" s="7"/>
      <c r="BK1475" s="7"/>
      <c r="BL1475" s="7"/>
      <c r="BM1475" s="7"/>
      <c r="BN1475" s="7"/>
      <c r="BO1475" s="7"/>
      <c r="BP1475" s="7"/>
      <c r="BQ1475" s="7"/>
      <c r="BR1475" s="7"/>
      <c r="BS1475" s="7"/>
      <c r="BT1475" s="7"/>
      <c r="BU1475" s="7"/>
      <c r="BV1475" s="7"/>
      <c r="BW1475" s="7"/>
      <c r="BX1475" s="7"/>
      <c r="BY1475" s="7"/>
      <c r="BZ1475" s="7"/>
      <c r="CA1475" s="7"/>
      <c r="CB1475" s="7"/>
      <c r="CC1475" s="7"/>
      <c r="CD1475" s="7"/>
      <c r="CE1475" s="7"/>
      <c r="CF1475" s="7"/>
      <c r="CG1475" s="7"/>
    </row>
    <row r="1476" spans="3:85"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  <c r="AA1476" s="7"/>
      <c r="AB1476" s="7"/>
      <c r="AC1476" s="7"/>
      <c r="AD1476" s="7"/>
      <c r="AF1476" s="7"/>
      <c r="AG1476" s="7"/>
      <c r="AH1476" s="7"/>
      <c r="AI1476" s="7"/>
      <c r="AJ1476" s="7"/>
      <c r="AK1476" s="7"/>
      <c r="AL1476" s="7"/>
      <c r="AM1476" s="7"/>
      <c r="AN1476" s="7"/>
      <c r="AO1476" s="7"/>
      <c r="AP1476" s="7"/>
      <c r="AQ1476" s="7"/>
      <c r="AR1476" s="7"/>
      <c r="AS1476" s="7"/>
      <c r="AT1476" s="7"/>
      <c r="AU1476" s="7"/>
      <c r="AV1476" s="7"/>
      <c r="AW1476" s="7"/>
      <c r="AX1476" s="7"/>
      <c r="AY1476" s="7"/>
      <c r="AZ1476" s="7"/>
      <c r="BA1476" s="7"/>
      <c r="BB1476" s="7"/>
      <c r="BC1476" s="7"/>
      <c r="BD1476" s="7"/>
      <c r="BE1476" s="7"/>
      <c r="BF1476" s="7"/>
      <c r="BG1476" s="7"/>
      <c r="BH1476" s="7"/>
      <c r="BI1476" s="7"/>
      <c r="BJ1476" s="7"/>
      <c r="BK1476" s="7"/>
      <c r="BL1476" s="7"/>
      <c r="BM1476" s="7"/>
      <c r="BN1476" s="7"/>
      <c r="BO1476" s="7"/>
      <c r="BP1476" s="7"/>
      <c r="BQ1476" s="7"/>
      <c r="BR1476" s="7"/>
      <c r="BS1476" s="7"/>
      <c r="BT1476" s="7"/>
      <c r="BU1476" s="7"/>
      <c r="BV1476" s="7"/>
      <c r="BW1476" s="7"/>
      <c r="BX1476" s="7"/>
      <c r="BY1476" s="7"/>
      <c r="BZ1476" s="7"/>
      <c r="CA1476" s="7"/>
      <c r="CB1476" s="7"/>
      <c r="CC1476" s="7"/>
      <c r="CD1476" s="7"/>
      <c r="CE1476" s="7"/>
      <c r="CF1476" s="7"/>
      <c r="CG1476" s="7"/>
    </row>
    <row r="1477" spans="3:85"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  <c r="AA1477" s="7"/>
      <c r="AB1477" s="7"/>
      <c r="AC1477" s="7"/>
      <c r="AD1477" s="7"/>
      <c r="AF1477" s="7"/>
      <c r="AG1477" s="7"/>
      <c r="AH1477" s="7"/>
      <c r="AI1477" s="7"/>
      <c r="AJ1477" s="7"/>
      <c r="AK1477" s="7"/>
      <c r="AL1477" s="7"/>
      <c r="AM1477" s="7"/>
      <c r="AN1477" s="7"/>
      <c r="AO1477" s="7"/>
      <c r="AP1477" s="7"/>
      <c r="AQ1477" s="7"/>
      <c r="AR1477" s="7"/>
      <c r="AS1477" s="7"/>
      <c r="AT1477" s="7"/>
      <c r="AU1477" s="7"/>
      <c r="AV1477" s="7"/>
      <c r="AW1477" s="7"/>
      <c r="AX1477" s="7"/>
      <c r="AY1477" s="7"/>
      <c r="AZ1477" s="7"/>
      <c r="BA1477" s="7"/>
      <c r="BB1477" s="7"/>
      <c r="BC1477" s="7"/>
      <c r="BD1477" s="7"/>
      <c r="BE1477" s="7"/>
      <c r="BF1477" s="7"/>
      <c r="BG1477" s="7"/>
      <c r="BH1477" s="7"/>
      <c r="BI1477" s="7"/>
      <c r="BJ1477" s="7"/>
      <c r="BK1477" s="7"/>
      <c r="BL1477" s="7"/>
      <c r="BM1477" s="7"/>
      <c r="BN1477" s="7"/>
      <c r="BO1477" s="7"/>
      <c r="BP1477" s="7"/>
      <c r="BQ1477" s="7"/>
      <c r="BR1477" s="7"/>
      <c r="BS1477" s="7"/>
      <c r="BT1477" s="7"/>
      <c r="BU1477" s="7"/>
      <c r="BV1477" s="7"/>
      <c r="BW1477" s="7"/>
      <c r="BX1477" s="7"/>
      <c r="BY1477" s="7"/>
      <c r="BZ1477" s="7"/>
      <c r="CA1477" s="7"/>
      <c r="CB1477" s="7"/>
      <c r="CC1477" s="7"/>
      <c r="CD1477" s="7"/>
      <c r="CE1477" s="7"/>
      <c r="CF1477" s="7"/>
      <c r="CG1477" s="7"/>
    </row>
    <row r="1478" spans="3:85"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  <c r="AA1478" s="7"/>
      <c r="AB1478" s="7"/>
      <c r="AC1478" s="7"/>
      <c r="AD1478" s="7"/>
      <c r="AF1478" s="7"/>
      <c r="AG1478" s="7"/>
      <c r="AH1478" s="7"/>
      <c r="AI1478" s="7"/>
      <c r="AJ1478" s="7"/>
      <c r="AK1478" s="7"/>
      <c r="AL1478" s="7"/>
      <c r="AM1478" s="7"/>
      <c r="AN1478" s="7"/>
      <c r="AO1478" s="7"/>
      <c r="AP1478" s="7"/>
      <c r="AQ1478" s="7"/>
      <c r="AR1478" s="7"/>
      <c r="AS1478" s="7"/>
      <c r="AT1478" s="7"/>
      <c r="AU1478" s="7"/>
      <c r="AV1478" s="7"/>
      <c r="AW1478" s="7"/>
      <c r="AX1478" s="7"/>
      <c r="AY1478" s="7"/>
      <c r="AZ1478" s="7"/>
      <c r="BA1478" s="7"/>
      <c r="BB1478" s="7"/>
      <c r="BC1478" s="7"/>
      <c r="BD1478" s="7"/>
      <c r="BE1478" s="7"/>
      <c r="BF1478" s="7"/>
      <c r="BG1478" s="7"/>
      <c r="BH1478" s="7"/>
      <c r="BI1478" s="7"/>
      <c r="BJ1478" s="7"/>
      <c r="BK1478" s="7"/>
      <c r="BL1478" s="7"/>
      <c r="BM1478" s="7"/>
      <c r="BN1478" s="7"/>
      <c r="BO1478" s="7"/>
      <c r="BP1478" s="7"/>
      <c r="BQ1478" s="7"/>
      <c r="BR1478" s="7"/>
      <c r="BS1478" s="7"/>
      <c r="BT1478" s="7"/>
      <c r="BU1478" s="7"/>
      <c r="BV1478" s="7"/>
      <c r="BW1478" s="7"/>
      <c r="BX1478" s="7"/>
      <c r="BY1478" s="7"/>
      <c r="BZ1478" s="7"/>
      <c r="CA1478" s="7"/>
      <c r="CB1478" s="7"/>
      <c r="CC1478" s="7"/>
      <c r="CD1478" s="7"/>
      <c r="CE1478" s="7"/>
      <c r="CF1478" s="7"/>
      <c r="CG1478" s="7"/>
    </row>
    <row r="1479" spans="3:85"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  <c r="AA1479" s="7"/>
      <c r="AB1479" s="7"/>
      <c r="AC1479" s="7"/>
      <c r="AD1479" s="7"/>
      <c r="AF1479" s="7"/>
      <c r="AG1479" s="7"/>
      <c r="AH1479" s="7"/>
      <c r="AI1479" s="7"/>
      <c r="AJ1479" s="7"/>
      <c r="AK1479" s="7"/>
      <c r="AL1479" s="7"/>
      <c r="AM1479" s="7"/>
      <c r="AN1479" s="7"/>
      <c r="AO1479" s="7"/>
      <c r="AP1479" s="7"/>
      <c r="AQ1479" s="7"/>
      <c r="AR1479" s="7"/>
      <c r="AS1479" s="7"/>
      <c r="AT1479" s="7"/>
      <c r="AU1479" s="7"/>
      <c r="AV1479" s="7"/>
      <c r="AW1479" s="7"/>
      <c r="AX1479" s="7"/>
      <c r="AY1479" s="7"/>
      <c r="AZ1479" s="7"/>
      <c r="BA1479" s="7"/>
      <c r="BB1479" s="7"/>
      <c r="BC1479" s="7"/>
      <c r="BD1479" s="7"/>
      <c r="BE1479" s="7"/>
      <c r="BF1479" s="7"/>
      <c r="BG1479" s="7"/>
      <c r="BH1479" s="7"/>
      <c r="BI1479" s="7"/>
      <c r="BJ1479" s="7"/>
      <c r="BK1479" s="7"/>
      <c r="BL1479" s="7"/>
      <c r="BM1479" s="7"/>
      <c r="BN1479" s="7"/>
      <c r="BO1479" s="7"/>
      <c r="BP1479" s="7"/>
      <c r="BQ1479" s="7"/>
      <c r="BR1479" s="7"/>
      <c r="BS1479" s="7"/>
      <c r="BT1479" s="7"/>
      <c r="BU1479" s="7"/>
      <c r="BV1479" s="7"/>
      <c r="BW1479" s="7"/>
      <c r="BX1479" s="7"/>
      <c r="BY1479" s="7"/>
      <c r="BZ1479" s="7"/>
      <c r="CA1479" s="7"/>
      <c r="CB1479" s="7"/>
      <c r="CC1479" s="7"/>
      <c r="CD1479" s="7"/>
      <c r="CE1479" s="7"/>
      <c r="CF1479" s="7"/>
      <c r="CG1479" s="7"/>
    </row>
    <row r="1480" spans="3:85"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  <c r="AA1480" s="7"/>
      <c r="AB1480" s="7"/>
      <c r="AC1480" s="7"/>
      <c r="AD1480" s="7"/>
      <c r="AF1480" s="7"/>
      <c r="AG1480" s="7"/>
      <c r="AH1480" s="7"/>
      <c r="AI1480" s="7"/>
      <c r="AJ1480" s="7"/>
      <c r="AK1480" s="7"/>
      <c r="AL1480" s="7"/>
      <c r="AM1480" s="7"/>
      <c r="AN1480" s="7"/>
      <c r="AO1480" s="7"/>
      <c r="AP1480" s="7"/>
      <c r="AQ1480" s="7"/>
      <c r="AR1480" s="7"/>
      <c r="AS1480" s="7"/>
      <c r="AT1480" s="7"/>
      <c r="AU1480" s="7"/>
      <c r="AV1480" s="7"/>
      <c r="AW1480" s="7"/>
      <c r="AX1480" s="7"/>
      <c r="AY1480" s="7"/>
      <c r="AZ1480" s="7"/>
      <c r="BA1480" s="7"/>
      <c r="BB1480" s="7"/>
      <c r="BC1480" s="7"/>
      <c r="BD1480" s="7"/>
      <c r="BE1480" s="7"/>
      <c r="BF1480" s="7"/>
      <c r="BG1480" s="7"/>
      <c r="BH1480" s="7"/>
      <c r="BI1480" s="7"/>
      <c r="BJ1480" s="7"/>
      <c r="BK1480" s="7"/>
      <c r="BL1480" s="7"/>
      <c r="BM1480" s="7"/>
      <c r="BN1480" s="7"/>
      <c r="BO1480" s="7"/>
      <c r="BP1480" s="7"/>
      <c r="BQ1480" s="7"/>
      <c r="BR1480" s="7"/>
      <c r="BS1480" s="7"/>
      <c r="BT1480" s="7"/>
      <c r="BU1480" s="7"/>
      <c r="BV1480" s="7"/>
      <c r="BW1480" s="7"/>
      <c r="BX1480" s="7"/>
      <c r="BY1480" s="7"/>
      <c r="BZ1480" s="7"/>
      <c r="CA1480" s="7"/>
      <c r="CB1480" s="7"/>
      <c r="CC1480" s="7"/>
      <c r="CD1480" s="7"/>
      <c r="CE1480" s="7"/>
      <c r="CF1480" s="7"/>
      <c r="CG1480" s="7"/>
    </row>
    <row r="1481" spans="3:85"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  <c r="AA1481" s="7"/>
      <c r="AB1481" s="7"/>
      <c r="AC1481" s="7"/>
      <c r="AD1481" s="7"/>
      <c r="AF1481" s="7"/>
      <c r="AG1481" s="7"/>
      <c r="AH1481" s="7"/>
      <c r="AI1481" s="7"/>
      <c r="AJ1481" s="7"/>
      <c r="AK1481" s="7"/>
      <c r="AL1481" s="7"/>
      <c r="AM1481" s="7"/>
      <c r="AN1481" s="7"/>
      <c r="AO1481" s="7"/>
      <c r="AP1481" s="7"/>
      <c r="AQ1481" s="7"/>
      <c r="AR1481" s="7"/>
      <c r="AS1481" s="7"/>
      <c r="AT1481" s="7"/>
      <c r="AU1481" s="7"/>
      <c r="AV1481" s="7"/>
      <c r="AW1481" s="7"/>
      <c r="AX1481" s="7"/>
      <c r="AY1481" s="7"/>
      <c r="AZ1481" s="7"/>
      <c r="BA1481" s="7"/>
      <c r="BB1481" s="7"/>
      <c r="BC1481" s="7"/>
      <c r="BD1481" s="7"/>
      <c r="BE1481" s="7"/>
      <c r="BF1481" s="7"/>
      <c r="BG1481" s="7"/>
      <c r="BH1481" s="7"/>
      <c r="BI1481" s="7"/>
      <c r="BJ1481" s="7"/>
      <c r="BK1481" s="7"/>
      <c r="BL1481" s="7"/>
      <c r="BM1481" s="7"/>
      <c r="BN1481" s="7"/>
      <c r="BO1481" s="7"/>
      <c r="BP1481" s="7"/>
      <c r="BQ1481" s="7"/>
      <c r="BR1481" s="7"/>
      <c r="BS1481" s="7"/>
      <c r="BT1481" s="7"/>
      <c r="BU1481" s="7"/>
      <c r="BV1481" s="7"/>
      <c r="BW1481" s="7"/>
      <c r="BX1481" s="7"/>
      <c r="BY1481" s="7"/>
      <c r="BZ1481" s="7"/>
      <c r="CA1481" s="7"/>
      <c r="CB1481" s="7"/>
      <c r="CC1481" s="7"/>
      <c r="CD1481" s="7"/>
      <c r="CE1481" s="7"/>
      <c r="CF1481" s="7"/>
      <c r="CG1481" s="7"/>
    </row>
    <row r="1482" spans="3:85"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  <c r="AA1482" s="7"/>
      <c r="AB1482" s="7"/>
      <c r="AC1482" s="7"/>
      <c r="AD1482" s="7"/>
      <c r="AF1482" s="7"/>
      <c r="AG1482" s="7"/>
      <c r="AH1482" s="7"/>
      <c r="AI1482" s="7"/>
      <c r="AJ1482" s="7"/>
      <c r="AK1482" s="7"/>
      <c r="AL1482" s="7"/>
      <c r="AM1482" s="7"/>
      <c r="AN1482" s="7"/>
      <c r="AO1482" s="7"/>
      <c r="AP1482" s="7"/>
      <c r="AQ1482" s="7"/>
      <c r="AR1482" s="7"/>
      <c r="AS1482" s="7"/>
      <c r="AT1482" s="7"/>
      <c r="AU1482" s="7"/>
      <c r="AV1482" s="7"/>
      <c r="AW1482" s="7"/>
      <c r="AX1482" s="7"/>
      <c r="AY1482" s="7"/>
      <c r="AZ1482" s="7"/>
      <c r="BA1482" s="7"/>
      <c r="BB1482" s="7"/>
      <c r="BC1482" s="7"/>
      <c r="BD1482" s="7"/>
      <c r="BE1482" s="7"/>
      <c r="BF1482" s="7"/>
      <c r="BG1482" s="7"/>
      <c r="BH1482" s="7"/>
      <c r="BI1482" s="7"/>
      <c r="BJ1482" s="7"/>
      <c r="BK1482" s="7"/>
      <c r="BL1482" s="7"/>
      <c r="BM1482" s="7"/>
      <c r="BN1482" s="7"/>
      <c r="BO1482" s="7"/>
      <c r="BP1482" s="7"/>
      <c r="BQ1482" s="7"/>
      <c r="BR1482" s="7"/>
      <c r="BS1482" s="7"/>
      <c r="BT1482" s="7"/>
      <c r="BU1482" s="7"/>
      <c r="BV1482" s="7"/>
      <c r="BW1482" s="7"/>
      <c r="BX1482" s="7"/>
      <c r="BY1482" s="7"/>
      <c r="BZ1482" s="7"/>
      <c r="CA1482" s="7"/>
      <c r="CB1482" s="7"/>
      <c r="CC1482" s="7"/>
      <c r="CD1482" s="7"/>
      <c r="CE1482" s="7"/>
      <c r="CF1482" s="7"/>
      <c r="CG1482" s="7"/>
    </row>
    <row r="1483" spans="3:85"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  <c r="AA1483" s="7"/>
      <c r="AB1483" s="7"/>
      <c r="AC1483" s="7"/>
      <c r="AD1483" s="7"/>
      <c r="AF1483" s="7"/>
      <c r="AG1483" s="7"/>
      <c r="AH1483" s="7"/>
      <c r="AI1483" s="7"/>
      <c r="AJ1483" s="7"/>
      <c r="AK1483" s="7"/>
      <c r="AL1483" s="7"/>
      <c r="AM1483" s="7"/>
      <c r="AN1483" s="7"/>
      <c r="AO1483" s="7"/>
      <c r="AP1483" s="7"/>
      <c r="AQ1483" s="7"/>
      <c r="AR1483" s="7"/>
      <c r="AS1483" s="7"/>
      <c r="AT1483" s="7"/>
      <c r="AU1483" s="7"/>
      <c r="AV1483" s="7"/>
      <c r="AW1483" s="7"/>
      <c r="AX1483" s="7"/>
      <c r="AY1483" s="7"/>
      <c r="AZ1483" s="7"/>
      <c r="BA1483" s="7"/>
      <c r="BB1483" s="7"/>
      <c r="BC1483" s="7"/>
      <c r="BD1483" s="7"/>
      <c r="BE1483" s="7"/>
      <c r="BF1483" s="7"/>
      <c r="BG1483" s="7"/>
      <c r="BH1483" s="7"/>
      <c r="BI1483" s="7"/>
      <c r="BJ1483" s="7"/>
      <c r="BK1483" s="7"/>
      <c r="BL1483" s="7"/>
      <c r="BM1483" s="7"/>
      <c r="BN1483" s="7"/>
      <c r="BO1483" s="7"/>
      <c r="BP1483" s="7"/>
      <c r="BQ1483" s="7"/>
      <c r="BR1483" s="7"/>
      <c r="BS1483" s="7"/>
      <c r="BT1483" s="7"/>
      <c r="BU1483" s="7"/>
      <c r="BV1483" s="7"/>
      <c r="BW1483" s="7"/>
      <c r="BX1483" s="7"/>
      <c r="BY1483" s="7"/>
      <c r="BZ1483" s="7"/>
      <c r="CA1483" s="7"/>
      <c r="CB1483" s="7"/>
      <c r="CC1483" s="7"/>
      <c r="CD1483" s="7"/>
      <c r="CE1483" s="7"/>
      <c r="CF1483" s="7"/>
      <c r="CG1483" s="7"/>
    </row>
    <row r="1484" spans="3:85"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  <c r="AA1484" s="7"/>
      <c r="AB1484" s="7"/>
      <c r="AC1484" s="7"/>
      <c r="AD1484" s="7"/>
      <c r="AF1484" s="7"/>
      <c r="AG1484" s="7"/>
      <c r="AH1484" s="7"/>
      <c r="AI1484" s="7"/>
      <c r="AJ1484" s="7"/>
      <c r="AK1484" s="7"/>
      <c r="AL1484" s="7"/>
      <c r="AM1484" s="7"/>
      <c r="AN1484" s="7"/>
      <c r="AO1484" s="7"/>
      <c r="AP1484" s="7"/>
      <c r="AQ1484" s="7"/>
      <c r="AR1484" s="7"/>
      <c r="AS1484" s="7"/>
      <c r="AT1484" s="7"/>
      <c r="AU1484" s="7"/>
      <c r="AV1484" s="7"/>
      <c r="AW1484" s="7"/>
      <c r="AX1484" s="7"/>
      <c r="AY1484" s="7"/>
      <c r="AZ1484" s="7"/>
      <c r="BA1484" s="7"/>
      <c r="BB1484" s="7"/>
      <c r="BC1484" s="7"/>
      <c r="BD1484" s="7"/>
      <c r="BE1484" s="7"/>
      <c r="BF1484" s="7"/>
      <c r="BG1484" s="7"/>
      <c r="BH1484" s="7"/>
      <c r="BI1484" s="7"/>
      <c r="BJ1484" s="7"/>
      <c r="BK1484" s="7"/>
      <c r="BL1484" s="7"/>
      <c r="BM1484" s="7"/>
      <c r="BN1484" s="7"/>
      <c r="BO1484" s="7"/>
      <c r="BP1484" s="7"/>
      <c r="BQ1484" s="7"/>
      <c r="BR1484" s="7"/>
      <c r="BS1484" s="7"/>
      <c r="BT1484" s="7"/>
      <c r="BU1484" s="7"/>
      <c r="BV1484" s="7"/>
      <c r="BW1484" s="7"/>
      <c r="BX1484" s="7"/>
      <c r="BY1484" s="7"/>
      <c r="BZ1484" s="7"/>
      <c r="CA1484" s="7"/>
      <c r="CB1484" s="7"/>
      <c r="CC1484" s="7"/>
      <c r="CD1484" s="7"/>
      <c r="CE1484" s="7"/>
      <c r="CF1484" s="7"/>
      <c r="CG1484" s="7"/>
    </row>
    <row r="1485" spans="3:85"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  <c r="AA1485" s="7"/>
      <c r="AB1485" s="7"/>
      <c r="AC1485" s="7"/>
      <c r="AD1485" s="7"/>
      <c r="AF1485" s="7"/>
      <c r="AG1485" s="7"/>
      <c r="AH1485" s="7"/>
      <c r="AI1485" s="7"/>
      <c r="AJ1485" s="7"/>
      <c r="AK1485" s="7"/>
      <c r="AL1485" s="7"/>
      <c r="AM1485" s="7"/>
      <c r="AN1485" s="7"/>
      <c r="AO1485" s="7"/>
      <c r="AP1485" s="7"/>
      <c r="AQ1485" s="7"/>
      <c r="AR1485" s="7"/>
      <c r="AS1485" s="7"/>
      <c r="AT1485" s="7"/>
      <c r="AU1485" s="7"/>
      <c r="AV1485" s="7"/>
      <c r="AW1485" s="7"/>
      <c r="AX1485" s="7"/>
      <c r="AY1485" s="7"/>
      <c r="AZ1485" s="7"/>
      <c r="BA1485" s="7"/>
      <c r="BB1485" s="7"/>
      <c r="BC1485" s="7"/>
      <c r="BD1485" s="7"/>
      <c r="BE1485" s="7"/>
      <c r="BF1485" s="7"/>
      <c r="BG1485" s="7"/>
      <c r="BH1485" s="7"/>
      <c r="BI1485" s="7"/>
      <c r="BJ1485" s="7"/>
      <c r="BK1485" s="7"/>
      <c r="BL1485" s="7"/>
      <c r="BM1485" s="7"/>
      <c r="BN1485" s="7"/>
      <c r="BO1485" s="7"/>
      <c r="BP1485" s="7"/>
      <c r="BQ1485" s="7"/>
      <c r="BR1485" s="7"/>
      <c r="BS1485" s="7"/>
      <c r="BT1485" s="7"/>
      <c r="BU1485" s="7"/>
      <c r="BV1485" s="7"/>
      <c r="BW1485" s="7"/>
      <c r="BX1485" s="7"/>
      <c r="BY1485" s="7"/>
      <c r="BZ1485" s="7"/>
      <c r="CA1485" s="7"/>
      <c r="CB1485" s="7"/>
      <c r="CC1485" s="7"/>
      <c r="CD1485" s="7"/>
      <c r="CE1485" s="7"/>
      <c r="CF1485" s="7"/>
      <c r="CG1485" s="7"/>
    </row>
    <row r="1486" spans="3:85"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  <c r="AA1486" s="7"/>
      <c r="AB1486" s="7"/>
      <c r="AC1486" s="7"/>
      <c r="AD1486" s="7"/>
      <c r="AF1486" s="7"/>
      <c r="AG1486" s="7"/>
      <c r="AH1486" s="7"/>
      <c r="AI1486" s="7"/>
      <c r="AJ1486" s="7"/>
      <c r="AK1486" s="7"/>
      <c r="AL1486" s="7"/>
      <c r="AM1486" s="7"/>
      <c r="AN1486" s="7"/>
      <c r="AO1486" s="7"/>
      <c r="AP1486" s="7"/>
      <c r="AQ1486" s="7"/>
      <c r="AR1486" s="7"/>
      <c r="AS1486" s="7"/>
      <c r="AT1486" s="7"/>
      <c r="AU1486" s="7"/>
      <c r="AV1486" s="7"/>
      <c r="AW1486" s="7"/>
      <c r="AX1486" s="7"/>
      <c r="AY1486" s="7"/>
      <c r="AZ1486" s="7"/>
      <c r="BA1486" s="7"/>
      <c r="BB1486" s="7"/>
      <c r="BC1486" s="7"/>
      <c r="BD1486" s="7"/>
      <c r="BE1486" s="7"/>
      <c r="BF1486" s="7"/>
      <c r="BG1486" s="7"/>
      <c r="BH1486" s="7"/>
      <c r="BI1486" s="7"/>
      <c r="BJ1486" s="7"/>
      <c r="BK1486" s="7"/>
      <c r="BL1486" s="7"/>
      <c r="BM1486" s="7"/>
      <c r="BN1486" s="7"/>
      <c r="BO1486" s="7"/>
      <c r="BP1486" s="7"/>
      <c r="BQ1486" s="7"/>
      <c r="BR1486" s="7"/>
      <c r="BS1486" s="7"/>
      <c r="BT1486" s="7"/>
      <c r="BU1486" s="7"/>
      <c r="BV1486" s="7"/>
      <c r="BW1486" s="7"/>
      <c r="BX1486" s="7"/>
      <c r="BY1486" s="7"/>
      <c r="BZ1486" s="7"/>
      <c r="CA1486" s="7"/>
      <c r="CB1486" s="7"/>
      <c r="CC1486" s="7"/>
      <c r="CD1486" s="7"/>
      <c r="CE1486" s="7"/>
      <c r="CF1486" s="7"/>
      <c r="CG1486" s="7"/>
    </row>
    <row r="1487" spans="3:85"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  <c r="AA1487" s="7"/>
      <c r="AB1487" s="7"/>
      <c r="AC1487" s="7"/>
      <c r="AD1487" s="7"/>
      <c r="AF1487" s="7"/>
      <c r="AG1487" s="7"/>
      <c r="AH1487" s="7"/>
      <c r="AI1487" s="7"/>
      <c r="AJ1487" s="7"/>
      <c r="AK1487" s="7"/>
      <c r="AL1487" s="7"/>
      <c r="AM1487" s="7"/>
      <c r="AN1487" s="7"/>
      <c r="AO1487" s="7"/>
      <c r="AP1487" s="7"/>
      <c r="AQ1487" s="7"/>
      <c r="AR1487" s="7"/>
      <c r="AS1487" s="7"/>
      <c r="AT1487" s="7"/>
      <c r="AU1487" s="7"/>
      <c r="AV1487" s="7"/>
      <c r="AW1487" s="7"/>
      <c r="AX1487" s="7"/>
      <c r="AY1487" s="7"/>
      <c r="AZ1487" s="7"/>
      <c r="BA1487" s="7"/>
      <c r="BB1487" s="7"/>
      <c r="BC1487" s="7"/>
      <c r="BD1487" s="7"/>
      <c r="BE1487" s="7"/>
      <c r="BF1487" s="7"/>
      <c r="BG1487" s="7"/>
      <c r="BH1487" s="7"/>
      <c r="BI1487" s="7"/>
      <c r="BJ1487" s="7"/>
      <c r="BK1487" s="7"/>
      <c r="BL1487" s="7"/>
      <c r="BM1487" s="7"/>
      <c r="BN1487" s="7"/>
      <c r="BO1487" s="7"/>
      <c r="BP1487" s="7"/>
      <c r="BQ1487" s="7"/>
      <c r="BR1487" s="7"/>
      <c r="BS1487" s="7"/>
      <c r="BT1487" s="7"/>
      <c r="BU1487" s="7"/>
      <c r="BV1487" s="7"/>
      <c r="BW1487" s="7"/>
      <c r="BX1487" s="7"/>
      <c r="BY1487" s="7"/>
      <c r="BZ1487" s="7"/>
      <c r="CA1487" s="7"/>
      <c r="CB1487" s="7"/>
      <c r="CC1487" s="7"/>
      <c r="CD1487" s="7"/>
      <c r="CE1487" s="7"/>
      <c r="CF1487" s="7"/>
      <c r="CG1487" s="7"/>
    </row>
    <row r="1488" spans="3:85"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  <c r="AA1488" s="7"/>
      <c r="AB1488" s="7"/>
      <c r="AC1488" s="7"/>
      <c r="AD1488" s="7"/>
      <c r="AF1488" s="7"/>
      <c r="AG1488" s="7"/>
      <c r="AH1488" s="7"/>
      <c r="AI1488" s="7"/>
      <c r="AJ1488" s="7"/>
      <c r="AK1488" s="7"/>
      <c r="AL1488" s="7"/>
      <c r="AM1488" s="7"/>
      <c r="AN1488" s="7"/>
      <c r="AO1488" s="7"/>
      <c r="AP1488" s="7"/>
      <c r="AQ1488" s="7"/>
      <c r="AR1488" s="7"/>
      <c r="AS1488" s="7"/>
      <c r="AT1488" s="7"/>
      <c r="AU1488" s="7"/>
      <c r="AV1488" s="7"/>
      <c r="AW1488" s="7"/>
      <c r="AX1488" s="7"/>
      <c r="AY1488" s="7"/>
      <c r="AZ1488" s="7"/>
      <c r="BA1488" s="7"/>
      <c r="BB1488" s="7"/>
      <c r="BC1488" s="7"/>
      <c r="BD1488" s="7"/>
      <c r="BE1488" s="7"/>
      <c r="BF1488" s="7"/>
      <c r="BG1488" s="7"/>
      <c r="BH1488" s="7"/>
      <c r="BI1488" s="7"/>
      <c r="BJ1488" s="7"/>
      <c r="BK1488" s="7"/>
      <c r="BL1488" s="7"/>
      <c r="BM1488" s="7"/>
      <c r="BN1488" s="7"/>
      <c r="BO1488" s="7"/>
      <c r="BP1488" s="7"/>
      <c r="BQ1488" s="7"/>
      <c r="BR1488" s="7"/>
      <c r="BS1488" s="7"/>
      <c r="BT1488" s="7"/>
      <c r="BU1488" s="7"/>
      <c r="BV1488" s="7"/>
      <c r="BW1488" s="7"/>
      <c r="BX1488" s="7"/>
      <c r="BY1488" s="7"/>
      <c r="BZ1488" s="7"/>
      <c r="CA1488" s="7"/>
      <c r="CB1488" s="7"/>
      <c r="CC1488" s="7"/>
      <c r="CD1488" s="7"/>
      <c r="CE1488" s="7"/>
      <c r="CF1488" s="7"/>
      <c r="CG1488" s="7"/>
    </row>
    <row r="1489" spans="3:85"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  <c r="AA1489" s="7"/>
      <c r="AB1489" s="7"/>
      <c r="AC1489" s="7"/>
      <c r="AD1489" s="7"/>
      <c r="AF1489" s="7"/>
      <c r="AG1489" s="7"/>
      <c r="AH1489" s="7"/>
      <c r="AI1489" s="7"/>
      <c r="AJ1489" s="7"/>
      <c r="AK1489" s="7"/>
      <c r="AL1489" s="7"/>
      <c r="AM1489" s="7"/>
      <c r="AN1489" s="7"/>
      <c r="AO1489" s="7"/>
      <c r="AP1489" s="7"/>
      <c r="AQ1489" s="7"/>
      <c r="AR1489" s="7"/>
      <c r="AS1489" s="7"/>
      <c r="AT1489" s="7"/>
      <c r="AU1489" s="7"/>
      <c r="AV1489" s="7"/>
      <c r="AW1489" s="7"/>
      <c r="AX1489" s="7"/>
      <c r="AY1489" s="7"/>
      <c r="AZ1489" s="7"/>
      <c r="BA1489" s="7"/>
      <c r="BB1489" s="7"/>
      <c r="BC1489" s="7"/>
      <c r="BD1489" s="7"/>
      <c r="BE1489" s="7"/>
      <c r="BF1489" s="7"/>
      <c r="BG1489" s="7"/>
      <c r="BH1489" s="7"/>
      <c r="BI1489" s="7"/>
      <c r="BJ1489" s="7"/>
      <c r="BK1489" s="7"/>
      <c r="BL1489" s="7"/>
      <c r="BM1489" s="7"/>
      <c r="BN1489" s="7"/>
      <c r="BO1489" s="7"/>
      <c r="BP1489" s="7"/>
      <c r="BQ1489" s="7"/>
      <c r="BR1489" s="7"/>
      <c r="BS1489" s="7"/>
      <c r="BT1489" s="7"/>
      <c r="BU1489" s="7"/>
      <c r="BV1489" s="7"/>
      <c r="BW1489" s="7"/>
      <c r="BX1489" s="7"/>
      <c r="BY1489" s="7"/>
      <c r="BZ1489" s="7"/>
      <c r="CA1489" s="7"/>
      <c r="CB1489" s="7"/>
      <c r="CC1489" s="7"/>
      <c r="CD1489" s="7"/>
      <c r="CE1489" s="7"/>
      <c r="CF1489" s="7"/>
      <c r="CG1489" s="7"/>
    </row>
    <row r="1490" spans="3:85"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  <c r="AA1490" s="7"/>
      <c r="AB1490" s="7"/>
      <c r="AC1490" s="7"/>
      <c r="AD1490" s="7"/>
      <c r="AF1490" s="7"/>
      <c r="AG1490" s="7"/>
      <c r="AH1490" s="7"/>
      <c r="AI1490" s="7"/>
      <c r="AJ1490" s="7"/>
      <c r="AK1490" s="7"/>
      <c r="AL1490" s="7"/>
      <c r="AM1490" s="7"/>
      <c r="AN1490" s="7"/>
      <c r="AO1490" s="7"/>
      <c r="AP1490" s="7"/>
      <c r="AQ1490" s="7"/>
      <c r="AR1490" s="7"/>
      <c r="AS1490" s="7"/>
      <c r="AT1490" s="7"/>
      <c r="AU1490" s="7"/>
      <c r="AV1490" s="7"/>
      <c r="AW1490" s="7"/>
      <c r="AX1490" s="7"/>
      <c r="AY1490" s="7"/>
      <c r="AZ1490" s="7"/>
      <c r="BA1490" s="7"/>
      <c r="BB1490" s="7"/>
      <c r="BC1490" s="7"/>
      <c r="BD1490" s="7"/>
      <c r="BE1490" s="7"/>
      <c r="BF1490" s="7"/>
      <c r="BG1490" s="7"/>
      <c r="BH1490" s="7"/>
      <c r="BI1490" s="7"/>
      <c r="BJ1490" s="7"/>
      <c r="BK1490" s="7"/>
      <c r="BL1490" s="7"/>
      <c r="BM1490" s="7"/>
      <c r="BN1490" s="7"/>
      <c r="BO1490" s="7"/>
      <c r="BP1490" s="7"/>
      <c r="BQ1490" s="7"/>
      <c r="BR1490" s="7"/>
      <c r="BS1490" s="7"/>
      <c r="BT1490" s="7"/>
      <c r="BU1490" s="7"/>
      <c r="BV1490" s="7"/>
      <c r="BW1490" s="7"/>
      <c r="BX1490" s="7"/>
      <c r="BY1490" s="7"/>
      <c r="BZ1490" s="7"/>
      <c r="CA1490" s="7"/>
      <c r="CB1490" s="7"/>
      <c r="CC1490" s="7"/>
      <c r="CD1490" s="7"/>
      <c r="CE1490" s="7"/>
      <c r="CF1490" s="7"/>
      <c r="CG1490" s="7"/>
    </row>
    <row r="1491" spans="3:85"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  <c r="AA1491" s="7"/>
      <c r="AB1491" s="7"/>
      <c r="AC1491" s="7"/>
      <c r="AD1491" s="7"/>
      <c r="AF1491" s="7"/>
      <c r="AG1491" s="7"/>
      <c r="AH1491" s="7"/>
      <c r="AI1491" s="7"/>
      <c r="AJ1491" s="7"/>
      <c r="AK1491" s="7"/>
      <c r="AL1491" s="7"/>
      <c r="AM1491" s="7"/>
      <c r="AN1491" s="7"/>
      <c r="AO1491" s="7"/>
      <c r="AP1491" s="7"/>
      <c r="AQ1491" s="7"/>
      <c r="AR1491" s="7"/>
      <c r="AS1491" s="7"/>
      <c r="AT1491" s="7"/>
      <c r="AU1491" s="7"/>
      <c r="AV1491" s="7"/>
      <c r="AW1491" s="7"/>
      <c r="AX1491" s="7"/>
      <c r="AY1491" s="7"/>
      <c r="AZ1491" s="7"/>
      <c r="BA1491" s="7"/>
      <c r="BB1491" s="7"/>
      <c r="BC1491" s="7"/>
      <c r="BD1491" s="7"/>
      <c r="BE1491" s="7"/>
      <c r="BF1491" s="7"/>
      <c r="BG1491" s="7"/>
      <c r="BH1491" s="7"/>
      <c r="BI1491" s="7"/>
      <c r="BJ1491" s="7"/>
      <c r="BK1491" s="7"/>
      <c r="BL1491" s="7"/>
      <c r="BM1491" s="7"/>
      <c r="BN1491" s="7"/>
      <c r="BO1491" s="7"/>
      <c r="BP1491" s="7"/>
      <c r="BQ1491" s="7"/>
      <c r="BR1491" s="7"/>
      <c r="BS1491" s="7"/>
      <c r="BT1491" s="7"/>
      <c r="BU1491" s="7"/>
      <c r="BV1491" s="7"/>
      <c r="BW1491" s="7"/>
      <c r="BX1491" s="7"/>
      <c r="BY1491" s="7"/>
      <c r="BZ1491" s="7"/>
      <c r="CA1491" s="7"/>
      <c r="CB1491" s="7"/>
      <c r="CC1491" s="7"/>
      <c r="CD1491" s="7"/>
      <c r="CE1491" s="7"/>
      <c r="CF1491" s="7"/>
      <c r="CG1491" s="7"/>
    </row>
    <row r="1492" spans="3:85"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  <c r="AA1492" s="7"/>
      <c r="AB1492" s="7"/>
      <c r="AC1492" s="7"/>
      <c r="AD1492" s="7"/>
      <c r="AF1492" s="7"/>
      <c r="AG1492" s="7"/>
      <c r="AH1492" s="7"/>
      <c r="AI1492" s="7"/>
      <c r="AJ1492" s="7"/>
      <c r="AK1492" s="7"/>
      <c r="AL1492" s="7"/>
      <c r="AM1492" s="7"/>
      <c r="AN1492" s="7"/>
      <c r="AO1492" s="7"/>
      <c r="AP1492" s="7"/>
      <c r="AQ1492" s="7"/>
      <c r="AR1492" s="7"/>
      <c r="AS1492" s="7"/>
      <c r="AT1492" s="7"/>
      <c r="AU1492" s="7"/>
      <c r="AV1492" s="7"/>
      <c r="AW1492" s="7"/>
      <c r="AX1492" s="7"/>
      <c r="AY1492" s="7"/>
      <c r="AZ1492" s="7"/>
      <c r="BA1492" s="7"/>
      <c r="BB1492" s="7"/>
      <c r="BC1492" s="7"/>
      <c r="BD1492" s="7"/>
      <c r="BE1492" s="7"/>
      <c r="BF1492" s="7"/>
      <c r="BG1492" s="7"/>
      <c r="BH1492" s="7"/>
      <c r="BI1492" s="7"/>
      <c r="BJ1492" s="7"/>
      <c r="BK1492" s="7"/>
      <c r="BL1492" s="7"/>
      <c r="BM1492" s="7"/>
      <c r="BN1492" s="7"/>
      <c r="BO1492" s="7"/>
      <c r="BP1492" s="7"/>
      <c r="BQ1492" s="7"/>
      <c r="BR1492" s="7"/>
      <c r="BS1492" s="7"/>
      <c r="BT1492" s="7"/>
      <c r="BU1492" s="7"/>
      <c r="BV1492" s="7"/>
      <c r="BW1492" s="7"/>
      <c r="BX1492" s="7"/>
      <c r="BY1492" s="7"/>
      <c r="BZ1492" s="7"/>
      <c r="CA1492" s="7"/>
      <c r="CB1492" s="7"/>
      <c r="CC1492" s="7"/>
      <c r="CD1492" s="7"/>
      <c r="CE1492" s="7"/>
      <c r="CF1492" s="7"/>
      <c r="CG1492" s="7"/>
    </row>
    <row r="1493" spans="3:85"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  <c r="AA1493" s="7"/>
      <c r="AB1493" s="7"/>
      <c r="AC1493" s="7"/>
      <c r="AD1493" s="7"/>
      <c r="AF1493" s="7"/>
      <c r="AG1493" s="7"/>
      <c r="AH1493" s="7"/>
      <c r="AI1493" s="7"/>
      <c r="AJ1493" s="7"/>
      <c r="AK1493" s="7"/>
      <c r="AL1493" s="7"/>
      <c r="AM1493" s="7"/>
      <c r="AN1493" s="7"/>
      <c r="AO1493" s="7"/>
      <c r="AP1493" s="7"/>
      <c r="AQ1493" s="7"/>
      <c r="AR1493" s="7"/>
      <c r="AS1493" s="7"/>
      <c r="AT1493" s="7"/>
      <c r="AU1493" s="7"/>
      <c r="AV1493" s="7"/>
      <c r="AW1493" s="7"/>
      <c r="AX1493" s="7"/>
      <c r="AY1493" s="7"/>
      <c r="AZ1493" s="7"/>
      <c r="BA1493" s="7"/>
      <c r="BB1493" s="7"/>
      <c r="BC1493" s="7"/>
      <c r="BD1493" s="7"/>
      <c r="BE1493" s="7"/>
      <c r="BF1493" s="7"/>
      <c r="BG1493" s="7"/>
      <c r="BH1493" s="7"/>
      <c r="BI1493" s="7"/>
      <c r="BJ1493" s="7"/>
      <c r="BK1493" s="7"/>
      <c r="BL1493" s="7"/>
      <c r="BM1493" s="7"/>
      <c r="BN1493" s="7"/>
      <c r="BO1493" s="7"/>
      <c r="BP1493" s="7"/>
      <c r="BQ1493" s="7"/>
      <c r="BR1493" s="7"/>
      <c r="BS1493" s="7"/>
      <c r="BT1493" s="7"/>
      <c r="BU1493" s="7"/>
      <c r="BV1493" s="7"/>
      <c r="BW1493" s="7"/>
      <c r="BX1493" s="7"/>
      <c r="BY1493" s="7"/>
      <c r="BZ1493" s="7"/>
      <c r="CA1493" s="7"/>
      <c r="CB1493" s="7"/>
      <c r="CC1493" s="7"/>
      <c r="CD1493" s="7"/>
      <c r="CE1493" s="7"/>
      <c r="CF1493" s="7"/>
      <c r="CG1493" s="7"/>
    </row>
    <row r="1494" spans="3:85"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  <c r="AA1494" s="7"/>
      <c r="AB1494" s="7"/>
      <c r="AC1494" s="7"/>
      <c r="AD1494" s="7"/>
      <c r="AF1494" s="7"/>
      <c r="AG1494" s="7"/>
      <c r="AH1494" s="7"/>
      <c r="AI1494" s="7"/>
      <c r="AJ1494" s="7"/>
      <c r="AK1494" s="7"/>
      <c r="AL1494" s="7"/>
      <c r="AM1494" s="7"/>
      <c r="AN1494" s="7"/>
      <c r="AO1494" s="7"/>
      <c r="AP1494" s="7"/>
      <c r="AQ1494" s="7"/>
      <c r="AR1494" s="7"/>
      <c r="AS1494" s="7"/>
      <c r="AT1494" s="7"/>
      <c r="AU1494" s="7"/>
      <c r="AV1494" s="7"/>
      <c r="AW1494" s="7"/>
      <c r="AX1494" s="7"/>
      <c r="AY1494" s="7"/>
      <c r="AZ1494" s="7"/>
      <c r="BA1494" s="7"/>
      <c r="BB1494" s="7"/>
      <c r="BC1494" s="7"/>
      <c r="BD1494" s="7"/>
      <c r="BE1494" s="7"/>
      <c r="BF1494" s="7"/>
      <c r="BG1494" s="7"/>
      <c r="BH1494" s="7"/>
      <c r="BI1494" s="7"/>
      <c r="BJ1494" s="7"/>
      <c r="BK1494" s="7"/>
      <c r="BL1494" s="7"/>
      <c r="BM1494" s="7"/>
      <c r="BN1494" s="7"/>
      <c r="BO1494" s="7"/>
      <c r="BP1494" s="7"/>
      <c r="BQ1494" s="7"/>
      <c r="BR1494" s="7"/>
      <c r="BS1494" s="7"/>
      <c r="BT1494" s="7"/>
      <c r="BU1494" s="7"/>
      <c r="BV1494" s="7"/>
      <c r="BW1494" s="7"/>
      <c r="BX1494" s="7"/>
      <c r="BY1494" s="7"/>
      <c r="BZ1494" s="7"/>
      <c r="CA1494" s="7"/>
      <c r="CB1494" s="7"/>
      <c r="CC1494" s="7"/>
      <c r="CD1494" s="7"/>
      <c r="CE1494" s="7"/>
      <c r="CF1494" s="7"/>
      <c r="CG1494" s="7"/>
    </row>
    <row r="1495" spans="3:85"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  <c r="AA1495" s="7"/>
      <c r="AB1495" s="7"/>
      <c r="AC1495" s="7"/>
      <c r="AD1495" s="7"/>
      <c r="AF1495" s="7"/>
      <c r="AG1495" s="7"/>
      <c r="AH1495" s="7"/>
      <c r="AI1495" s="7"/>
      <c r="AJ1495" s="7"/>
      <c r="AK1495" s="7"/>
      <c r="AL1495" s="7"/>
      <c r="AM1495" s="7"/>
      <c r="AN1495" s="7"/>
      <c r="AO1495" s="7"/>
      <c r="AP1495" s="7"/>
      <c r="AQ1495" s="7"/>
      <c r="AR1495" s="7"/>
      <c r="AS1495" s="7"/>
      <c r="AT1495" s="7"/>
      <c r="AU1495" s="7"/>
      <c r="AV1495" s="7"/>
      <c r="AW1495" s="7"/>
      <c r="AX1495" s="7"/>
      <c r="AY1495" s="7"/>
      <c r="AZ1495" s="7"/>
      <c r="BA1495" s="7"/>
      <c r="BB1495" s="7"/>
      <c r="BC1495" s="7"/>
      <c r="BD1495" s="7"/>
      <c r="BE1495" s="7"/>
      <c r="BF1495" s="7"/>
      <c r="BG1495" s="7"/>
      <c r="BH1495" s="7"/>
      <c r="BI1495" s="7"/>
      <c r="BJ1495" s="7"/>
      <c r="BK1495" s="7"/>
      <c r="BL1495" s="7"/>
      <c r="BM1495" s="7"/>
      <c r="BN1495" s="7"/>
      <c r="BO1495" s="7"/>
      <c r="BP1495" s="7"/>
      <c r="BQ1495" s="7"/>
      <c r="BR1495" s="7"/>
      <c r="BS1495" s="7"/>
      <c r="BT1495" s="7"/>
      <c r="BU1495" s="7"/>
      <c r="BV1495" s="7"/>
      <c r="BW1495" s="7"/>
      <c r="BX1495" s="7"/>
      <c r="BY1495" s="7"/>
      <c r="BZ1495" s="7"/>
      <c r="CA1495" s="7"/>
      <c r="CB1495" s="7"/>
      <c r="CC1495" s="7"/>
      <c r="CD1495" s="7"/>
      <c r="CE1495" s="7"/>
      <c r="CF1495" s="7"/>
      <c r="CG1495" s="7"/>
    </row>
    <row r="1496" spans="3:85"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  <c r="AA1496" s="7"/>
      <c r="AB1496" s="7"/>
      <c r="AC1496" s="7"/>
      <c r="AD1496" s="7"/>
      <c r="AF1496" s="7"/>
      <c r="AG1496" s="7"/>
      <c r="AH1496" s="7"/>
      <c r="AI1496" s="7"/>
      <c r="AJ1496" s="7"/>
      <c r="AK1496" s="7"/>
      <c r="AL1496" s="7"/>
      <c r="AM1496" s="7"/>
      <c r="AN1496" s="7"/>
      <c r="AO1496" s="7"/>
      <c r="AP1496" s="7"/>
      <c r="AQ1496" s="7"/>
      <c r="AR1496" s="7"/>
      <c r="AS1496" s="7"/>
      <c r="AT1496" s="7"/>
      <c r="AU1496" s="7"/>
      <c r="AV1496" s="7"/>
      <c r="AW1496" s="7"/>
      <c r="AX1496" s="7"/>
      <c r="AY1496" s="7"/>
      <c r="AZ1496" s="7"/>
      <c r="BA1496" s="7"/>
      <c r="BB1496" s="7"/>
      <c r="BC1496" s="7"/>
      <c r="BD1496" s="7"/>
      <c r="BE1496" s="7"/>
      <c r="BF1496" s="7"/>
      <c r="BG1496" s="7"/>
      <c r="BH1496" s="7"/>
      <c r="BI1496" s="7"/>
      <c r="BJ1496" s="7"/>
      <c r="BK1496" s="7"/>
      <c r="BL1496" s="7"/>
      <c r="BM1496" s="7"/>
      <c r="BN1496" s="7"/>
      <c r="BO1496" s="7"/>
      <c r="BP1496" s="7"/>
      <c r="BQ1496" s="7"/>
      <c r="BR1496" s="7"/>
      <c r="BS1496" s="7"/>
      <c r="BT1496" s="7"/>
      <c r="BU1496" s="7"/>
      <c r="BV1496" s="7"/>
      <c r="BW1496" s="7"/>
      <c r="BX1496" s="7"/>
      <c r="BY1496" s="7"/>
      <c r="BZ1496" s="7"/>
      <c r="CA1496" s="7"/>
      <c r="CB1496" s="7"/>
      <c r="CC1496" s="7"/>
      <c r="CD1496" s="7"/>
      <c r="CE1496" s="7"/>
      <c r="CF1496" s="7"/>
      <c r="CG1496" s="7"/>
    </row>
    <row r="1497" spans="3:85"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  <c r="AA1497" s="7"/>
      <c r="AB1497" s="7"/>
      <c r="AC1497" s="7"/>
      <c r="AD1497" s="7"/>
      <c r="AF1497" s="7"/>
      <c r="AG1497" s="7"/>
      <c r="AH1497" s="7"/>
      <c r="AI1497" s="7"/>
      <c r="AJ1497" s="7"/>
      <c r="AK1497" s="7"/>
      <c r="AL1497" s="7"/>
      <c r="AM1497" s="7"/>
      <c r="AN1497" s="7"/>
      <c r="AO1497" s="7"/>
      <c r="AP1497" s="7"/>
      <c r="AQ1497" s="7"/>
      <c r="AR1497" s="7"/>
      <c r="AS1497" s="7"/>
      <c r="AT1497" s="7"/>
      <c r="AU1497" s="7"/>
      <c r="AV1497" s="7"/>
      <c r="AW1497" s="7"/>
      <c r="AX1497" s="7"/>
      <c r="AY1497" s="7"/>
      <c r="AZ1497" s="7"/>
      <c r="BA1497" s="7"/>
      <c r="BB1497" s="7"/>
      <c r="BC1497" s="7"/>
      <c r="BD1497" s="7"/>
      <c r="BE1497" s="7"/>
      <c r="BF1497" s="7"/>
      <c r="BG1497" s="7"/>
      <c r="BH1497" s="7"/>
      <c r="BI1497" s="7"/>
      <c r="BJ1497" s="7"/>
      <c r="BK1497" s="7"/>
      <c r="BL1497" s="7"/>
      <c r="BM1497" s="7"/>
      <c r="BN1497" s="7"/>
      <c r="BO1497" s="7"/>
      <c r="BP1497" s="7"/>
      <c r="BQ1497" s="7"/>
      <c r="BR1497" s="7"/>
      <c r="BS1497" s="7"/>
      <c r="BT1497" s="7"/>
      <c r="BU1497" s="7"/>
      <c r="BV1497" s="7"/>
      <c r="BW1497" s="7"/>
      <c r="BX1497" s="7"/>
      <c r="BY1497" s="7"/>
      <c r="BZ1497" s="7"/>
      <c r="CA1497" s="7"/>
      <c r="CB1497" s="7"/>
      <c r="CC1497" s="7"/>
      <c r="CD1497" s="7"/>
      <c r="CE1497" s="7"/>
      <c r="CF1497" s="7"/>
      <c r="CG1497" s="7"/>
    </row>
    <row r="1498" spans="3:85"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  <c r="AA1498" s="7"/>
      <c r="AB1498" s="7"/>
      <c r="AC1498" s="7"/>
      <c r="AD1498" s="7"/>
      <c r="AF1498" s="7"/>
      <c r="AG1498" s="7"/>
      <c r="AH1498" s="7"/>
      <c r="AI1498" s="7"/>
      <c r="AJ1498" s="7"/>
      <c r="AK1498" s="7"/>
      <c r="AL1498" s="7"/>
      <c r="AM1498" s="7"/>
      <c r="AN1498" s="7"/>
      <c r="AO1498" s="7"/>
      <c r="AP1498" s="7"/>
      <c r="AQ1498" s="7"/>
      <c r="AR1498" s="7"/>
      <c r="AS1498" s="7"/>
      <c r="AT1498" s="7"/>
      <c r="AU1498" s="7"/>
      <c r="AV1498" s="7"/>
      <c r="AW1498" s="7"/>
      <c r="AX1498" s="7"/>
      <c r="AY1498" s="7"/>
      <c r="AZ1498" s="7"/>
      <c r="BA1498" s="7"/>
      <c r="BB1498" s="7"/>
      <c r="BC1498" s="7"/>
      <c r="BD1498" s="7"/>
      <c r="BE1498" s="7"/>
      <c r="BF1498" s="7"/>
      <c r="BG1498" s="7"/>
      <c r="BH1498" s="7"/>
      <c r="BI1498" s="7"/>
      <c r="BJ1498" s="7"/>
      <c r="BK1498" s="7"/>
      <c r="BL1498" s="7"/>
      <c r="BM1498" s="7"/>
      <c r="BN1498" s="7"/>
      <c r="BO1498" s="7"/>
      <c r="BP1498" s="7"/>
      <c r="BQ1498" s="7"/>
      <c r="BR1498" s="7"/>
      <c r="BS1498" s="7"/>
      <c r="BT1498" s="7"/>
      <c r="BU1498" s="7"/>
      <c r="BV1498" s="7"/>
      <c r="BW1498" s="7"/>
      <c r="BX1498" s="7"/>
      <c r="BY1498" s="7"/>
      <c r="BZ1498" s="7"/>
      <c r="CA1498" s="7"/>
      <c r="CB1498" s="7"/>
      <c r="CC1498" s="7"/>
      <c r="CD1498" s="7"/>
      <c r="CE1498" s="7"/>
      <c r="CF1498" s="7"/>
      <c r="CG1498" s="7"/>
    </row>
    <row r="1499" spans="3:85"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  <c r="AA1499" s="7"/>
      <c r="AB1499" s="7"/>
      <c r="AC1499" s="7"/>
      <c r="AD1499" s="7"/>
      <c r="AF1499" s="7"/>
      <c r="AG1499" s="7"/>
      <c r="AH1499" s="7"/>
      <c r="AI1499" s="7"/>
      <c r="AJ1499" s="7"/>
      <c r="AK1499" s="7"/>
      <c r="AL1499" s="7"/>
      <c r="AM1499" s="7"/>
      <c r="AN1499" s="7"/>
      <c r="AO1499" s="7"/>
      <c r="AP1499" s="7"/>
      <c r="AQ1499" s="7"/>
      <c r="AR1499" s="7"/>
      <c r="AS1499" s="7"/>
      <c r="AT1499" s="7"/>
      <c r="AU1499" s="7"/>
      <c r="AV1499" s="7"/>
      <c r="AW1499" s="7"/>
      <c r="AX1499" s="7"/>
      <c r="AY1499" s="7"/>
      <c r="AZ1499" s="7"/>
      <c r="BA1499" s="7"/>
      <c r="BB1499" s="7"/>
      <c r="BC1499" s="7"/>
      <c r="BD1499" s="7"/>
      <c r="BE1499" s="7"/>
      <c r="BF1499" s="7"/>
      <c r="BG1499" s="7"/>
      <c r="BH1499" s="7"/>
      <c r="BI1499" s="7"/>
      <c r="BJ1499" s="7"/>
      <c r="BK1499" s="7"/>
      <c r="BL1499" s="7"/>
      <c r="BM1499" s="7"/>
      <c r="BN1499" s="7"/>
      <c r="BO1499" s="7"/>
      <c r="BP1499" s="7"/>
      <c r="BQ1499" s="7"/>
      <c r="BR1499" s="7"/>
      <c r="BS1499" s="7"/>
      <c r="BT1499" s="7"/>
      <c r="BU1499" s="7"/>
      <c r="BV1499" s="7"/>
      <c r="BW1499" s="7"/>
      <c r="BX1499" s="7"/>
      <c r="BY1499" s="7"/>
      <c r="BZ1499" s="7"/>
      <c r="CA1499" s="7"/>
      <c r="CB1499" s="7"/>
      <c r="CC1499" s="7"/>
      <c r="CD1499" s="7"/>
      <c r="CE1499" s="7"/>
      <c r="CF1499" s="7"/>
      <c r="CG1499" s="7"/>
    </row>
    <row r="1500" spans="3:85"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  <c r="AA1500" s="7"/>
      <c r="AB1500" s="7"/>
      <c r="AC1500" s="7"/>
      <c r="AD1500" s="7"/>
      <c r="AF1500" s="7"/>
      <c r="AG1500" s="7"/>
      <c r="AH1500" s="7"/>
      <c r="AI1500" s="7"/>
      <c r="AJ1500" s="7"/>
      <c r="AK1500" s="7"/>
      <c r="AL1500" s="7"/>
      <c r="AM1500" s="7"/>
      <c r="AN1500" s="7"/>
      <c r="AO1500" s="7"/>
      <c r="AP1500" s="7"/>
      <c r="AQ1500" s="7"/>
      <c r="AR1500" s="7"/>
      <c r="AS1500" s="7"/>
      <c r="AT1500" s="7"/>
      <c r="AU1500" s="7"/>
      <c r="AV1500" s="7"/>
      <c r="AW1500" s="7"/>
      <c r="AX1500" s="7"/>
      <c r="AY1500" s="7"/>
      <c r="AZ1500" s="7"/>
      <c r="BA1500" s="7"/>
      <c r="BB1500" s="7"/>
      <c r="BC1500" s="7"/>
      <c r="BD1500" s="7"/>
      <c r="BE1500" s="7"/>
      <c r="BF1500" s="7"/>
      <c r="BG1500" s="7"/>
      <c r="BH1500" s="7"/>
      <c r="BI1500" s="7"/>
      <c r="BJ1500" s="7"/>
      <c r="BK1500" s="7"/>
      <c r="BL1500" s="7"/>
      <c r="BM1500" s="7"/>
      <c r="BN1500" s="7"/>
      <c r="BO1500" s="7"/>
      <c r="BP1500" s="7"/>
      <c r="BQ1500" s="7"/>
      <c r="BR1500" s="7"/>
      <c r="BS1500" s="7"/>
      <c r="BT1500" s="7"/>
      <c r="BU1500" s="7"/>
      <c r="BV1500" s="7"/>
      <c r="BW1500" s="7"/>
      <c r="BX1500" s="7"/>
      <c r="BY1500" s="7"/>
      <c r="BZ1500" s="7"/>
      <c r="CA1500" s="7"/>
      <c r="CB1500" s="7"/>
      <c r="CC1500" s="7"/>
      <c r="CD1500" s="7"/>
      <c r="CE1500" s="7"/>
      <c r="CF1500" s="7"/>
      <c r="CG1500" s="7"/>
    </row>
    <row r="1501" spans="3:85"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  <c r="AA1501" s="7"/>
      <c r="AB1501" s="7"/>
      <c r="AC1501" s="7"/>
      <c r="AD1501" s="7"/>
      <c r="AF1501" s="7"/>
      <c r="AG1501" s="7"/>
      <c r="AH1501" s="7"/>
      <c r="AI1501" s="7"/>
      <c r="AJ1501" s="7"/>
      <c r="AK1501" s="7"/>
      <c r="AL1501" s="7"/>
      <c r="AM1501" s="7"/>
      <c r="AN1501" s="7"/>
      <c r="AO1501" s="7"/>
      <c r="AP1501" s="7"/>
      <c r="AQ1501" s="7"/>
      <c r="AR1501" s="7"/>
      <c r="AS1501" s="7"/>
      <c r="AT1501" s="7"/>
      <c r="AU1501" s="7"/>
      <c r="AV1501" s="7"/>
      <c r="AW1501" s="7"/>
      <c r="AX1501" s="7"/>
      <c r="AY1501" s="7"/>
      <c r="AZ1501" s="7"/>
      <c r="BA1501" s="7"/>
      <c r="BB1501" s="7"/>
      <c r="BC1501" s="7"/>
      <c r="BD1501" s="7"/>
      <c r="BE1501" s="7"/>
      <c r="BF1501" s="7"/>
      <c r="BG1501" s="7"/>
      <c r="BH1501" s="7"/>
      <c r="BI1501" s="7"/>
      <c r="BJ1501" s="7"/>
      <c r="BK1501" s="7"/>
      <c r="BL1501" s="7"/>
      <c r="BM1501" s="7"/>
      <c r="BN1501" s="7"/>
      <c r="BO1501" s="7"/>
      <c r="BP1501" s="7"/>
      <c r="BQ1501" s="7"/>
      <c r="BR1501" s="7"/>
      <c r="BS1501" s="7"/>
      <c r="BT1501" s="7"/>
      <c r="BU1501" s="7"/>
      <c r="BV1501" s="7"/>
      <c r="BW1501" s="7"/>
      <c r="BX1501" s="7"/>
      <c r="BY1501" s="7"/>
      <c r="BZ1501" s="7"/>
      <c r="CA1501" s="7"/>
      <c r="CB1501" s="7"/>
      <c r="CC1501" s="7"/>
      <c r="CD1501" s="7"/>
      <c r="CE1501" s="7"/>
      <c r="CF1501" s="7"/>
      <c r="CG1501" s="7"/>
    </row>
    <row r="1502" spans="3:85"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  <c r="AA1502" s="7"/>
      <c r="AB1502" s="7"/>
      <c r="AC1502" s="7"/>
      <c r="AD1502" s="7"/>
      <c r="AF1502" s="7"/>
      <c r="AG1502" s="7"/>
      <c r="AH1502" s="7"/>
      <c r="AI1502" s="7"/>
      <c r="AJ1502" s="7"/>
      <c r="AK1502" s="7"/>
      <c r="AL1502" s="7"/>
      <c r="AM1502" s="7"/>
      <c r="AN1502" s="7"/>
      <c r="AO1502" s="7"/>
      <c r="AP1502" s="7"/>
      <c r="AQ1502" s="7"/>
      <c r="AR1502" s="7"/>
      <c r="AS1502" s="7"/>
      <c r="AT1502" s="7"/>
      <c r="AU1502" s="7"/>
      <c r="AV1502" s="7"/>
      <c r="AW1502" s="7"/>
      <c r="AX1502" s="7"/>
      <c r="AY1502" s="7"/>
      <c r="AZ1502" s="7"/>
      <c r="BA1502" s="7"/>
      <c r="BB1502" s="7"/>
      <c r="BC1502" s="7"/>
      <c r="BD1502" s="7"/>
      <c r="BE1502" s="7"/>
      <c r="BF1502" s="7"/>
      <c r="BG1502" s="7"/>
      <c r="BH1502" s="7"/>
      <c r="BI1502" s="7"/>
      <c r="BJ1502" s="7"/>
      <c r="BK1502" s="7"/>
      <c r="BL1502" s="7"/>
      <c r="BM1502" s="7"/>
      <c r="BN1502" s="7"/>
      <c r="BO1502" s="7"/>
      <c r="BP1502" s="7"/>
      <c r="BQ1502" s="7"/>
      <c r="BR1502" s="7"/>
      <c r="BS1502" s="7"/>
      <c r="BT1502" s="7"/>
      <c r="BU1502" s="7"/>
      <c r="BV1502" s="7"/>
      <c r="BW1502" s="7"/>
      <c r="BX1502" s="7"/>
      <c r="BY1502" s="7"/>
      <c r="BZ1502" s="7"/>
      <c r="CA1502" s="7"/>
      <c r="CB1502" s="7"/>
      <c r="CC1502" s="7"/>
      <c r="CD1502" s="7"/>
      <c r="CE1502" s="7"/>
      <c r="CF1502" s="7"/>
      <c r="CG1502" s="7"/>
    </row>
    <row r="1503" spans="3:85"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  <c r="AA1503" s="7"/>
      <c r="AB1503" s="7"/>
      <c r="AC1503" s="7"/>
      <c r="AD1503" s="7"/>
      <c r="AF1503" s="7"/>
      <c r="AG1503" s="7"/>
      <c r="AH1503" s="7"/>
      <c r="AI1503" s="7"/>
      <c r="AJ1503" s="7"/>
      <c r="AK1503" s="7"/>
      <c r="AL1503" s="7"/>
      <c r="AM1503" s="7"/>
      <c r="AN1503" s="7"/>
      <c r="AO1503" s="7"/>
      <c r="AP1503" s="7"/>
      <c r="AQ1503" s="7"/>
      <c r="AR1503" s="7"/>
      <c r="AS1503" s="7"/>
      <c r="AT1503" s="7"/>
      <c r="AU1503" s="7"/>
      <c r="AV1503" s="7"/>
      <c r="AW1503" s="7"/>
      <c r="AX1503" s="7"/>
      <c r="AY1503" s="7"/>
      <c r="AZ1503" s="7"/>
      <c r="BA1503" s="7"/>
      <c r="BB1503" s="7"/>
      <c r="BC1503" s="7"/>
      <c r="BD1503" s="7"/>
      <c r="BE1503" s="7"/>
      <c r="BF1503" s="7"/>
      <c r="BG1503" s="7"/>
      <c r="BH1503" s="7"/>
      <c r="BI1503" s="7"/>
      <c r="BJ1503" s="7"/>
      <c r="BK1503" s="7"/>
      <c r="BL1503" s="7"/>
      <c r="BM1503" s="7"/>
      <c r="BN1503" s="7"/>
      <c r="BO1503" s="7"/>
      <c r="BP1503" s="7"/>
      <c r="BQ1503" s="7"/>
      <c r="BR1503" s="7"/>
      <c r="BS1503" s="7"/>
      <c r="BT1503" s="7"/>
      <c r="BU1503" s="7"/>
      <c r="BV1503" s="7"/>
      <c r="BW1503" s="7"/>
      <c r="BX1503" s="7"/>
      <c r="BY1503" s="7"/>
      <c r="BZ1503" s="7"/>
      <c r="CA1503" s="7"/>
      <c r="CB1503" s="7"/>
      <c r="CC1503" s="7"/>
      <c r="CD1503" s="7"/>
      <c r="CE1503" s="7"/>
      <c r="CF1503" s="7"/>
      <c r="CG1503" s="7"/>
    </row>
    <row r="1504" spans="3:85"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  <c r="AA1504" s="7"/>
      <c r="AB1504" s="7"/>
      <c r="AC1504" s="7"/>
      <c r="AD1504" s="7"/>
      <c r="AF1504" s="7"/>
      <c r="AG1504" s="7"/>
      <c r="AH1504" s="7"/>
      <c r="AI1504" s="7"/>
      <c r="AJ1504" s="7"/>
      <c r="AK1504" s="7"/>
      <c r="AL1504" s="7"/>
      <c r="AM1504" s="7"/>
      <c r="AN1504" s="7"/>
      <c r="AO1504" s="7"/>
      <c r="AP1504" s="7"/>
      <c r="AQ1504" s="7"/>
      <c r="AR1504" s="7"/>
      <c r="AS1504" s="7"/>
      <c r="AT1504" s="7"/>
      <c r="AU1504" s="7"/>
      <c r="AV1504" s="7"/>
      <c r="AW1504" s="7"/>
      <c r="AX1504" s="7"/>
      <c r="AY1504" s="7"/>
      <c r="AZ1504" s="7"/>
      <c r="BA1504" s="7"/>
      <c r="BB1504" s="7"/>
      <c r="BC1504" s="7"/>
      <c r="BD1504" s="7"/>
      <c r="BE1504" s="7"/>
      <c r="BF1504" s="7"/>
      <c r="BG1504" s="7"/>
      <c r="BH1504" s="7"/>
      <c r="BI1504" s="7"/>
      <c r="BJ1504" s="7"/>
      <c r="BK1504" s="7"/>
      <c r="BL1504" s="7"/>
      <c r="BM1504" s="7"/>
      <c r="BN1504" s="7"/>
      <c r="BO1504" s="7"/>
      <c r="BP1504" s="7"/>
      <c r="BQ1504" s="7"/>
      <c r="BR1504" s="7"/>
      <c r="BS1504" s="7"/>
      <c r="BT1504" s="7"/>
      <c r="BU1504" s="7"/>
      <c r="BV1504" s="7"/>
      <c r="BW1504" s="7"/>
      <c r="BX1504" s="7"/>
      <c r="BY1504" s="7"/>
      <c r="BZ1504" s="7"/>
      <c r="CA1504" s="7"/>
      <c r="CB1504" s="7"/>
      <c r="CC1504" s="7"/>
      <c r="CD1504" s="7"/>
      <c r="CE1504" s="7"/>
      <c r="CF1504" s="7"/>
      <c r="CG1504" s="7"/>
    </row>
    <row r="1505" spans="3:85"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  <c r="AA1505" s="7"/>
      <c r="AB1505" s="7"/>
      <c r="AC1505" s="7"/>
      <c r="AD1505" s="7"/>
      <c r="AF1505" s="7"/>
      <c r="AG1505" s="7"/>
      <c r="AH1505" s="7"/>
      <c r="AI1505" s="7"/>
      <c r="AJ1505" s="7"/>
      <c r="AK1505" s="7"/>
      <c r="AL1505" s="7"/>
      <c r="AM1505" s="7"/>
      <c r="AN1505" s="7"/>
      <c r="AO1505" s="7"/>
      <c r="AP1505" s="7"/>
      <c r="AQ1505" s="7"/>
      <c r="AR1505" s="7"/>
      <c r="AS1505" s="7"/>
      <c r="AT1505" s="7"/>
      <c r="AU1505" s="7"/>
      <c r="AV1505" s="7"/>
      <c r="AW1505" s="7"/>
      <c r="AX1505" s="7"/>
      <c r="AY1505" s="7"/>
      <c r="AZ1505" s="7"/>
      <c r="BA1505" s="7"/>
      <c r="BB1505" s="7"/>
      <c r="BC1505" s="7"/>
      <c r="BD1505" s="7"/>
      <c r="BE1505" s="7"/>
      <c r="BF1505" s="7"/>
      <c r="BG1505" s="7"/>
      <c r="BH1505" s="7"/>
      <c r="BI1505" s="7"/>
      <c r="BJ1505" s="7"/>
      <c r="BK1505" s="7"/>
      <c r="BL1505" s="7"/>
      <c r="BM1505" s="7"/>
      <c r="BN1505" s="7"/>
      <c r="BO1505" s="7"/>
      <c r="BP1505" s="7"/>
      <c r="BQ1505" s="7"/>
      <c r="BR1505" s="7"/>
      <c r="BS1505" s="7"/>
      <c r="BT1505" s="7"/>
      <c r="BU1505" s="7"/>
      <c r="BV1505" s="7"/>
      <c r="BW1505" s="7"/>
      <c r="BX1505" s="7"/>
      <c r="BY1505" s="7"/>
      <c r="BZ1505" s="7"/>
      <c r="CA1505" s="7"/>
      <c r="CB1505" s="7"/>
      <c r="CC1505" s="7"/>
      <c r="CD1505" s="7"/>
      <c r="CE1505" s="7"/>
      <c r="CF1505" s="7"/>
      <c r="CG1505" s="7"/>
    </row>
    <row r="1506" spans="3:85"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  <c r="AA1506" s="7"/>
      <c r="AB1506" s="7"/>
      <c r="AC1506" s="7"/>
      <c r="AD1506" s="7"/>
      <c r="AF1506" s="7"/>
      <c r="AG1506" s="7"/>
      <c r="AH1506" s="7"/>
      <c r="AI1506" s="7"/>
      <c r="AJ1506" s="7"/>
      <c r="AK1506" s="7"/>
      <c r="AL1506" s="7"/>
      <c r="AM1506" s="7"/>
      <c r="AN1506" s="7"/>
      <c r="AO1506" s="7"/>
      <c r="AP1506" s="7"/>
      <c r="AQ1506" s="7"/>
      <c r="AR1506" s="7"/>
      <c r="AS1506" s="7"/>
      <c r="AT1506" s="7"/>
      <c r="AU1506" s="7"/>
      <c r="AV1506" s="7"/>
      <c r="AW1506" s="7"/>
      <c r="AX1506" s="7"/>
      <c r="AY1506" s="7"/>
      <c r="AZ1506" s="7"/>
      <c r="BA1506" s="7"/>
      <c r="BB1506" s="7"/>
      <c r="BC1506" s="7"/>
      <c r="BD1506" s="7"/>
      <c r="BE1506" s="7"/>
      <c r="BF1506" s="7"/>
      <c r="BG1506" s="7"/>
      <c r="BH1506" s="7"/>
      <c r="BI1506" s="7"/>
      <c r="BJ1506" s="7"/>
      <c r="BK1506" s="7"/>
      <c r="BL1506" s="7"/>
      <c r="BM1506" s="7"/>
      <c r="BN1506" s="7"/>
      <c r="BO1506" s="7"/>
      <c r="BP1506" s="7"/>
      <c r="BQ1506" s="7"/>
      <c r="BR1506" s="7"/>
      <c r="BS1506" s="7"/>
      <c r="BT1506" s="7"/>
      <c r="BU1506" s="7"/>
      <c r="BV1506" s="7"/>
      <c r="BW1506" s="7"/>
      <c r="BX1506" s="7"/>
      <c r="BY1506" s="7"/>
      <c r="BZ1506" s="7"/>
      <c r="CA1506" s="7"/>
      <c r="CB1506" s="7"/>
      <c r="CC1506" s="7"/>
      <c r="CD1506" s="7"/>
      <c r="CE1506" s="7"/>
      <c r="CF1506" s="7"/>
      <c r="CG1506" s="7"/>
    </row>
    <row r="1507" spans="3:85"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  <c r="AA1507" s="7"/>
      <c r="AB1507" s="7"/>
      <c r="AC1507" s="7"/>
      <c r="AD1507" s="7"/>
      <c r="AF1507" s="7"/>
      <c r="AG1507" s="7"/>
      <c r="AH1507" s="7"/>
      <c r="AI1507" s="7"/>
      <c r="AJ1507" s="7"/>
      <c r="AK1507" s="7"/>
      <c r="AL1507" s="7"/>
      <c r="AM1507" s="7"/>
      <c r="AN1507" s="7"/>
      <c r="AO1507" s="7"/>
      <c r="AP1507" s="7"/>
      <c r="AQ1507" s="7"/>
      <c r="AR1507" s="7"/>
      <c r="AS1507" s="7"/>
      <c r="AT1507" s="7"/>
      <c r="AU1507" s="7"/>
      <c r="AV1507" s="7"/>
      <c r="AW1507" s="7"/>
      <c r="AX1507" s="7"/>
      <c r="AY1507" s="7"/>
      <c r="AZ1507" s="7"/>
      <c r="BA1507" s="7"/>
      <c r="BB1507" s="7"/>
      <c r="BC1507" s="7"/>
      <c r="BD1507" s="7"/>
      <c r="BE1507" s="7"/>
      <c r="BF1507" s="7"/>
      <c r="BG1507" s="7"/>
      <c r="BH1507" s="7"/>
      <c r="BI1507" s="7"/>
      <c r="BJ1507" s="7"/>
      <c r="BK1507" s="7"/>
      <c r="BL1507" s="7"/>
      <c r="BM1507" s="7"/>
      <c r="BN1507" s="7"/>
      <c r="BO1507" s="7"/>
      <c r="BP1507" s="7"/>
      <c r="BQ1507" s="7"/>
      <c r="BR1507" s="7"/>
      <c r="BS1507" s="7"/>
      <c r="BT1507" s="7"/>
      <c r="BU1507" s="7"/>
      <c r="BV1507" s="7"/>
      <c r="BW1507" s="7"/>
      <c r="BX1507" s="7"/>
      <c r="BY1507" s="7"/>
      <c r="BZ1507" s="7"/>
      <c r="CA1507" s="7"/>
      <c r="CB1507" s="7"/>
      <c r="CC1507" s="7"/>
      <c r="CD1507" s="7"/>
      <c r="CE1507" s="7"/>
      <c r="CF1507" s="7"/>
      <c r="CG1507" s="7"/>
    </row>
    <row r="1508" spans="3:85"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  <c r="AA1508" s="7"/>
      <c r="AB1508" s="7"/>
      <c r="AC1508" s="7"/>
      <c r="AD1508" s="7"/>
      <c r="AF1508" s="7"/>
      <c r="AG1508" s="7"/>
      <c r="AH1508" s="7"/>
      <c r="AI1508" s="7"/>
      <c r="AJ1508" s="7"/>
      <c r="AK1508" s="7"/>
      <c r="AL1508" s="7"/>
      <c r="AM1508" s="7"/>
      <c r="AN1508" s="7"/>
      <c r="AO1508" s="7"/>
      <c r="AP1508" s="7"/>
      <c r="AQ1508" s="7"/>
      <c r="AR1508" s="7"/>
      <c r="AS1508" s="7"/>
      <c r="AT1508" s="7"/>
      <c r="AU1508" s="7"/>
      <c r="AV1508" s="7"/>
      <c r="AW1508" s="7"/>
      <c r="AX1508" s="7"/>
      <c r="AY1508" s="7"/>
      <c r="AZ1508" s="7"/>
      <c r="BA1508" s="7"/>
      <c r="BB1508" s="7"/>
      <c r="BC1508" s="7"/>
      <c r="BD1508" s="7"/>
      <c r="BE1508" s="7"/>
      <c r="BF1508" s="7"/>
      <c r="BG1508" s="7"/>
      <c r="BH1508" s="7"/>
      <c r="BI1508" s="7"/>
      <c r="BJ1508" s="7"/>
      <c r="BK1508" s="7"/>
      <c r="BL1508" s="7"/>
      <c r="BM1508" s="7"/>
      <c r="BN1508" s="7"/>
      <c r="BO1508" s="7"/>
      <c r="BP1508" s="7"/>
      <c r="BQ1508" s="7"/>
      <c r="BR1508" s="7"/>
      <c r="BS1508" s="7"/>
      <c r="BT1508" s="7"/>
      <c r="BU1508" s="7"/>
      <c r="BV1508" s="7"/>
      <c r="BW1508" s="7"/>
      <c r="BX1508" s="7"/>
      <c r="BY1508" s="7"/>
      <c r="BZ1508" s="7"/>
      <c r="CA1508" s="7"/>
      <c r="CB1508" s="7"/>
      <c r="CC1508" s="7"/>
      <c r="CD1508" s="7"/>
      <c r="CE1508" s="7"/>
      <c r="CF1508" s="7"/>
      <c r="CG1508" s="7"/>
    </row>
    <row r="1509" spans="3:85"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  <c r="AA1509" s="7"/>
      <c r="AB1509" s="7"/>
      <c r="AC1509" s="7"/>
      <c r="AD1509" s="7"/>
      <c r="AF1509" s="7"/>
      <c r="AG1509" s="7"/>
      <c r="AH1509" s="7"/>
      <c r="AI1509" s="7"/>
      <c r="AJ1509" s="7"/>
      <c r="AK1509" s="7"/>
      <c r="AL1509" s="7"/>
      <c r="AM1509" s="7"/>
      <c r="AN1509" s="7"/>
      <c r="AO1509" s="7"/>
      <c r="AP1509" s="7"/>
      <c r="AQ1509" s="7"/>
      <c r="AR1509" s="7"/>
      <c r="AS1509" s="7"/>
      <c r="AT1509" s="7"/>
      <c r="AU1509" s="7"/>
      <c r="AV1509" s="7"/>
      <c r="AW1509" s="7"/>
      <c r="AX1509" s="7"/>
      <c r="AY1509" s="7"/>
      <c r="AZ1509" s="7"/>
      <c r="BA1509" s="7"/>
      <c r="BB1509" s="7"/>
      <c r="BC1509" s="7"/>
      <c r="BD1509" s="7"/>
      <c r="BE1509" s="7"/>
      <c r="BF1509" s="7"/>
      <c r="BG1509" s="7"/>
      <c r="BH1509" s="7"/>
      <c r="BI1509" s="7"/>
      <c r="BJ1509" s="7"/>
      <c r="BK1509" s="7"/>
      <c r="BL1509" s="7"/>
      <c r="BM1509" s="7"/>
      <c r="BN1509" s="7"/>
      <c r="BO1509" s="7"/>
      <c r="BP1509" s="7"/>
      <c r="BQ1509" s="7"/>
      <c r="BR1509" s="7"/>
      <c r="BS1509" s="7"/>
      <c r="BT1509" s="7"/>
      <c r="BU1509" s="7"/>
      <c r="BV1509" s="7"/>
      <c r="BW1509" s="7"/>
      <c r="BX1509" s="7"/>
      <c r="BY1509" s="7"/>
      <c r="BZ1509" s="7"/>
      <c r="CA1509" s="7"/>
      <c r="CB1509" s="7"/>
      <c r="CC1509" s="7"/>
      <c r="CD1509" s="7"/>
      <c r="CE1509" s="7"/>
      <c r="CF1509" s="7"/>
      <c r="CG1509" s="7"/>
    </row>
    <row r="1510" spans="3:85"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  <c r="AA1510" s="7"/>
      <c r="AB1510" s="7"/>
      <c r="AC1510" s="7"/>
      <c r="AD1510" s="7"/>
      <c r="AF1510" s="7"/>
      <c r="AG1510" s="7"/>
      <c r="AH1510" s="7"/>
      <c r="AI1510" s="7"/>
      <c r="AJ1510" s="7"/>
      <c r="AK1510" s="7"/>
      <c r="AL1510" s="7"/>
      <c r="AM1510" s="7"/>
      <c r="AN1510" s="7"/>
      <c r="AO1510" s="7"/>
      <c r="AP1510" s="7"/>
      <c r="AQ1510" s="7"/>
      <c r="AR1510" s="7"/>
      <c r="AS1510" s="7"/>
      <c r="AT1510" s="7"/>
      <c r="AU1510" s="7"/>
      <c r="AV1510" s="7"/>
      <c r="AW1510" s="7"/>
      <c r="AX1510" s="7"/>
      <c r="AY1510" s="7"/>
      <c r="AZ1510" s="7"/>
      <c r="BA1510" s="7"/>
      <c r="BB1510" s="7"/>
      <c r="BC1510" s="7"/>
      <c r="BD1510" s="7"/>
      <c r="BE1510" s="7"/>
      <c r="BF1510" s="7"/>
      <c r="BG1510" s="7"/>
      <c r="BH1510" s="7"/>
      <c r="BI1510" s="7"/>
      <c r="BJ1510" s="7"/>
      <c r="BK1510" s="7"/>
      <c r="BL1510" s="7"/>
      <c r="BM1510" s="7"/>
      <c r="BN1510" s="7"/>
      <c r="BO1510" s="7"/>
      <c r="BP1510" s="7"/>
      <c r="BQ1510" s="7"/>
      <c r="BR1510" s="7"/>
      <c r="BS1510" s="7"/>
      <c r="BT1510" s="7"/>
      <c r="BU1510" s="7"/>
      <c r="BV1510" s="7"/>
      <c r="BW1510" s="7"/>
      <c r="BX1510" s="7"/>
      <c r="BY1510" s="7"/>
      <c r="BZ1510" s="7"/>
      <c r="CA1510" s="7"/>
      <c r="CB1510" s="7"/>
      <c r="CC1510" s="7"/>
      <c r="CD1510" s="7"/>
      <c r="CE1510" s="7"/>
      <c r="CF1510" s="7"/>
      <c r="CG1510" s="7"/>
    </row>
    <row r="1511" spans="3:85"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  <c r="AA1511" s="7"/>
      <c r="AB1511" s="7"/>
      <c r="AC1511" s="7"/>
      <c r="AD1511" s="7"/>
      <c r="AF1511" s="7"/>
      <c r="AG1511" s="7"/>
      <c r="AH1511" s="7"/>
      <c r="AI1511" s="7"/>
      <c r="AJ1511" s="7"/>
      <c r="AK1511" s="7"/>
      <c r="AL1511" s="7"/>
      <c r="AM1511" s="7"/>
      <c r="AN1511" s="7"/>
      <c r="AO1511" s="7"/>
      <c r="AP1511" s="7"/>
      <c r="AQ1511" s="7"/>
      <c r="AR1511" s="7"/>
      <c r="AS1511" s="7"/>
      <c r="AT1511" s="7"/>
      <c r="AU1511" s="7"/>
      <c r="AV1511" s="7"/>
      <c r="AW1511" s="7"/>
      <c r="AX1511" s="7"/>
      <c r="AY1511" s="7"/>
      <c r="AZ1511" s="7"/>
      <c r="BA1511" s="7"/>
      <c r="BB1511" s="7"/>
      <c r="BC1511" s="7"/>
      <c r="BD1511" s="7"/>
      <c r="BE1511" s="7"/>
      <c r="BF1511" s="7"/>
      <c r="BG1511" s="7"/>
      <c r="BH1511" s="7"/>
      <c r="BI1511" s="7"/>
      <c r="BJ1511" s="7"/>
      <c r="BK1511" s="7"/>
      <c r="BL1511" s="7"/>
      <c r="BM1511" s="7"/>
      <c r="BN1511" s="7"/>
      <c r="BO1511" s="7"/>
      <c r="BP1511" s="7"/>
      <c r="BQ1511" s="7"/>
      <c r="BR1511" s="7"/>
      <c r="BS1511" s="7"/>
      <c r="BT1511" s="7"/>
      <c r="BU1511" s="7"/>
      <c r="BV1511" s="7"/>
      <c r="BW1511" s="7"/>
      <c r="BX1511" s="7"/>
      <c r="BY1511" s="7"/>
      <c r="BZ1511" s="7"/>
      <c r="CA1511" s="7"/>
      <c r="CB1511" s="7"/>
      <c r="CC1511" s="7"/>
      <c r="CD1511" s="7"/>
      <c r="CE1511" s="7"/>
      <c r="CF1511" s="7"/>
      <c r="CG1511" s="7"/>
    </row>
    <row r="1512" spans="3:85"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  <c r="AA1512" s="7"/>
      <c r="AB1512" s="7"/>
      <c r="AC1512" s="7"/>
      <c r="AD1512" s="7"/>
      <c r="AF1512" s="7"/>
      <c r="AG1512" s="7"/>
      <c r="AH1512" s="7"/>
      <c r="AI1512" s="7"/>
      <c r="AJ1512" s="7"/>
      <c r="AK1512" s="7"/>
      <c r="AL1512" s="7"/>
      <c r="AM1512" s="7"/>
      <c r="AN1512" s="7"/>
      <c r="AO1512" s="7"/>
      <c r="AP1512" s="7"/>
      <c r="AQ1512" s="7"/>
      <c r="AR1512" s="7"/>
      <c r="AS1512" s="7"/>
      <c r="AT1512" s="7"/>
      <c r="AU1512" s="7"/>
      <c r="AV1512" s="7"/>
      <c r="AW1512" s="7"/>
      <c r="AX1512" s="7"/>
      <c r="AY1512" s="7"/>
      <c r="AZ1512" s="7"/>
      <c r="BA1512" s="7"/>
      <c r="BB1512" s="7"/>
      <c r="BC1512" s="7"/>
      <c r="BD1512" s="7"/>
      <c r="BE1512" s="7"/>
      <c r="BF1512" s="7"/>
      <c r="BG1512" s="7"/>
      <c r="BH1512" s="7"/>
      <c r="BI1512" s="7"/>
      <c r="BJ1512" s="7"/>
      <c r="BK1512" s="7"/>
      <c r="BL1512" s="7"/>
      <c r="BM1512" s="7"/>
      <c r="BN1512" s="7"/>
      <c r="BO1512" s="7"/>
      <c r="BP1512" s="7"/>
      <c r="BQ1512" s="7"/>
      <c r="BR1512" s="7"/>
      <c r="BS1512" s="7"/>
      <c r="BT1512" s="7"/>
      <c r="BU1512" s="7"/>
      <c r="BV1512" s="7"/>
      <c r="BW1512" s="7"/>
      <c r="BX1512" s="7"/>
      <c r="BY1512" s="7"/>
      <c r="BZ1512" s="7"/>
      <c r="CA1512" s="7"/>
      <c r="CB1512" s="7"/>
      <c r="CC1512" s="7"/>
      <c r="CD1512" s="7"/>
      <c r="CE1512" s="7"/>
      <c r="CF1512" s="7"/>
      <c r="CG1512" s="7"/>
    </row>
    <row r="1513" spans="3:85"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  <c r="AA1513" s="7"/>
      <c r="AB1513" s="7"/>
      <c r="AC1513" s="7"/>
      <c r="AD1513" s="7"/>
      <c r="AF1513" s="7"/>
      <c r="AG1513" s="7"/>
      <c r="AH1513" s="7"/>
      <c r="AI1513" s="7"/>
      <c r="AJ1513" s="7"/>
      <c r="AK1513" s="7"/>
      <c r="AL1513" s="7"/>
      <c r="AM1513" s="7"/>
      <c r="AN1513" s="7"/>
      <c r="AO1513" s="7"/>
      <c r="AP1513" s="7"/>
      <c r="AQ1513" s="7"/>
      <c r="AR1513" s="7"/>
      <c r="AS1513" s="7"/>
      <c r="AT1513" s="7"/>
      <c r="AU1513" s="7"/>
      <c r="AV1513" s="7"/>
      <c r="AW1513" s="7"/>
      <c r="AX1513" s="7"/>
      <c r="AY1513" s="7"/>
      <c r="AZ1513" s="7"/>
      <c r="BA1513" s="7"/>
      <c r="BB1513" s="7"/>
      <c r="BC1513" s="7"/>
      <c r="BD1513" s="7"/>
      <c r="BE1513" s="7"/>
      <c r="BF1513" s="7"/>
      <c r="BG1513" s="7"/>
      <c r="BH1513" s="7"/>
      <c r="BI1513" s="7"/>
      <c r="BJ1513" s="7"/>
      <c r="BK1513" s="7"/>
      <c r="BL1513" s="7"/>
      <c r="BM1513" s="7"/>
      <c r="BN1513" s="7"/>
      <c r="BO1513" s="7"/>
      <c r="BP1513" s="7"/>
      <c r="BQ1513" s="7"/>
      <c r="BR1513" s="7"/>
      <c r="BS1513" s="7"/>
      <c r="BT1513" s="7"/>
      <c r="BU1513" s="7"/>
      <c r="BV1513" s="7"/>
      <c r="BW1513" s="7"/>
      <c r="BX1513" s="7"/>
      <c r="BY1513" s="7"/>
      <c r="BZ1513" s="7"/>
      <c r="CA1513" s="7"/>
      <c r="CB1513" s="7"/>
      <c r="CC1513" s="7"/>
      <c r="CD1513" s="7"/>
      <c r="CE1513" s="7"/>
      <c r="CF1513" s="7"/>
      <c r="CG1513" s="7"/>
    </row>
    <row r="1514" spans="3:85"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  <c r="AA1514" s="7"/>
      <c r="AB1514" s="7"/>
      <c r="AC1514" s="7"/>
      <c r="AD1514" s="7"/>
      <c r="AF1514" s="7"/>
      <c r="AG1514" s="7"/>
      <c r="AH1514" s="7"/>
      <c r="AI1514" s="7"/>
      <c r="AJ1514" s="7"/>
      <c r="AK1514" s="7"/>
      <c r="AL1514" s="7"/>
      <c r="AM1514" s="7"/>
      <c r="AN1514" s="7"/>
      <c r="AO1514" s="7"/>
      <c r="AP1514" s="7"/>
      <c r="AQ1514" s="7"/>
      <c r="AR1514" s="7"/>
      <c r="AS1514" s="7"/>
      <c r="AT1514" s="7"/>
      <c r="AU1514" s="7"/>
      <c r="AV1514" s="7"/>
      <c r="AW1514" s="7"/>
      <c r="AX1514" s="7"/>
      <c r="AY1514" s="7"/>
      <c r="AZ1514" s="7"/>
      <c r="BA1514" s="7"/>
      <c r="BB1514" s="7"/>
      <c r="BC1514" s="7"/>
      <c r="BD1514" s="7"/>
      <c r="BE1514" s="7"/>
      <c r="BF1514" s="7"/>
      <c r="BG1514" s="7"/>
      <c r="BH1514" s="7"/>
      <c r="BI1514" s="7"/>
      <c r="BJ1514" s="7"/>
      <c r="BK1514" s="7"/>
      <c r="BL1514" s="7"/>
      <c r="BM1514" s="7"/>
      <c r="BN1514" s="7"/>
      <c r="BO1514" s="7"/>
      <c r="BP1514" s="7"/>
      <c r="BQ1514" s="7"/>
      <c r="BR1514" s="7"/>
      <c r="BS1514" s="7"/>
      <c r="BT1514" s="7"/>
      <c r="BU1514" s="7"/>
      <c r="BV1514" s="7"/>
      <c r="BW1514" s="7"/>
      <c r="BX1514" s="7"/>
      <c r="BY1514" s="7"/>
      <c r="BZ1514" s="7"/>
      <c r="CA1514" s="7"/>
      <c r="CB1514" s="7"/>
      <c r="CC1514" s="7"/>
      <c r="CD1514" s="7"/>
      <c r="CE1514" s="7"/>
      <c r="CF1514" s="7"/>
      <c r="CG1514" s="7"/>
    </row>
    <row r="1515" spans="3:85"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  <c r="AA1515" s="7"/>
      <c r="AB1515" s="7"/>
      <c r="AC1515" s="7"/>
      <c r="AD1515" s="7"/>
      <c r="AF1515" s="7"/>
      <c r="AG1515" s="7"/>
      <c r="AH1515" s="7"/>
      <c r="AI1515" s="7"/>
      <c r="AJ1515" s="7"/>
      <c r="AK1515" s="7"/>
      <c r="AL1515" s="7"/>
      <c r="AM1515" s="7"/>
      <c r="AN1515" s="7"/>
      <c r="AO1515" s="7"/>
      <c r="AP1515" s="7"/>
      <c r="AQ1515" s="7"/>
      <c r="AR1515" s="7"/>
      <c r="AS1515" s="7"/>
      <c r="AT1515" s="7"/>
      <c r="AU1515" s="7"/>
      <c r="AV1515" s="7"/>
      <c r="AW1515" s="7"/>
      <c r="AX1515" s="7"/>
      <c r="AY1515" s="7"/>
      <c r="AZ1515" s="7"/>
      <c r="BA1515" s="7"/>
      <c r="BB1515" s="7"/>
      <c r="BC1515" s="7"/>
      <c r="BD1515" s="7"/>
      <c r="BE1515" s="7"/>
      <c r="BF1515" s="7"/>
      <c r="BG1515" s="7"/>
      <c r="BH1515" s="7"/>
      <c r="BI1515" s="7"/>
      <c r="BJ1515" s="7"/>
      <c r="BK1515" s="7"/>
      <c r="BL1515" s="7"/>
      <c r="BM1515" s="7"/>
      <c r="BN1515" s="7"/>
      <c r="BO1515" s="7"/>
      <c r="BP1515" s="7"/>
      <c r="BQ1515" s="7"/>
      <c r="BR1515" s="7"/>
      <c r="BS1515" s="7"/>
      <c r="BT1515" s="7"/>
      <c r="BU1515" s="7"/>
      <c r="BV1515" s="7"/>
      <c r="BW1515" s="7"/>
      <c r="BX1515" s="7"/>
      <c r="BY1515" s="7"/>
      <c r="BZ1515" s="7"/>
      <c r="CA1515" s="7"/>
      <c r="CB1515" s="7"/>
      <c r="CC1515" s="7"/>
      <c r="CD1515" s="7"/>
      <c r="CE1515" s="7"/>
      <c r="CF1515" s="7"/>
      <c r="CG1515" s="7"/>
    </row>
    <row r="1516" spans="3:85"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  <c r="AA1516" s="7"/>
      <c r="AB1516" s="7"/>
      <c r="AC1516" s="7"/>
      <c r="AD1516" s="7"/>
      <c r="AF1516" s="7"/>
      <c r="AG1516" s="7"/>
      <c r="AH1516" s="7"/>
      <c r="AI1516" s="7"/>
      <c r="AJ1516" s="7"/>
      <c r="AK1516" s="7"/>
      <c r="AL1516" s="7"/>
      <c r="AM1516" s="7"/>
      <c r="AN1516" s="7"/>
      <c r="AO1516" s="7"/>
      <c r="AP1516" s="7"/>
      <c r="AQ1516" s="7"/>
      <c r="AR1516" s="7"/>
      <c r="AS1516" s="7"/>
      <c r="AT1516" s="7"/>
      <c r="AU1516" s="7"/>
      <c r="AV1516" s="7"/>
      <c r="AW1516" s="7"/>
      <c r="AX1516" s="7"/>
      <c r="AY1516" s="7"/>
      <c r="AZ1516" s="7"/>
      <c r="BA1516" s="7"/>
      <c r="BB1516" s="7"/>
      <c r="BC1516" s="7"/>
      <c r="BD1516" s="7"/>
      <c r="BE1516" s="7"/>
      <c r="BF1516" s="7"/>
      <c r="BG1516" s="7"/>
      <c r="BH1516" s="7"/>
      <c r="BI1516" s="7"/>
      <c r="BJ1516" s="7"/>
      <c r="BK1516" s="7"/>
      <c r="BL1516" s="7"/>
      <c r="BM1516" s="7"/>
      <c r="BN1516" s="7"/>
      <c r="BO1516" s="7"/>
      <c r="BP1516" s="7"/>
      <c r="BQ1516" s="7"/>
      <c r="BR1516" s="7"/>
      <c r="BS1516" s="7"/>
      <c r="BT1516" s="7"/>
      <c r="BU1516" s="7"/>
      <c r="BV1516" s="7"/>
      <c r="BW1516" s="7"/>
      <c r="BX1516" s="7"/>
      <c r="BY1516" s="7"/>
      <c r="BZ1516" s="7"/>
      <c r="CA1516" s="7"/>
      <c r="CB1516" s="7"/>
      <c r="CC1516" s="7"/>
      <c r="CD1516" s="7"/>
      <c r="CE1516" s="7"/>
      <c r="CF1516" s="7"/>
      <c r="CG1516" s="7"/>
    </row>
    <row r="1517" spans="3:85"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  <c r="AA1517" s="7"/>
      <c r="AB1517" s="7"/>
      <c r="AC1517" s="7"/>
      <c r="AD1517" s="7"/>
      <c r="AF1517" s="7"/>
      <c r="AG1517" s="7"/>
      <c r="AH1517" s="7"/>
      <c r="AI1517" s="7"/>
      <c r="AJ1517" s="7"/>
      <c r="AK1517" s="7"/>
      <c r="AL1517" s="7"/>
      <c r="AM1517" s="7"/>
      <c r="AN1517" s="7"/>
      <c r="AO1517" s="7"/>
      <c r="AP1517" s="7"/>
      <c r="AQ1517" s="7"/>
      <c r="AR1517" s="7"/>
      <c r="AS1517" s="7"/>
      <c r="AT1517" s="7"/>
      <c r="AU1517" s="7"/>
      <c r="AV1517" s="7"/>
      <c r="AW1517" s="7"/>
      <c r="AX1517" s="7"/>
      <c r="AY1517" s="7"/>
      <c r="AZ1517" s="7"/>
      <c r="BA1517" s="7"/>
      <c r="BB1517" s="7"/>
      <c r="BC1517" s="7"/>
      <c r="BD1517" s="7"/>
      <c r="BE1517" s="7"/>
      <c r="BF1517" s="7"/>
      <c r="BG1517" s="7"/>
      <c r="BH1517" s="7"/>
      <c r="BI1517" s="7"/>
      <c r="BJ1517" s="7"/>
      <c r="BK1517" s="7"/>
      <c r="BL1517" s="7"/>
      <c r="BM1517" s="7"/>
      <c r="BN1517" s="7"/>
      <c r="BO1517" s="7"/>
      <c r="BP1517" s="7"/>
      <c r="BQ1517" s="7"/>
      <c r="BR1517" s="7"/>
      <c r="BS1517" s="7"/>
      <c r="BT1517" s="7"/>
      <c r="BU1517" s="7"/>
      <c r="BV1517" s="7"/>
      <c r="BW1517" s="7"/>
      <c r="BX1517" s="7"/>
      <c r="BY1517" s="7"/>
      <c r="BZ1517" s="7"/>
      <c r="CA1517" s="7"/>
      <c r="CB1517" s="7"/>
      <c r="CC1517" s="7"/>
      <c r="CD1517" s="7"/>
      <c r="CE1517" s="7"/>
      <c r="CF1517" s="7"/>
      <c r="CG1517" s="7"/>
    </row>
    <row r="1518" spans="3:85"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  <c r="AA1518" s="7"/>
      <c r="AB1518" s="7"/>
      <c r="AC1518" s="7"/>
      <c r="AD1518" s="7"/>
      <c r="AF1518" s="7"/>
      <c r="AG1518" s="7"/>
      <c r="AH1518" s="7"/>
      <c r="AI1518" s="7"/>
      <c r="AJ1518" s="7"/>
      <c r="AK1518" s="7"/>
      <c r="AL1518" s="7"/>
      <c r="AM1518" s="7"/>
      <c r="AN1518" s="7"/>
      <c r="AO1518" s="7"/>
      <c r="AP1518" s="7"/>
      <c r="AQ1518" s="7"/>
      <c r="AR1518" s="7"/>
      <c r="AS1518" s="7"/>
      <c r="AT1518" s="7"/>
      <c r="AU1518" s="7"/>
      <c r="AV1518" s="7"/>
      <c r="AW1518" s="7"/>
      <c r="AX1518" s="7"/>
      <c r="AY1518" s="7"/>
      <c r="AZ1518" s="7"/>
      <c r="BA1518" s="7"/>
      <c r="BB1518" s="7"/>
      <c r="BC1518" s="7"/>
      <c r="BD1518" s="7"/>
      <c r="BE1518" s="7"/>
      <c r="BF1518" s="7"/>
      <c r="BG1518" s="7"/>
      <c r="BH1518" s="7"/>
      <c r="BI1518" s="7"/>
      <c r="BJ1518" s="7"/>
      <c r="BK1518" s="7"/>
      <c r="BL1518" s="7"/>
      <c r="BM1518" s="7"/>
      <c r="BN1518" s="7"/>
      <c r="BO1518" s="7"/>
      <c r="BP1518" s="7"/>
      <c r="BQ1518" s="7"/>
      <c r="BR1518" s="7"/>
      <c r="BS1518" s="7"/>
      <c r="BT1518" s="7"/>
      <c r="BU1518" s="7"/>
      <c r="BV1518" s="7"/>
      <c r="BW1518" s="7"/>
      <c r="BX1518" s="7"/>
      <c r="BY1518" s="7"/>
      <c r="BZ1518" s="7"/>
      <c r="CA1518" s="7"/>
      <c r="CB1518" s="7"/>
      <c r="CC1518" s="7"/>
      <c r="CD1518" s="7"/>
      <c r="CE1518" s="7"/>
      <c r="CF1518" s="7"/>
      <c r="CG1518" s="7"/>
    </row>
    <row r="1519" spans="3:85"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  <c r="AA1519" s="7"/>
      <c r="AB1519" s="7"/>
      <c r="AC1519" s="7"/>
      <c r="AD1519" s="7"/>
      <c r="AF1519" s="7"/>
      <c r="AG1519" s="7"/>
      <c r="AH1519" s="7"/>
      <c r="AI1519" s="7"/>
      <c r="AJ1519" s="7"/>
      <c r="AK1519" s="7"/>
      <c r="AL1519" s="7"/>
      <c r="AM1519" s="7"/>
      <c r="AN1519" s="7"/>
      <c r="AO1519" s="7"/>
      <c r="AP1519" s="7"/>
      <c r="AQ1519" s="7"/>
      <c r="AR1519" s="7"/>
      <c r="AS1519" s="7"/>
      <c r="AT1519" s="7"/>
      <c r="AU1519" s="7"/>
      <c r="AV1519" s="7"/>
      <c r="AW1519" s="7"/>
      <c r="AX1519" s="7"/>
      <c r="AY1519" s="7"/>
      <c r="AZ1519" s="7"/>
      <c r="BA1519" s="7"/>
      <c r="BB1519" s="7"/>
      <c r="BC1519" s="7"/>
      <c r="BD1519" s="7"/>
      <c r="BE1519" s="7"/>
      <c r="BF1519" s="7"/>
      <c r="BG1519" s="7"/>
      <c r="BH1519" s="7"/>
      <c r="BI1519" s="7"/>
      <c r="BJ1519" s="7"/>
      <c r="BK1519" s="7"/>
      <c r="BL1519" s="7"/>
      <c r="BM1519" s="7"/>
      <c r="BN1519" s="7"/>
      <c r="BO1519" s="7"/>
      <c r="BP1519" s="7"/>
      <c r="BQ1519" s="7"/>
      <c r="BR1519" s="7"/>
      <c r="BS1519" s="7"/>
      <c r="BT1519" s="7"/>
      <c r="BU1519" s="7"/>
      <c r="BV1519" s="7"/>
      <c r="BW1519" s="7"/>
      <c r="BX1519" s="7"/>
      <c r="BY1519" s="7"/>
      <c r="BZ1519" s="7"/>
      <c r="CA1519" s="7"/>
      <c r="CB1519" s="7"/>
      <c r="CC1519" s="7"/>
      <c r="CD1519" s="7"/>
      <c r="CE1519" s="7"/>
      <c r="CF1519" s="7"/>
      <c r="CG1519" s="7"/>
    </row>
    <row r="1520" spans="3:85"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  <c r="AA1520" s="7"/>
      <c r="AB1520" s="7"/>
      <c r="AC1520" s="7"/>
      <c r="AD1520" s="7"/>
      <c r="AF1520" s="7"/>
      <c r="AG1520" s="7"/>
      <c r="AH1520" s="7"/>
      <c r="AI1520" s="7"/>
      <c r="AJ1520" s="7"/>
      <c r="AK1520" s="7"/>
      <c r="AL1520" s="7"/>
      <c r="AM1520" s="7"/>
      <c r="AN1520" s="7"/>
      <c r="AO1520" s="7"/>
      <c r="AP1520" s="7"/>
      <c r="AQ1520" s="7"/>
      <c r="AR1520" s="7"/>
      <c r="AS1520" s="7"/>
      <c r="AT1520" s="7"/>
      <c r="AU1520" s="7"/>
      <c r="AV1520" s="7"/>
      <c r="AW1520" s="7"/>
      <c r="AX1520" s="7"/>
      <c r="AY1520" s="7"/>
      <c r="AZ1520" s="7"/>
      <c r="BA1520" s="7"/>
      <c r="BB1520" s="7"/>
      <c r="BC1520" s="7"/>
      <c r="BD1520" s="7"/>
      <c r="BE1520" s="7"/>
      <c r="BF1520" s="7"/>
      <c r="BG1520" s="7"/>
      <c r="BH1520" s="7"/>
      <c r="BI1520" s="7"/>
      <c r="BJ1520" s="7"/>
      <c r="BK1520" s="7"/>
      <c r="BL1520" s="7"/>
      <c r="BM1520" s="7"/>
      <c r="BN1520" s="7"/>
      <c r="BO1520" s="7"/>
      <c r="BP1520" s="7"/>
      <c r="BQ1520" s="7"/>
      <c r="BR1520" s="7"/>
      <c r="BS1520" s="7"/>
      <c r="BT1520" s="7"/>
      <c r="BU1520" s="7"/>
      <c r="BV1520" s="7"/>
      <c r="BW1520" s="7"/>
      <c r="BX1520" s="7"/>
      <c r="BY1520" s="7"/>
      <c r="BZ1520" s="7"/>
      <c r="CA1520" s="7"/>
      <c r="CB1520" s="7"/>
      <c r="CC1520" s="7"/>
      <c r="CD1520" s="7"/>
      <c r="CE1520" s="7"/>
      <c r="CF1520" s="7"/>
      <c r="CG1520" s="7"/>
    </row>
    <row r="1521" spans="3:85"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  <c r="AA1521" s="7"/>
      <c r="AB1521" s="7"/>
      <c r="AC1521" s="7"/>
      <c r="AD1521" s="7"/>
      <c r="AF1521" s="7"/>
      <c r="AG1521" s="7"/>
      <c r="AH1521" s="7"/>
      <c r="AI1521" s="7"/>
      <c r="AJ1521" s="7"/>
      <c r="AK1521" s="7"/>
      <c r="AL1521" s="7"/>
      <c r="AM1521" s="7"/>
      <c r="AN1521" s="7"/>
      <c r="AO1521" s="7"/>
      <c r="AP1521" s="7"/>
      <c r="AQ1521" s="7"/>
      <c r="AR1521" s="7"/>
      <c r="AS1521" s="7"/>
      <c r="AT1521" s="7"/>
      <c r="AU1521" s="7"/>
      <c r="AV1521" s="7"/>
      <c r="AW1521" s="7"/>
      <c r="AX1521" s="7"/>
      <c r="AY1521" s="7"/>
      <c r="AZ1521" s="7"/>
      <c r="BA1521" s="7"/>
      <c r="BB1521" s="7"/>
      <c r="BC1521" s="7"/>
      <c r="BD1521" s="7"/>
      <c r="BE1521" s="7"/>
      <c r="BF1521" s="7"/>
      <c r="BG1521" s="7"/>
      <c r="BH1521" s="7"/>
      <c r="BI1521" s="7"/>
      <c r="BJ1521" s="7"/>
      <c r="BK1521" s="7"/>
      <c r="BL1521" s="7"/>
      <c r="BM1521" s="7"/>
      <c r="BN1521" s="7"/>
      <c r="BO1521" s="7"/>
      <c r="BP1521" s="7"/>
      <c r="BQ1521" s="7"/>
      <c r="BR1521" s="7"/>
      <c r="BS1521" s="7"/>
      <c r="BT1521" s="7"/>
      <c r="BU1521" s="7"/>
      <c r="BV1521" s="7"/>
      <c r="BW1521" s="7"/>
      <c r="BX1521" s="7"/>
      <c r="BY1521" s="7"/>
      <c r="BZ1521" s="7"/>
      <c r="CA1521" s="7"/>
      <c r="CB1521" s="7"/>
      <c r="CC1521" s="7"/>
      <c r="CD1521" s="7"/>
      <c r="CE1521" s="7"/>
      <c r="CF1521" s="7"/>
      <c r="CG1521" s="7"/>
    </row>
    <row r="1522" spans="3:85"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  <c r="AA1522" s="7"/>
      <c r="AB1522" s="7"/>
      <c r="AC1522" s="7"/>
      <c r="AD1522" s="7"/>
      <c r="AF1522" s="7"/>
      <c r="AG1522" s="7"/>
      <c r="AH1522" s="7"/>
      <c r="AI1522" s="7"/>
      <c r="AJ1522" s="7"/>
      <c r="AK1522" s="7"/>
      <c r="AL1522" s="7"/>
      <c r="AM1522" s="7"/>
      <c r="AN1522" s="7"/>
      <c r="AO1522" s="7"/>
      <c r="AP1522" s="7"/>
      <c r="AQ1522" s="7"/>
      <c r="AR1522" s="7"/>
      <c r="AS1522" s="7"/>
      <c r="AT1522" s="7"/>
      <c r="AU1522" s="7"/>
      <c r="AV1522" s="7"/>
      <c r="AW1522" s="7"/>
      <c r="AX1522" s="7"/>
      <c r="AY1522" s="7"/>
      <c r="AZ1522" s="7"/>
      <c r="BA1522" s="7"/>
      <c r="BB1522" s="7"/>
      <c r="BC1522" s="7"/>
      <c r="BD1522" s="7"/>
      <c r="BE1522" s="7"/>
      <c r="BF1522" s="7"/>
      <c r="BG1522" s="7"/>
      <c r="BH1522" s="7"/>
      <c r="BI1522" s="7"/>
      <c r="BJ1522" s="7"/>
      <c r="BK1522" s="7"/>
      <c r="BL1522" s="7"/>
      <c r="BM1522" s="7"/>
      <c r="BN1522" s="7"/>
      <c r="BO1522" s="7"/>
      <c r="BP1522" s="7"/>
      <c r="BQ1522" s="7"/>
      <c r="BR1522" s="7"/>
      <c r="BS1522" s="7"/>
      <c r="BT1522" s="7"/>
      <c r="BU1522" s="7"/>
      <c r="BV1522" s="7"/>
      <c r="BW1522" s="7"/>
      <c r="BX1522" s="7"/>
      <c r="BY1522" s="7"/>
      <c r="BZ1522" s="7"/>
      <c r="CA1522" s="7"/>
      <c r="CB1522" s="7"/>
      <c r="CC1522" s="7"/>
      <c r="CD1522" s="7"/>
      <c r="CE1522" s="7"/>
      <c r="CF1522" s="7"/>
      <c r="CG1522" s="7"/>
    </row>
    <row r="1523" spans="3:85"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  <c r="AA1523" s="7"/>
      <c r="AB1523" s="7"/>
      <c r="AC1523" s="7"/>
      <c r="AD1523" s="7"/>
      <c r="AF1523" s="7"/>
      <c r="AG1523" s="7"/>
      <c r="AH1523" s="7"/>
      <c r="AI1523" s="7"/>
      <c r="AJ1523" s="7"/>
      <c r="AK1523" s="7"/>
      <c r="AL1523" s="7"/>
      <c r="AM1523" s="7"/>
      <c r="AN1523" s="7"/>
      <c r="AO1523" s="7"/>
      <c r="AP1523" s="7"/>
      <c r="AQ1523" s="7"/>
      <c r="AR1523" s="7"/>
      <c r="AS1523" s="7"/>
      <c r="AT1523" s="7"/>
      <c r="AU1523" s="7"/>
      <c r="AV1523" s="7"/>
      <c r="AW1523" s="7"/>
      <c r="AX1523" s="7"/>
      <c r="AY1523" s="7"/>
      <c r="AZ1523" s="7"/>
      <c r="BA1523" s="7"/>
      <c r="BB1523" s="7"/>
      <c r="BC1523" s="7"/>
      <c r="BD1523" s="7"/>
      <c r="BE1523" s="7"/>
      <c r="BF1523" s="7"/>
      <c r="BG1523" s="7"/>
      <c r="BH1523" s="7"/>
      <c r="BI1523" s="7"/>
      <c r="BJ1523" s="7"/>
      <c r="BK1523" s="7"/>
      <c r="BL1523" s="7"/>
      <c r="BM1523" s="7"/>
      <c r="BN1523" s="7"/>
      <c r="BO1523" s="7"/>
      <c r="BP1523" s="7"/>
      <c r="BQ1523" s="7"/>
      <c r="BR1523" s="7"/>
      <c r="BS1523" s="7"/>
      <c r="BT1523" s="7"/>
      <c r="BU1523" s="7"/>
      <c r="BV1523" s="7"/>
      <c r="BW1523" s="7"/>
      <c r="BX1523" s="7"/>
      <c r="BY1523" s="7"/>
      <c r="BZ1523" s="7"/>
      <c r="CA1523" s="7"/>
      <c r="CB1523" s="7"/>
      <c r="CC1523" s="7"/>
      <c r="CD1523" s="7"/>
      <c r="CE1523" s="7"/>
      <c r="CF1523" s="7"/>
      <c r="CG1523" s="7"/>
    </row>
    <row r="1524" spans="3:85"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  <c r="AA1524" s="7"/>
      <c r="AB1524" s="7"/>
      <c r="AC1524" s="7"/>
      <c r="AD1524" s="7"/>
      <c r="AF1524" s="7"/>
      <c r="AG1524" s="7"/>
      <c r="AH1524" s="7"/>
      <c r="AI1524" s="7"/>
      <c r="AJ1524" s="7"/>
      <c r="AK1524" s="7"/>
      <c r="AL1524" s="7"/>
      <c r="AM1524" s="7"/>
      <c r="AN1524" s="7"/>
      <c r="AO1524" s="7"/>
      <c r="AP1524" s="7"/>
      <c r="AQ1524" s="7"/>
      <c r="AR1524" s="7"/>
      <c r="AS1524" s="7"/>
      <c r="AT1524" s="7"/>
      <c r="AU1524" s="7"/>
      <c r="AV1524" s="7"/>
      <c r="AW1524" s="7"/>
      <c r="AX1524" s="7"/>
      <c r="AY1524" s="7"/>
      <c r="AZ1524" s="7"/>
      <c r="BA1524" s="7"/>
      <c r="BB1524" s="7"/>
      <c r="BC1524" s="7"/>
      <c r="BD1524" s="7"/>
      <c r="BE1524" s="7"/>
      <c r="BF1524" s="7"/>
      <c r="BG1524" s="7"/>
      <c r="BH1524" s="7"/>
      <c r="BI1524" s="7"/>
      <c r="BJ1524" s="7"/>
      <c r="BK1524" s="7"/>
      <c r="BL1524" s="7"/>
      <c r="BM1524" s="7"/>
      <c r="BN1524" s="7"/>
      <c r="BO1524" s="7"/>
      <c r="BP1524" s="7"/>
      <c r="BQ1524" s="7"/>
      <c r="BR1524" s="7"/>
      <c r="BS1524" s="7"/>
      <c r="BT1524" s="7"/>
      <c r="BU1524" s="7"/>
      <c r="BV1524" s="7"/>
      <c r="BW1524" s="7"/>
      <c r="BX1524" s="7"/>
      <c r="BY1524" s="7"/>
      <c r="BZ1524" s="7"/>
      <c r="CA1524" s="7"/>
      <c r="CB1524" s="7"/>
      <c r="CC1524" s="7"/>
      <c r="CD1524" s="7"/>
      <c r="CE1524" s="7"/>
      <c r="CF1524" s="7"/>
      <c r="CG1524" s="7"/>
    </row>
    <row r="1525" spans="3:85"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  <c r="AA1525" s="7"/>
      <c r="AB1525" s="7"/>
      <c r="AC1525" s="7"/>
      <c r="AD1525" s="7"/>
      <c r="AF1525" s="7"/>
      <c r="AG1525" s="7"/>
      <c r="AH1525" s="7"/>
      <c r="AI1525" s="7"/>
      <c r="AJ1525" s="7"/>
      <c r="AK1525" s="7"/>
      <c r="AL1525" s="7"/>
      <c r="AM1525" s="7"/>
      <c r="AN1525" s="7"/>
      <c r="AO1525" s="7"/>
      <c r="AP1525" s="7"/>
      <c r="AQ1525" s="7"/>
      <c r="AR1525" s="7"/>
      <c r="AS1525" s="7"/>
      <c r="AT1525" s="7"/>
      <c r="AU1525" s="7"/>
      <c r="AV1525" s="7"/>
      <c r="AW1525" s="7"/>
      <c r="AX1525" s="7"/>
      <c r="AY1525" s="7"/>
      <c r="AZ1525" s="7"/>
      <c r="BA1525" s="7"/>
      <c r="BB1525" s="7"/>
      <c r="BC1525" s="7"/>
      <c r="BD1525" s="7"/>
      <c r="BE1525" s="7"/>
      <c r="BF1525" s="7"/>
      <c r="BG1525" s="7"/>
      <c r="BH1525" s="7"/>
      <c r="BI1525" s="7"/>
      <c r="BJ1525" s="7"/>
      <c r="BK1525" s="7"/>
      <c r="BL1525" s="7"/>
      <c r="BM1525" s="7"/>
      <c r="BN1525" s="7"/>
      <c r="BO1525" s="7"/>
      <c r="BP1525" s="7"/>
      <c r="BQ1525" s="7"/>
      <c r="BR1525" s="7"/>
      <c r="BS1525" s="7"/>
      <c r="BT1525" s="7"/>
      <c r="BU1525" s="7"/>
      <c r="BV1525" s="7"/>
      <c r="BW1525" s="7"/>
      <c r="BX1525" s="7"/>
      <c r="BY1525" s="7"/>
      <c r="BZ1525" s="7"/>
      <c r="CA1525" s="7"/>
      <c r="CB1525" s="7"/>
      <c r="CC1525" s="7"/>
      <c r="CD1525" s="7"/>
      <c r="CE1525" s="7"/>
      <c r="CF1525" s="7"/>
      <c r="CG1525" s="7"/>
    </row>
    <row r="1526" spans="3:85"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  <c r="AA1526" s="7"/>
      <c r="AB1526" s="7"/>
      <c r="AC1526" s="7"/>
      <c r="AD1526" s="7"/>
      <c r="AF1526" s="7"/>
      <c r="AG1526" s="7"/>
      <c r="AH1526" s="7"/>
      <c r="AI1526" s="7"/>
      <c r="AJ1526" s="7"/>
      <c r="AK1526" s="7"/>
      <c r="AL1526" s="7"/>
      <c r="AM1526" s="7"/>
      <c r="AN1526" s="7"/>
      <c r="AO1526" s="7"/>
      <c r="AP1526" s="7"/>
      <c r="AQ1526" s="7"/>
      <c r="AR1526" s="7"/>
      <c r="AS1526" s="7"/>
      <c r="AT1526" s="7"/>
      <c r="AU1526" s="7"/>
      <c r="AV1526" s="7"/>
      <c r="AW1526" s="7"/>
      <c r="AX1526" s="7"/>
      <c r="AY1526" s="7"/>
      <c r="AZ1526" s="7"/>
      <c r="BA1526" s="7"/>
      <c r="BB1526" s="7"/>
      <c r="BC1526" s="7"/>
      <c r="BD1526" s="7"/>
      <c r="BE1526" s="7"/>
      <c r="BF1526" s="7"/>
      <c r="BG1526" s="7"/>
      <c r="BH1526" s="7"/>
      <c r="BI1526" s="7"/>
      <c r="BJ1526" s="7"/>
      <c r="BK1526" s="7"/>
      <c r="BL1526" s="7"/>
      <c r="BM1526" s="7"/>
      <c r="BN1526" s="7"/>
      <c r="BO1526" s="7"/>
      <c r="BP1526" s="7"/>
      <c r="BQ1526" s="7"/>
      <c r="BR1526" s="7"/>
      <c r="BS1526" s="7"/>
      <c r="BT1526" s="7"/>
      <c r="BU1526" s="7"/>
      <c r="BV1526" s="7"/>
      <c r="BW1526" s="7"/>
      <c r="BX1526" s="7"/>
      <c r="BY1526" s="7"/>
      <c r="BZ1526" s="7"/>
      <c r="CA1526" s="7"/>
      <c r="CB1526" s="7"/>
      <c r="CC1526" s="7"/>
      <c r="CD1526" s="7"/>
      <c r="CE1526" s="7"/>
      <c r="CF1526" s="7"/>
      <c r="CG1526" s="7"/>
    </row>
    <row r="1527" spans="3:85"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  <c r="AA1527" s="7"/>
      <c r="AB1527" s="7"/>
      <c r="AC1527" s="7"/>
      <c r="AD1527" s="7"/>
      <c r="AF1527" s="7"/>
      <c r="AG1527" s="7"/>
      <c r="AH1527" s="7"/>
      <c r="AI1527" s="7"/>
      <c r="AJ1527" s="7"/>
      <c r="AK1527" s="7"/>
      <c r="AL1527" s="7"/>
      <c r="AM1527" s="7"/>
      <c r="AN1527" s="7"/>
      <c r="AO1527" s="7"/>
      <c r="AP1527" s="7"/>
      <c r="AQ1527" s="7"/>
      <c r="AR1527" s="7"/>
      <c r="AS1527" s="7"/>
      <c r="AT1527" s="7"/>
      <c r="AU1527" s="7"/>
      <c r="AV1527" s="7"/>
      <c r="AW1527" s="7"/>
      <c r="AX1527" s="7"/>
      <c r="AY1527" s="7"/>
      <c r="AZ1527" s="7"/>
      <c r="BA1527" s="7"/>
      <c r="BB1527" s="7"/>
      <c r="BC1527" s="7"/>
      <c r="BD1527" s="7"/>
      <c r="BE1527" s="7"/>
      <c r="BF1527" s="7"/>
      <c r="BG1527" s="7"/>
      <c r="BH1527" s="7"/>
      <c r="BI1527" s="7"/>
      <c r="BJ1527" s="7"/>
      <c r="BK1527" s="7"/>
      <c r="BL1527" s="7"/>
      <c r="BM1527" s="7"/>
      <c r="BN1527" s="7"/>
      <c r="BO1527" s="7"/>
      <c r="BP1527" s="7"/>
      <c r="BQ1527" s="7"/>
      <c r="BR1527" s="7"/>
      <c r="BS1527" s="7"/>
      <c r="BT1527" s="7"/>
      <c r="BU1527" s="7"/>
      <c r="BV1527" s="7"/>
      <c r="BW1527" s="7"/>
      <c r="BX1527" s="7"/>
      <c r="BY1527" s="7"/>
      <c r="BZ1527" s="7"/>
      <c r="CA1527" s="7"/>
      <c r="CB1527" s="7"/>
      <c r="CC1527" s="7"/>
      <c r="CD1527" s="7"/>
      <c r="CE1527" s="7"/>
      <c r="CF1527" s="7"/>
      <c r="CG1527" s="7"/>
    </row>
    <row r="1528" spans="3:85"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  <c r="AA1528" s="7"/>
      <c r="AB1528" s="7"/>
      <c r="AC1528" s="7"/>
      <c r="AD1528" s="7"/>
      <c r="AF1528" s="7"/>
      <c r="AG1528" s="7"/>
      <c r="AH1528" s="7"/>
      <c r="AI1528" s="7"/>
      <c r="AJ1528" s="7"/>
      <c r="AK1528" s="7"/>
      <c r="AL1528" s="7"/>
      <c r="AM1528" s="7"/>
      <c r="AN1528" s="7"/>
      <c r="AO1528" s="7"/>
      <c r="AP1528" s="7"/>
      <c r="AQ1528" s="7"/>
      <c r="AR1528" s="7"/>
      <c r="AS1528" s="7"/>
      <c r="AT1528" s="7"/>
      <c r="AU1528" s="7"/>
      <c r="AV1528" s="7"/>
      <c r="AW1528" s="7"/>
      <c r="AX1528" s="7"/>
      <c r="AY1528" s="7"/>
      <c r="AZ1528" s="7"/>
      <c r="BA1528" s="7"/>
      <c r="BB1528" s="7"/>
      <c r="BC1528" s="7"/>
      <c r="BD1528" s="7"/>
      <c r="BE1528" s="7"/>
      <c r="BF1528" s="7"/>
      <c r="BG1528" s="7"/>
      <c r="BH1528" s="7"/>
      <c r="BI1528" s="7"/>
      <c r="BJ1528" s="7"/>
      <c r="BK1528" s="7"/>
      <c r="BL1528" s="7"/>
      <c r="BM1528" s="7"/>
      <c r="BN1528" s="7"/>
      <c r="BO1528" s="7"/>
      <c r="BP1528" s="7"/>
      <c r="BQ1528" s="7"/>
      <c r="BR1528" s="7"/>
      <c r="BS1528" s="7"/>
      <c r="BT1528" s="7"/>
      <c r="BU1528" s="7"/>
      <c r="BV1528" s="7"/>
      <c r="BW1528" s="7"/>
      <c r="BX1528" s="7"/>
      <c r="BY1528" s="7"/>
      <c r="BZ1528" s="7"/>
      <c r="CA1528" s="7"/>
      <c r="CB1528" s="7"/>
      <c r="CC1528" s="7"/>
      <c r="CD1528" s="7"/>
      <c r="CE1528" s="7"/>
      <c r="CF1528" s="7"/>
      <c r="CG1528" s="7"/>
    </row>
    <row r="1529" spans="3:85"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  <c r="AA1529" s="7"/>
      <c r="AB1529" s="7"/>
      <c r="AC1529" s="7"/>
      <c r="AD1529" s="7"/>
      <c r="AF1529" s="7"/>
      <c r="AG1529" s="7"/>
      <c r="AH1529" s="7"/>
      <c r="AI1529" s="7"/>
      <c r="AJ1529" s="7"/>
      <c r="AK1529" s="7"/>
      <c r="AL1529" s="7"/>
      <c r="AM1529" s="7"/>
      <c r="AN1529" s="7"/>
      <c r="AO1529" s="7"/>
      <c r="AP1529" s="7"/>
      <c r="AQ1529" s="7"/>
      <c r="AR1529" s="7"/>
      <c r="AS1529" s="7"/>
      <c r="AT1529" s="7"/>
      <c r="AU1529" s="7"/>
      <c r="AV1529" s="7"/>
      <c r="AW1529" s="7"/>
      <c r="AX1529" s="7"/>
      <c r="AY1529" s="7"/>
      <c r="AZ1529" s="7"/>
      <c r="BA1529" s="7"/>
      <c r="BB1529" s="7"/>
      <c r="BC1529" s="7"/>
      <c r="BD1529" s="7"/>
      <c r="BE1529" s="7"/>
      <c r="BF1529" s="7"/>
      <c r="BG1529" s="7"/>
      <c r="BH1529" s="7"/>
      <c r="BI1529" s="7"/>
      <c r="BJ1529" s="7"/>
      <c r="BK1529" s="7"/>
      <c r="BL1529" s="7"/>
      <c r="BM1529" s="7"/>
      <c r="BN1529" s="7"/>
      <c r="BO1529" s="7"/>
      <c r="BP1529" s="7"/>
      <c r="BQ1529" s="7"/>
      <c r="BR1529" s="7"/>
      <c r="BS1529" s="7"/>
      <c r="BT1529" s="7"/>
      <c r="BU1529" s="7"/>
      <c r="BV1529" s="7"/>
      <c r="BW1529" s="7"/>
      <c r="BX1529" s="7"/>
      <c r="BY1529" s="7"/>
      <c r="BZ1529" s="7"/>
      <c r="CA1529" s="7"/>
      <c r="CB1529" s="7"/>
      <c r="CC1529" s="7"/>
      <c r="CD1529" s="7"/>
      <c r="CE1529" s="7"/>
      <c r="CF1529" s="7"/>
      <c r="CG1529" s="7"/>
    </row>
    <row r="1530" spans="3:85"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  <c r="AA1530" s="7"/>
      <c r="AB1530" s="7"/>
      <c r="AC1530" s="7"/>
      <c r="AD1530" s="7"/>
      <c r="AF1530" s="7"/>
      <c r="AG1530" s="7"/>
      <c r="AH1530" s="7"/>
      <c r="AI1530" s="7"/>
      <c r="AJ1530" s="7"/>
      <c r="AK1530" s="7"/>
      <c r="AL1530" s="7"/>
      <c r="AM1530" s="7"/>
      <c r="AN1530" s="7"/>
      <c r="AO1530" s="7"/>
      <c r="AP1530" s="7"/>
      <c r="AQ1530" s="7"/>
      <c r="AR1530" s="7"/>
      <c r="AS1530" s="7"/>
      <c r="AT1530" s="7"/>
      <c r="AU1530" s="7"/>
      <c r="AV1530" s="7"/>
      <c r="AW1530" s="7"/>
      <c r="AX1530" s="7"/>
      <c r="AY1530" s="7"/>
      <c r="AZ1530" s="7"/>
      <c r="BA1530" s="7"/>
      <c r="BB1530" s="7"/>
      <c r="BC1530" s="7"/>
      <c r="BD1530" s="7"/>
      <c r="BE1530" s="7"/>
      <c r="BF1530" s="7"/>
      <c r="BG1530" s="7"/>
      <c r="BH1530" s="7"/>
      <c r="BI1530" s="7"/>
      <c r="BJ1530" s="7"/>
      <c r="BK1530" s="7"/>
      <c r="BL1530" s="7"/>
      <c r="BM1530" s="7"/>
      <c r="BN1530" s="7"/>
      <c r="BO1530" s="7"/>
      <c r="BP1530" s="7"/>
      <c r="BQ1530" s="7"/>
      <c r="BR1530" s="7"/>
      <c r="BS1530" s="7"/>
      <c r="BT1530" s="7"/>
      <c r="BU1530" s="7"/>
      <c r="BV1530" s="7"/>
      <c r="BW1530" s="7"/>
      <c r="BX1530" s="7"/>
      <c r="BY1530" s="7"/>
      <c r="BZ1530" s="7"/>
      <c r="CA1530" s="7"/>
      <c r="CB1530" s="7"/>
      <c r="CC1530" s="7"/>
      <c r="CD1530" s="7"/>
      <c r="CE1530" s="7"/>
      <c r="CF1530" s="7"/>
      <c r="CG1530" s="7"/>
    </row>
    <row r="1531" spans="3:85"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  <c r="AA1531" s="7"/>
      <c r="AB1531" s="7"/>
      <c r="AC1531" s="7"/>
      <c r="AD1531" s="7"/>
      <c r="AF1531" s="7"/>
      <c r="AG1531" s="7"/>
      <c r="AH1531" s="7"/>
      <c r="AI1531" s="7"/>
      <c r="AJ1531" s="7"/>
      <c r="AK1531" s="7"/>
      <c r="AL1531" s="7"/>
      <c r="AM1531" s="7"/>
      <c r="AN1531" s="7"/>
      <c r="AO1531" s="7"/>
      <c r="AP1531" s="7"/>
      <c r="AQ1531" s="7"/>
      <c r="AR1531" s="7"/>
      <c r="AS1531" s="7"/>
      <c r="AT1531" s="7"/>
      <c r="AU1531" s="7"/>
      <c r="AV1531" s="7"/>
      <c r="AW1531" s="7"/>
      <c r="AX1531" s="7"/>
      <c r="AY1531" s="7"/>
      <c r="AZ1531" s="7"/>
      <c r="BA1531" s="7"/>
      <c r="BB1531" s="7"/>
      <c r="BC1531" s="7"/>
      <c r="BD1531" s="7"/>
      <c r="BE1531" s="7"/>
      <c r="BF1531" s="7"/>
      <c r="BG1531" s="7"/>
      <c r="BH1531" s="7"/>
      <c r="BI1531" s="7"/>
      <c r="BJ1531" s="7"/>
      <c r="BK1531" s="7"/>
      <c r="BL1531" s="7"/>
      <c r="BM1531" s="7"/>
      <c r="BN1531" s="7"/>
      <c r="BO1531" s="7"/>
      <c r="BP1531" s="7"/>
      <c r="BQ1531" s="7"/>
      <c r="BR1531" s="7"/>
      <c r="BS1531" s="7"/>
      <c r="BT1531" s="7"/>
      <c r="BU1531" s="7"/>
      <c r="BV1531" s="7"/>
      <c r="BW1531" s="7"/>
      <c r="BX1531" s="7"/>
      <c r="BY1531" s="7"/>
      <c r="BZ1531" s="7"/>
      <c r="CA1531" s="7"/>
      <c r="CB1531" s="7"/>
      <c r="CC1531" s="7"/>
      <c r="CD1531" s="7"/>
      <c r="CE1531" s="7"/>
      <c r="CF1531" s="7"/>
      <c r="CG1531" s="7"/>
    </row>
    <row r="1532" spans="3:85"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  <c r="AA1532" s="7"/>
      <c r="AB1532" s="7"/>
      <c r="AC1532" s="7"/>
      <c r="AD1532" s="7"/>
      <c r="AF1532" s="7"/>
      <c r="AG1532" s="7"/>
      <c r="AH1532" s="7"/>
      <c r="AI1532" s="7"/>
      <c r="AJ1532" s="7"/>
      <c r="AK1532" s="7"/>
      <c r="AL1532" s="7"/>
      <c r="AM1532" s="7"/>
      <c r="AN1532" s="7"/>
      <c r="AO1532" s="7"/>
      <c r="AP1532" s="7"/>
      <c r="AQ1532" s="7"/>
      <c r="AR1532" s="7"/>
      <c r="AS1532" s="7"/>
      <c r="AT1532" s="7"/>
      <c r="AU1532" s="7"/>
      <c r="AV1532" s="7"/>
      <c r="AW1532" s="7"/>
      <c r="AX1532" s="7"/>
      <c r="AY1532" s="7"/>
      <c r="AZ1532" s="7"/>
      <c r="BA1532" s="7"/>
      <c r="BB1532" s="7"/>
      <c r="BC1532" s="7"/>
      <c r="BD1532" s="7"/>
      <c r="BE1532" s="7"/>
      <c r="BF1532" s="7"/>
      <c r="BG1532" s="7"/>
      <c r="BH1532" s="7"/>
      <c r="BI1532" s="7"/>
      <c r="BJ1532" s="7"/>
      <c r="BK1532" s="7"/>
      <c r="BL1532" s="7"/>
      <c r="BM1532" s="7"/>
      <c r="BN1532" s="7"/>
      <c r="BO1532" s="7"/>
      <c r="BP1532" s="7"/>
      <c r="BQ1532" s="7"/>
      <c r="BR1532" s="7"/>
      <c r="BS1532" s="7"/>
      <c r="BT1532" s="7"/>
      <c r="BU1532" s="7"/>
      <c r="BV1532" s="7"/>
      <c r="BW1532" s="7"/>
      <c r="BX1532" s="7"/>
      <c r="BY1532" s="7"/>
      <c r="BZ1532" s="7"/>
      <c r="CA1532" s="7"/>
      <c r="CB1532" s="7"/>
      <c r="CC1532" s="7"/>
      <c r="CD1532" s="7"/>
      <c r="CE1532" s="7"/>
      <c r="CF1532" s="7"/>
      <c r="CG1532" s="7"/>
    </row>
    <row r="1533" spans="3:85"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  <c r="AA1533" s="7"/>
      <c r="AB1533" s="7"/>
      <c r="AC1533" s="7"/>
      <c r="AD1533" s="7"/>
      <c r="AF1533" s="7"/>
      <c r="AG1533" s="7"/>
      <c r="AH1533" s="7"/>
      <c r="AI1533" s="7"/>
      <c r="AJ1533" s="7"/>
      <c r="AK1533" s="7"/>
      <c r="AL1533" s="7"/>
      <c r="AM1533" s="7"/>
      <c r="AN1533" s="7"/>
      <c r="AO1533" s="7"/>
      <c r="AP1533" s="7"/>
      <c r="AQ1533" s="7"/>
      <c r="AR1533" s="7"/>
      <c r="AS1533" s="7"/>
      <c r="AT1533" s="7"/>
      <c r="AU1533" s="7"/>
      <c r="AV1533" s="7"/>
      <c r="AW1533" s="7"/>
      <c r="AX1533" s="7"/>
      <c r="AY1533" s="7"/>
      <c r="AZ1533" s="7"/>
      <c r="BA1533" s="7"/>
      <c r="BB1533" s="7"/>
      <c r="BC1533" s="7"/>
      <c r="BD1533" s="7"/>
      <c r="BE1533" s="7"/>
      <c r="BF1533" s="7"/>
      <c r="BG1533" s="7"/>
      <c r="BH1533" s="7"/>
      <c r="BI1533" s="7"/>
      <c r="BJ1533" s="7"/>
      <c r="BK1533" s="7"/>
      <c r="BL1533" s="7"/>
      <c r="BM1533" s="7"/>
      <c r="BN1533" s="7"/>
      <c r="BO1533" s="7"/>
      <c r="BP1533" s="7"/>
      <c r="BQ1533" s="7"/>
      <c r="BR1533" s="7"/>
      <c r="BS1533" s="7"/>
      <c r="BT1533" s="7"/>
      <c r="BU1533" s="7"/>
      <c r="BV1533" s="7"/>
      <c r="BW1533" s="7"/>
      <c r="BX1533" s="7"/>
      <c r="BY1533" s="7"/>
      <c r="BZ1533" s="7"/>
      <c r="CA1533" s="7"/>
      <c r="CB1533" s="7"/>
      <c r="CC1533" s="7"/>
      <c r="CD1533" s="7"/>
      <c r="CE1533" s="7"/>
      <c r="CF1533" s="7"/>
      <c r="CG1533" s="7"/>
    </row>
    <row r="1534" spans="3:85"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  <c r="AA1534" s="7"/>
      <c r="AB1534" s="7"/>
      <c r="AC1534" s="7"/>
      <c r="AD1534" s="7"/>
      <c r="AF1534" s="7"/>
      <c r="AG1534" s="7"/>
      <c r="AH1534" s="7"/>
      <c r="AI1534" s="7"/>
      <c r="AJ1534" s="7"/>
      <c r="AK1534" s="7"/>
      <c r="AL1534" s="7"/>
      <c r="AM1534" s="7"/>
      <c r="AN1534" s="7"/>
      <c r="AO1534" s="7"/>
      <c r="AP1534" s="7"/>
      <c r="AQ1534" s="7"/>
      <c r="AR1534" s="7"/>
      <c r="AS1534" s="7"/>
      <c r="AT1534" s="7"/>
      <c r="AU1534" s="7"/>
      <c r="AV1534" s="7"/>
      <c r="AW1534" s="7"/>
      <c r="AX1534" s="7"/>
      <c r="AY1534" s="7"/>
      <c r="AZ1534" s="7"/>
      <c r="BA1534" s="7"/>
      <c r="BB1534" s="7"/>
      <c r="BC1534" s="7"/>
      <c r="BD1534" s="7"/>
      <c r="BE1534" s="7"/>
      <c r="BF1534" s="7"/>
      <c r="BG1534" s="7"/>
      <c r="BH1534" s="7"/>
      <c r="BI1534" s="7"/>
      <c r="BJ1534" s="7"/>
      <c r="BK1534" s="7"/>
      <c r="BL1534" s="7"/>
      <c r="BM1534" s="7"/>
      <c r="BN1534" s="7"/>
      <c r="BO1534" s="7"/>
      <c r="BP1534" s="7"/>
      <c r="BQ1534" s="7"/>
      <c r="BR1534" s="7"/>
      <c r="BS1534" s="7"/>
      <c r="BT1534" s="7"/>
      <c r="BU1534" s="7"/>
      <c r="BV1534" s="7"/>
      <c r="BW1534" s="7"/>
      <c r="BX1534" s="7"/>
      <c r="BY1534" s="7"/>
      <c r="BZ1534" s="7"/>
      <c r="CA1534" s="7"/>
      <c r="CB1534" s="7"/>
      <c r="CC1534" s="7"/>
      <c r="CD1534" s="7"/>
      <c r="CE1534" s="7"/>
      <c r="CF1534" s="7"/>
      <c r="CG1534" s="7"/>
    </row>
    <row r="1535" spans="3:85"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  <c r="AA1535" s="7"/>
      <c r="AB1535" s="7"/>
      <c r="AC1535" s="7"/>
      <c r="AD1535" s="7"/>
      <c r="AF1535" s="7"/>
      <c r="AG1535" s="7"/>
      <c r="AH1535" s="7"/>
      <c r="AI1535" s="7"/>
      <c r="AJ1535" s="7"/>
      <c r="AK1535" s="7"/>
      <c r="AL1535" s="7"/>
      <c r="AM1535" s="7"/>
      <c r="AN1535" s="7"/>
      <c r="AO1535" s="7"/>
      <c r="AP1535" s="7"/>
      <c r="AQ1535" s="7"/>
      <c r="AR1535" s="7"/>
      <c r="AS1535" s="7"/>
      <c r="AT1535" s="7"/>
      <c r="AU1535" s="7"/>
      <c r="AV1535" s="7"/>
      <c r="AW1535" s="7"/>
      <c r="AX1535" s="7"/>
      <c r="AY1535" s="7"/>
      <c r="AZ1535" s="7"/>
      <c r="BA1535" s="7"/>
      <c r="BB1535" s="7"/>
      <c r="BC1535" s="7"/>
      <c r="BD1535" s="7"/>
      <c r="BE1535" s="7"/>
      <c r="BF1535" s="7"/>
      <c r="BG1535" s="7"/>
      <c r="BH1535" s="7"/>
      <c r="BI1535" s="7"/>
      <c r="BJ1535" s="7"/>
      <c r="BK1535" s="7"/>
      <c r="BL1535" s="7"/>
      <c r="BM1535" s="7"/>
      <c r="BN1535" s="7"/>
      <c r="BO1535" s="7"/>
      <c r="BP1535" s="7"/>
      <c r="BQ1535" s="7"/>
      <c r="BR1535" s="7"/>
      <c r="BS1535" s="7"/>
      <c r="BT1535" s="7"/>
      <c r="BU1535" s="7"/>
      <c r="BV1535" s="7"/>
      <c r="BW1535" s="7"/>
      <c r="BX1535" s="7"/>
      <c r="BY1535" s="7"/>
      <c r="BZ1535" s="7"/>
      <c r="CA1535" s="7"/>
      <c r="CB1535" s="7"/>
      <c r="CC1535" s="7"/>
      <c r="CD1535" s="7"/>
      <c r="CE1535" s="7"/>
      <c r="CF1535" s="7"/>
      <c r="CG1535" s="7"/>
    </row>
    <row r="1536" spans="3:85"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  <c r="AA1536" s="7"/>
      <c r="AB1536" s="7"/>
      <c r="AC1536" s="7"/>
      <c r="AD1536" s="7"/>
      <c r="AF1536" s="7"/>
      <c r="AG1536" s="7"/>
      <c r="AH1536" s="7"/>
      <c r="AI1536" s="7"/>
      <c r="AJ1536" s="7"/>
      <c r="AK1536" s="7"/>
      <c r="AL1536" s="7"/>
      <c r="AM1536" s="7"/>
      <c r="AN1536" s="7"/>
      <c r="AO1536" s="7"/>
      <c r="AP1536" s="7"/>
      <c r="AQ1536" s="7"/>
      <c r="AR1536" s="7"/>
      <c r="AS1536" s="7"/>
      <c r="AT1536" s="7"/>
      <c r="AU1536" s="7"/>
      <c r="AV1536" s="7"/>
      <c r="AW1536" s="7"/>
      <c r="AX1536" s="7"/>
      <c r="AY1536" s="7"/>
      <c r="AZ1536" s="7"/>
      <c r="BA1536" s="7"/>
      <c r="BB1536" s="7"/>
      <c r="BC1536" s="7"/>
      <c r="BD1536" s="7"/>
      <c r="BE1536" s="7"/>
      <c r="BF1536" s="7"/>
      <c r="BG1536" s="7"/>
      <c r="BH1536" s="7"/>
      <c r="BI1536" s="7"/>
      <c r="BJ1536" s="7"/>
      <c r="BK1536" s="7"/>
      <c r="BL1536" s="7"/>
      <c r="BM1536" s="7"/>
      <c r="BN1536" s="7"/>
      <c r="BO1536" s="7"/>
      <c r="BP1536" s="7"/>
      <c r="BQ1536" s="7"/>
      <c r="BR1536" s="7"/>
      <c r="BS1536" s="7"/>
      <c r="BT1536" s="7"/>
      <c r="BU1536" s="7"/>
      <c r="BV1536" s="7"/>
      <c r="BW1536" s="7"/>
      <c r="BX1536" s="7"/>
      <c r="BY1536" s="7"/>
      <c r="BZ1536" s="7"/>
      <c r="CA1536" s="7"/>
      <c r="CB1536" s="7"/>
      <c r="CC1536" s="7"/>
      <c r="CD1536" s="7"/>
      <c r="CE1536" s="7"/>
      <c r="CF1536" s="7"/>
      <c r="CG1536" s="7"/>
    </row>
    <row r="1537" spans="3:85"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  <c r="AA1537" s="7"/>
      <c r="AB1537" s="7"/>
      <c r="AC1537" s="7"/>
      <c r="AD1537" s="7"/>
      <c r="AF1537" s="7"/>
      <c r="AG1537" s="7"/>
      <c r="AH1537" s="7"/>
      <c r="AI1537" s="7"/>
      <c r="AJ1537" s="7"/>
      <c r="AK1537" s="7"/>
      <c r="AL1537" s="7"/>
      <c r="AM1537" s="7"/>
      <c r="AN1537" s="7"/>
      <c r="AO1537" s="7"/>
      <c r="AP1537" s="7"/>
      <c r="AQ1537" s="7"/>
      <c r="AR1537" s="7"/>
      <c r="AS1537" s="7"/>
      <c r="AT1537" s="7"/>
      <c r="AU1537" s="7"/>
      <c r="AV1537" s="7"/>
      <c r="AW1537" s="7"/>
      <c r="AX1537" s="7"/>
      <c r="AY1537" s="7"/>
      <c r="AZ1537" s="7"/>
      <c r="BA1537" s="7"/>
      <c r="BB1537" s="7"/>
      <c r="BC1537" s="7"/>
      <c r="BD1537" s="7"/>
      <c r="BE1537" s="7"/>
      <c r="BF1537" s="7"/>
      <c r="BG1537" s="7"/>
      <c r="BH1537" s="7"/>
      <c r="BI1537" s="7"/>
      <c r="BJ1537" s="7"/>
      <c r="BK1537" s="7"/>
      <c r="BL1537" s="7"/>
      <c r="BM1537" s="7"/>
      <c r="BN1537" s="7"/>
      <c r="BO1537" s="7"/>
      <c r="BP1537" s="7"/>
      <c r="BQ1537" s="7"/>
      <c r="BR1537" s="7"/>
      <c r="BS1537" s="7"/>
      <c r="BT1537" s="7"/>
      <c r="BU1537" s="7"/>
      <c r="BV1537" s="7"/>
      <c r="BW1537" s="7"/>
      <c r="BX1537" s="7"/>
      <c r="BY1537" s="7"/>
      <c r="BZ1537" s="7"/>
      <c r="CA1537" s="7"/>
      <c r="CB1537" s="7"/>
      <c r="CC1537" s="7"/>
      <c r="CD1537" s="7"/>
      <c r="CE1537" s="7"/>
      <c r="CF1537" s="7"/>
      <c r="CG1537" s="7"/>
    </row>
    <row r="1538" spans="3:85"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  <c r="AA1538" s="7"/>
      <c r="AB1538" s="7"/>
      <c r="AC1538" s="7"/>
      <c r="AD1538" s="7"/>
      <c r="AF1538" s="7"/>
      <c r="AG1538" s="7"/>
      <c r="AH1538" s="7"/>
      <c r="AI1538" s="7"/>
      <c r="AJ1538" s="7"/>
      <c r="AK1538" s="7"/>
      <c r="AL1538" s="7"/>
      <c r="AM1538" s="7"/>
      <c r="AN1538" s="7"/>
      <c r="AO1538" s="7"/>
      <c r="AP1538" s="7"/>
      <c r="AQ1538" s="7"/>
      <c r="AR1538" s="7"/>
      <c r="AS1538" s="7"/>
      <c r="AT1538" s="7"/>
      <c r="AU1538" s="7"/>
      <c r="AV1538" s="7"/>
      <c r="AW1538" s="7"/>
      <c r="AX1538" s="7"/>
      <c r="AY1538" s="7"/>
      <c r="AZ1538" s="7"/>
      <c r="BA1538" s="7"/>
      <c r="BB1538" s="7"/>
      <c r="BC1538" s="7"/>
      <c r="BD1538" s="7"/>
      <c r="BE1538" s="7"/>
      <c r="BF1538" s="7"/>
      <c r="BG1538" s="7"/>
      <c r="BH1538" s="7"/>
      <c r="BI1538" s="7"/>
      <c r="BJ1538" s="7"/>
      <c r="BK1538" s="7"/>
      <c r="BL1538" s="7"/>
      <c r="BM1538" s="7"/>
      <c r="BN1538" s="7"/>
      <c r="BO1538" s="7"/>
      <c r="BP1538" s="7"/>
      <c r="BQ1538" s="7"/>
      <c r="BR1538" s="7"/>
      <c r="BS1538" s="7"/>
      <c r="BT1538" s="7"/>
      <c r="BU1538" s="7"/>
      <c r="BV1538" s="7"/>
      <c r="BW1538" s="7"/>
      <c r="BX1538" s="7"/>
      <c r="BY1538" s="7"/>
      <c r="BZ1538" s="7"/>
      <c r="CA1538" s="7"/>
      <c r="CB1538" s="7"/>
      <c r="CC1538" s="7"/>
      <c r="CD1538" s="7"/>
      <c r="CE1538" s="7"/>
      <c r="CF1538" s="7"/>
      <c r="CG1538" s="7"/>
    </row>
    <row r="1539" spans="3:85"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  <c r="AA1539" s="7"/>
      <c r="AB1539" s="7"/>
      <c r="AC1539" s="7"/>
      <c r="AD1539" s="7"/>
      <c r="AF1539" s="7"/>
      <c r="AG1539" s="7"/>
      <c r="AH1539" s="7"/>
      <c r="AI1539" s="7"/>
      <c r="AJ1539" s="7"/>
      <c r="AK1539" s="7"/>
      <c r="AL1539" s="7"/>
      <c r="AM1539" s="7"/>
      <c r="AN1539" s="7"/>
      <c r="AO1539" s="7"/>
      <c r="AP1539" s="7"/>
      <c r="AQ1539" s="7"/>
      <c r="AR1539" s="7"/>
      <c r="AS1539" s="7"/>
      <c r="AT1539" s="7"/>
      <c r="AU1539" s="7"/>
      <c r="AV1539" s="7"/>
      <c r="AW1539" s="7"/>
      <c r="AX1539" s="7"/>
      <c r="AY1539" s="7"/>
      <c r="AZ1539" s="7"/>
      <c r="BA1539" s="7"/>
      <c r="BB1539" s="7"/>
      <c r="BC1539" s="7"/>
      <c r="BD1539" s="7"/>
      <c r="BE1539" s="7"/>
      <c r="BF1539" s="7"/>
      <c r="BG1539" s="7"/>
      <c r="BH1539" s="7"/>
      <c r="BI1539" s="7"/>
      <c r="BJ1539" s="7"/>
      <c r="BK1539" s="7"/>
      <c r="BL1539" s="7"/>
      <c r="BM1539" s="7"/>
      <c r="BN1539" s="7"/>
      <c r="BO1539" s="7"/>
      <c r="BP1539" s="7"/>
      <c r="BQ1539" s="7"/>
      <c r="BR1539" s="7"/>
      <c r="BS1539" s="7"/>
      <c r="BT1539" s="7"/>
      <c r="BU1539" s="7"/>
      <c r="BV1539" s="7"/>
      <c r="BW1539" s="7"/>
      <c r="BX1539" s="7"/>
      <c r="BY1539" s="7"/>
      <c r="BZ1539" s="7"/>
      <c r="CA1539" s="7"/>
      <c r="CB1539" s="7"/>
      <c r="CC1539" s="7"/>
      <c r="CD1539" s="7"/>
      <c r="CE1539" s="7"/>
      <c r="CF1539" s="7"/>
      <c r="CG1539" s="7"/>
    </row>
    <row r="1540" spans="3:85"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  <c r="AA1540" s="7"/>
      <c r="AB1540" s="7"/>
      <c r="AC1540" s="7"/>
      <c r="AD1540" s="7"/>
      <c r="AF1540" s="7"/>
      <c r="AG1540" s="7"/>
      <c r="AH1540" s="7"/>
      <c r="AI1540" s="7"/>
      <c r="AJ1540" s="7"/>
      <c r="AK1540" s="7"/>
      <c r="AL1540" s="7"/>
      <c r="AM1540" s="7"/>
      <c r="AN1540" s="7"/>
      <c r="AO1540" s="7"/>
      <c r="AP1540" s="7"/>
      <c r="AQ1540" s="7"/>
      <c r="AR1540" s="7"/>
      <c r="AS1540" s="7"/>
      <c r="AT1540" s="7"/>
      <c r="AU1540" s="7"/>
      <c r="AV1540" s="7"/>
      <c r="AW1540" s="7"/>
      <c r="AX1540" s="7"/>
      <c r="AY1540" s="7"/>
      <c r="AZ1540" s="7"/>
      <c r="BA1540" s="7"/>
      <c r="BB1540" s="7"/>
      <c r="BC1540" s="7"/>
      <c r="BD1540" s="7"/>
      <c r="BE1540" s="7"/>
      <c r="BF1540" s="7"/>
      <c r="BG1540" s="7"/>
      <c r="BH1540" s="7"/>
      <c r="BI1540" s="7"/>
      <c r="BJ1540" s="7"/>
      <c r="BK1540" s="7"/>
      <c r="BL1540" s="7"/>
      <c r="BM1540" s="7"/>
      <c r="BN1540" s="7"/>
      <c r="BO1540" s="7"/>
      <c r="BP1540" s="7"/>
      <c r="BQ1540" s="7"/>
      <c r="BR1540" s="7"/>
      <c r="BS1540" s="7"/>
      <c r="BT1540" s="7"/>
      <c r="BU1540" s="7"/>
      <c r="BV1540" s="7"/>
      <c r="BW1540" s="7"/>
      <c r="BX1540" s="7"/>
      <c r="BY1540" s="7"/>
      <c r="BZ1540" s="7"/>
      <c r="CA1540" s="7"/>
      <c r="CB1540" s="7"/>
      <c r="CC1540" s="7"/>
      <c r="CD1540" s="7"/>
      <c r="CE1540" s="7"/>
      <c r="CF1540" s="7"/>
      <c r="CG1540" s="7"/>
    </row>
    <row r="1541" spans="3:85"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  <c r="AA1541" s="7"/>
      <c r="AB1541" s="7"/>
      <c r="AC1541" s="7"/>
      <c r="AD1541" s="7"/>
      <c r="AF1541" s="7"/>
      <c r="AG1541" s="7"/>
      <c r="AH1541" s="7"/>
      <c r="AI1541" s="7"/>
      <c r="AJ1541" s="7"/>
      <c r="AK1541" s="7"/>
      <c r="AL1541" s="7"/>
      <c r="AM1541" s="7"/>
      <c r="AN1541" s="7"/>
      <c r="AO1541" s="7"/>
      <c r="AP1541" s="7"/>
      <c r="AQ1541" s="7"/>
      <c r="AR1541" s="7"/>
      <c r="AS1541" s="7"/>
      <c r="AT1541" s="7"/>
      <c r="AU1541" s="7"/>
      <c r="AV1541" s="7"/>
      <c r="AW1541" s="7"/>
      <c r="AX1541" s="7"/>
      <c r="AY1541" s="7"/>
      <c r="AZ1541" s="7"/>
      <c r="BA1541" s="7"/>
      <c r="BB1541" s="7"/>
      <c r="BC1541" s="7"/>
      <c r="BD1541" s="7"/>
      <c r="BE1541" s="7"/>
      <c r="BF1541" s="7"/>
      <c r="BG1541" s="7"/>
      <c r="BH1541" s="7"/>
      <c r="BI1541" s="7"/>
      <c r="BJ1541" s="7"/>
      <c r="BK1541" s="7"/>
      <c r="BL1541" s="7"/>
      <c r="BM1541" s="7"/>
      <c r="BN1541" s="7"/>
      <c r="BO1541" s="7"/>
      <c r="BP1541" s="7"/>
      <c r="BQ1541" s="7"/>
      <c r="BR1541" s="7"/>
      <c r="BS1541" s="7"/>
      <c r="BT1541" s="7"/>
      <c r="BU1541" s="7"/>
      <c r="BV1541" s="7"/>
      <c r="BW1541" s="7"/>
      <c r="BX1541" s="7"/>
      <c r="BY1541" s="7"/>
      <c r="BZ1541" s="7"/>
      <c r="CA1541" s="7"/>
      <c r="CB1541" s="7"/>
      <c r="CC1541" s="7"/>
      <c r="CD1541" s="7"/>
      <c r="CE1541" s="7"/>
      <c r="CF1541" s="7"/>
      <c r="CG1541" s="7"/>
    </row>
    <row r="1542" spans="3:85"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  <c r="AA1542" s="7"/>
      <c r="AB1542" s="7"/>
      <c r="AC1542" s="7"/>
      <c r="AD1542" s="7"/>
      <c r="AF1542" s="7"/>
      <c r="AG1542" s="7"/>
      <c r="AH1542" s="7"/>
      <c r="AI1542" s="7"/>
      <c r="AJ1542" s="7"/>
      <c r="AK1542" s="7"/>
      <c r="AL1542" s="7"/>
      <c r="AM1542" s="7"/>
      <c r="AN1542" s="7"/>
      <c r="AO1542" s="7"/>
      <c r="AP1542" s="7"/>
      <c r="AQ1542" s="7"/>
      <c r="AR1542" s="7"/>
      <c r="AS1542" s="7"/>
      <c r="AT1542" s="7"/>
      <c r="AU1542" s="7"/>
      <c r="AV1542" s="7"/>
      <c r="AW1542" s="7"/>
      <c r="AX1542" s="7"/>
      <c r="AY1542" s="7"/>
      <c r="AZ1542" s="7"/>
      <c r="BA1542" s="7"/>
      <c r="BB1542" s="7"/>
      <c r="BC1542" s="7"/>
      <c r="BD1542" s="7"/>
      <c r="BE1542" s="7"/>
      <c r="BF1542" s="7"/>
      <c r="BG1542" s="7"/>
      <c r="BH1542" s="7"/>
      <c r="BI1542" s="7"/>
      <c r="BJ1542" s="7"/>
      <c r="BK1542" s="7"/>
      <c r="BL1542" s="7"/>
      <c r="BM1542" s="7"/>
      <c r="BN1542" s="7"/>
      <c r="BO1542" s="7"/>
      <c r="BP1542" s="7"/>
      <c r="BQ1542" s="7"/>
      <c r="BR1542" s="7"/>
      <c r="BS1542" s="7"/>
      <c r="BT1542" s="7"/>
      <c r="BU1542" s="7"/>
      <c r="BV1542" s="7"/>
      <c r="BW1542" s="7"/>
      <c r="BX1542" s="7"/>
      <c r="BY1542" s="7"/>
      <c r="BZ1542" s="7"/>
      <c r="CA1542" s="7"/>
      <c r="CB1542" s="7"/>
      <c r="CC1542" s="7"/>
      <c r="CD1542" s="7"/>
      <c r="CE1542" s="7"/>
      <c r="CF1542" s="7"/>
      <c r="CG1542" s="7"/>
    </row>
    <row r="1543" spans="3:85"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  <c r="AA1543" s="7"/>
      <c r="AB1543" s="7"/>
      <c r="AC1543" s="7"/>
      <c r="AD1543" s="7"/>
      <c r="AF1543" s="7"/>
      <c r="AG1543" s="7"/>
      <c r="AH1543" s="7"/>
      <c r="AI1543" s="7"/>
      <c r="AJ1543" s="7"/>
      <c r="AK1543" s="7"/>
      <c r="AL1543" s="7"/>
      <c r="AM1543" s="7"/>
      <c r="AN1543" s="7"/>
      <c r="AO1543" s="7"/>
      <c r="AP1543" s="7"/>
      <c r="AQ1543" s="7"/>
      <c r="AR1543" s="7"/>
      <c r="AS1543" s="7"/>
      <c r="AT1543" s="7"/>
      <c r="AU1543" s="7"/>
      <c r="AV1543" s="7"/>
      <c r="AW1543" s="7"/>
      <c r="AX1543" s="7"/>
      <c r="AY1543" s="7"/>
      <c r="AZ1543" s="7"/>
      <c r="BA1543" s="7"/>
      <c r="BB1543" s="7"/>
      <c r="BC1543" s="7"/>
      <c r="BD1543" s="7"/>
      <c r="BE1543" s="7"/>
      <c r="BF1543" s="7"/>
      <c r="BG1543" s="7"/>
      <c r="BH1543" s="7"/>
      <c r="BI1543" s="7"/>
      <c r="BJ1543" s="7"/>
      <c r="BK1543" s="7"/>
      <c r="BL1543" s="7"/>
      <c r="BM1543" s="7"/>
      <c r="BN1543" s="7"/>
      <c r="BO1543" s="7"/>
      <c r="BP1543" s="7"/>
      <c r="BQ1543" s="7"/>
      <c r="BR1543" s="7"/>
      <c r="BS1543" s="7"/>
      <c r="BT1543" s="7"/>
      <c r="BU1543" s="7"/>
      <c r="BV1543" s="7"/>
      <c r="BW1543" s="7"/>
      <c r="BX1543" s="7"/>
      <c r="BY1543" s="7"/>
      <c r="BZ1543" s="7"/>
      <c r="CA1543" s="7"/>
      <c r="CB1543" s="7"/>
      <c r="CC1543" s="7"/>
      <c r="CD1543" s="7"/>
      <c r="CE1543" s="7"/>
      <c r="CF1543" s="7"/>
      <c r="CG1543" s="7"/>
    </row>
    <row r="1544" spans="3:85"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  <c r="AA1544" s="7"/>
      <c r="AB1544" s="7"/>
      <c r="AC1544" s="7"/>
      <c r="AD1544" s="7"/>
      <c r="AF1544" s="7"/>
      <c r="AG1544" s="7"/>
      <c r="AH1544" s="7"/>
      <c r="AI1544" s="7"/>
      <c r="AJ1544" s="7"/>
      <c r="AK1544" s="7"/>
      <c r="AL1544" s="7"/>
      <c r="AM1544" s="7"/>
      <c r="AN1544" s="7"/>
      <c r="AO1544" s="7"/>
      <c r="AP1544" s="7"/>
      <c r="AQ1544" s="7"/>
      <c r="AR1544" s="7"/>
      <c r="AS1544" s="7"/>
      <c r="AT1544" s="7"/>
      <c r="AU1544" s="7"/>
      <c r="AV1544" s="7"/>
      <c r="AW1544" s="7"/>
      <c r="AX1544" s="7"/>
      <c r="AY1544" s="7"/>
      <c r="AZ1544" s="7"/>
      <c r="BA1544" s="7"/>
      <c r="BB1544" s="7"/>
      <c r="BC1544" s="7"/>
      <c r="BD1544" s="7"/>
      <c r="BE1544" s="7"/>
      <c r="BF1544" s="7"/>
      <c r="BG1544" s="7"/>
      <c r="BH1544" s="7"/>
      <c r="BI1544" s="7"/>
      <c r="BJ1544" s="7"/>
      <c r="BK1544" s="7"/>
      <c r="BL1544" s="7"/>
      <c r="BM1544" s="7"/>
      <c r="BN1544" s="7"/>
      <c r="BO1544" s="7"/>
      <c r="BP1544" s="7"/>
      <c r="BQ1544" s="7"/>
      <c r="BR1544" s="7"/>
      <c r="BS1544" s="7"/>
      <c r="BT1544" s="7"/>
      <c r="BU1544" s="7"/>
      <c r="BV1544" s="7"/>
      <c r="BW1544" s="7"/>
      <c r="BX1544" s="7"/>
      <c r="BY1544" s="7"/>
      <c r="BZ1544" s="7"/>
      <c r="CA1544" s="7"/>
      <c r="CB1544" s="7"/>
      <c r="CC1544" s="7"/>
      <c r="CD1544" s="7"/>
      <c r="CE1544" s="7"/>
      <c r="CF1544" s="7"/>
      <c r="CG1544" s="7"/>
    </row>
    <row r="1545" spans="3:85"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  <c r="AA1545" s="7"/>
      <c r="AB1545" s="7"/>
      <c r="AC1545" s="7"/>
      <c r="AD1545" s="7"/>
      <c r="AF1545" s="7"/>
      <c r="AG1545" s="7"/>
      <c r="AH1545" s="7"/>
      <c r="AI1545" s="7"/>
      <c r="AJ1545" s="7"/>
      <c r="AK1545" s="7"/>
      <c r="AL1545" s="7"/>
      <c r="AM1545" s="7"/>
      <c r="AN1545" s="7"/>
      <c r="AO1545" s="7"/>
      <c r="AP1545" s="7"/>
      <c r="AQ1545" s="7"/>
      <c r="AR1545" s="7"/>
      <c r="AS1545" s="7"/>
      <c r="AT1545" s="7"/>
      <c r="AU1545" s="7"/>
      <c r="AV1545" s="7"/>
      <c r="AW1545" s="7"/>
      <c r="AX1545" s="7"/>
      <c r="AY1545" s="7"/>
      <c r="AZ1545" s="7"/>
      <c r="BA1545" s="7"/>
      <c r="BB1545" s="7"/>
      <c r="BC1545" s="7"/>
      <c r="BD1545" s="7"/>
      <c r="BE1545" s="7"/>
      <c r="BF1545" s="7"/>
      <c r="BG1545" s="7"/>
      <c r="BH1545" s="7"/>
      <c r="BI1545" s="7"/>
      <c r="BJ1545" s="7"/>
      <c r="BK1545" s="7"/>
      <c r="BL1545" s="7"/>
      <c r="BM1545" s="7"/>
      <c r="BN1545" s="7"/>
      <c r="BO1545" s="7"/>
      <c r="BP1545" s="7"/>
      <c r="BQ1545" s="7"/>
      <c r="BR1545" s="7"/>
      <c r="BS1545" s="7"/>
      <c r="BT1545" s="7"/>
      <c r="BU1545" s="7"/>
      <c r="BV1545" s="7"/>
      <c r="BW1545" s="7"/>
      <c r="BX1545" s="7"/>
      <c r="BY1545" s="7"/>
      <c r="BZ1545" s="7"/>
      <c r="CA1545" s="7"/>
      <c r="CB1545" s="7"/>
      <c r="CC1545" s="7"/>
      <c r="CD1545" s="7"/>
      <c r="CE1545" s="7"/>
      <c r="CF1545" s="7"/>
      <c r="CG1545" s="7"/>
    </row>
    <row r="1546" spans="3:85"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  <c r="AA1546" s="7"/>
      <c r="AB1546" s="7"/>
      <c r="AC1546" s="7"/>
      <c r="AD1546" s="7"/>
      <c r="AF1546" s="7"/>
      <c r="AG1546" s="7"/>
      <c r="AH1546" s="7"/>
      <c r="AI1546" s="7"/>
      <c r="AJ1546" s="7"/>
      <c r="AK1546" s="7"/>
      <c r="AL1546" s="7"/>
      <c r="AM1546" s="7"/>
      <c r="AN1546" s="7"/>
      <c r="AO1546" s="7"/>
      <c r="AP1546" s="7"/>
      <c r="AQ1546" s="7"/>
      <c r="AR1546" s="7"/>
      <c r="AS1546" s="7"/>
      <c r="AT1546" s="7"/>
      <c r="AU1546" s="7"/>
      <c r="AV1546" s="7"/>
      <c r="AW1546" s="7"/>
      <c r="AX1546" s="7"/>
      <c r="AY1546" s="7"/>
      <c r="AZ1546" s="7"/>
      <c r="BA1546" s="7"/>
      <c r="BB1546" s="7"/>
      <c r="BC1546" s="7"/>
      <c r="BD1546" s="7"/>
      <c r="BE1546" s="7"/>
      <c r="BF1546" s="7"/>
      <c r="BG1546" s="7"/>
      <c r="BH1546" s="7"/>
      <c r="BI1546" s="7"/>
      <c r="BJ1546" s="7"/>
      <c r="BK1546" s="7"/>
      <c r="BL1546" s="7"/>
      <c r="BM1546" s="7"/>
      <c r="BN1546" s="7"/>
      <c r="BO1546" s="7"/>
      <c r="BP1546" s="7"/>
      <c r="BQ1546" s="7"/>
      <c r="BR1546" s="7"/>
      <c r="BS1546" s="7"/>
      <c r="BT1546" s="7"/>
      <c r="BU1546" s="7"/>
      <c r="BV1546" s="7"/>
      <c r="BW1546" s="7"/>
      <c r="BX1546" s="7"/>
      <c r="BY1546" s="7"/>
      <c r="BZ1546" s="7"/>
      <c r="CA1546" s="7"/>
      <c r="CB1546" s="7"/>
      <c r="CC1546" s="7"/>
      <c r="CD1546" s="7"/>
      <c r="CE1546" s="7"/>
      <c r="CF1546" s="7"/>
      <c r="CG1546" s="7"/>
    </row>
    <row r="1547" spans="3:85"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  <c r="AA1547" s="7"/>
      <c r="AB1547" s="7"/>
      <c r="AC1547" s="7"/>
      <c r="AD1547" s="7"/>
      <c r="AF1547" s="7"/>
      <c r="AG1547" s="7"/>
      <c r="AH1547" s="7"/>
      <c r="AI1547" s="7"/>
      <c r="AJ1547" s="7"/>
      <c r="AK1547" s="7"/>
      <c r="AL1547" s="7"/>
      <c r="AM1547" s="7"/>
      <c r="AN1547" s="7"/>
      <c r="AO1547" s="7"/>
      <c r="AP1547" s="7"/>
      <c r="AQ1547" s="7"/>
      <c r="AR1547" s="7"/>
      <c r="AS1547" s="7"/>
      <c r="AT1547" s="7"/>
      <c r="AU1547" s="7"/>
      <c r="AV1547" s="7"/>
      <c r="AW1547" s="7"/>
      <c r="AX1547" s="7"/>
      <c r="AY1547" s="7"/>
      <c r="AZ1547" s="7"/>
      <c r="BA1547" s="7"/>
      <c r="BB1547" s="7"/>
      <c r="BC1547" s="7"/>
      <c r="BD1547" s="7"/>
      <c r="BE1547" s="7"/>
      <c r="BF1547" s="7"/>
      <c r="BG1547" s="7"/>
      <c r="BH1547" s="7"/>
      <c r="BI1547" s="7"/>
      <c r="BJ1547" s="7"/>
      <c r="BK1547" s="7"/>
      <c r="BL1547" s="7"/>
      <c r="BM1547" s="7"/>
      <c r="BN1547" s="7"/>
      <c r="BO1547" s="7"/>
      <c r="BP1547" s="7"/>
      <c r="BQ1547" s="7"/>
      <c r="BR1547" s="7"/>
      <c r="BS1547" s="7"/>
      <c r="BT1547" s="7"/>
      <c r="BU1547" s="7"/>
      <c r="BV1547" s="7"/>
      <c r="BW1547" s="7"/>
      <c r="BX1547" s="7"/>
      <c r="BY1547" s="7"/>
      <c r="BZ1547" s="7"/>
      <c r="CA1547" s="7"/>
      <c r="CB1547" s="7"/>
      <c r="CC1547" s="7"/>
      <c r="CD1547" s="7"/>
      <c r="CE1547" s="7"/>
      <c r="CF1547" s="7"/>
      <c r="CG1547" s="7"/>
    </row>
    <row r="1548" spans="3:85"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  <c r="AA1548" s="7"/>
      <c r="AB1548" s="7"/>
      <c r="AC1548" s="7"/>
      <c r="AD1548" s="7"/>
      <c r="AF1548" s="7"/>
      <c r="AG1548" s="7"/>
      <c r="AH1548" s="7"/>
      <c r="AI1548" s="7"/>
      <c r="AJ1548" s="7"/>
      <c r="AK1548" s="7"/>
      <c r="AL1548" s="7"/>
      <c r="AM1548" s="7"/>
      <c r="AN1548" s="7"/>
      <c r="AO1548" s="7"/>
      <c r="AP1548" s="7"/>
      <c r="AQ1548" s="7"/>
      <c r="AR1548" s="7"/>
      <c r="AS1548" s="7"/>
      <c r="AT1548" s="7"/>
      <c r="AU1548" s="7"/>
      <c r="AV1548" s="7"/>
      <c r="AW1548" s="7"/>
      <c r="AX1548" s="7"/>
      <c r="AY1548" s="7"/>
      <c r="AZ1548" s="7"/>
      <c r="BA1548" s="7"/>
      <c r="BB1548" s="7"/>
      <c r="BC1548" s="7"/>
      <c r="BD1548" s="7"/>
      <c r="BE1548" s="7"/>
      <c r="BF1548" s="7"/>
      <c r="BG1548" s="7"/>
      <c r="BH1548" s="7"/>
      <c r="BI1548" s="7"/>
      <c r="BJ1548" s="7"/>
      <c r="BK1548" s="7"/>
      <c r="BL1548" s="7"/>
      <c r="BM1548" s="7"/>
      <c r="BN1548" s="7"/>
      <c r="BO1548" s="7"/>
      <c r="BP1548" s="7"/>
      <c r="BQ1548" s="7"/>
      <c r="BR1548" s="7"/>
      <c r="BS1548" s="7"/>
      <c r="BT1548" s="7"/>
      <c r="BU1548" s="7"/>
      <c r="BV1548" s="7"/>
      <c r="BW1548" s="7"/>
      <c r="BX1548" s="7"/>
      <c r="BY1548" s="7"/>
      <c r="BZ1548" s="7"/>
      <c r="CA1548" s="7"/>
      <c r="CB1548" s="7"/>
      <c r="CC1548" s="7"/>
      <c r="CD1548" s="7"/>
      <c r="CE1548" s="7"/>
      <c r="CF1548" s="7"/>
      <c r="CG1548" s="7"/>
    </row>
    <row r="1549" spans="3:85"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  <c r="AA1549" s="7"/>
      <c r="AB1549" s="7"/>
      <c r="AC1549" s="7"/>
      <c r="AD1549" s="7"/>
      <c r="AF1549" s="7"/>
      <c r="AG1549" s="7"/>
      <c r="AH1549" s="7"/>
      <c r="AI1549" s="7"/>
      <c r="AJ1549" s="7"/>
      <c r="AK1549" s="7"/>
      <c r="AL1549" s="7"/>
      <c r="AM1549" s="7"/>
      <c r="AN1549" s="7"/>
      <c r="AO1549" s="7"/>
      <c r="AP1549" s="7"/>
      <c r="AQ1549" s="7"/>
      <c r="AR1549" s="7"/>
      <c r="AS1549" s="7"/>
      <c r="AT1549" s="7"/>
      <c r="AU1549" s="7"/>
      <c r="AV1549" s="7"/>
      <c r="AW1549" s="7"/>
      <c r="AX1549" s="7"/>
      <c r="AY1549" s="7"/>
      <c r="AZ1549" s="7"/>
      <c r="BA1549" s="7"/>
      <c r="BB1549" s="7"/>
      <c r="BC1549" s="7"/>
      <c r="BD1549" s="7"/>
      <c r="BE1549" s="7"/>
      <c r="BF1549" s="7"/>
      <c r="BG1549" s="7"/>
      <c r="BH1549" s="7"/>
      <c r="BI1549" s="7"/>
      <c r="BJ1549" s="7"/>
      <c r="BK1549" s="7"/>
      <c r="BL1549" s="7"/>
      <c r="BM1549" s="7"/>
      <c r="BN1549" s="7"/>
      <c r="BO1549" s="7"/>
      <c r="BP1549" s="7"/>
      <c r="BQ1549" s="7"/>
      <c r="BR1549" s="7"/>
      <c r="BS1549" s="7"/>
      <c r="BT1549" s="7"/>
      <c r="BU1549" s="7"/>
      <c r="BV1549" s="7"/>
      <c r="BW1549" s="7"/>
      <c r="BX1549" s="7"/>
      <c r="BY1549" s="7"/>
      <c r="BZ1549" s="7"/>
      <c r="CA1549" s="7"/>
      <c r="CB1549" s="7"/>
      <c r="CC1549" s="7"/>
      <c r="CD1549" s="7"/>
      <c r="CE1549" s="7"/>
      <c r="CF1549" s="7"/>
      <c r="CG1549" s="7"/>
    </row>
    <row r="1550" spans="3:85"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  <c r="AA1550" s="7"/>
      <c r="AB1550" s="7"/>
      <c r="AC1550" s="7"/>
      <c r="AD1550" s="7"/>
      <c r="AF1550" s="7"/>
      <c r="AG1550" s="7"/>
      <c r="AH1550" s="7"/>
      <c r="AI1550" s="7"/>
      <c r="AJ1550" s="7"/>
      <c r="AK1550" s="7"/>
      <c r="AL1550" s="7"/>
      <c r="AM1550" s="7"/>
      <c r="AN1550" s="7"/>
      <c r="AO1550" s="7"/>
      <c r="AP1550" s="7"/>
      <c r="AQ1550" s="7"/>
      <c r="AR1550" s="7"/>
      <c r="AS1550" s="7"/>
      <c r="AT1550" s="7"/>
      <c r="AU1550" s="7"/>
      <c r="AV1550" s="7"/>
      <c r="AW1550" s="7"/>
      <c r="AX1550" s="7"/>
      <c r="AY1550" s="7"/>
      <c r="AZ1550" s="7"/>
      <c r="BA1550" s="7"/>
      <c r="BB1550" s="7"/>
      <c r="BC1550" s="7"/>
      <c r="BD1550" s="7"/>
      <c r="BE1550" s="7"/>
      <c r="BF1550" s="7"/>
      <c r="BG1550" s="7"/>
      <c r="BH1550" s="7"/>
      <c r="BI1550" s="7"/>
      <c r="BJ1550" s="7"/>
      <c r="BK1550" s="7"/>
      <c r="BL1550" s="7"/>
      <c r="BM1550" s="7"/>
      <c r="BN1550" s="7"/>
      <c r="BO1550" s="7"/>
      <c r="BP1550" s="7"/>
      <c r="BQ1550" s="7"/>
      <c r="BR1550" s="7"/>
      <c r="BS1550" s="7"/>
      <c r="BT1550" s="7"/>
      <c r="BU1550" s="7"/>
      <c r="BV1550" s="7"/>
      <c r="BW1550" s="7"/>
      <c r="BX1550" s="7"/>
      <c r="BY1550" s="7"/>
      <c r="BZ1550" s="7"/>
      <c r="CA1550" s="7"/>
      <c r="CB1550" s="7"/>
      <c r="CC1550" s="7"/>
      <c r="CD1550" s="7"/>
      <c r="CE1550" s="7"/>
      <c r="CF1550" s="7"/>
      <c r="CG1550" s="7"/>
    </row>
    <row r="1551" spans="3:85"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  <c r="AA1551" s="7"/>
      <c r="AB1551" s="7"/>
      <c r="AC1551" s="7"/>
      <c r="AD1551" s="7"/>
      <c r="AF1551" s="7"/>
      <c r="AG1551" s="7"/>
      <c r="AH1551" s="7"/>
      <c r="AI1551" s="7"/>
      <c r="AJ1551" s="7"/>
      <c r="AK1551" s="7"/>
      <c r="AL1551" s="7"/>
      <c r="AM1551" s="7"/>
      <c r="AN1551" s="7"/>
      <c r="AO1551" s="7"/>
      <c r="AP1551" s="7"/>
      <c r="AQ1551" s="7"/>
      <c r="AR1551" s="7"/>
      <c r="AS1551" s="7"/>
      <c r="AT1551" s="7"/>
      <c r="AU1551" s="7"/>
      <c r="AV1551" s="7"/>
      <c r="AW1551" s="7"/>
      <c r="AX1551" s="7"/>
      <c r="AY1551" s="7"/>
      <c r="AZ1551" s="7"/>
      <c r="BA1551" s="7"/>
      <c r="BB1551" s="7"/>
      <c r="BC1551" s="7"/>
      <c r="BD1551" s="7"/>
      <c r="BE1551" s="7"/>
      <c r="BF1551" s="7"/>
      <c r="BG1551" s="7"/>
      <c r="BH1551" s="7"/>
      <c r="BI1551" s="7"/>
      <c r="BJ1551" s="7"/>
      <c r="BK1551" s="7"/>
      <c r="BL1551" s="7"/>
      <c r="BM1551" s="7"/>
      <c r="BN1551" s="7"/>
      <c r="BO1551" s="7"/>
      <c r="BP1551" s="7"/>
      <c r="BQ1551" s="7"/>
      <c r="BR1551" s="7"/>
      <c r="BS1551" s="7"/>
      <c r="BT1551" s="7"/>
      <c r="BU1551" s="7"/>
      <c r="BV1551" s="7"/>
      <c r="BW1551" s="7"/>
      <c r="BX1551" s="7"/>
      <c r="BY1551" s="7"/>
      <c r="BZ1551" s="7"/>
      <c r="CA1551" s="7"/>
      <c r="CB1551" s="7"/>
      <c r="CC1551" s="7"/>
      <c r="CD1551" s="7"/>
      <c r="CE1551" s="7"/>
      <c r="CF1551" s="7"/>
      <c r="CG1551" s="7"/>
    </row>
    <row r="1552" spans="3:85"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  <c r="AA1552" s="7"/>
      <c r="AB1552" s="7"/>
      <c r="AC1552" s="7"/>
      <c r="AD1552" s="7"/>
      <c r="AF1552" s="7"/>
      <c r="AG1552" s="7"/>
      <c r="AH1552" s="7"/>
      <c r="AI1552" s="7"/>
      <c r="AJ1552" s="7"/>
      <c r="AK1552" s="7"/>
      <c r="AL1552" s="7"/>
      <c r="AM1552" s="7"/>
      <c r="AN1552" s="7"/>
      <c r="AO1552" s="7"/>
      <c r="AP1552" s="7"/>
      <c r="AQ1552" s="7"/>
      <c r="AR1552" s="7"/>
      <c r="AS1552" s="7"/>
      <c r="AT1552" s="7"/>
      <c r="AU1552" s="7"/>
      <c r="AV1552" s="7"/>
      <c r="AW1552" s="7"/>
      <c r="AX1552" s="7"/>
      <c r="AY1552" s="7"/>
      <c r="AZ1552" s="7"/>
      <c r="BA1552" s="7"/>
      <c r="BB1552" s="7"/>
      <c r="BC1552" s="7"/>
      <c r="BD1552" s="7"/>
      <c r="BE1552" s="7"/>
      <c r="BF1552" s="7"/>
      <c r="BG1552" s="7"/>
      <c r="BH1552" s="7"/>
      <c r="BI1552" s="7"/>
      <c r="BJ1552" s="7"/>
      <c r="BK1552" s="7"/>
      <c r="BL1552" s="7"/>
      <c r="BM1552" s="7"/>
      <c r="BN1552" s="7"/>
      <c r="BO1552" s="7"/>
      <c r="BP1552" s="7"/>
      <c r="BQ1552" s="7"/>
      <c r="BR1552" s="7"/>
      <c r="BS1552" s="7"/>
      <c r="BT1552" s="7"/>
      <c r="BU1552" s="7"/>
      <c r="BV1552" s="7"/>
      <c r="BW1552" s="7"/>
      <c r="BX1552" s="7"/>
      <c r="BY1552" s="7"/>
      <c r="BZ1552" s="7"/>
      <c r="CA1552" s="7"/>
      <c r="CB1552" s="7"/>
      <c r="CC1552" s="7"/>
      <c r="CD1552" s="7"/>
      <c r="CE1552" s="7"/>
      <c r="CF1552" s="7"/>
      <c r="CG1552" s="7"/>
    </row>
    <row r="1553" spans="3:85"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  <c r="AA1553" s="7"/>
      <c r="AB1553" s="7"/>
      <c r="AC1553" s="7"/>
      <c r="AD1553" s="7"/>
      <c r="AF1553" s="7"/>
      <c r="AG1553" s="7"/>
      <c r="AH1553" s="7"/>
      <c r="AI1553" s="7"/>
      <c r="AJ1553" s="7"/>
      <c r="AK1553" s="7"/>
      <c r="AL1553" s="7"/>
      <c r="AM1553" s="7"/>
      <c r="AN1553" s="7"/>
      <c r="AO1553" s="7"/>
      <c r="AP1553" s="7"/>
      <c r="AQ1553" s="7"/>
      <c r="AR1553" s="7"/>
      <c r="AS1553" s="7"/>
      <c r="AT1553" s="7"/>
      <c r="AU1553" s="7"/>
      <c r="AV1553" s="7"/>
      <c r="AW1553" s="7"/>
      <c r="AX1553" s="7"/>
      <c r="AY1553" s="7"/>
      <c r="AZ1553" s="7"/>
      <c r="BA1553" s="7"/>
      <c r="BB1553" s="7"/>
      <c r="BC1553" s="7"/>
      <c r="BD1553" s="7"/>
      <c r="BE1553" s="7"/>
      <c r="BF1553" s="7"/>
      <c r="BG1553" s="7"/>
      <c r="BH1553" s="7"/>
      <c r="BI1553" s="7"/>
      <c r="BJ1553" s="7"/>
      <c r="BK1553" s="7"/>
      <c r="BL1553" s="7"/>
      <c r="BM1553" s="7"/>
      <c r="BN1553" s="7"/>
      <c r="BO1553" s="7"/>
      <c r="BP1553" s="7"/>
      <c r="BQ1553" s="7"/>
      <c r="BR1553" s="7"/>
      <c r="BS1553" s="7"/>
      <c r="BT1553" s="7"/>
      <c r="BU1553" s="7"/>
      <c r="BV1553" s="7"/>
      <c r="BW1553" s="7"/>
      <c r="BX1553" s="7"/>
      <c r="BY1553" s="7"/>
      <c r="BZ1553" s="7"/>
      <c r="CA1553" s="7"/>
      <c r="CB1553" s="7"/>
      <c r="CC1553" s="7"/>
      <c r="CD1553" s="7"/>
      <c r="CE1553" s="7"/>
      <c r="CF1553" s="7"/>
      <c r="CG1553" s="7"/>
    </row>
    <row r="1554" spans="3:85"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  <c r="AA1554" s="7"/>
      <c r="AB1554" s="7"/>
      <c r="AC1554" s="7"/>
      <c r="AD1554" s="7"/>
      <c r="AF1554" s="7"/>
      <c r="AG1554" s="7"/>
      <c r="AH1554" s="7"/>
      <c r="AI1554" s="7"/>
      <c r="AJ1554" s="7"/>
      <c r="AK1554" s="7"/>
      <c r="AL1554" s="7"/>
      <c r="AM1554" s="7"/>
      <c r="AN1554" s="7"/>
      <c r="AO1554" s="7"/>
      <c r="AP1554" s="7"/>
      <c r="AQ1554" s="7"/>
      <c r="AR1554" s="7"/>
      <c r="AS1554" s="7"/>
      <c r="AT1554" s="7"/>
      <c r="AU1554" s="7"/>
      <c r="AV1554" s="7"/>
      <c r="AW1554" s="7"/>
      <c r="AX1554" s="7"/>
      <c r="AY1554" s="7"/>
      <c r="AZ1554" s="7"/>
      <c r="BA1554" s="7"/>
      <c r="BB1554" s="7"/>
      <c r="BC1554" s="7"/>
      <c r="BD1554" s="7"/>
      <c r="BE1554" s="7"/>
      <c r="BF1554" s="7"/>
      <c r="BG1554" s="7"/>
      <c r="BH1554" s="7"/>
      <c r="BI1554" s="7"/>
      <c r="BJ1554" s="7"/>
      <c r="BK1554" s="7"/>
      <c r="BL1554" s="7"/>
      <c r="BM1554" s="7"/>
      <c r="BN1554" s="7"/>
      <c r="BO1554" s="7"/>
      <c r="BP1554" s="7"/>
      <c r="BQ1554" s="7"/>
      <c r="BR1554" s="7"/>
      <c r="BS1554" s="7"/>
      <c r="BT1554" s="7"/>
      <c r="BU1554" s="7"/>
      <c r="BV1554" s="7"/>
      <c r="BW1554" s="7"/>
      <c r="BX1554" s="7"/>
      <c r="BY1554" s="7"/>
      <c r="BZ1554" s="7"/>
      <c r="CA1554" s="7"/>
      <c r="CB1554" s="7"/>
      <c r="CC1554" s="7"/>
      <c r="CD1554" s="7"/>
      <c r="CE1554" s="7"/>
      <c r="CF1554" s="7"/>
      <c r="CG1554" s="7"/>
    </row>
    <row r="1555" spans="3:85"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  <c r="AA1555" s="7"/>
      <c r="AB1555" s="7"/>
      <c r="AC1555" s="7"/>
      <c r="AD1555" s="7"/>
      <c r="AF1555" s="7"/>
      <c r="AG1555" s="7"/>
      <c r="AH1555" s="7"/>
      <c r="AI1555" s="7"/>
      <c r="AJ1555" s="7"/>
      <c r="AK1555" s="7"/>
      <c r="AL1555" s="7"/>
      <c r="AM1555" s="7"/>
      <c r="AN1555" s="7"/>
      <c r="AO1555" s="7"/>
      <c r="AP1555" s="7"/>
      <c r="AQ1555" s="7"/>
      <c r="AR1555" s="7"/>
      <c r="AS1555" s="7"/>
      <c r="AT1555" s="7"/>
      <c r="AU1555" s="7"/>
      <c r="AV1555" s="7"/>
      <c r="AW1555" s="7"/>
      <c r="AX1555" s="7"/>
      <c r="AY1555" s="7"/>
      <c r="AZ1555" s="7"/>
      <c r="BA1555" s="7"/>
      <c r="BB1555" s="7"/>
      <c r="BC1555" s="7"/>
      <c r="BD1555" s="7"/>
      <c r="BE1555" s="7"/>
      <c r="BF1555" s="7"/>
      <c r="BG1555" s="7"/>
      <c r="BH1555" s="7"/>
      <c r="BI1555" s="7"/>
      <c r="BJ1555" s="7"/>
      <c r="BK1555" s="7"/>
      <c r="BL1555" s="7"/>
      <c r="BM1555" s="7"/>
      <c r="BN1555" s="7"/>
      <c r="BO1555" s="7"/>
      <c r="BP1555" s="7"/>
      <c r="BQ1555" s="7"/>
      <c r="BR1555" s="7"/>
      <c r="BS1555" s="7"/>
      <c r="BT1555" s="7"/>
      <c r="BU1555" s="7"/>
      <c r="BV1555" s="7"/>
      <c r="BW1555" s="7"/>
      <c r="BX1555" s="7"/>
      <c r="BY1555" s="7"/>
      <c r="BZ1555" s="7"/>
      <c r="CA1555" s="7"/>
      <c r="CB1555" s="7"/>
      <c r="CC1555" s="7"/>
      <c r="CD1555" s="7"/>
      <c r="CE1555" s="7"/>
      <c r="CF1555" s="7"/>
      <c r="CG1555" s="7"/>
    </row>
    <row r="1556" spans="3:85"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  <c r="AA1556" s="7"/>
      <c r="AB1556" s="7"/>
      <c r="AC1556" s="7"/>
      <c r="AD1556" s="7"/>
      <c r="AF1556" s="7"/>
      <c r="AG1556" s="7"/>
      <c r="AH1556" s="7"/>
      <c r="AI1556" s="7"/>
      <c r="AJ1556" s="7"/>
      <c r="AK1556" s="7"/>
      <c r="AL1556" s="7"/>
      <c r="AM1556" s="7"/>
      <c r="AN1556" s="7"/>
      <c r="AO1556" s="7"/>
      <c r="AP1556" s="7"/>
      <c r="AQ1556" s="7"/>
      <c r="AR1556" s="7"/>
      <c r="AS1556" s="7"/>
      <c r="AT1556" s="7"/>
      <c r="AU1556" s="7"/>
      <c r="AV1556" s="7"/>
      <c r="AW1556" s="7"/>
      <c r="AX1556" s="7"/>
      <c r="AY1556" s="7"/>
      <c r="AZ1556" s="7"/>
      <c r="BA1556" s="7"/>
      <c r="BB1556" s="7"/>
      <c r="BC1556" s="7"/>
      <c r="BD1556" s="7"/>
      <c r="BE1556" s="7"/>
      <c r="BF1556" s="7"/>
      <c r="BG1556" s="7"/>
      <c r="BH1556" s="7"/>
      <c r="BI1556" s="7"/>
      <c r="BJ1556" s="7"/>
      <c r="BK1556" s="7"/>
      <c r="BL1556" s="7"/>
      <c r="BM1556" s="7"/>
      <c r="BN1556" s="7"/>
      <c r="BO1556" s="7"/>
      <c r="BP1556" s="7"/>
      <c r="BQ1556" s="7"/>
      <c r="BR1556" s="7"/>
      <c r="BS1556" s="7"/>
      <c r="BT1556" s="7"/>
      <c r="BU1556" s="7"/>
      <c r="BV1556" s="7"/>
      <c r="BW1556" s="7"/>
      <c r="BX1556" s="7"/>
      <c r="BY1556" s="7"/>
      <c r="BZ1556" s="7"/>
      <c r="CA1556" s="7"/>
      <c r="CB1556" s="7"/>
      <c r="CC1556" s="7"/>
      <c r="CD1556" s="7"/>
      <c r="CE1556" s="7"/>
      <c r="CF1556" s="7"/>
      <c r="CG1556" s="7"/>
    </row>
    <row r="1557" spans="3:85"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  <c r="AA1557" s="7"/>
      <c r="AB1557" s="7"/>
      <c r="AC1557" s="7"/>
      <c r="AD1557" s="7"/>
      <c r="AF1557" s="7"/>
      <c r="AG1557" s="7"/>
      <c r="AH1557" s="7"/>
      <c r="AI1557" s="7"/>
      <c r="AJ1557" s="7"/>
      <c r="AK1557" s="7"/>
      <c r="AL1557" s="7"/>
      <c r="AM1557" s="7"/>
      <c r="AN1557" s="7"/>
      <c r="AO1557" s="7"/>
      <c r="AP1557" s="7"/>
      <c r="AQ1557" s="7"/>
      <c r="AR1557" s="7"/>
      <c r="AS1557" s="7"/>
      <c r="AT1557" s="7"/>
      <c r="AU1557" s="7"/>
      <c r="AV1557" s="7"/>
      <c r="AW1557" s="7"/>
      <c r="AX1557" s="7"/>
      <c r="AY1557" s="7"/>
      <c r="AZ1557" s="7"/>
      <c r="BA1557" s="7"/>
      <c r="BB1557" s="7"/>
      <c r="BC1557" s="7"/>
      <c r="BD1557" s="7"/>
      <c r="BE1557" s="7"/>
      <c r="BF1557" s="7"/>
      <c r="BG1557" s="7"/>
      <c r="BH1557" s="7"/>
      <c r="BI1557" s="7"/>
      <c r="BJ1557" s="7"/>
      <c r="BK1557" s="7"/>
      <c r="BL1557" s="7"/>
      <c r="BM1557" s="7"/>
      <c r="BN1557" s="7"/>
      <c r="BO1557" s="7"/>
      <c r="BP1557" s="7"/>
      <c r="BQ1557" s="7"/>
      <c r="BR1557" s="7"/>
      <c r="BS1557" s="7"/>
      <c r="BT1557" s="7"/>
      <c r="BU1557" s="7"/>
      <c r="BV1557" s="7"/>
      <c r="BW1557" s="7"/>
      <c r="BX1557" s="7"/>
      <c r="BY1557" s="7"/>
      <c r="BZ1557" s="7"/>
      <c r="CA1557" s="7"/>
      <c r="CB1557" s="7"/>
      <c r="CC1557" s="7"/>
      <c r="CD1557" s="7"/>
      <c r="CE1557" s="7"/>
      <c r="CF1557" s="7"/>
      <c r="CG1557" s="7"/>
    </row>
    <row r="1558" spans="3:85"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  <c r="AA1558" s="7"/>
      <c r="AB1558" s="7"/>
      <c r="AC1558" s="7"/>
      <c r="AD1558" s="7"/>
      <c r="AF1558" s="7"/>
      <c r="AG1558" s="7"/>
      <c r="AH1558" s="7"/>
      <c r="AI1558" s="7"/>
      <c r="AJ1558" s="7"/>
      <c r="AK1558" s="7"/>
      <c r="AL1558" s="7"/>
      <c r="AM1558" s="7"/>
      <c r="AN1558" s="7"/>
      <c r="AO1558" s="7"/>
      <c r="AP1558" s="7"/>
      <c r="AQ1558" s="7"/>
      <c r="AR1558" s="7"/>
      <c r="AS1558" s="7"/>
      <c r="AT1558" s="7"/>
      <c r="AU1558" s="7"/>
      <c r="AV1558" s="7"/>
      <c r="AW1558" s="7"/>
      <c r="AX1558" s="7"/>
      <c r="AY1558" s="7"/>
      <c r="AZ1558" s="7"/>
      <c r="BA1558" s="7"/>
      <c r="BB1558" s="7"/>
      <c r="BC1558" s="7"/>
      <c r="BD1558" s="7"/>
      <c r="BE1558" s="7"/>
      <c r="BF1558" s="7"/>
      <c r="BG1558" s="7"/>
      <c r="BH1558" s="7"/>
      <c r="BI1558" s="7"/>
      <c r="BJ1558" s="7"/>
      <c r="BK1558" s="7"/>
      <c r="BL1558" s="7"/>
      <c r="BM1558" s="7"/>
      <c r="BN1558" s="7"/>
      <c r="BO1558" s="7"/>
      <c r="BP1558" s="7"/>
      <c r="BQ1558" s="7"/>
      <c r="BR1558" s="7"/>
      <c r="BS1558" s="7"/>
      <c r="BT1558" s="7"/>
      <c r="BU1558" s="7"/>
      <c r="BV1558" s="7"/>
      <c r="BW1558" s="7"/>
      <c r="BX1558" s="7"/>
      <c r="BY1558" s="7"/>
      <c r="BZ1558" s="7"/>
      <c r="CA1558" s="7"/>
      <c r="CB1558" s="7"/>
      <c r="CC1558" s="7"/>
      <c r="CD1558" s="7"/>
      <c r="CE1558" s="7"/>
      <c r="CF1558" s="7"/>
      <c r="CG1558" s="7"/>
    </row>
    <row r="1559" spans="3:85"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  <c r="AA1559" s="7"/>
      <c r="AB1559" s="7"/>
      <c r="AC1559" s="7"/>
      <c r="AD1559" s="7"/>
      <c r="AF1559" s="7"/>
      <c r="AG1559" s="7"/>
      <c r="AH1559" s="7"/>
      <c r="AI1559" s="7"/>
      <c r="AJ1559" s="7"/>
      <c r="AK1559" s="7"/>
      <c r="AL1559" s="7"/>
      <c r="AM1559" s="7"/>
      <c r="AN1559" s="7"/>
      <c r="AO1559" s="7"/>
      <c r="AP1559" s="7"/>
      <c r="AQ1559" s="7"/>
      <c r="AR1559" s="7"/>
      <c r="AS1559" s="7"/>
      <c r="AT1559" s="7"/>
      <c r="AU1559" s="7"/>
      <c r="AV1559" s="7"/>
      <c r="AW1559" s="7"/>
      <c r="AX1559" s="7"/>
      <c r="AY1559" s="7"/>
      <c r="AZ1559" s="7"/>
      <c r="BA1559" s="7"/>
      <c r="BB1559" s="7"/>
      <c r="BC1559" s="7"/>
      <c r="BD1559" s="7"/>
      <c r="BE1559" s="7"/>
      <c r="BF1559" s="7"/>
      <c r="BG1559" s="7"/>
      <c r="BH1559" s="7"/>
      <c r="BI1559" s="7"/>
      <c r="BJ1559" s="7"/>
      <c r="BK1559" s="7"/>
      <c r="BL1559" s="7"/>
      <c r="BM1559" s="7"/>
      <c r="BN1559" s="7"/>
      <c r="BO1559" s="7"/>
      <c r="BP1559" s="7"/>
      <c r="BQ1559" s="7"/>
      <c r="BR1559" s="7"/>
      <c r="BS1559" s="7"/>
      <c r="BT1559" s="7"/>
      <c r="BU1559" s="7"/>
      <c r="BV1559" s="7"/>
      <c r="BW1559" s="7"/>
      <c r="BX1559" s="7"/>
      <c r="BY1559" s="7"/>
      <c r="BZ1559" s="7"/>
      <c r="CA1559" s="7"/>
      <c r="CB1559" s="7"/>
      <c r="CC1559" s="7"/>
      <c r="CD1559" s="7"/>
      <c r="CE1559" s="7"/>
      <c r="CF1559" s="7"/>
      <c r="CG1559" s="7"/>
    </row>
    <row r="1560" spans="3:85"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  <c r="AA1560" s="7"/>
      <c r="AB1560" s="7"/>
      <c r="AC1560" s="7"/>
      <c r="AD1560" s="7"/>
      <c r="AF1560" s="7"/>
      <c r="AG1560" s="7"/>
      <c r="AH1560" s="7"/>
      <c r="AI1560" s="7"/>
      <c r="AJ1560" s="7"/>
      <c r="AK1560" s="7"/>
      <c r="AL1560" s="7"/>
      <c r="AM1560" s="7"/>
      <c r="AN1560" s="7"/>
      <c r="AO1560" s="7"/>
      <c r="AP1560" s="7"/>
      <c r="AQ1560" s="7"/>
      <c r="AR1560" s="7"/>
      <c r="AS1560" s="7"/>
      <c r="AT1560" s="7"/>
      <c r="AU1560" s="7"/>
      <c r="AV1560" s="7"/>
      <c r="AW1560" s="7"/>
      <c r="AX1560" s="7"/>
      <c r="AY1560" s="7"/>
      <c r="AZ1560" s="7"/>
      <c r="BA1560" s="7"/>
      <c r="BB1560" s="7"/>
      <c r="BC1560" s="7"/>
      <c r="BD1560" s="7"/>
      <c r="BE1560" s="7"/>
      <c r="BF1560" s="7"/>
      <c r="BG1560" s="7"/>
      <c r="BH1560" s="7"/>
      <c r="BI1560" s="7"/>
      <c r="BJ1560" s="7"/>
      <c r="BK1560" s="7"/>
      <c r="BL1560" s="7"/>
      <c r="BM1560" s="7"/>
      <c r="BN1560" s="7"/>
      <c r="BO1560" s="7"/>
      <c r="BP1560" s="7"/>
      <c r="BQ1560" s="7"/>
      <c r="BR1560" s="7"/>
      <c r="BS1560" s="7"/>
      <c r="BT1560" s="7"/>
      <c r="BU1560" s="7"/>
      <c r="BV1560" s="7"/>
      <c r="BW1560" s="7"/>
      <c r="BX1560" s="7"/>
      <c r="BY1560" s="7"/>
      <c r="BZ1560" s="7"/>
      <c r="CA1560" s="7"/>
      <c r="CB1560" s="7"/>
      <c r="CC1560" s="7"/>
      <c r="CD1560" s="7"/>
      <c r="CE1560" s="7"/>
      <c r="CF1560" s="7"/>
      <c r="CG1560" s="7"/>
    </row>
    <row r="1561" spans="3:85"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  <c r="AA1561" s="7"/>
      <c r="AB1561" s="7"/>
      <c r="AC1561" s="7"/>
      <c r="AD1561" s="7"/>
      <c r="AF1561" s="7"/>
      <c r="AG1561" s="7"/>
      <c r="AH1561" s="7"/>
      <c r="AI1561" s="7"/>
      <c r="AJ1561" s="7"/>
      <c r="AK1561" s="7"/>
      <c r="AL1561" s="7"/>
      <c r="AM1561" s="7"/>
      <c r="AN1561" s="7"/>
      <c r="AO1561" s="7"/>
      <c r="AP1561" s="7"/>
      <c r="AQ1561" s="7"/>
      <c r="AR1561" s="7"/>
      <c r="AS1561" s="7"/>
      <c r="AT1561" s="7"/>
      <c r="AU1561" s="7"/>
      <c r="AV1561" s="7"/>
      <c r="AW1561" s="7"/>
      <c r="AX1561" s="7"/>
      <c r="AY1561" s="7"/>
      <c r="AZ1561" s="7"/>
      <c r="BA1561" s="7"/>
      <c r="BB1561" s="7"/>
      <c r="BC1561" s="7"/>
      <c r="BD1561" s="7"/>
      <c r="BE1561" s="7"/>
      <c r="BF1561" s="7"/>
      <c r="BG1561" s="7"/>
      <c r="BH1561" s="7"/>
      <c r="BI1561" s="7"/>
      <c r="BJ1561" s="7"/>
      <c r="BK1561" s="7"/>
      <c r="BL1561" s="7"/>
      <c r="BM1561" s="7"/>
      <c r="BN1561" s="7"/>
      <c r="BO1561" s="7"/>
      <c r="BP1561" s="7"/>
      <c r="BQ1561" s="7"/>
      <c r="BR1561" s="7"/>
      <c r="BS1561" s="7"/>
      <c r="BT1561" s="7"/>
      <c r="BU1561" s="7"/>
      <c r="BV1561" s="7"/>
      <c r="BW1561" s="7"/>
      <c r="BX1561" s="7"/>
      <c r="BY1561" s="7"/>
      <c r="BZ1561" s="7"/>
      <c r="CA1561" s="7"/>
      <c r="CB1561" s="7"/>
      <c r="CC1561" s="7"/>
      <c r="CD1561" s="7"/>
      <c r="CE1561" s="7"/>
      <c r="CF1561" s="7"/>
      <c r="CG1561" s="7"/>
    </row>
    <row r="1562" spans="3:85"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  <c r="AA1562" s="7"/>
      <c r="AB1562" s="7"/>
      <c r="AC1562" s="7"/>
      <c r="AD1562" s="7"/>
      <c r="AF1562" s="7"/>
      <c r="AG1562" s="7"/>
      <c r="AH1562" s="7"/>
      <c r="AI1562" s="7"/>
      <c r="AJ1562" s="7"/>
      <c r="AK1562" s="7"/>
      <c r="AL1562" s="7"/>
      <c r="AM1562" s="7"/>
      <c r="AN1562" s="7"/>
      <c r="AO1562" s="7"/>
      <c r="AP1562" s="7"/>
      <c r="AQ1562" s="7"/>
      <c r="AR1562" s="7"/>
      <c r="AS1562" s="7"/>
      <c r="AT1562" s="7"/>
      <c r="AU1562" s="7"/>
      <c r="AV1562" s="7"/>
      <c r="AW1562" s="7"/>
      <c r="AX1562" s="7"/>
      <c r="AY1562" s="7"/>
      <c r="AZ1562" s="7"/>
      <c r="BA1562" s="7"/>
      <c r="BB1562" s="7"/>
      <c r="BC1562" s="7"/>
      <c r="BD1562" s="7"/>
      <c r="BE1562" s="7"/>
      <c r="BF1562" s="7"/>
      <c r="BG1562" s="7"/>
      <c r="BH1562" s="7"/>
      <c r="BI1562" s="7"/>
      <c r="BJ1562" s="7"/>
      <c r="BK1562" s="7"/>
      <c r="BL1562" s="7"/>
      <c r="BM1562" s="7"/>
      <c r="BN1562" s="7"/>
      <c r="BO1562" s="7"/>
      <c r="BP1562" s="7"/>
      <c r="BQ1562" s="7"/>
      <c r="BR1562" s="7"/>
      <c r="BS1562" s="7"/>
      <c r="BT1562" s="7"/>
      <c r="BU1562" s="7"/>
      <c r="BV1562" s="7"/>
      <c r="BW1562" s="7"/>
      <c r="BX1562" s="7"/>
      <c r="BY1562" s="7"/>
      <c r="BZ1562" s="7"/>
      <c r="CA1562" s="7"/>
      <c r="CB1562" s="7"/>
      <c r="CC1562" s="7"/>
      <c r="CD1562" s="7"/>
      <c r="CE1562" s="7"/>
      <c r="CF1562" s="7"/>
      <c r="CG1562" s="7"/>
    </row>
    <row r="1563" spans="3:85"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  <c r="AA1563" s="7"/>
      <c r="AB1563" s="7"/>
      <c r="AC1563" s="7"/>
      <c r="AD1563" s="7"/>
      <c r="AF1563" s="7"/>
      <c r="AG1563" s="7"/>
      <c r="AH1563" s="7"/>
      <c r="AI1563" s="7"/>
      <c r="AJ1563" s="7"/>
      <c r="AK1563" s="7"/>
      <c r="AL1563" s="7"/>
      <c r="AM1563" s="7"/>
      <c r="AN1563" s="7"/>
      <c r="AO1563" s="7"/>
      <c r="AP1563" s="7"/>
      <c r="AQ1563" s="7"/>
      <c r="AR1563" s="7"/>
      <c r="AS1563" s="7"/>
      <c r="AT1563" s="7"/>
      <c r="AU1563" s="7"/>
      <c r="AV1563" s="7"/>
      <c r="AW1563" s="7"/>
      <c r="AX1563" s="7"/>
      <c r="AY1563" s="7"/>
      <c r="AZ1563" s="7"/>
      <c r="BA1563" s="7"/>
      <c r="BB1563" s="7"/>
      <c r="BC1563" s="7"/>
      <c r="BD1563" s="7"/>
      <c r="BE1563" s="7"/>
      <c r="BF1563" s="7"/>
      <c r="BG1563" s="7"/>
      <c r="BH1563" s="7"/>
      <c r="BI1563" s="7"/>
      <c r="BJ1563" s="7"/>
      <c r="BK1563" s="7"/>
      <c r="BL1563" s="7"/>
      <c r="BM1563" s="7"/>
      <c r="BN1563" s="7"/>
      <c r="BO1563" s="7"/>
      <c r="BP1563" s="7"/>
      <c r="BQ1563" s="7"/>
      <c r="BR1563" s="7"/>
      <c r="BS1563" s="7"/>
      <c r="BT1563" s="7"/>
      <c r="BU1563" s="7"/>
      <c r="BV1563" s="7"/>
      <c r="BW1563" s="7"/>
      <c r="BX1563" s="7"/>
      <c r="BY1563" s="7"/>
      <c r="BZ1563" s="7"/>
      <c r="CA1563" s="7"/>
      <c r="CB1563" s="7"/>
      <c r="CC1563" s="7"/>
      <c r="CD1563" s="7"/>
      <c r="CE1563" s="7"/>
      <c r="CF1563" s="7"/>
      <c r="CG1563" s="7"/>
    </row>
    <row r="1564" spans="3:85"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  <c r="AA1564" s="7"/>
      <c r="AB1564" s="7"/>
      <c r="AC1564" s="7"/>
      <c r="AD1564" s="7"/>
      <c r="AF1564" s="7"/>
      <c r="AG1564" s="7"/>
      <c r="AH1564" s="7"/>
      <c r="AI1564" s="7"/>
      <c r="AJ1564" s="7"/>
      <c r="AK1564" s="7"/>
      <c r="AL1564" s="7"/>
      <c r="AM1564" s="7"/>
      <c r="AN1564" s="7"/>
      <c r="AO1564" s="7"/>
      <c r="AP1564" s="7"/>
      <c r="AQ1564" s="7"/>
      <c r="AR1564" s="7"/>
      <c r="AS1564" s="7"/>
      <c r="AT1564" s="7"/>
      <c r="AU1564" s="7"/>
      <c r="AV1564" s="7"/>
      <c r="AW1564" s="7"/>
      <c r="AX1564" s="7"/>
      <c r="AY1564" s="7"/>
      <c r="AZ1564" s="7"/>
      <c r="BA1564" s="7"/>
      <c r="BB1564" s="7"/>
      <c r="BC1564" s="7"/>
      <c r="BD1564" s="7"/>
      <c r="BE1564" s="7"/>
      <c r="BF1564" s="7"/>
      <c r="BG1564" s="7"/>
      <c r="BH1564" s="7"/>
      <c r="BI1564" s="7"/>
      <c r="BJ1564" s="7"/>
      <c r="BK1564" s="7"/>
      <c r="BL1564" s="7"/>
      <c r="BM1564" s="7"/>
      <c r="BN1564" s="7"/>
      <c r="BO1564" s="7"/>
      <c r="BP1564" s="7"/>
      <c r="BQ1564" s="7"/>
      <c r="BR1564" s="7"/>
      <c r="BS1564" s="7"/>
      <c r="BT1564" s="7"/>
      <c r="BU1564" s="7"/>
      <c r="BV1564" s="7"/>
      <c r="BW1564" s="7"/>
      <c r="BX1564" s="7"/>
      <c r="BY1564" s="7"/>
      <c r="BZ1564" s="7"/>
      <c r="CA1564" s="7"/>
      <c r="CB1564" s="7"/>
      <c r="CC1564" s="7"/>
      <c r="CD1564" s="7"/>
      <c r="CE1564" s="7"/>
      <c r="CF1564" s="7"/>
      <c r="CG1564" s="7"/>
    </row>
    <row r="1565" spans="3:85"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  <c r="AA1565" s="7"/>
      <c r="AB1565" s="7"/>
      <c r="AC1565" s="7"/>
      <c r="AD1565" s="7"/>
      <c r="AF1565" s="7"/>
      <c r="AG1565" s="7"/>
      <c r="AH1565" s="7"/>
      <c r="AI1565" s="7"/>
      <c r="AJ1565" s="7"/>
      <c r="AK1565" s="7"/>
      <c r="AL1565" s="7"/>
      <c r="AM1565" s="7"/>
      <c r="AN1565" s="7"/>
      <c r="AO1565" s="7"/>
      <c r="AP1565" s="7"/>
      <c r="AQ1565" s="7"/>
      <c r="AR1565" s="7"/>
      <c r="AS1565" s="7"/>
      <c r="AT1565" s="7"/>
      <c r="AU1565" s="7"/>
      <c r="AV1565" s="7"/>
      <c r="AW1565" s="7"/>
      <c r="AX1565" s="7"/>
      <c r="AY1565" s="7"/>
      <c r="AZ1565" s="7"/>
      <c r="BA1565" s="7"/>
      <c r="BB1565" s="7"/>
      <c r="BC1565" s="7"/>
      <c r="BD1565" s="7"/>
      <c r="BE1565" s="7"/>
      <c r="BF1565" s="7"/>
      <c r="BG1565" s="7"/>
      <c r="BH1565" s="7"/>
      <c r="BI1565" s="7"/>
      <c r="BJ1565" s="7"/>
      <c r="BK1565" s="7"/>
      <c r="BL1565" s="7"/>
      <c r="BM1565" s="7"/>
      <c r="BN1565" s="7"/>
      <c r="BO1565" s="7"/>
      <c r="BP1565" s="7"/>
      <c r="BQ1565" s="7"/>
      <c r="BR1565" s="7"/>
      <c r="BS1565" s="7"/>
      <c r="BT1565" s="7"/>
      <c r="BU1565" s="7"/>
      <c r="BV1565" s="7"/>
      <c r="BW1565" s="7"/>
      <c r="BX1565" s="7"/>
      <c r="BY1565" s="7"/>
      <c r="BZ1565" s="7"/>
      <c r="CA1565" s="7"/>
      <c r="CB1565" s="7"/>
      <c r="CC1565" s="7"/>
      <c r="CD1565" s="7"/>
      <c r="CE1565" s="7"/>
      <c r="CF1565" s="7"/>
      <c r="CG1565" s="7"/>
    </row>
    <row r="1566" spans="3:85"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  <c r="AA1566" s="7"/>
      <c r="AB1566" s="7"/>
      <c r="AC1566" s="7"/>
      <c r="AD1566" s="7"/>
      <c r="AF1566" s="7"/>
      <c r="AG1566" s="7"/>
      <c r="AH1566" s="7"/>
      <c r="AI1566" s="7"/>
      <c r="AJ1566" s="7"/>
      <c r="AK1566" s="7"/>
      <c r="AL1566" s="7"/>
      <c r="AM1566" s="7"/>
      <c r="AN1566" s="7"/>
      <c r="AO1566" s="7"/>
      <c r="AP1566" s="7"/>
      <c r="AQ1566" s="7"/>
      <c r="AR1566" s="7"/>
      <c r="AS1566" s="7"/>
      <c r="AT1566" s="7"/>
      <c r="AU1566" s="7"/>
      <c r="AV1566" s="7"/>
      <c r="AW1566" s="7"/>
      <c r="AX1566" s="7"/>
      <c r="AY1566" s="7"/>
      <c r="AZ1566" s="7"/>
      <c r="BA1566" s="7"/>
      <c r="BB1566" s="7"/>
      <c r="BC1566" s="7"/>
      <c r="BD1566" s="7"/>
      <c r="BE1566" s="7"/>
      <c r="BF1566" s="7"/>
      <c r="BG1566" s="7"/>
      <c r="BH1566" s="7"/>
      <c r="BI1566" s="7"/>
      <c r="BJ1566" s="7"/>
      <c r="BK1566" s="7"/>
      <c r="BL1566" s="7"/>
      <c r="BM1566" s="7"/>
      <c r="BN1566" s="7"/>
      <c r="BO1566" s="7"/>
      <c r="BP1566" s="7"/>
      <c r="BQ1566" s="7"/>
      <c r="BR1566" s="7"/>
      <c r="BS1566" s="7"/>
      <c r="BT1566" s="7"/>
      <c r="BU1566" s="7"/>
      <c r="BV1566" s="7"/>
      <c r="BW1566" s="7"/>
      <c r="BX1566" s="7"/>
      <c r="BY1566" s="7"/>
      <c r="BZ1566" s="7"/>
      <c r="CA1566" s="7"/>
      <c r="CB1566" s="7"/>
      <c r="CC1566" s="7"/>
      <c r="CD1566" s="7"/>
      <c r="CE1566" s="7"/>
      <c r="CF1566" s="7"/>
      <c r="CG1566" s="7"/>
    </row>
    <row r="1567" spans="3:85"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  <c r="AA1567" s="7"/>
      <c r="AB1567" s="7"/>
      <c r="AC1567" s="7"/>
      <c r="AD1567" s="7"/>
      <c r="AF1567" s="7"/>
      <c r="AG1567" s="7"/>
      <c r="AH1567" s="7"/>
      <c r="AI1567" s="7"/>
      <c r="AJ1567" s="7"/>
      <c r="AK1567" s="7"/>
      <c r="AL1567" s="7"/>
      <c r="AM1567" s="7"/>
      <c r="AN1567" s="7"/>
      <c r="AO1567" s="7"/>
      <c r="AP1567" s="7"/>
      <c r="AQ1567" s="7"/>
      <c r="AR1567" s="7"/>
      <c r="AS1567" s="7"/>
      <c r="AT1567" s="7"/>
      <c r="AU1567" s="7"/>
      <c r="AV1567" s="7"/>
      <c r="AW1567" s="7"/>
      <c r="AX1567" s="7"/>
      <c r="AY1567" s="7"/>
      <c r="AZ1567" s="7"/>
      <c r="BA1567" s="7"/>
      <c r="BB1567" s="7"/>
      <c r="BC1567" s="7"/>
      <c r="BD1567" s="7"/>
      <c r="BE1567" s="7"/>
      <c r="BF1567" s="7"/>
      <c r="BG1567" s="7"/>
      <c r="BH1567" s="7"/>
      <c r="BI1567" s="7"/>
      <c r="BJ1567" s="7"/>
      <c r="BK1567" s="7"/>
      <c r="BL1567" s="7"/>
      <c r="BM1567" s="7"/>
      <c r="BN1567" s="7"/>
      <c r="BO1567" s="7"/>
      <c r="BP1567" s="7"/>
      <c r="BQ1567" s="7"/>
      <c r="BR1567" s="7"/>
      <c r="BS1567" s="7"/>
      <c r="BT1567" s="7"/>
      <c r="BU1567" s="7"/>
      <c r="BV1567" s="7"/>
      <c r="BW1567" s="7"/>
      <c r="BX1567" s="7"/>
      <c r="BY1567" s="7"/>
      <c r="BZ1567" s="7"/>
      <c r="CA1567" s="7"/>
      <c r="CB1567" s="7"/>
      <c r="CC1567" s="7"/>
      <c r="CD1567" s="7"/>
      <c r="CE1567" s="7"/>
      <c r="CF1567" s="7"/>
      <c r="CG1567" s="7"/>
    </row>
    <row r="1568" spans="3:85"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  <c r="AA1568" s="7"/>
      <c r="AB1568" s="7"/>
      <c r="AC1568" s="7"/>
      <c r="AD1568" s="7"/>
      <c r="AF1568" s="7"/>
      <c r="AG1568" s="7"/>
      <c r="AH1568" s="7"/>
      <c r="AI1568" s="7"/>
      <c r="AJ1568" s="7"/>
      <c r="AK1568" s="7"/>
      <c r="AL1568" s="7"/>
      <c r="AM1568" s="7"/>
      <c r="AN1568" s="7"/>
      <c r="AO1568" s="7"/>
      <c r="AP1568" s="7"/>
      <c r="AQ1568" s="7"/>
      <c r="AR1568" s="7"/>
      <c r="AS1568" s="7"/>
      <c r="AT1568" s="7"/>
      <c r="AU1568" s="7"/>
      <c r="AV1568" s="7"/>
      <c r="AW1568" s="7"/>
      <c r="AX1568" s="7"/>
      <c r="AY1568" s="7"/>
      <c r="AZ1568" s="7"/>
      <c r="BA1568" s="7"/>
      <c r="BB1568" s="7"/>
      <c r="BC1568" s="7"/>
      <c r="BD1568" s="7"/>
      <c r="BE1568" s="7"/>
      <c r="BF1568" s="7"/>
      <c r="BG1568" s="7"/>
      <c r="BH1568" s="7"/>
      <c r="BI1568" s="7"/>
      <c r="BJ1568" s="7"/>
      <c r="BK1568" s="7"/>
      <c r="BL1568" s="7"/>
      <c r="BM1568" s="7"/>
      <c r="BN1568" s="7"/>
      <c r="BO1568" s="7"/>
      <c r="BP1568" s="7"/>
      <c r="BQ1568" s="7"/>
      <c r="BR1568" s="7"/>
      <c r="BS1568" s="7"/>
      <c r="BT1568" s="7"/>
      <c r="BU1568" s="7"/>
      <c r="BV1568" s="7"/>
      <c r="BW1568" s="7"/>
      <c r="BX1568" s="7"/>
      <c r="BY1568" s="7"/>
      <c r="BZ1568" s="7"/>
      <c r="CA1568" s="7"/>
      <c r="CB1568" s="7"/>
      <c r="CC1568" s="7"/>
      <c r="CD1568" s="7"/>
      <c r="CE1568" s="7"/>
      <c r="CF1568" s="7"/>
      <c r="CG1568" s="7"/>
    </row>
    <row r="1569" spans="3:85"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  <c r="AA1569" s="7"/>
      <c r="AB1569" s="7"/>
      <c r="AC1569" s="7"/>
      <c r="AD1569" s="7"/>
      <c r="AF1569" s="7"/>
      <c r="AG1569" s="7"/>
      <c r="AH1569" s="7"/>
      <c r="AI1569" s="7"/>
      <c r="AJ1569" s="7"/>
      <c r="AK1569" s="7"/>
      <c r="AL1569" s="7"/>
      <c r="AM1569" s="7"/>
      <c r="AN1569" s="7"/>
      <c r="AO1569" s="7"/>
      <c r="AP1569" s="7"/>
      <c r="AQ1569" s="7"/>
      <c r="AR1569" s="7"/>
      <c r="AS1569" s="7"/>
      <c r="AT1569" s="7"/>
      <c r="AU1569" s="7"/>
      <c r="AV1569" s="7"/>
      <c r="AW1569" s="7"/>
      <c r="AX1569" s="7"/>
      <c r="AY1569" s="7"/>
      <c r="AZ1569" s="7"/>
      <c r="BA1569" s="7"/>
      <c r="BB1569" s="7"/>
      <c r="BC1569" s="7"/>
      <c r="BD1569" s="7"/>
      <c r="BE1569" s="7"/>
      <c r="BF1569" s="7"/>
      <c r="BG1569" s="7"/>
      <c r="BH1569" s="7"/>
      <c r="BI1569" s="7"/>
      <c r="BJ1569" s="7"/>
      <c r="BK1569" s="7"/>
      <c r="BL1569" s="7"/>
      <c r="BM1569" s="7"/>
      <c r="BN1569" s="7"/>
      <c r="BO1569" s="7"/>
      <c r="BP1569" s="7"/>
      <c r="BQ1569" s="7"/>
      <c r="BR1569" s="7"/>
      <c r="BS1569" s="7"/>
      <c r="BT1569" s="7"/>
      <c r="BU1569" s="7"/>
      <c r="BV1569" s="7"/>
      <c r="BW1569" s="7"/>
      <c r="BX1569" s="7"/>
      <c r="BY1569" s="7"/>
      <c r="BZ1569" s="7"/>
      <c r="CA1569" s="7"/>
      <c r="CB1569" s="7"/>
      <c r="CC1569" s="7"/>
      <c r="CD1569" s="7"/>
      <c r="CE1569" s="7"/>
      <c r="CF1569" s="7"/>
      <c r="CG1569" s="7"/>
    </row>
    <row r="1570" spans="3:85"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  <c r="AA1570" s="7"/>
      <c r="AB1570" s="7"/>
      <c r="AC1570" s="7"/>
      <c r="AD1570" s="7"/>
      <c r="AF1570" s="7"/>
      <c r="AG1570" s="7"/>
      <c r="AH1570" s="7"/>
      <c r="AI1570" s="7"/>
      <c r="AJ1570" s="7"/>
      <c r="AK1570" s="7"/>
      <c r="AL1570" s="7"/>
      <c r="AM1570" s="7"/>
      <c r="AN1570" s="7"/>
      <c r="AO1570" s="7"/>
      <c r="AP1570" s="7"/>
      <c r="AQ1570" s="7"/>
      <c r="AR1570" s="7"/>
      <c r="AS1570" s="7"/>
      <c r="AT1570" s="7"/>
      <c r="AU1570" s="7"/>
      <c r="AV1570" s="7"/>
      <c r="AW1570" s="7"/>
      <c r="AX1570" s="7"/>
      <c r="AY1570" s="7"/>
      <c r="AZ1570" s="7"/>
      <c r="BA1570" s="7"/>
      <c r="BB1570" s="7"/>
      <c r="BC1570" s="7"/>
      <c r="BD1570" s="7"/>
      <c r="BE1570" s="7"/>
      <c r="BF1570" s="7"/>
      <c r="BG1570" s="7"/>
      <c r="BH1570" s="7"/>
      <c r="BI1570" s="7"/>
      <c r="BJ1570" s="7"/>
      <c r="BK1570" s="7"/>
      <c r="BL1570" s="7"/>
      <c r="BM1570" s="7"/>
      <c r="BN1570" s="7"/>
      <c r="BO1570" s="7"/>
      <c r="BP1570" s="7"/>
      <c r="BQ1570" s="7"/>
      <c r="BR1570" s="7"/>
      <c r="BS1570" s="7"/>
      <c r="BT1570" s="7"/>
      <c r="BU1570" s="7"/>
      <c r="BV1570" s="7"/>
      <c r="BW1570" s="7"/>
      <c r="BX1570" s="7"/>
      <c r="BY1570" s="7"/>
      <c r="BZ1570" s="7"/>
      <c r="CA1570" s="7"/>
      <c r="CB1570" s="7"/>
      <c r="CC1570" s="7"/>
      <c r="CD1570" s="7"/>
      <c r="CE1570" s="7"/>
      <c r="CF1570" s="7"/>
      <c r="CG1570" s="7"/>
    </row>
    <row r="1571" spans="3:85"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  <c r="AA1571" s="7"/>
      <c r="AB1571" s="7"/>
      <c r="AC1571" s="7"/>
      <c r="AD1571" s="7"/>
      <c r="AF1571" s="7"/>
      <c r="AG1571" s="7"/>
      <c r="AH1571" s="7"/>
      <c r="AI1571" s="7"/>
      <c r="AJ1571" s="7"/>
      <c r="AK1571" s="7"/>
      <c r="AL1571" s="7"/>
      <c r="AM1571" s="7"/>
      <c r="AN1571" s="7"/>
      <c r="AO1571" s="7"/>
      <c r="AP1571" s="7"/>
      <c r="AQ1571" s="7"/>
      <c r="AR1571" s="7"/>
      <c r="AS1571" s="7"/>
      <c r="AT1571" s="7"/>
      <c r="AU1571" s="7"/>
      <c r="AV1571" s="7"/>
      <c r="AW1571" s="7"/>
      <c r="AX1571" s="7"/>
      <c r="AY1571" s="7"/>
      <c r="AZ1571" s="7"/>
      <c r="BA1571" s="7"/>
      <c r="BB1571" s="7"/>
      <c r="BC1571" s="7"/>
      <c r="BD1571" s="7"/>
      <c r="BE1571" s="7"/>
      <c r="BF1571" s="7"/>
      <c r="BG1571" s="7"/>
      <c r="BH1571" s="7"/>
      <c r="BI1571" s="7"/>
      <c r="BJ1571" s="7"/>
      <c r="BK1571" s="7"/>
      <c r="BL1571" s="7"/>
      <c r="BM1571" s="7"/>
      <c r="BN1571" s="7"/>
      <c r="BO1571" s="7"/>
      <c r="BP1571" s="7"/>
      <c r="BQ1571" s="7"/>
      <c r="BR1571" s="7"/>
      <c r="BS1571" s="7"/>
      <c r="BT1571" s="7"/>
      <c r="BU1571" s="7"/>
      <c r="BV1571" s="7"/>
      <c r="BW1571" s="7"/>
      <c r="BX1571" s="7"/>
      <c r="BY1571" s="7"/>
      <c r="BZ1571" s="7"/>
      <c r="CA1571" s="7"/>
      <c r="CB1571" s="7"/>
      <c r="CC1571" s="7"/>
      <c r="CD1571" s="7"/>
      <c r="CE1571" s="7"/>
      <c r="CF1571" s="7"/>
      <c r="CG1571" s="7"/>
    </row>
    <row r="1572" spans="3:85"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  <c r="AA1572" s="7"/>
      <c r="AB1572" s="7"/>
      <c r="AC1572" s="7"/>
      <c r="AD1572" s="7"/>
      <c r="AF1572" s="7"/>
      <c r="AG1572" s="7"/>
      <c r="AH1572" s="7"/>
      <c r="AI1572" s="7"/>
      <c r="AJ1572" s="7"/>
      <c r="AK1572" s="7"/>
      <c r="AL1572" s="7"/>
      <c r="AM1572" s="7"/>
      <c r="AN1572" s="7"/>
      <c r="AO1572" s="7"/>
      <c r="AP1572" s="7"/>
      <c r="AQ1572" s="7"/>
      <c r="AR1572" s="7"/>
      <c r="AS1572" s="7"/>
      <c r="AT1572" s="7"/>
      <c r="AU1572" s="7"/>
      <c r="AV1572" s="7"/>
      <c r="AW1572" s="7"/>
      <c r="AX1572" s="7"/>
      <c r="AY1572" s="7"/>
      <c r="AZ1572" s="7"/>
      <c r="BA1572" s="7"/>
      <c r="BB1572" s="7"/>
      <c r="BC1572" s="7"/>
      <c r="BD1572" s="7"/>
      <c r="BE1572" s="7"/>
      <c r="BF1572" s="7"/>
      <c r="BG1572" s="7"/>
      <c r="BH1572" s="7"/>
      <c r="BI1572" s="7"/>
      <c r="BJ1572" s="7"/>
      <c r="BK1572" s="7"/>
      <c r="BL1572" s="7"/>
      <c r="BM1572" s="7"/>
      <c r="BN1572" s="7"/>
      <c r="BO1572" s="7"/>
      <c r="BP1572" s="7"/>
      <c r="BQ1572" s="7"/>
      <c r="BR1572" s="7"/>
      <c r="BS1572" s="7"/>
      <c r="BT1572" s="7"/>
      <c r="BU1572" s="7"/>
      <c r="BV1572" s="7"/>
      <c r="BW1572" s="7"/>
      <c r="BX1572" s="7"/>
      <c r="BY1572" s="7"/>
      <c r="BZ1572" s="7"/>
      <c r="CA1572" s="7"/>
      <c r="CB1572" s="7"/>
      <c r="CC1572" s="7"/>
      <c r="CD1572" s="7"/>
      <c r="CE1572" s="7"/>
      <c r="CF1572" s="7"/>
      <c r="CG1572" s="7"/>
    </row>
    <row r="1573" spans="3:85"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  <c r="AA1573" s="7"/>
      <c r="AB1573" s="7"/>
      <c r="AC1573" s="7"/>
      <c r="AD1573" s="7"/>
      <c r="AF1573" s="7"/>
      <c r="AG1573" s="7"/>
      <c r="AH1573" s="7"/>
      <c r="AI1573" s="7"/>
      <c r="AJ1573" s="7"/>
      <c r="AK1573" s="7"/>
      <c r="AL1573" s="7"/>
      <c r="AM1573" s="7"/>
      <c r="AN1573" s="7"/>
      <c r="AO1573" s="7"/>
      <c r="AP1573" s="7"/>
      <c r="AQ1573" s="7"/>
      <c r="AR1573" s="7"/>
      <c r="AS1573" s="7"/>
      <c r="AT1573" s="7"/>
      <c r="AU1573" s="7"/>
      <c r="AV1573" s="7"/>
      <c r="AW1573" s="7"/>
      <c r="AX1573" s="7"/>
      <c r="AY1573" s="7"/>
      <c r="AZ1573" s="7"/>
      <c r="BA1573" s="7"/>
      <c r="BB1573" s="7"/>
      <c r="BC1573" s="7"/>
      <c r="BD1573" s="7"/>
      <c r="BE1573" s="7"/>
      <c r="BF1573" s="7"/>
      <c r="BG1573" s="7"/>
      <c r="BH1573" s="7"/>
      <c r="BI1573" s="7"/>
      <c r="BJ1573" s="7"/>
      <c r="BK1573" s="7"/>
      <c r="BL1573" s="7"/>
      <c r="BM1573" s="7"/>
      <c r="BN1573" s="7"/>
      <c r="BO1573" s="7"/>
      <c r="BP1573" s="7"/>
      <c r="BQ1573" s="7"/>
      <c r="BR1573" s="7"/>
      <c r="BS1573" s="7"/>
      <c r="BT1573" s="7"/>
      <c r="BU1573" s="7"/>
      <c r="BV1573" s="7"/>
      <c r="BW1573" s="7"/>
      <c r="BX1573" s="7"/>
      <c r="BY1573" s="7"/>
      <c r="BZ1573" s="7"/>
      <c r="CA1573" s="7"/>
      <c r="CB1573" s="7"/>
      <c r="CC1573" s="7"/>
      <c r="CD1573" s="7"/>
      <c r="CE1573" s="7"/>
      <c r="CF1573" s="7"/>
      <c r="CG1573" s="7"/>
    </row>
    <row r="1574" spans="3:85"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  <c r="AA1574" s="7"/>
      <c r="AB1574" s="7"/>
      <c r="AC1574" s="7"/>
      <c r="AD1574" s="7"/>
      <c r="AF1574" s="7"/>
      <c r="AG1574" s="7"/>
      <c r="AH1574" s="7"/>
      <c r="AI1574" s="7"/>
      <c r="AJ1574" s="7"/>
      <c r="AK1574" s="7"/>
      <c r="AL1574" s="7"/>
      <c r="AM1574" s="7"/>
      <c r="AN1574" s="7"/>
      <c r="AO1574" s="7"/>
      <c r="AP1574" s="7"/>
      <c r="AQ1574" s="7"/>
      <c r="AR1574" s="7"/>
      <c r="AS1574" s="7"/>
      <c r="AT1574" s="7"/>
      <c r="AU1574" s="7"/>
      <c r="AV1574" s="7"/>
      <c r="AW1574" s="7"/>
      <c r="AX1574" s="7"/>
      <c r="AY1574" s="7"/>
      <c r="AZ1574" s="7"/>
      <c r="BA1574" s="7"/>
      <c r="BB1574" s="7"/>
      <c r="BC1574" s="7"/>
      <c r="BD1574" s="7"/>
      <c r="BE1574" s="7"/>
      <c r="BF1574" s="7"/>
      <c r="BG1574" s="7"/>
      <c r="BH1574" s="7"/>
      <c r="BI1574" s="7"/>
      <c r="BJ1574" s="7"/>
      <c r="BK1574" s="7"/>
      <c r="BL1574" s="7"/>
      <c r="BM1574" s="7"/>
      <c r="BN1574" s="7"/>
      <c r="BO1574" s="7"/>
      <c r="BP1574" s="7"/>
      <c r="BQ1574" s="7"/>
      <c r="BR1574" s="7"/>
      <c r="BS1574" s="7"/>
      <c r="BT1574" s="7"/>
      <c r="BU1574" s="7"/>
      <c r="BV1574" s="7"/>
      <c r="BW1574" s="7"/>
      <c r="BX1574" s="7"/>
      <c r="BY1574" s="7"/>
      <c r="BZ1574" s="7"/>
      <c r="CA1574" s="7"/>
      <c r="CB1574" s="7"/>
      <c r="CC1574" s="7"/>
      <c r="CD1574" s="7"/>
      <c r="CE1574" s="7"/>
      <c r="CF1574" s="7"/>
      <c r="CG1574" s="7"/>
    </row>
    <row r="1575" spans="3:85"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  <c r="AA1575" s="7"/>
      <c r="AB1575" s="7"/>
      <c r="AC1575" s="7"/>
      <c r="AD1575" s="7"/>
      <c r="AF1575" s="7"/>
      <c r="AG1575" s="7"/>
      <c r="AH1575" s="7"/>
      <c r="AI1575" s="7"/>
      <c r="AJ1575" s="7"/>
      <c r="AK1575" s="7"/>
      <c r="AL1575" s="7"/>
      <c r="AM1575" s="7"/>
      <c r="AN1575" s="7"/>
      <c r="AO1575" s="7"/>
      <c r="AP1575" s="7"/>
      <c r="AQ1575" s="7"/>
      <c r="AR1575" s="7"/>
      <c r="AS1575" s="7"/>
      <c r="AT1575" s="7"/>
      <c r="AU1575" s="7"/>
      <c r="AV1575" s="7"/>
      <c r="AW1575" s="7"/>
      <c r="AX1575" s="7"/>
      <c r="AY1575" s="7"/>
      <c r="AZ1575" s="7"/>
      <c r="BA1575" s="7"/>
      <c r="BB1575" s="7"/>
      <c r="BC1575" s="7"/>
      <c r="BD1575" s="7"/>
      <c r="BE1575" s="7"/>
      <c r="BF1575" s="7"/>
      <c r="BG1575" s="7"/>
      <c r="BH1575" s="7"/>
      <c r="BI1575" s="7"/>
      <c r="BJ1575" s="7"/>
      <c r="BK1575" s="7"/>
      <c r="BL1575" s="7"/>
      <c r="BM1575" s="7"/>
      <c r="BN1575" s="7"/>
      <c r="BO1575" s="7"/>
      <c r="BP1575" s="7"/>
      <c r="BQ1575" s="7"/>
      <c r="BR1575" s="7"/>
      <c r="BS1575" s="7"/>
      <c r="BT1575" s="7"/>
      <c r="BU1575" s="7"/>
      <c r="BV1575" s="7"/>
      <c r="BW1575" s="7"/>
      <c r="BX1575" s="7"/>
      <c r="BY1575" s="7"/>
      <c r="BZ1575" s="7"/>
      <c r="CA1575" s="7"/>
      <c r="CB1575" s="7"/>
      <c r="CC1575" s="7"/>
      <c r="CD1575" s="7"/>
      <c r="CE1575" s="7"/>
      <c r="CF1575" s="7"/>
      <c r="CG1575" s="7"/>
    </row>
    <row r="1576" spans="3:85"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  <c r="AA1576" s="7"/>
      <c r="AB1576" s="7"/>
      <c r="AC1576" s="7"/>
      <c r="AD1576" s="7"/>
      <c r="AF1576" s="7"/>
      <c r="AG1576" s="7"/>
      <c r="AH1576" s="7"/>
      <c r="AI1576" s="7"/>
      <c r="AJ1576" s="7"/>
      <c r="AK1576" s="7"/>
      <c r="AL1576" s="7"/>
      <c r="AM1576" s="7"/>
      <c r="AN1576" s="7"/>
      <c r="AO1576" s="7"/>
      <c r="AP1576" s="7"/>
      <c r="AQ1576" s="7"/>
      <c r="AR1576" s="7"/>
      <c r="AS1576" s="7"/>
      <c r="AT1576" s="7"/>
      <c r="AU1576" s="7"/>
      <c r="AV1576" s="7"/>
      <c r="AW1576" s="7"/>
      <c r="AX1576" s="7"/>
      <c r="AY1576" s="7"/>
      <c r="AZ1576" s="7"/>
      <c r="BA1576" s="7"/>
      <c r="BB1576" s="7"/>
      <c r="BC1576" s="7"/>
      <c r="BD1576" s="7"/>
      <c r="BE1576" s="7"/>
      <c r="BF1576" s="7"/>
      <c r="BG1576" s="7"/>
      <c r="BH1576" s="7"/>
      <c r="BI1576" s="7"/>
      <c r="BJ1576" s="7"/>
      <c r="BK1576" s="7"/>
      <c r="BL1576" s="7"/>
      <c r="BM1576" s="7"/>
      <c r="BN1576" s="7"/>
      <c r="BO1576" s="7"/>
      <c r="BP1576" s="7"/>
      <c r="BQ1576" s="7"/>
      <c r="BR1576" s="7"/>
      <c r="BS1576" s="7"/>
      <c r="BT1576" s="7"/>
      <c r="BU1576" s="7"/>
      <c r="BV1576" s="7"/>
      <c r="BW1576" s="7"/>
      <c r="BX1576" s="7"/>
      <c r="BY1576" s="7"/>
      <c r="BZ1576" s="7"/>
      <c r="CA1576" s="7"/>
      <c r="CB1576" s="7"/>
      <c r="CC1576" s="7"/>
      <c r="CD1576" s="7"/>
      <c r="CE1576" s="7"/>
      <c r="CF1576" s="7"/>
      <c r="CG1576" s="7"/>
    </row>
    <row r="1577" spans="3:85"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  <c r="AA1577" s="7"/>
      <c r="AB1577" s="7"/>
      <c r="AC1577" s="7"/>
      <c r="AD1577" s="7"/>
      <c r="AF1577" s="7"/>
      <c r="AG1577" s="7"/>
      <c r="AH1577" s="7"/>
      <c r="AI1577" s="7"/>
      <c r="AJ1577" s="7"/>
      <c r="AK1577" s="7"/>
      <c r="AL1577" s="7"/>
      <c r="AM1577" s="7"/>
      <c r="AN1577" s="7"/>
      <c r="AO1577" s="7"/>
      <c r="AP1577" s="7"/>
      <c r="AQ1577" s="7"/>
      <c r="AR1577" s="7"/>
      <c r="AS1577" s="7"/>
      <c r="AT1577" s="7"/>
      <c r="AU1577" s="7"/>
      <c r="AV1577" s="7"/>
      <c r="AW1577" s="7"/>
      <c r="AX1577" s="7"/>
      <c r="AY1577" s="7"/>
      <c r="AZ1577" s="7"/>
      <c r="BA1577" s="7"/>
      <c r="BB1577" s="7"/>
      <c r="BC1577" s="7"/>
      <c r="BD1577" s="7"/>
      <c r="BE1577" s="7"/>
      <c r="BF1577" s="7"/>
      <c r="BG1577" s="7"/>
      <c r="BH1577" s="7"/>
      <c r="BI1577" s="7"/>
      <c r="BJ1577" s="7"/>
      <c r="BK1577" s="7"/>
      <c r="BL1577" s="7"/>
      <c r="BM1577" s="7"/>
      <c r="BN1577" s="7"/>
      <c r="BO1577" s="7"/>
      <c r="BP1577" s="7"/>
      <c r="BQ1577" s="7"/>
      <c r="BR1577" s="7"/>
      <c r="BS1577" s="7"/>
      <c r="BT1577" s="7"/>
      <c r="BU1577" s="7"/>
      <c r="BV1577" s="7"/>
      <c r="BW1577" s="7"/>
      <c r="BX1577" s="7"/>
      <c r="BY1577" s="7"/>
      <c r="BZ1577" s="7"/>
      <c r="CA1577" s="7"/>
      <c r="CB1577" s="7"/>
      <c r="CC1577" s="7"/>
      <c r="CD1577" s="7"/>
      <c r="CE1577" s="7"/>
      <c r="CF1577" s="7"/>
      <c r="CG1577" s="7"/>
    </row>
    <row r="1578" spans="3:85"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  <c r="AA1578" s="7"/>
      <c r="AB1578" s="7"/>
      <c r="AC1578" s="7"/>
      <c r="AD1578" s="7"/>
      <c r="AF1578" s="7"/>
      <c r="AG1578" s="7"/>
      <c r="AH1578" s="7"/>
      <c r="AI1578" s="7"/>
      <c r="AJ1578" s="7"/>
      <c r="AK1578" s="7"/>
      <c r="AL1578" s="7"/>
      <c r="AM1578" s="7"/>
      <c r="AN1578" s="7"/>
      <c r="AO1578" s="7"/>
      <c r="AP1578" s="7"/>
      <c r="AQ1578" s="7"/>
      <c r="AR1578" s="7"/>
      <c r="AS1578" s="7"/>
      <c r="AT1578" s="7"/>
      <c r="AU1578" s="7"/>
      <c r="AV1578" s="7"/>
      <c r="AW1578" s="7"/>
      <c r="AX1578" s="7"/>
      <c r="AY1578" s="7"/>
      <c r="AZ1578" s="7"/>
      <c r="BA1578" s="7"/>
      <c r="BB1578" s="7"/>
      <c r="BC1578" s="7"/>
      <c r="BD1578" s="7"/>
      <c r="BE1578" s="7"/>
      <c r="BF1578" s="7"/>
      <c r="BG1578" s="7"/>
      <c r="BH1578" s="7"/>
      <c r="BI1578" s="7"/>
      <c r="BJ1578" s="7"/>
      <c r="BK1578" s="7"/>
      <c r="BL1578" s="7"/>
      <c r="BM1578" s="7"/>
      <c r="BN1578" s="7"/>
      <c r="BO1578" s="7"/>
      <c r="BP1578" s="7"/>
      <c r="BQ1578" s="7"/>
      <c r="BR1578" s="7"/>
      <c r="BS1578" s="7"/>
      <c r="BT1578" s="7"/>
      <c r="BU1578" s="7"/>
      <c r="BV1578" s="7"/>
      <c r="BW1578" s="7"/>
      <c r="BX1578" s="7"/>
      <c r="BY1578" s="7"/>
      <c r="BZ1578" s="7"/>
      <c r="CA1578" s="7"/>
      <c r="CB1578" s="7"/>
      <c r="CC1578" s="7"/>
      <c r="CD1578" s="7"/>
      <c r="CE1578" s="7"/>
      <c r="CF1578" s="7"/>
      <c r="CG1578" s="7"/>
    </row>
    <row r="1579" spans="3:85"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  <c r="AA1579" s="7"/>
      <c r="AB1579" s="7"/>
      <c r="AC1579" s="7"/>
      <c r="AD1579" s="7"/>
      <c r="AF1579" s="7"/>
      <c r="AG1579" s="7"/>
      <c r="AH1579" s="7"/>
      <c r="AI1579" s="7"/>
      <c r="AJ1579" s="7"/>
      <c r="AK1579" s="7"/>
      <c r="AL1579" s="7"/>
      <c r="AM1579" s="7"/>
      <c r="AN1579" s="7"/>
      <c r="AO1579" s="7"/>
      <c r="AP1579" s="7"/>
      <c r="AQ1579" s="7"/>
      <c r="AR1579" s="7"/>
      <c r="AS1579" s="7"/>
      <c r="AT1579" s="7"/>
      <c r="AU1579" s="7"/>
      <c r="AV1579" s="7"/>
      <c r="AW1579" s="7"/>
      <c r="AX1579" s="7"/>
      <c r="AY1579" s="7"/>
      <c r="AZ1579" s="7"/>
      <c r="BA1579" s="7"/>
      <c r="BB1579" s="7"/>
      <c r="BC1579" s="7"/>
      <c r="BD1579" s="7"/>
      <c r="BE1579" s="7"/>
      <c r="BF1579" s="7"/>
      <c r="BG1579" s="7"/>
      <c r="BH1579" s="7"/>
      <c r="BI1579" s="7"/>
      <c r="BJ1579" s="7"/>
      <c r="BK1579" s="7"/>
      <c r="BL1579" s="7"/>
      <c r="BM1579" s="7"/>
      <c r="BN1579" s="7"/>
      <c r="BO1579" s="7"/>
      <c r="BP1579" s="7"/>
      <c r="BQ1579" s="7"/>
      <c r="BR1579" s="7"/>
      <c r="BS1579" s="7"/>
      <c r="BT1579" s="7"/>
      <c r="BU1579" s="7"/>
      <c r="BV1579" s="7"/>
      <c r="BW1579" s="7"/>
      <c r="BX1579" s="7"/>
      <c r="BY1579" s="7"/>
      <c r="BZ1579" s="7"/>
      <c r="CA1579" s="7"/>
      <c r="CB1579" s="7"/>
      <c r="CC1579" s="7"/>
      <c r="CD1579" s="7"/>
      <c r="CE1579" s="7"/>
      <c r="CF1579" s="7"/>
      <c r="CG1579" s="7"/>
    </row>
    <row r="1580" spans="3:85"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  <c r="AA1580" s="7"/>
      <c r="AB1580" s="7"/>
      <c r="AC1580" s="7"/>
      <c r="AD1580" s="7"/>
      <c r="AF1580" s="7"/>
      <c r="AG1580" s="7"/>
      <c r="AH1580" s="7"/>
      <c r="AI1580" s="7"/>
      <c r="AJ1580" s="7"/>
      <c r="AK1580" s="7"/>
      <c r="AL1580" s="7"/>
      <c r="AM1580" s="7"/>
      <c r="AN1580" s="7"/>
      <c r="AO1580" s="7"/>
      <c r="AP1580" s="7"/>
      <c r="AQ1580" s="7"/>
      <c r="AR1580" s="7"/>
      <c r="AS1580" s="7"/>
      <c r="AT1580" s="7"/>
      <c r="AU1580" s="7"/>
      <c r="AV1580" s="7"/>
      <c r="AW1580" s="7"/>
      <c r="AX1580" s="7"/>
      <c r="AY1580" s="7"/>
      <c r="AZ1580" s="7"/>
      <c r="BA1580" s="7"/>
      <c r="BB1580" s="7"/>
      <c r="BC1580" s="7"/>
      <c r="BD1580" s="7"/>
      <c r="BE1580" s="7"/>
      <c r="BF1580" s="7"/>
      <c r="BG1580" s="7"/>
      <c r="BH1580" s="7"/>
      <c r="BI1580" s="7"/>
      <c r="BJ1580" s="7"/>
      <c r="BK1580" s="7"/>
      <c r="BL1580" s="7"/>
      <c r="BM1580" s="7"/>
      <c r="BN1580" s="7"/>
      <c r="BO1580" s="7"/>
      <c r="BP1580" s="7"/>
      <c r="BQ1580" s="7"/>
      <c r="BR1580" s="7"/>
      <c r="BS1580" s="7"/>
      <c r="BT1580" s="7"/>
      <c r="BU1580" s="7"/>
      <c r="BV1580" s="7"/>
      <c r="BW1580" s="7"/>
      <c r="BX1580" s="7"/>
      <c r="BY1580" s="7"/>
      <c r="BZ1580" s="7"/>
      <c r="CA1580" s="7"/>
      <c r="CB1580" s="7"/>
      <c r="CC1580" s="7"/>
      <c r="CD1580" s="7"/>
      <c r="CE1580" s="7"/>
      <c r="CF1580" s="7"/>
      <c r="CG1580" s="7"/>
    </row>
    <row r="1581" spans="3:85"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  <c r="AA1581" s="7"/>
      <c r="AB1581" s="7"/>
      <c r="AC1581" s="7"/>
      <c r="AD1581" s="7"/>
      <c r="AF1581" s="7"/>
      <c r="AG1581" s="7"/>
      <c r="AH1581" s="7"/>
      <c r="AI1581" s="7"/>
      <c r="AJ1581" s="7"/>
      <c r="AK1581" s="7"/>
      <c r="AL1581" s="7"/>
      <c r="AM1581" s="7"/>
      <c r="AN1581" s="7"/>
      <c r="AO1581" s="7"/>
      <c r="AP1581" s="7"/>
      <c r="AQ1581" s="7"/>
      <c r="AR1581" s="7"/>
      <c r="AS1581" s="7"/>
      <c r="AT1581" s="7"/>
      <c r="AU1581" s="7"/>
      <c r="AV1581" s="7"/>
      <c r="AW1581" s="7"/>
      <c r="AX1581" s="7"/>
      <c r="AY1581" s="7"/>
      <c r="AZ1581" s="7"/>
      <c r="BA1581" s="7"/>
      <c r="BB1581" s="7"/>
      <c r="BC1581" s="7"/>
      <c r="BD1581" s="7"/>
      <c r="BE1581" s="7"/>
      <c r="BF1581" s="7"/>
      <c r="BG1581" s="7"/>
      <c r="BH1581" s="7"/>
      <c r="BI1581" s="7"/>
      <c r="BJ1581" s="7"/>
      <c r="BK1581" s="7"/>
      <c r="BL1581" s="7"/>
      <c r="BM1581" s="7"/>
      <c r="BN1581" s="7"/>
      <c r="BO1581" s="7"/>
      <c r="BP1581" s="7"/>
      <c r="BQ1581" s="7"/>
      <c r="BR1581" s="7"/>
      <c r="BS1581" s="7"/>
      <c r="BT1581" s="7"/>
      <c r="BU1581" s="7"/>
      <c r="BV1581" s="7"/>
      <c r="BW1581" s="7"/>
      <c r="BX1581" s="7"/>
      <c r="BY1581" s="7"/>
      <c r="BZ1581" s="7"/>
      <c r="CA1581" s="7"/>
      <c r="CB1581" s="7"/>
      <c r="CC1581" s="7"/>
      <c r="CD1581" s="7"/>
      <c r="CE1581" s="7"/>
      <c r="CF1581" s="7"/>
      <c r="CG1581" s="7"/>
    </row>
    <row r="1582" spans="3:85"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  <c r="AA1582" s="7"/>
      <c r="AB1582" s="7"/>
      <c r="AC1582" s="7"/>
      <c r="AD1582" s="7"/>
      <c r="AF1582" s="7"/>
      <c r="AG1582" s="7"/>
      <c r="AH1582" s="7"/>
      <c r="AI1582" s="7"/>
      <c r="AJ1582" s="7"/>
      <c r="AK1582" s="7"/>
      <c r="AL1582" s="7"/>
      <c r="AM1582" s="7"/>
      <c r="AN1582" s="7"/>
      <c r="AO1582" s="7"/>
      <c r="AP1582" s="7"/>
      <c r="AQ1582" s="7"/>
      <c r="AR1582" s="7"/>
      <c r="AS1582" s="7"/>
      <c r="AT1582" s="7"/>
      <c r="AU1582" s="7"/>
      <c r="AV1582" s="7"/>
      <c r="AW1582" s="7"/>
      <c r="AX1582" s="7"/>
      <c r="AY1582" s="7"/>
      <c r="AZ1582" s="7"/>
      <c r="BA1582" s="7"/>
      <c r="BB1582" s="7"/>
      <c r="BC1582" s="7"/>
      <c r="BD1582" s="7"/>
      <c r="BE1582" s="7"/>
      <c r="BF1582" s="7"/>
      <c r="BG1582" s="7"/>
      <c r="BH1582" s="7"/>
      <c r="BI1582" s="7"/>
      <c r="BJ1582" s="7"/>
      <c r="BK1582" s="7"/>
      <c r="BL1582" s="7"/>
      <c r="BM1582" s="7"/>
      <c r="BN1582" s="7"/>
      <c r="BO1582" s="7"/>
      <c r="BP1582" s="7"/>
      <c r="BQ1582" s="7"/>
      <c r="BR1582" s="7"/>
      <c r="BS1582" s="7"/>
      <c r="BT1582" s="7"/>
      <c r="BU1582" s="7"/>
      <c r="BV1582" s="7"/>
      <c r="BW1582" s="7"/>
      <c r="BX1582" s="7"/>
      <c r="BY1582" s="7"/>
      <c r="BZ1582" s="7"/>
      <c r="CA1582" s="7"/>
      <c r="CB1582" s="7"/>
      <c r="CC1582" s="7"/>
      <c r="CD1582" s="7"/>
      <c r="CE1582" s="7"/>
      <c r="CF1582" s="7"/>
      <c r="CG1582" s="7"/>
    </row>
    <row r="1583" spans="3:85"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  <c r="AA1583" s="7"/>
      <c r="AB1583" s="7"/>
      <c r="AC1583" s="7"/>
      <c r="AD1583" s="7"/>
      <c r="AF1583" s="7"/>
      <c r="AG1583" s="7"/>
      <c r="AH1583" s="7"/>
      <c r="AI1583" s="7"/>
      <c r="AJ1583" s="7"/>
      <c r="AK1583" s="7"/>
      <c r="AL1583" s="7"/>
      <c r="AM1583" s="7"/>
      <c r="AN1583" s="7"/>
      <c r="AO1583" s="7"/>
      <c r="AP1583" s="7"/>
      <c r="AQ1583" s="7"/>
      <c r="AR1583" s="7"/>
      <c r="AS1583" s="7"/>
      <c r="AT1583" s="7"/>
      <c r="AU1583" s="7"/>
      <c r="AV1583" s="7"/>
      <c r="AW1583" s="7"/>
      <c r="AX1583" s="7"/>
      <c r="AY1583" s="7"/>
      <c r="AZ1583" s="7"/>
      <c r="BA1583" s="7"/>
      <c r="BB1583" s="7"/>
      <c r="BC1583" s="7"/>
      <c r="BD1583" s="7"/>
      <c r="BE1583" s="7"/>
      <c r="BF1583" s="7"/>
      <c r="BG1583" s="7"/>
      <c r="BH1583" s="7"/>
      <c r="BI1583" s="7"/>
      <c r="BJ1583" s="7"/>
      <c r="BK1583" s="7"/>
      <c r="BL1583" s="7"/>
      <c r="BM1583" s="7"/>
      <c r="BN1583" s="7"/>
      <c r="BO1583" s="7"/>
      <c r="BP1583" s="7"/>
      <c r="BQ1583" s="7"/>
      <c r="BR1583" s="7"/>
      <c r="BS1583" s="7"/>
      <c r="BT1583" s="7"/>
      <c r="BU1583" s="7"/>
      <c r="BV1583" s="7"/>
      <c r="BW1583" s="7"/>
      <c r="BX1583" s="7"/>
      <c r="BY1583" s="7"/>
      <c r="BZ1583" s="7"/>
      <c r="CA1583" s="7"/>
      <c r="CB1583" s="7"/>
      <c r="CC1583" s="7"/>
      <c r="CD1583" s="7"/>
      <c r="CE1583" s="7"/>
      <c r="CF1583" s="7"/>
      <c r="CG1583" s="7"/>
    </row>
    <row r="1584" spans="3:85"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  <c r="AA1584" s="7"/>
      <c r="AB1584" s="7"/>
      <c r="AC1584" s="7"/>
      <c r="AD1584" s="7"/>
      <c r="AF1584" s="7"/>
      <c r="AG1584" s="7"/>
      <c r="AH1584" s="7"/>
      <c r="AI1584" s="7"/>
      <c r="AJ1584" s="7"/>
      <c r="AK1584" s="7"/>
      <c r="AL1584" s="7"/>
      <c r="AM1584" s="7"/>
      <c r="AN1584" s="7"/>
      <c r="AO1584" s="7"/>
      <c r="AP1584" s="7"/>
      <c r="AQ1584" s="7"/>
      <c r="AR1584" s="7"/>
      <c r="AS1584" s="7"/>
      <c r="AT1584" s="7"/>
      <c r="AU1584" s="7"/>
      <c r="AV1584" s="7"/>
      <c r="AW1584" s="7"/>
      <c r="AX1584" s="7"/>
      <c r="AY1584" s="7"/>
      <c r="AZ1584" s="7"/>
      <c r="BA1584" s="7"/>
      <c r="BB1584" s="7"/>
      <c r="BC1584" s="7"/>
      <c r="BD1584" s="7"/>
      <c r="BE1584" s="7"/>
      <c r="BF1584" s="7"/>
      <c r="BG1584" s="7"/>
      <c r="BH1584" s="7"/>
      <c r="BI1584" s="7"/>
      <c r="BJ1584" s="7"/>
      <c r="BK1584" s="7"/>
      <c r="BL1584" s="7"/>
      <c r="BM1584" s="7"/>
      <c r="BN1584" s="7"/>
      <c r="BO1584" s="7"/>
      <c r="BP1584" s="7"/>
      <c r="BQ1584" s="7"/>
      <c r="BR1584" s="7"/>
      <c r="BS1584" s="7"/>
      <c r="BT1584" s="7"/>
      <c r="BU1584" s="7"/>
      <c r="BV1584" s="7"/>
      <c r="BW1584" s="7"/>
      <c r="BX1584" s="7"/>
      <c r="BY1584" s="7"/>
      <c r="BZ1584" s="7"/>
      <c r="CA1584" s="7"/>
      <c r="CB1584" s="7"/>
      <c r="CC1584" s="7"/>
      <c r="CD1584" s="7"/>
      <c r="CE1584" s="7"/>
      <c r="CF1584" s="7"/>
      <c r="CG1584" s="7"/>
    </row>
    <row r="1585" spans="3:85"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  <c r="AA1585" s="7"/>
      <c r="AB1585" s="7"/>
      <c r="AC1585" s="7"/>
      <c r="AD1585" s="7"/>
      <c r="AF1585" s="7"/>
      <c r="AG1585" s="7"/>
      <c r="AH1585" s="7"/>
      <c r="AI1585" s="7"/>
      <c r="AJ1585" s="7"/>
      <c r="AK1585" s="7"/>
      <c r="AL1585" s="7"/>
      <c r="AM1585" s="7"/>
      <c r="AN1585" s="7"/>
      <c r="AO1585" s="7"/>
      <c r="AP1585" s="7"/>
      <c r="AQ1585" s="7"/>
      <c r="AR1585" s="7"/>
      <c r="AS1585" s="7"/>
      <c r="AT1585" s="7"/>
      <c r="AU1585" s="7"/>
      <c r="AV1585" s="7"/>
      <c r="AW1585" s="7"/>
      <c r="AX1585" s="7"/>
      <c r="AY1585" s="7"/>
      <c r="AZ1585" s="7"/>
      <c r="BA1585" s="7"/>
      <c r="BB1585" s="7"/>
      <c r="BC1585" s="7"/>
      <c r="BD1585" s="7"/>
      <c r="BE1585" s="7"/>
      <c r="BF1585" s="7"/>
      <c r="BG1585" s="7"/>
      <c r="BH1585" s="7"/>
      <c r="BI1585" s="7"/>
      <c r="BJ1585" s="7"/>
      <c r="BK1585" s="7"/>
      <c r="BL1585" s="7"/>
      <c r="BM1585" s="7"/>
      <c r="BN1585" s="7"/>
      <c r="BO1585" s="7"/>
      <c r="BP1585" s="7"/>
      <c r="BQ1585" s="7"/>
      <c r="BR1585" s="7"/>
      <c r="BS1585" s="7"/>
      <c r="BT1585" s="7"/>
      <c r="BU1585" s="7"/>
      <c r="BV1585" s="7"/>
      <c r="BW1585" s="7"/>
      <c r="BX1585" s="7"/>
      <c r="BY1585" s="7"/>
      <c r="BZ1585" s="7"/>
      <c r="CA1585" s="7"/>
      <c r="CB1585" s="7"/>
      <c r="CC1585" s="7"/>
      <c r="CD1585" s="7"/>
      <c r="CE1585" s="7"/>
      <c r="CF1585" s="7"/>
      <c r="CG1585" s="7"/>
    </row>
    <row r="1586" spans="3:85"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  <c r="AA1586" s="7"/>
      <c r="AB1586" s="7"/>
      <c r="AC1586" s="7"/>
      <c r="AD1586" s="7"/>
      <c r="AF1586" s="7"/>
      <c r="AG1586" s="7"/>
      <c r="AH1586" s="7"/>
      <c r="AI1586" s="7"/>
      <c r="AJ1586" s="7"/>
      <c r="AK1586" s="7"/>
      <c r="AL1586" s="7"/>
      <c r="AM1586" s="7"/>
      <c r="AN1586" s="7"/>
      <c r="AO1586" s="7"/>
      <c r="AP1586" s="7"/>
      <c r="AQ1586" s="7"/>
      <c r="AR1586" s="7"/>
      <c r="AS1586" s="7"/>
      <c r="AT1586" s="7"/>
      <c r="AU1586" s="7"/>
      <c r="AV1586" s="7"/>
      <c r="AW1586" s="7"/>
      <c r="AX1586" s="7"/>
      <c r="AY1586" s="7"/>
      <c r="AZ1586" s="7"/>
      <c r="BA1586" s="7"/>
      <c r="BB1586" s="7"/>
      <c r="BC1586" s="7"/>
      <c r="BD1586" s="7"/>
      <c r="BE1586" s="7"/>
      <c r="BF1586" s="7"/>
      <c r="BG1586" s="7"/>
      <c r="BH1586" s="7"/>
      <c r="BI1586" s="7"/>
      <c r="BJ1586" s="7"/>
      <c r="BK1586" s="7"/>
      <c r="BL1586" s="7"/>
      <c r="BM1586" s="7"/>
      <c r="BN1586" s="7"/>
      <c r="BO1586" s="7"/>
      <c r="BP1586" s="7"/>
      <c r="BQ1586" s="7"/>
      <c r="BR1586" s="7"/>
      <c r="BS1586" s="7"/>
      <c r="BT1586" s="7"/>
      <c r="BU1586" s="7"/>
      <c r="BV1586" s="7"/>
      <c r="BW1586" s="7"/>
      <c r="BX1586" s="7"/>
      <c r="BY1586" s="7"/>
      <c r="BZ1586" s="7"/>
      <c r="CA1586" s="7"/>
      <c r="CB1586" s="7"/>
      <c r="CC1586" s="7"/>
      <c r="CD1586" s="7"/>
      <c r="CE1586" s="7"/>
      <c r="CF1586" s="7"/>
      <c r="CG1586" s="7"/>
    </row>
    <row r="1587" spans="3:85"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  <c r="AA1587" s="7"/>
      <c r="AB1587" s="7"/>
      <c r="AC1587" s="7"/>
      <c r="AD1587" s="7"/>
      <c r="AF1587" s="7"/>
      <c r="AG1587" s="7"/>
      <c r="AH1587" s="7"/>
      <c r="AI1587" s="7"/>
      <c r="AJ1587" s="7"/>
      <c r="AK1587" s="7"/>
      <c r="AL1587" s="7"/>
      <c r="AM1587" s="7"/>
      <c r="AN1587" s="7"/>
      <c r="AO1587" s="7"/>
      <c r="AP1587" s="7"/>
      <c r="AQ1587" s="7"/>
      <c r="AR1587" s="7"/>
      <c r="AS1587" s="7"/>
      <c r="AT1587" s="7"/>
      <c r="AU1587" s="7"/>
      <c r="AV1587" s="7"/>
      <c r="AW1587" s="7"/>
      <c r="AX1587" s="7"/>
      <c r="AY1587" s="7"/>
      <c r="AZ1587" s="7"/>
      <c r="BA1587" s="7"/>
      <c r="BB1587" s="7"/>
      <c r="BC1587" s="7"/>
      <c r="BD1587" s="7"/>
      <c r="BE1587" s="7"/>
      <c r="BF1587" s="7"/>
      <c r="BG1587" s="7"/>
      <c r="BH1587" s="7"/>
      <c r="BI1587" s="7"/>
      <c r="BJ1587" s="7"/>
      <c r="BK1587" s="7"/>
      <c r="BL1587" s="7"/>
      <c r="BM1587" s="7"/>
      <c r="BN1587" s="7"/>
      <c r="BO1587" s="7"/>
      <c r="BP1587" s="7"/>
      <c r="BQ1587" s="7"/>
      <c r="BR1587" s="7"/>
      <c r="BS1587" s="7"/>
      <c r="BT1587" s="7"/>
      <c r="BU1587" s="7"/>
      <c r="BV1587" s="7"/>
      <c r="BW1587" s="7"/>
      <c r="BX1587" s="7"/>
      <c r="BY1587" s="7"/>
      <c r="BZ1587" s="7"/>
      <c r="CA1587" s="7"/>
      <c r="CB1587" s="7"/>
      <c r="CC1587" s="7"/>
      <c r="CD1587" s="7"/>
      <c r="CE1587" s="7"/>
      <c r="CF1587" s="7"/>
      <c r="CG1587" s="7"/>
    </row>
    <row r="1588" spans="3:85"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  <c r="AA1588" s="7"/>
      <c r="AB1588" s="7"/>
      <c r="AC1588" s="7"/>
      <c r="AD1588" s="7"/>
      <c r="AF1588" s="7"/>
      <c r="AG1588" s="7"/>
      <c r="AH1588" s="7"/>
      <c r="AI1588" s="7"/>
      <c r="AJ1588" s="7"/>
      <c r="AK1588" s="7"/>
      <c r="AL1588" s="7"/>
      <c r="AM1588" s="7"/>
      <c r="AN1588" s="7"/>
      <c r="AO1588" s="7"/>
      <c r="AP1588" s="7"/>
      <c r="AQ1588" s="7"/>
      <c r="AR1588" s="7"/>
      <c r="AS1588" s="7"/>
      <c r="AT1588" s="7"/>
      <c r="AU1588" s="7"/>
      <c r="AV1588" s="7"/>
      <c r="AW1588" s="7"/>
      <c r="AX1588" s="7"/>
      <c r="AY1588" s="7"/>
      <c r="AZ1588" s="7"/>
      <c r="BA1588" s="7"/>
      <c r="BB1588" s="7"/>
      <c r="BC1588" s="7"/>
      <c r="BD1588" s="7"/>
      <c r="BE1588" s="7"/>
      <c r="BF1588" s="7"/>
      <c r="BG1588" s="7"/>
      <c r="BH1588" s="7"/>
      <c r="BI1588" s="7"/>
      <c r="BJ1588" s="7"/>
      <c r="BK1588" s="7"/>
      <c r="BL1588" s="7"/>
      <c r="BM1588" s="7"/>
      <c r="BN1588" s="7"/>
      <c r="BO1588" s="7"/>
      <c r="BP1588" s="7"/>
      <c r="BQ1588" s="7"/>
      <c r="BR1588" s="7"/>
      <c r="BS1588" s="7"/>
      <c r="BT1588" s="7"/>
      <c r="BU1588" s="7"/>
      <c r="BV1588" s="7"/>
      <c r="BW1588" s="7"/>
      <c r="BX1588" s="7"/>
      <c r="BY1588" s="7"/>
      <c r="BZ1588" s="7"/>
      <c r="CA1588" s="7"/>
      <c r="CB1588" s="7"/>
      <c r="CC1588" s="7"/>
      <c r="CD1588" s="7"/>
      <c r="CE1588" s="7"/>
      <c r="CF1588" s="7"/>
      <c r="CG1588" s="7"/>
    </row>
    <row r="1589" spans="3:85"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  <c r="AA1589" s="7"/>
      <c r="AB1589" s="7"/>
      <c r="AC1589" s="7"/>
      <c r="AD1589" s="7"/>
      <c r="AF1589" s="7"/>
      <c r="AG1589" s="7"/>
      <c r="AH1589" s="7"/>
      <c r="AI1589" s="7"/>
      <c r="AJ1589" s="7"/>
      <c r="AK1589" s="7"/>
      <c r="AL1589" s="7"/>
      <c r="AM1589" s="7"/>
      <c r="AN1589" s="7"/>
      <c r="AO1589" s="7"/>
      <c r="AP1589" s="7"/>
      <c r="AQ1589" s="7"/>
      <c r="AR1589" s="7"/>
      <c r="AS1589" s="7"/>
      <c r="AT1589" s="7"/>
      <c r="AU1589" s="7"/>
      <c r="AV1589" s="7"/>
      <c r="AW1589" s="7"/>
      <c r="AX1589" s="7"/>
      <c r="AY1589" s="7"/>
      <c r="AZ1589" s="7"/>
      <c r="BA1589" s="7"/>
      <c r="BB1589" s="7"/>
      <c r="BC1589" s="7"/>
      <c r="BD1589" s="7"/>
      <c r="BE1589" s="7"/>
      <c r="BF1589" s="7"/>
      <c r="BG1589" s="7"/>
      <c r="BH1589" s="7"/>
      <c r="BI1589" s="7"/>
      <c r="BJ1589" s="7"/>
      <c r="BK1589" s="7"/>
      <c r="BL1589" s="7"/>
      <c r="BM1589" s="7"/>
      <c r="BN1589" s="7"/>
      <c r="BO1589" s="7"/>
      <c r="BP1589" s="7"/>
      <c r="BQ1589" s="7"/>
      <c r="BR1589" s="7"/>
      <c r="BS1589" s="7"/>
      <c r="BT1589" s="7"/>
      <c r="BU1589" s="7"/>
      <c r="BV1589" s="7"/>
      <c r="BW1589" s="7"/>
      <c r="BX1589" s="7"/>
      <c r="BY1589" s="7"/>
      <c r="BZ1589" s="7"/>
      <c r="CA1589" s="7"/>
      <c r="CB1589" s="7"/>
      <c r="CC1589" s="7"/>
      <c r="CD1589" s="7"/>
      <c r="CE1589" s="7"/>
      <c r="CF1589" s="7"/>
      <c r="CG1589" s="7"/>
    </row>
    <row r="1590" spans="3:85"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  <c r="AA1590" s="7"/>
      <c r="AB1590" s="7"/>
      <c r="AC1590" s="7"/>
      <c r="AD1590" s="7"/>
      <c r="AF1590" s="7"/>
      <c r="AG1590" s="7"/>
      <c r="AH1590" s="7"/>
      <c r="AI1590" s="7"/>
      <c r="AJ1590" s="7"/>
      <c r="AK1590" s="7"/>
      <c r="AL1590" s="7"/>
      <c r="AM1590" s="7"/>
      <c r="AN1590" s="7"/>
      <c r="AO1590" s="7"/>
      <c r="AP1590" s="7"/>
      <c r="AQ1590" s="7"/>
      <c r="AR1590" s="7"/>
      <c r="AS1590" s="7"/>
      <c r="AT1590" s="7"/>
      <c r="AU1590" s="7"/>
      <c r="AV1590" s="7"/>
      <c r="AW1590" s="7"/>
      <c r="AX1590" s="7"/>
      <c r="AY1590" s="7"/>
      <c r="AZ1590" s="7"/>
      <c r="BA1590" s="7"/>
      <c r="BB1590" s="7"/>
      <c r="BC1590" s="7"/>
      <c r="BD1590" s="7"/>
      <c r="BE1590" s="7"/>
      <c r="BF1590" s="7"/>
      <c r="BG1590" s="7"/>
      <c r="BH1590" s="7"/>
      <c r="BI1590" s="7"/>
      <c r="BJ1590" s="7"/>
      <c r="BK1590" s="7"/>
      <c r="BL1590" s="7"/>
      <c r="BM1590" s="7"/>
      <c r="BN1590" s="7"/>
      <c r="BO1590" s="7"/>
      <c r="BP1590" s="7"/>
      <c r="BQ1590" s="7"/>
      <c r="BR1590" s="7"/>
      <c r="BS1590" s="7"/>
      <c r="BT1590" s="7"/>
      <c r="BU1590" s="7"/>
      <c r="BV1590" s="7"/>
      <c r="BW1590" s="7"/>
      <c r="BX1590" s="7"/>
      <c r="BY1590" s="7"/>
      <c r="BZ1590" s="7"/>
      <c r="CA1590" s="7"/>
      <c r="CB1590" s="7"/>
      <c r="CC1590" s="7"/>
      <c r="CD1590" s="7"/>
      <c r="CE1590" s="7"/>
      <c r="CF1590" s="7"/>
      <c r="CG1590" s="7"/>
    </row>
    <row r="1591" spans="3:85"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  <c r="AA1591" s="7"/>
      <c r="AB1591" s="7"/>
      <c r="AC1591" s="7"/>
      <c r="AD1591" s="7"/>
      <c r="AF1591" s="7"/>
      <c r="AG1591" s="7"/>
      <c r="AH1591" s="7"/>
      <c r="AI1591" s="7"/>
      <c r="AJ1591" s="7"/>
      <c r="AK1591" s="7"/>
      <c r="AL1591" s="7"/>
      <c r="AM1591" s="7"/>
      <c r="AN1591" s="7"/>
      <c r="AO1591" s="7"/>
      <c r="AP1591" s="7"/>
      <c r="AQ1591" s="7"/>
      <c r="AR1591" s="7"/>
      <c r="AS1591" s="7"/>
      <c r="AT1591" s="7"/>
      <c r="AU1591" s="7"/>
      <c r="AV1591" s="7"/>
      <c r="AW1591" s="7"/>
      <c r="AX1591" s="7"/>
      <c r="AY1591" s="7"/>
      <c r="AZ1591" s="7"/>
      <c r="BA1591" s="7"/>
      <c r="BB1591" s="7"/>
      <c r="BC1591" s="7"/>
      <c r="BD1591" s="7"/>
      <c r="BE1591" s="7"/>
      <c r="BF1591" s="7"/>
      <c r="BG1591" s="7"/>
      <c r="BH1591" s="7"/>
      <c r="BI1591" s="7"/>
      <c r="BJ1591" s="7"/>
      <c r="BK1591" s="7"/>
      <c r="BL1591" s="7"/>
      <c r="BM1591" s="7"/>
      <c r="BN1591" s="7"/>
      <c r="BO1591" s="7"/>
      <c r="BP1591" s="7"/>
      <c r="BQ1591" s="7"/>
      <c r="BR1591" s="7"/>
      <c r="BS1591" s="7"/>
      <c r="BT1591" s="7"/>
      <c r="BU1591" s="7"/>
      <c r="BV1591" s="7"/>
      <c r="BW1591" s="7"/>
      <c r="BX1591" s="7"/>
      <c r="BY1591" s="7"/>
      <c r="BZ1591" s="7"/>
      <c r="CA1591" s="7"/>
      <c r="CB1591" s="7"/>
      <c r="CC1591" s="7"/>
      <c r="CD1591" s="7"/>
      <c r="CE1591" s="7"/>
      <c r="CF1591" s="7"/>
      <c r="CG1591" s="7"/>
    </row>
    <row r="1592" spans="3:85"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  <c r="AA1592" s="7"/>
      <c r="AB1592" s="7"/>
      <c r="AC1592" s="7"/>
      <c r="AD1592" s="7"/>
      <c r="AF1592" s="7"/>
      <c r="AG1592" s="7"/>
      <c r="AH1592" s="7"/>
      <c r="AI1592" s="7"/>
      <c r="AJ1592" s="7"/>
      <c r="AK1592" s="7"/>
      <c r="AL1592" s="7"/>
      <c r="AM1592" s="7"/>
      <c r="AN1592" s="7"/>
      <c r="AO1592" s="7"/>
      <c r="AP1592" s="7"/>
      <c r="AQ1592" s="7"/>
      <c r="AR1592" s="7"/>
      <c r="AS1592" s="7"/>
      <c r="AT1592" s="7"/>
      <c r="AU1592" s="7"/>
      <c r="AV1592" s="7"/>
      <c r="AW1592" s="7"/>
      <c r="AX1592" s="7"/>
      <c r="AY1592" s="7"/>
      <c r="AZ1592" s="7"/>
      <c r="BA1592" s="7"/>
      <c r="BB1592" s="7"/>
      <c r="BC1592" s="7"/>
      <c r="BD1592" s="7"/>
      <c r="BE1592" s="7"/>
      <c r="BF1592" s="7"/>
      <c r="BG1592" s="7"/>
      <c r="BH1592" s="7"/>
      <c r="BI1592" s="7"/>
      <c r="BJ1592" s="7"/>
      <c r="BK1592" s="7"/>
      <c r="BL1592" s="7"/>
      <c r="BM1592" s="7"/>
      <c r="BN1592" s="7"/>
      <c r="BO1592" s="7"/>
      <c r="BP1592" s="7"/>
      <c r="BQ1592" s="7"/>
      <c r="BR1592" s="7"/>
      <c r="BS1592" s="7"/>
      <c r="BT1592" s="7"/>
      <c r="BU1592" s="7"/>
      <c r="BV1592" s="7"/>
      <c r="BW1592" s="7"/>
      <c r="BX1592" s="7"/>
      <c r="BY1592" s="7"/>
      <c r="BZ1592" s="7"/>
      <c r="CA1592" s="7"/>
      <c r="CB1592" s="7"/>
      <c r="CC1592" s="7"/>
      <c r="CD1592" s="7"/>
      <c r="CE1592" s="7"/>
      <c r="CF1592" s="7"/>
      <c r="CG1592" s="7"/>
    </row>
    <row r="1593" spans="3:85"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  <c r="AA1593" s="7"/>
      <c r="AB1593" s="7"/>
      <c r="AC1593" s="7"/>
      <c r="AD1593" s="7"/>
      <c r="AF1593" s="7"/>
      <c r="AG1593" s="7"/>
      <c r="AH1593" s="7"/>
      <c r="AI1593" s="7"/>
      <c r="AJ1593" s="7"/>
      <c r="AK1593" s="7"/>
      <c r="AL1593" s="7"/>
      <c r="AM1593" s="7"/>
      <c r="AN1593" s="7"/>
      <c r="AO1593" s="7"/>
      <c r="AP1593" s="7"/>
      <c r="AQ1593" s="7"/>
      <c r="AR1593" s="7"/>
      <c r="AS1593" s="7"/>
      <c r="AT1593" s="7"/>
      <c r="AU1593" s="7"/>
      <c r="AV1593" s="7"/>
      <c r="AW1593" s="7"/>
      <c r="AX1593" s="7"/>
      <c r="AY1593" s="7"/>
      <c r="AZ1593" s="7"/>
      <c r="BA1593" s="7"/>
      <c r="BB1593" s="7"/>
      <c r="BC1593" s="7"/>
      <c r="BD1593" s="7"/>
      <c r="BE1593" s="7"/>
      <c r="BF1593" s="7"/>
      <c r="BG1593" s="7"/>
      <c r="BH1593" s="7"/>
      <c r="BI1593" s="7"/>
      <c r="BJ1593" s="7"/>
      <c r="BK1593" s="7"/>
      <c r="BL1593" s="7"/>
      <c r="BM1593" s="7"/>
      <c r="BN1593" s="7"/>
      <c r="BO1593" s="7"/>
      <c r="BP1593" s="7"/>
      <c r="BQ1593" s="7"/>
      <c r="BR1593" s="7"/>
      <c r="BS1593" s="7"/>
      <c r="BT1593" s="7"/>
      <c r="BU1593" s="7"/>
      <c r="BV1593" s="7"/>
      <c r="BW1593" s="7"/>
      <c r="BX1593" s="7"/>
      <c r="BY1593" s="7"/>
      <c r="BZ1593" s="7"/>
      <c r="CA1593" s="7"/>
      <c r="CB1593" s="7"/>
      <c r="CC1593" s="7"/>
      <c r="CD1593" s="7"/>
      <c r="CE1593" s="7"/>
      <c r="CF1593" s="7"/>
      <c r="CG1593" s="7"/>
    </row>
    <row r="1594" spans="3:85"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  <c r="AA1594" s="7"/>
      <c r="AB1594" s="7"/>
      <c r="AC1594" s="7"/>
      <c r="AD1594" s="7"/>
      <c r="AF1594" s="7"/>
      <c r="AG1594" s="7"/>
      <c r="AH1594" s="7"/>
      <c r="AI1594" s="7"/>
      <c r="AJ1594" s="7"/>
      <c r="AK1594" s="7"/>
      <c r="AL1594" s="7"/>
      <c r="AM1594" s="7"/>
      <c r="AN1594" s="7"/>
      <c r="AO1594" s="7"/>
      <c r="AP1594" s="7"/>
      <c r="AQ1594" s="7"/>
      <c r="AR1594" s="7"/>
      <c r="AS1594" s="7"/>
      <c r="AT1594" s="7"/>
      <c r="AU1594" s="7"/>
      <c r="AV1594" s="7"/>
      <c r="AW1594" s="7"/>
      <c r="AX1594" s="7"/>
      <c r="AY1594" s="7"/>
      <c r="AZ1594" s="7"/>
      <c r="BA1594" s="7"/>
      <c r="BB1594" s="7"/>
      <c r="BC1594" s="7"/>
      <c r="BD1594" s="7"/>
      <c r="BE1594" s="7"/>
      <c r="BF1594" s="7"/>
      <c r="BG1594" s="7"/>
      <c r="BH1594" s="7"/>
      <c r="BI1594" s="7"/>
      <c r="BJ1594" s="7"/>
      <c r="BK1594" s="7"/>
      <c r="BL1594" s="7"/>
      <c r="BM1594" s="7"/>
      <c r="BN1594" s="7"/>
      <c r="BO1594" s="7"/>
      <c r="BP1594" s="7"/>
      <c r="BQ1594" s="7"/>
      <c r="BR1594" s="7"/>
      <c r="BS1594" s="7"/>
      <c r="BT1594" s="7"/>
      <c r="BU1594" s="7"/>
      <c r="BV1594" s="7"/>
      <c r="BW1594" s="7"/>
      <c r="BX1594" s="7"/>
      <c r="BY1594" s="7"/>
      <c r="BZ1594" s="7"/>
      <c r="CA1594" s="7"/>
      <c r="CB1594" s="7"/>
      <c r="CC1594" s="7"/>
      <c r="CD1594" s="7"/>
      <c r="CE1594" s="7"/>
      <c r="CF1594" s="7"/>
      <c r="CG1594" s="7"/>
    </row>
    <row r="1595" spans="3:85"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  <c r="AA1595" s="7"/>
      <c r="AB1595" s="7"/>
      <c r="AC1595" s="7"/>
      <c r="AD1595" s="7"/>
      <c r="AF1595" s="7"/>
      <c r="AG1595" s="7"/>
      <c r="AH1595" s="7"/>
      <c r="AI1595" s="7"/>
      <c r="AJ1595" s="7"/>
      <c r="AK1595" s="7"/>
      <c r="AL1595" s="7"/>
      <c r="AM1595" s="7"/>
      <c r="AN1595" s="7"/>
      <c r="AO1595" s="7"/>
      <c r="AP1595" s="7"/>
      <c r="AQ1595" s="7"/>
      <c r="AR1595" s="7"/>
      <c r="AS1595" s="7"/>
      <c r="AT1595" s="7"/>
      <c r="AU1595" s="7"/>
      <c r="AV1595" s="7"/>
      <c r="AW1595" s="7"/>
      <c r="AX1595" s="7"/>
      <c r="AY1595" s="7"/>
      <c r="AZ1595" s="7"/>
      <c r="BA1595" s="7"/>
      <c r="BB1595" s="7"/>
      <c r="BC1595" s="7"/>
      <c r="BD1595" s="7"/>
      <c r="BE1595" s="7"/>
      <c r="BF1595" s="7"/>
      <c r="BG1595" s="7"/>
      <c r="BH1595" s="7"/>
      <c r="BI1595" s="7"/>
      <c r="BJ1595" s="7"/>
      <c r="BK1595" s="7"/>
      <c r="BL1595" s="7"/>
      <c r="BM1595" s="7"/>
      <c r="BN1595" s="7"/>
      <c r="BO1595" s="7"/>
      <c r="BP1595" s="7"/>
      <c r="BQ1595" s="7"/>
      <c r="BR1595" s="7"/>
      <c r="BS1595" s="7"/>
      <c r="BT1595" s="7"/>
      <c r="BU1595" s="7"/>
      <c r="BV1595" s="7"/>
      <c r="BW1595" s="7"/>
      <c r="BX1595" s="7"/>
      <c r="BY1595" s="7"/>
      <c r="BZ1595" s="7"/>
      <c r="CA1595" s="7"/>
      <c r="CB1595" s="7"/>
      <c r="CC1595" s="7"/>
      <c r="CD1595" s="7"/>
      <c r="CE1595" s="7"/>
      <c r="CF1595" s="7"/>
      <c r="CG1595" s="7"/>
    </row>
    <row r="1596" spans="3:85"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  <c r="AA1596" s="7"/>
      <c r="AB1596" s="7"/>
      <c r="AC1596" s="7"/>
      <c r="AD1596" s="7"/>
      <c r="AF1596" s="7"/>
      <c r="AG1596" s="7"/>
      <c r="AH1596" s="7"/>
      <c r="AI1596" s="7"/>
      <c r="AJ1596" s="7"/>
      <c r="AK1596" s="7"/>
      <c r="AL1596" s="7"/>
      <c r="AM1596" s="7"/>
      <c r="AN1596" s="7"/>
      <c r="AO1596" s="7"/>
      <c r="AP1596" s="7"/>
      <c r="AQ1596" s="7"/>
      <c r="AR1596" s="7"/>
      <c r="AS1596" s="7"/>
      <c r="AT1596" s="7"/>
      <c r="AU1596" s="7"/>
      <c r="AV1596" s="7"/>
      <c r="AW1596" s="7"/>
      <c r="AX1596" s="7"/>
      <c r="AY1596" s="7"/>
      <c r="AZ1596" s="7"/>
      <c r="BA1596" s="7"/>
      <c r="BB1596" s="7"/>
      <c r="BC1596" s="7"/>
      <c r="BD1596" s="7"/>
      <c r="BE1596" s="7"/>
      <c r="BF1596" s="7"/>
      <c r="BG1596" s="7"/>
      <c r="BH1596" s="7"/>
      <c r="BI1596" s="7"/>
      <c r="BJ1596" s="7"/>
      <c r="BK1596" s="7"/>
      <c r="BL1596" s="7"/>
      <c r="BM1596" s="7"/>
      <c r="BN1596" s="7"/>
      <c r="BO1596" s="7"/>
      <c r="BP1596" s="7"/>
      <c r="BQ1596" s="7"/>
      <c r="BR1596" s="7"/>
      <c r="BS1596" s="7"/>
      <c r="BT1596" s="7"/>
      <c r="BU1596" s="7"/>
      <c r="BV1596" s="7"/>
      <c r="BW1596" s="7"/>
      <c r="BX1596" s="7"/>
      <c r="BY1596" s="7"/>
      <c r="BZ1596" s="7"/>
      <c r="CA1596" s="7"/>
      <c r="CB1596" s="7"/>
      <c r="CC1596" s="7"/>
      <c r="CD1596" s="7"/>
      <c r="CE1596" s="7"/>
      <c r="CF1596" s="7"/>
      <c r="CG1596" s="7"/>
    </row>
    <row r="1597" spans="3:85"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  <c r="AA1597" s="7"/>
      <c r="AB1597" s="7"/>
      <c r="AC1597" s="7"/>
      <c r="AD1597" s="7"/>
      <c r="AF1597" s="7"/>
      <c r="AG1597" s="7"/>
      <c r="AH1597" s="7"/>
      <c r="AI1597" s="7"/>
      <c r="AJ1597" s="7"/>
      <c r="AK1597" s="7"/>
      <c r="AL1597" s="7"/>
      <c r="AM1597" s="7"/>
      <c r="AN1597" s="7"/>
      <c r="AO1597" s="7"/>
      <c r="AP1597" s="7"/>
      <c r="AQ1597" s="7"/>
      <c r="AR1597" s="7"/>
      <c r="AS1597" s="7"/>
      <c r="AT1597" s="7"/>
      <c r="AU1597" s="7"/>
      <c r="AV1597" s="7"/>
      <c r="AW1597" s="7"/>
      <c r="AX1597" s="7"/>
      <c r="AY1597" s="7"/>
      <c r="AZ1597" s="7"/>
      <c r="BA1597" s="7"/>
      <c r="BB1597" s="7"/>
      <c r="BC1597" s="7"/>
      <c r="BD1597" s="7"/>
      <c r="BE1597" s="7"/>
      <c r="BF1597" s="7"/>
      <c r="BG1597" s="7"/>
      <c r="BH1597" s="7"/>
      <c r="BI1597" s="7"/>
      <c r="BJ1597" s="7"/>
      <c r="BK1597" s="7"/>
      <c r="BL1597" s="7"/>
      <c r="BM1597" s="7"/>
      <c r="BN1597" s="7"/>
      <c r="BO1597" s="7"/>
      <c r="BP1597" s="7"/>
      <c r="BQ1597" s="7"/>
      <c r="BR1597" s="7"/>
      <c r="BS1597" s="7"/>
      <c r="BT1597" s="7"/>
      <c r="BU1597" s="7"/>
      <c r="BV1597" s="7"/>
      <c r="BW1597" s="7"/>
      <c r="BX1597" s="7"/>
      <c r="BY1597" s="7"/>
      <c r="BZ1597" s="7"/>
      <c r="CA1597" s="7"/>
      <c r="CB1597" s="7"/>
      <c r="CC1597" s="7"/>
      <c r="CD1597" s="7"/>
      <c r="CE1597" s="7"/>
      <c r="CF1597" s="7"/>
      <c r="CG1597" s="7"/>
    </row>
    <row r="1598" spans="3:85"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  <c r="AA1598" s="7"/>
      <c r="AB1598" s="7"/>
      <c r="AC1598" s="7"/>
      <c r="AD1598" s="7"/>
      <c r="AF1598" s="7"/>
      <c r="AG1598" s="7"/>
      <c r="AH1598" s="7"/>
      <c r="AI1598" s="7"/>
      <c r="AJ1598" s="7"/>
      <c r="AK1598" s="7"/>
      <c r="AL1598" s="7"/>
      <c r="AM1598" s="7"/>
      <c r="AN1598" s="7"/>
      <c r="AO1598" s="7"/>
      <c r="AP1598" s="7"/>
      <c r="AQ1598" s="7"/>
      <c r="AR1598" s="7"/>
      <c r="AS1598" s="7"/>
      <c r="AT1598" s="7"/>
      <c r="AU1598" s="7"/>
      <c r="AV1598" s="7"/>
      <c r="AW1598" s="7"/>
      <c r="AX1598" s="7"/>
      <c r="AY1598" s="7"/>
      <c r="AZ1598" s="7"/>
      <c r="BA1598" s="7"/>
      <c r="BB1598" s="7"/>
      <c r="BC1598" s="7"/>
      <c r="BD1598" s="7"/>
      <c r="BE1598" s="7"/>
      <c r="BF1598" s="7"/>
      <c r="BG1598" s="7"/>
      <c r="BH1598" s="7"/>
      <c r="BI1598" s="7"/>
      <c r="BJ1598" s="7"/>
      <c r="BK1598" s="7"/>
      <c r="BL1598" s="7"/>
      <c r="BM1598" s="7"/>
      <c r="BN1598" s="7"/>
      <c r="BO1598" s="7"/>
      <c r="BP1598" s="7"/>
      <c r="BQ1598" s="7"/>
      <c r="BR1598" s="7"/>
      <c r="BS1598" s="7"/>
      <c r="BT1598" s="7"/>
      <c r="BU1598" s="7"/>
      <c r="BV1598" s="7"/>
      <c r="BW1598" s="7"/>
      <c r="BX1598" s="7"/>
      <c r="BY1598" s="7"/>
      <c r="BZ1598" s="7"/>
      <c r="CA1598" s="7"/>
      <c r="CB1598" s="7"/>
      <c r="CC1598" s="7"/>
      <c r="CD1598" s="7"/>
      <c r="CE1598" s="7"/>
      <c r="CF1598" s="7"/>
      <c r="CG1598" s="7"/>
    </row>
    <row r="1599" spans="3:85"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  <c r="AA1599" s="7"/>
      <c r="AB1599" s="7"/>
      <c r="AC1599" s="7"/>
      <c r="AD1599" s="7"/>
      <c r="AF1599" s="7"/>
      <c r="AG1599" s="7"/>
      <c r="AH1599" s="7"/>
      <c r="AI1599" s="7"/>
      <c r="AJ1599" s="7"/>
      <c r="AK1599" s="7"/>
      <c r="AL1599" s="7"/>
      <c r="AM1599" s="7"/>
      <c r="AN1599" s="7"/>
      <c r="AO1599" s="7"/>
      <c r="AP1599" s="7"/>
      <c r="AQ1599" s="7"/>
      <c r="AR1599" s="7"/>
      <c r="AS1599" s="7"/>
      <c r="AT1599" s="7"/>
      <c r="AU1599" s="7"/>
      <c r="AV1599" s="7"/>
      <c r="AW1599" s="7"/>
      <c r="AX1599" s="7"/>
      <c r="AY1599" s="7"/>
      <c r="AZ1599" s="7"/>
      <c r="BA1599" s="7"/>
      <c r="BB1599" s="7"/>
      <c r="BC1599" s="7"/>
      <c r="BD1599" s="7"/>
      <c r="BE1599" s="7"/>
      <c r="BF1599" s="7"/>
      <c r="BG1599" s="7"/>
      <c r="BH1599" s="7"/>
      <c r="BI1599" s="7"/>
      <c r="BJ1599" s="7"/>
      <c r="BK1599" s="7"/>
      <c r="BL1599" s="7"/>
      <c r="BM1599" s="7"/>
      <c r="BN1599" s="7"/>
      <c r="BO1599" s="7"/>
      <c r="BP1599" s="7"/>
      <c r="BQ1599" s="7"/>
      <c r="BR1599" s="7"/>
      <c r="BS1599" s="7"/>
      <c r="BT1599" s="7"/>
      <c r="BU1599" s="7"/>
      <c r="BV1599" s="7"/>
      <c r="BW1599" s="7"/>
      <c r="BX1599" s="7"/>
      <c r="BY1599" s="7"/>
      <c r="BZ1599" s="7"/>
      <c r="CA1599" s="7"/>
      <c r="CB1599" s="7"/>
      <c r="CC1599" s="7"/>
      <c r="CD1599" s="7"/>
      <c r="CE1599" s="7"/>
      <c r="CF1599" s="7"/>
      <c r="CG1599" s="7"/>
    </row>
    <row r="1600" spans="3:85"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  <c r="AA1600" s="7"/>
      <c r="AB1600" s="7"/>
      <c r="AC1600" s="7"/>
      <c r="AD1600" s="7"/>
      <c r="AF1600" s="7"/>
      <c r="AG1600" s="7"/>
      <c r="AH1600" s="7"/>
      <c r="AI1600" s="7"/>
      <c r="AJ1600" s="7"/>
      <c r="AK1600" s="7"/>
      <c r="AL1600" s="7"/>
      <c r="AM1600" s="7"/>
      <c r="AN1600" s="7"/>
      <c r="AO1600" s="7"/>
      <c r="AP1600" s="7"/>
      <c r="AQ1600" s="7"/>
      <c r="AR1600" s="7"/>
      <c r="AS1600" s="7"/>
      <c r="AT1600" s="7"/>
      <c r="AU1600" s="7"/>
      <c r="AV1600" s="7"/>
      <c r="AW1600" s="7"/>
      <c r="AX1600" s="7"/>
      <c r="AY1600" s="7"/>
      <c r="AZ1600" s="7"/>
      <c r="BA1600" s="7"/>
      <c r="BB1600" s="7"/>
      <c r="BC1600" s="7"/>
      <c r="BD1600" s="7"/>
      <c r="BE1600" s="7"/>
      <c r="BF1600" s="7"/>
      <c r="BG1600" s="7"/>
      <c r="BH1600" s="7"/>
      <c r="BI1600" s="7"/>
      <c r="BJ1600" s="7"/>
      <c r="BK1600" s="7"/>
      <c r="BL1600" s="7"/>
      <c r="BM1600" s="7"/>
      <c r="BN1600" s="7"/>
      <c r="BO1600" s="7"/>
      <c r="BP1600" s="7"/>
      <c r="BQ1600" s="7"/>
      <c r="BR1600" s="7"/>
      <c r="BS1600" s="7"/>
      <c r="BT1600" s="7"/>
      <c r="BU1600" s="7"/>
      <c r="BV1600" s="7"/>
      <c r="BW1600" s="7"/>
      <c r="BX1600" s="7"/>
      <c r="BY1600" s="7"/>
      <c r="BZ1600" s="7"/>
      <c r="CA1600" s="7"/>
      <c r="CB1600" s="7"/>
      <c r="CC1600" s="7"/>
      <c r="CD1600" s="7"/>
      <c r="CE1600" s="7"/>
      <c r="CF1600" s="7"/>
      <c r="CG1600" s="7"/>
    </row>
    <row r="1601" spans="3:85"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  <c r="AA1601" s="7"/>
      <c r="AB1601" s="7"/>
      <c r="AC1601" s="7"/>
      <c r="AD1601" s="7"/>
      <c r="AF1601" s="7"/>
      <c r="AG1601" s="7"/>
      <c r="AH1601" s="7"/>
      <c r="AI1601" s="7"/>
      <c r="AJ1601" s="7"/>
      <c r="AK1601" s="7"/>
      <c r="AL1601" s="7"/>
      <c r="AM1601" s="7"/>
      <c r="AN1601" s="7"/>
      <c r="AO1601" s="7"/>
      <c r="AP1601" s="7"/>
      <c r="AQ1601" s="7"/>
      <c r="AR1601" s="7"/>
      <c r="AS1601" s="7"/>
      <c r="AT1601" s="7"/>
      <c r="AU1601" s="7"/>
      <c r="AV1601" s="7"/>
      <c r="AW1601" s="7"/>
      <c r="AX1601" s="7"/>
      <c r="AY1601" s="7"/>
      <c r="AZ1601" s="7"/>
      <c r="BA1601" s="7"/>
      <c r="BB1601" s="7"/>
      <c r="BC1601" s="7"/>
      <c r="BD1601" s="7"/>
      <c r="BE1601" s="7"/>
      <c r="BF1601" s="7"/>
      <c r="BG1601" s="7"/>
      <c r="BH1601" s="7"/>
      <c r="BI1601" s="7"/>
      <c r="BJ1601" s="7"/>
      <c r="BK1601" s="7"/>
      <c r="BL1601" s="7"/>
      <c r="BM1601" s="7"/>
      <c r="BN1601" s="7"/>
      <c r="BO1601" s="7"/>
      <c r="BP1601" s="7"/>
      <c r="BQ1601" s="7"/>
      <c r="BR1601" s="7"/>
      <c r="BS1601" s="7"/>
      <c r="BT1601" s="7"/>
      <c r="BU1601" s="7"/>
      <c r="BV1601" s="7"/>
      <c r="BW1601" s="7"/>
      <c r="BX1601" s="7"/>
      <c r="BY1601" s="7"/>
      <c r="BZ1601" s="7"/>
      <c r="CA1601" s="7"/>
      <c r="CB1601" s="7"/>
      <c r="CC1601" s="7"/>
      <c r="CD1601" s="7"/>
      <c r="CE1601" s="7"/>
      <c r="CF1601" s="7"/>
      <c r="CG1601" s="7"/>
    </row>
    <row r="1602" spans="3:85"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  <c r="AA1602" s="7"/>
      <c r="AB1602" s="7"/>
      <c r="AC1602" s="7"/>
      <c r="AD1602" s="7"/>
      <c r="AF1602" s="7"/>
      <c r="AG1602" s="7"/>
      <c r="AH1602" s="7"/>
      <c r="AI1602" s="7"/>
      <c r="AJ1602" s="7"/>
      <c r="AK1602" s="7"/>
      <c r="AL1602" s="7"/>
      <c r="AM1602" s="7"/>
      <c r="AN1602" s="7"/>
      <c r="AO1602" s="7"/>
      <c r="AP1602" s="7"/>
      <c r="AQ1602" s="7"/>
      <c r="AR1602" s="7"/>
      <c r="AS1602" s="7"/>
      <c r="AT1602" s="7"/>
      <c r="AU1602" s="7"/>
      <c r="AV1602" s="7"/>
      <c r="AW1602" s="7"/>
      <c r="AX1602" s="7"/>
      <c r="AY1602" s="7"/>
      <c r="AZ1602" s="7"/>
      <c r="BA1602" s="7"/>
      <c r="BB1602" s="7"/>
      <c r="BC1602" s="7"/>
      <c r="BD1602" s="7"/>
      <c r="BE1602" s="7"/>
      <c r="BF1602" s="7"/>
      <c r="BG1602" s="7"/>
      <c r="BH1602" s="7"/>
      <c r="BI1602" s="7"/>
      <c r="BJ1602" s="7"/>
      <c r="BK1602" s="7"/>
      <c r="BL1602" s="7"/>
      <c r="BM1602" s="7"/>
      <c r="BN1602" s="7"/>
      <c r="BO1602" s="7"/>
      <c r="BP1602" s="7"/>
      <c r="BQ1602" s="7"/>
      <c r="BR1602" s="7"/>
      <c r="BS1602" s="7"/>
      <c r="BT1602" s="7"/>
      <c r="BU1602" s="7"/>
      <c r="BV1602" s="7"/>
      <c r="BW1602" s="7"/>
      <c r="BX1602" s="7"/>
      <c r="BY1602" s="7"/>
      <c r="BZ1602" s="7"/>
      <c r="CA1602" s="7"/>
      <c r="CB1602" s="7"/>
      <c r="CC1602" s="7"/>
      <c r="CD1602" s="7"/>
      <c r="CE1602" s="7"/>
      <c r="CF1602" s="7"/>
      <c r="CG1602" s="7"/>
    </row>
    <row r="1603" spans="3:85"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  <c r="AA1603" s="7"/>
      <c r="AB1603" s="7"/>
      <c r="AC1603" s="7"/>
      <c r="AD1603" s="7"/>
      <c r="AF1603" s="7"/>
      <c r="AG1603" s="7"/>
      <c r="AH1603" s="7"/>
      <c r="AI1603" s="7"/>
      <c r="AJ1603" s="7"/>
      <c r="AK1603" s="7"/>
      <c r="AL1603" s="7"/>
      <c r="AM1603" s="7"/>
      <c r="AN1603" s="7"/>
      <c r="AO1603" s="7"/>
      <c r="AP1603" s="7"/>
      <c r="AQ1603" s="7"/>
      <c r="AR1603" s="7"/>
      <c r="AS1603" s="7"/>
      <c r="AT1603" s="7"/>
      <c r="AU1603" s="7"/>
      <c r="AV1603" s="7"/>
      <c r="AW1603" s="7"/>
      <c r="AX1603" s="7"/>
      <c r="AY1603" s="7"/>
      <c r="AZ1603" s="7"/>
      <c r="BA1603" s="7"/>
      <c r="BB1603" s="7"/>
      <c r="BC1603" s="7"/>
      <c r="BD1603" s="7"/>
      <c r="BE1603" s="7"/>
      <c r="BF1603" s="7"/>
      <c r="BG1603" s="7"/>
      <c r="BH1603" s="7"/>
      <c r="BI1603" s="7"/>
      <c r="BJ1603" s="7"/>
      <c r="BK1603" s="7"/>
      <c r="BL1603" s="7"/>
      <c r="BM1603" s="7"/>
      <c r="BN1603" s="7"/>
      <c r="BO1603" s="7"/>
      <c r="BP1603" s="7"/>
      <c r="BQ1603" s="7"/>
      <c r="BR1603" s="7"/>
      <c r="BS1603" s="7"/>
      <c r="BT1603" s="7"/>
      <c r="BU1603" s="7"/>
      <c r="BV1603" s="7"/>
      <c r="BW1603" s="7"/>
      <c r="BX1603" s="7"/>
      <c r="BY1603" s="7"/>
      <c r="BZ1603" s="7"/>
      <c r="CA1603" s="7"/>
      <c r="CB1603" s="7"/>
      <c r="CC1603" s="7"/>
      <c r="CD1603" s="7"/>
      <c r="CE1603" s="7"/>
      <c r="CF1603" s="7"/>
      <c r="CG1603" s="7"/>
    </row>
    <row r="1604" spans="3:85"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  <c r="AA1604" s="7"/>
      <c r="AB1604" s="7"/>
      <c r="AC1604" s="7"/>
      <c r="AD1604" s="7"/>
      <c r="AF1604" s="7"/>
      <c r="AG1604" s="7"/>
      <c r="AH1604" s="7"/>
      <c r="AI1604" s="7"/>
      <c r="AJ1604" s="7"/>
      <c r="AK1604" s="7"/>
      <c r="AL1604" s="7"/>
      <c r="AM1604" s="7"/>
      <c r="AN1604" s="7"/>
      <c r="AO1604" s="7"/>
      <c r="AP1604" s="7"/>
      <c r="AQ1604" s="7"/>
      <c r="AR1604" s="7"/>
      <c r="AS1604" s="7"/>
      <c r="AT1604" s="7"/>
      <c r="AU1604" s="7"/>
      <c r="AV1604" s="7"/>
      <c r="AW1604" s="7"/>
      <c r="AX1604" s="7"/>
      <c r="AY1604" s="7"/>
      <c r="AZ1604" s="7"/>
      <c r="BA1604" s="7"/>
      <c r="BB1604" s="7"/>
      <c r="BC1604" s="7"/>
      <c r="BD1604" s="7"/>
      <c r="BE1604" s="7"/>
      <c r="BF1604" s="7"/>
      <c r="BG1604" s="7"/>
      <c r="BH1604" s="7"/>
      <c r="BI1604" s="7"/>
      <c r="BJ1604" s="7"/>
      <c r="BK1604" s="7"/>
      <c r="BL1604" s="7"/>
      <c r="BM1604" s="7"/>
      <c r="BN1604" s="7"/>
      <c r="BO1604" s="7"/>
      <c r="BP1604" s="7"/>
      <c r="BQ1604" s="7"/>
      <c r="BR1604" s="7"/>
      <c r="BS1604" s="7"/>
      <c r="BT1604" s="7"/>
      <c r="BU1604" s="7"/>
      <c r="BV1604" s="7"/>
      <c r="BW1604" s="7"/>
      <c r="BX1604" s="7"/>
      <c r="BY1604" s="7"/>
      <c r="BZ1604" s="7"/>
      <c r="CA1604" s="7"/>
      <c r="CB1604" s="7"/>
      <c r="CC1604" s="7"/>
      <c r="CD1604" s="7"/>
      <c r="CE1604" s="7"/>
      <c r="CF1604" s="7"/>
      <c r="CG1604" s="7"/>
    </row>
    <row r="1605" spans="3:85"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  <c r="AA1605" s="7"/>
      <c r="AB1605" s="7"/>
      <c r="AC1605" s="7"/>
      <c r="AD1605" s="7"/>
      <c r="AF1605" s="7"/>
      <c r="AG1605" s="7"/>
      <c r="AH1605" s="7"/>
      <c r="AI1605" s="7"/>
      <c r="AJ1605" s="7"/>
      <c r="AK1605" s="7"/>
      <c r="AL1605" s="7"/>
      <c r="AM1605" s="7"/>
      <c r="AN1605" s="7"/>
      <c r="AO1605" s="7"/>
      <c r="AP1605" s="7"/>
      <c r="AQ1605" s="7"/>
      <c r="AR1605" s="7"/>
      <c r="AS1605" s="7"/>
      <c r="AT1605" s="7"/>
      <c r="AU1605" s="7"/>
      <c r="AV1605" s="7"/>
      <c r="AW1605" s="7"/>
      <c r="AX1605" s="7"/>
      <c r="AY1605" s="7"/>
      <c r="AZ1605" s="7"/>
      <c r="BA1605" s="7"/>
      <c r="BB1605" s="7"/>
      <c r="BC1605" s="7"/>
      <c r="BD1605" s="7"/>
      <c r="BE1605" s="7"/>
      <c r="BF1605" s="7"/>
      <c r="BG1605" s="7"/>
      <c r="BH1605" s="7"/>
      <c r="BI1605" s="7"/>
      <c r="BJ1605" s="7"/>
      <c r="BK1605" s="7"/>
      <c r="BL1605" s="7"/>
      <c r="BM1605" s="7"/>
      <c r="BN1605" s="7"/>
      <c r="BO1605" s="7"/>
      <c r="BP1605" s="7"/>
      <c r="BQ1605" s="7"/>
      <c r="BR1605" s="7"/>
      <c r="BS1605" s="7"/>
      <c r="BT1605" s="7"/>
      <c r="BU1605" s="7"/>
      <c r="BV1605" s="7"/>
      <c r="BW1605" s="7"/>
      <c r="BX1605" s="7"/>
      <c r="BY1605" s="7"/>
      <c r="BZ1605" s="7"/>
      <c r="CA1605" s="7"/>
      <c r="CB1605" s="7"/>
      <c r="CC1605" s="7"/>
      <c r="CD1605" s="7"/>
      <c r="CE1605" s="7"/>
      <c r="CF1605" s="7"/>
      <c r="CG1605" s="7"/>
    </row>
    <row r="1606" spans="3:85"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  <c r="AA1606" s="7"/>
      <c r="AB1606" s="7"/>
      <c r="AC1606" s="7"/>
      <c r="AD1606" s="7"/>
      <c r="AF1606" s="7"/>
      <c r="AG1606" s="7"/>
      <c r="AH1606" s="7"/>
      <c r="AI1606" s="7"/>
      <c r="AJ1606" s="7"/>
      <c r="AK1606" s="7"/>
      <c r="AL1606" s="7"/>
      <c r="AM1606" s="7"/>
      <c r="AN1606" s="7"/>
      <c r="AO1606" s="7"/>
      <c r="AP1606" s="7"/>
      <c r="AQ1606" s="7"/>
      <c r="AR1606" s="7"/>
      <c r="AS1606" s="7"/>
      <c r="AT1606" s="7"/>
      <c r="AU1606" s="7"/>
      <c r="AV1606" s="7"/>
      <c r="AW1606" s="7"/>
      <c r="AX1606" s="7"/>
      <c r="AY1606" s="7"/>
      <c r="AZ1606" s="7"/>
      <c r="BA1606" s="7"/>
      <c r="BB1606" s="7"/>
      <c r="BC1606" s="7"/>
      <c r="BD1606" s="7"/>
      <c r="BE1606" s="7"/>
      <c r="BF1606" s="7"/>
      <c r="BG1606" s="7"/>
      <c r="BH1606" s="7"/>
      <c r="BI1606" s="7"/>
      <c r="BJ1606" s="7"/>
      <c r="BK1606" s="7"/>
      <c r="BL1606" s="7"/>
      <c r="BM1606" s="7"/>
      <c r="BN1606" s="7"/>
      <c r="BO1606" s="7"/>
      <c r="BP1606" s="7"/>
      <c r="BQ1606" s="7"/>
      <c r="BR1606" s="7"/>
      <c r="BS1606" s="7"/>
      <c r="BT1606" s="7"/>
      <c r="BU1606" s="7"/>
      <c r="BV1606" s="7"/>
      <c r="BW1606" s="7"/>
      <c r="BX1606" s="7"/>
      <c r="BY1606" s="7"/>
      <c r="BZ1606" s="7"/>
      <c r="CA1606" s="7"/>
      <c r="CB1606" s="7"/>
      <c r="CC1606" s="7"/>
      <c r="CD1606" s="7"/>
      <c r="CE1606" s="7"/>
      <c r="CF1606" s="7"/>
      <c r="CG1606" s="7"/>
    </row>
    <row r="1607" spans="3:85"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  <c r="AA1607" s="7"/>
      <c r="AB1607" s="7"/>
      <c r="AC1607" s="7"/>
      <c r="AD1607" s="7"/>
      <c r="AF1607" s="7"/>
      <c r="AG1607" s="7"/>
      <c r="AH1607" s="7"/>
      <c r="AI1607" s="7"/>
      <c r="AJ1607" s="7"/>
      <c r="AK1607" s="7"/>
      <c r="AL1607" s="7"/>
      <c r="AM1607" s="7"/>
      <c r="AN1607" s="7"/>
      <c r="AO1607" s="7"/>
      <c r="AP1607" s="7"/>
      <c r="AQ1607" s="7"/>
      <c r="AR1607" s="7"/>
      <c r="AS1607" s="7"/>
      <c r="AT1607" s="7"/>
      <c r="AU1607" s="7"/>
      <c r="AV1607" s="7"/>
      <c r="AW1607" s="7"/>
      <c r="AX1607" s="7"/>
      <c r="AY1607" s="7"/>
      <c r="AZ1607" s="7"/>
      <c r="BA1607" s="7"/>
      <c r="BB1607" s="7"/>
      <c r="BC1607" s="7"/>
      <c r="BD1607" s="7"/>
      <c r="BE1607" s="7"/>
      <c r="BF1607" s="7"/>
      <c r="BG1607" s="7"/>
      <c r="BH1607" s="7"/>
      <c r="BI1607" s="7"/>
      <c r="BJ1607" s="7"/>
      <c r="BK1607" s="7"/>
      <c r="BL1607" s="7"/>
      <c r="BM1607" s="7"/>
      <c r="BN1607" s="7"/>
      <c r="BO1607" s="7"/>
      <c r="BP1607" s="7"/>
      <c r="BQ1607" s="7"/>
      <c r="BR1607" s="7"/>
      <c r="BS1607" s="7"/>
      <c r="BT1607" s="7"/>
      <c r="BU1607" s="7"/>
      <c r="BV1607" s="7"/>
      <c r="BW1607" s="7"/>
      <c r="BX1607" s="7"/>
      <c r="BY1607" s="7"/>
      <c r="BZ1607" s="7"/>
      <c r="CA1607" s="7"/>
      <c r="CB1607" s="7"/>
      <c r="CC1607" s="7"/>
      <c r="CD1607" s="7"/>
      <c r="CE1607" s="7"/>
      <c r="CF1607" s="7"/>
      <c r="CG1607" s="7"/>
    </row>
    <row r="1608" spans="3:85"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  <c r="AA1608" s="7"/>
      <c r="AB1608" s="7"/>
      <c r="AC1608" s="7"/>
      <c r="AD1608" s="7"/>
      <c r="AF1608" s="7"/>
      <c r="AG1608" s="7"/>
      <c r="AH1608" s="7"/>
      <c r="AI1608" s="7"/>
      <c r="AJ1608" s="7"/>
      <c r="AK1608" s="7"/>
      <c r="AL1608" s="7"/>
      <c r="AM1608" s="7"/>
      <c r="AN1608" s="7"/>
      <c r="AO1608" s="7"/>
      <c r="AP1608" s="7"/>
      <c r="AQ1608" s="7"/>
      <c r="AR1608" s="7"/>
      <c r="AS1608" s="7"/>
      <c r="AT1608" s="7"/>
      <c r="AU1608" s="7"/>
      <c r="AV1608" s="7"/>
      <c r="AW1608" s="7"/>
      <c r="AX1608" s="7"/>
      <c r="AY1608" s="7"/>
      <c r="AZ1608" s="7"/>
      <c r="BA1608" s="7"/>
      <c r="BB1608" s="7"/>
      <c r="BC1608" s="7"/>
      <c r="BD1608" s="7"/>
      <c r="BE1608" s="7"/>
      <c r="BF1608" s="7"/>
      <c r="BG1608" s="7"/>
      <c r="BH1608" s="7"/>
      <c r="BI1608" s="7"/>
      <c r="BJ1608" s="7"/>
      <c r="BK1608" s="7"/>
      <c r="BL1608" s="7"/>
      <c r="BM1608" s="7"/>
      <c r="BN1608" s="7"/>
      <c r="BO1608" s="7"/>
      <c r="BP1608" s="7"/>
      <c r="BQ1608" s="7"/>
      <c r="BR1608" s="7"/>
      <c r="BS1608" s="7"/>
      <c r="BT1608" s="7"/>
      <c r="BU1608" s="7"/>
      <c r="BV1608" s="7"/>
      <c r="BW1608" s="7"/>
      <c r="BX1608" s="7"/>
      <c r="BY1608" s="7"/>
      <c r="BZ1608" s="7"/>
      <c r="CA1608" s="7"/>
      <c r="CB1608" s="7"/>
      <c r="CC1608" s="7"/>
      <c r="CD1608" s="7"/>
      <c r="CE1608" s="7"/>
      <c r="CF1608" s="7"/>
      <c r="CG1608" s="7"/>
    </row>
    <row r="1609" spans="3:85"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  <c r="AA1609" s="7"/>
      <c r="AB1609" s="7"/>
      <c r="AC1609" s="7"/>
      <c r="AD1609" s="7"/>
      <c r="AF1609" s="7"/>
      <c r="AG1609" s="7"/>
      <c r="AH1609" s="7"/>
      <c r="AI1609" s="7"/>
      <c r="AJ1609" s="7"/>
      <c r="AK1609" s="7"/>
      <c r="AL1609" s="7"/>
      <c r="AM1609" s="7"/>
      <c r="AN1609" s="7"/>
      <c r="AO1609" s="7"/>
      <c r="AP1609" s="7"/>
      <c r="AQ1609" s="7"/>
      <c r="AR1609" s="7"/>
      <c r="AS1609" s="7"/>
      <c r="AT1609" s="7"/>
      <c r="AU1609" s="7"/>
      <c r="AV1609" s="7"/>
      <c r="AW1609" s="7"/>
      <c r="AX1609" s="7"/>
      <c r="AY1609" s="7"/>
      <c r="AZ1609" s="7"/>
      <c r="BA1609" s="7"/>
      <c r="BB1609" s="7"/>
      <c r="BC1609" s="7"/>
      <c r="BD1609" s="7"/>
      <c r="BE1609" s="7"/>
      <c r="BF1609" s="7"/>
      <c r="BG1609" s="7"/>
      <c r="BH1609" s="7"/>
      <c r="BI1609" s="7"/>
      <c r="BJ1609" s="7"/>
      <c r="BK1609" s="7"/>
      <c r="BL1609" s="7"/>
      <c r="BM1609" s="7"/>
      <c r="BN1609" s="7"/>
      <c r="BO1609" s="7"/>
      <c r="BP1609" s="7"/>
      <c r="BQ1609" s="7"/>
      <c r="BR1609" s="7"/>
      <c r="BS1609" s="7"/>
      <c r="BT1609" s="7"/>
      <c r="BU1609" s="7"/>
      <c r="BV1609" s="7"/>
      <c r="BW1609" s="7"/>
      <c r="BX1609" s="7"/>
      <c r="BY1609" s="7"/>
      <c r="BZ1609" s="7"/>
      <c r="CA1609" s="7"/>
      <c r="CB1609" s="7"/>
      <c r="CC1609" s="7"/>
      <c r="CD1609" s="7"/>
      <c r="CE1609" s="7"/>
      <c r="CF1609" s="7"/>
      <c r="CG1609" s="7"/>
    </row>
    <row r="1610" spans="3:85"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  <c r="AA1610" s="7"/>
      <c r="AB1610" s="7"/>
      <c r="AC1610" s="7"/>
      <c r="AD1610" s="7"/>
      <c r="AF1610" s="7"/>
      <c r="AG1610" s="7"/>
      <c r="AH1610" s="7"/>
      <c r="AI1610" s="7"/>
      <c r="AJ1610" s="7"/>
      <c r="AK1610" s="7"/>
      <c r="AL1610" s="7"/>
      <c r="AM1610" s="7"/>
      <c r="AN1610" s="7"/>
      <c r="AO1610" s="7"/>
      <c r="AP1610" s="7"/>
      <c r="AQ1610" s="7"/>
      <c r="AR1610" s="7"/>
      <c r="AS1610" s="7"/>
      <c r="AT1610" s="7"/>
      <c r="AU1610" s="7"/>
      <c r="AV1610" s="7"/>
      <c r="AW1610" s="7"/>
      <c r="AX1610" s="7"/>
      <c r="AY1610" s="7"/>
      <c r="AZ1610" s="7"/>
      <c r="BA1610" s="7"/>
      <c r="BB1610" s="7"/>
      <c r="BC1610" s="7"/>
      <c r="BD1610" s="7"/>
      <c r="BE1610" s="7"/>
      <c r="BF1610" s="7"/>
      <c r="BG1610" s="7"/>
      <c r="BH1610" s="7"/>
      <c r="BI1610" s="7"/>
      <c r="BJ1610" s="7"/>
      <c r="BK1610" s="7"/>
      <c r="BL1610" s="7"/>
      <c r="BM1610" s="7"/>
      <c r="BN1610" s="7"/>
      <c r="BO1610" s="7"/>
      <c r="BP1610" s="7"/>
      <c r="BQ1610" s="7"/>
      <c r="BR1610" s="7"/>
      <c r="BS1610" s="7"/>
      <c r="BT1610" s="7"/>
      <c r="BU1610" s="7"/>
      <c r="BV1610" s="7"/>
      <c r="BW1610" s="7"/>
      <c r="BX1610" s="7"/>
      <c r="BY1610" s="7"/>
      <c r="BZ1610" s="7"/>
      <c r="CA1610" s="7"/>
      <c r="CB1610" s="7"/>
      <c r="CC1610" s="7"/>
      <c r="CD1610" s="7"/>
      <c r="CE1610" s="7"/>
      <c r="CF1610" s="7"/>
      <c r="CG1610" s="7"/>
    </row>
    <row r="1611" spans="3:85"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  <c r="AA1611" s="7"/>
      <c r="AB1611" s="7"/>
      <c r="AC1611" s="7"/>
      <c r="AD1611" s="7"/>
      <c r="AF1611" s="7"/>
      <c r="AG1611" s="7"/>
      <c r="AH1611" s="7"/>
      <c r="AI1611" s="7"/>
      <c r="AJ1611" s="7"/>
      <c r="AK1611" s="7"/>
      <c r="AL1611" s="7"/>
      <c r="AM1611" s="7"/>
      <c r="AN1611" s="7"/>
      <c r="AO1611" s="7"/>
      <c r="AP1611" s="7"/>
      <c r="AQ1611" s="7"/>
      <c r="AR1611" s="7"/>
      <c r="AS1611" s="7"/>
      <c r="AT1611" s="7"/>
      <c r="AU1611" s="7"/>
      <c r="AV1611" s="7"/>
      <c r="AW1611" s="7"/>
      <c r="AX1611" s="7"/>
      <c r="AY1611" s="7"/>
      <c r="AZ1611" s="7"/>
      <c r="BA1611" s="7"/>
      <c r="BB1611" s="7"/>
      <c r="BC1611" s="7"/>
      <c r="BD1611" s="7"/>
      <c r="BE1611" s="7"/>
      <c r="BF1611" s="7"/>
      <c r="BG1611" s="7"/>
      <c r="BH1611" s="7"/>
      <c r="BI1611" s="7"/>
      <c r="BJ1611" s="7"/>
      <c r="BK1611" s="7"/>
      <c r="BL1611" s="7"/>
      <c r="BM1611" s="7"/>
      <c r="BN1611" s="7"/>
      <c r="BO1611" s="7"/>
      <c r="BP1611" s="7"/>
      <c r="BQ1611" s="7"/>
      <c r="BR1611" s="7"/>
      <c r="BS1611" s="7"/>
      <c r="BT1611" s="7"/>
      <c r="BU1611" s="7"/>
      <c r="BV1611" s="7"/>
      <c r="BW1611" s="7"/>
      <c r="BX1611" s="7"/>
      <c r="BY1611" s="7"/>
      <c r="BZ1611" s="7"/>
      <c r="CA1611" s="7"/>
      <c r="CB1611" s="7"/>
      <c r="CC1611" s="7"/>
      <c r="CD1611" s="7"/>
      <c r="CE1611" s="7"/>
      <c r="CF1611" s="7"/>
      <c r="CG1611" s="7"/>
    </row>
    <row r="1612" spans="3:85"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  <c r="AA1612" s="7"/>
      <c r="AB1612" s="7"/>
      <c r="AC1612" s="7"/>
      <c r="AD1612" s="7"/>
      <c r="AF1612" s="7"/>
      <c r="AG1612" s="7"/>
      <c r="AH1612" s="7"/>
      <c r="AI1612" s="7"/>
      <c r="AJ1612" s="7"/>
      <c r="AK1612" s="7"/>
      <c r="AL1612" s="7"/>
      <c r="AM1612" s="7"/>
      <c r="AN1612" s="7"/>
      <c r="AO1612" s="7"/>
      <c r="AP1612" s="7"/>
      <c r="AQ1612" s="7"/>
      <c r="AR1612" s="7"/>
      <c r="AS1612" s="7"/>
      <c r="AT1612" s="7"/>
      <c r="AU1612" s="7"/>
      <c r="AV1612" s="7"/>
      <c r="AW1612" s="7"/>
      <c r="AX1612" s="7"/>
      <c r="AY1612" s="7"/>
      <c r="AZ1612" s="7"/>
      <c r="BA1612" s="7"/>
      <c r="BB1612" s="7"/>
      <c r="BC1612" s="7"/>
      <c r="BD1612" s="7"/>
      <c r="BE1612" s="7"/>
      <c r="BF1612" s="7"/>
      <c r="BG1612" s="7"/>
      <c r="BH1612" s="7"/>
      <c r="BI1612" s="7"/>
      <c r="BJ1612" s="7"/>
      <c r="BK1612" s="7"/>
      <c r="BL1612" s="7"/>
      <c r="BM1612" s="7"/>
      <c r="BN1612" s="7"/>
      <c r="BO1612" s="7"/>
      <c r="BP1612" s="7"/>
      <c r="BQ1612" s="7"/>
      <c r="BR1612" s="7"/>
      <c r="BS1612" s="7"/>
      <c r="BT1612" s="7"/>
      <c r="BU1612" s="7"/>
      <c r="BV1612" s="7"/>
      <c r="BW1612" s="7"/>
      <c r="BX1612" s="7"/>
      <c r="BY1612" s="7"/>
      <c r="BZ1612" s="7"/>
      <c r="CA1612" s="7"/>
      <c r="CB1612" s="7"/>
      <c r="CC1612" s="7"/>
      <c r="CD1612" s="7"/>
      <c r="CE1612" s="7"/>
      <c r="CF1612" s="7"/>
      <c r="CG1612" s="7"/>
    </row>
    <row r="1613" spans="3:85"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  <c r="AA1613" s="7"/>
      <c r="AB1613" s="7"/>
      <c r="AC1613" s="7"/>
      <c r="AD1613" s="7"/>
      <c r="AF1613" s="7"/>
      <c r="AG1613" s="7"/>
      <c r="AH1613" s="7"/>
      <c r="AI1613" s="7"/>
      <c r="AJ1613" s="7"/>
      <c r="AK1613" s="7"/>
      <c r="AL1613" s="7"/>
      <c r="AM1613" s="7"/>
      <c r="AN1613" s="7"/>
      <c r="AO1613" s="7"/>
      <c r="AP1613" s="7"/>
      <c r="AQ1613" s="7"/>
      <c r="AR1613" s="7"/>
      <c r="AS1613" s="7"/>
      <c r="AT1613" s="7"/>
      <c r="AU1613" s="7"/>
      <c r="AV1613" s="7"/>
      <c r="AW1613" s="7"/>
      <c r="AX1613" s="7"/>
      <c r="AY1613" s="7"/>
      <c r="AZ1613" s="7"/>
      <c r="BA1613" s="7"/>
      <c r="BB1613" s="7"/>
      <c r="BC1613" s="7"/>
      <c r="BD1613" s="7"/>
      <c r="BE1613" s="7"/>
      <c r="BF1613" s="7"/>
      <c r="BG1613" s="7"/>
      <c r="BH1613" s="7"/>
      <c r="BI1613" s="7"/>
      <c r="BJ1613" s="7"/>
      <c r="BK1613" s="7"/>
      <c r="BL1613" s="7"/>
      <c r="BM1613" s="7"/>
      <c r="BN1613" s="7"/>
      <c r="BO1613" s="7"/>
      <c r="BP1613" s="7"/>
      <c r="BQ1613" s="7"/>
      <c r="BR1613" s="7"/>
      <c r="BS1613" s="7"/>
      <c r="BT1613" s="7"/>
      <c r="BU1613" s="7"/>
      <c r="BV1613" s="7"/>
      <c r="BW1613" s="7"/>
      <c r="BX1613" s="7"/>
      <c r="BY1613" s="7"/>
      <c r="BZ1613" s="7"/>
      <c r="CA1613" s="7"/>
      <c r="CB1613" s="7"/>
      <c r="CC1613" s="7"/>
      <c r="CD1613" s="7"/>
      <c r="CE1613" s="7"/>
      <c r="CF1613" s="7"/>
      <c r="CG1613" s="7"/>
    </row>
    <row r="1614" spans="3:85"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  <c r="AA1614" s="7"/>
      <c r="AB1614" s="7"/>
      <c r="AC1614" s="7"/>
      <c r="AD1614" s="7"/>
      <c r="AF1614" s="7"/>
      <c r="AG1614" s="7"/>
      <c r="AH1614" s="7"/>
      <c r="AI1614" s="7"/>
      <c r="AJ1614" s="7"/>
      <c r="AK1614" s="7"/>
      <c r="AL1614" s="7"/>
      <c r="AM1614" s="7"/>
      <c r="AN1614" s="7"/>
      <c r="AO1614" s="7"/>
      <c r="AP1614" s="7"/>
      <c r="AQ1614" s="7"/>
      <c r="AR1614" s="7"/>
      <c r="AS1614" s="7"/>
      <c r="AT1614" s="7"/>
      <c r="AU1614" s="7"/>
      <c r="AV1614" s="7"/>
      <c r="AW1614" s="7"/>
      <c r="AX1614" s="7"/>
      <c r="AY1614" s="7"/>
      <c r="AZ1614" s="7"/>
      <c r="BA1614" s="7"/>
      <c r="BB1614" s="7"/>
      <c r="BC1614" s="7"/>
      <c r="BD1614" s="7"/>
      <c r="BE1614" s="7"/>
      <c r="BF1614" s="7"/>
      <c r="BG1614" s="7"/>
      <c r="BH1614" s="7"/>
      <c r="BI1614" s="7"/>
      <c r="BJ1614" s="7"/>
      <c r="BK1614" s="7"/>
      <c r="BL1614" s="7"/>
      <c r="BM1614" s="7"/>
      <c r="BN1614" s="7"/>
      <c r="BO1614" s="7"/>
      <c r="BP1614" s="7"/>
      <c r="BQ1614" s="7"/>
      <c r="BR1614" s="7"/>
      <c r="BS1614" s="7"/>
      <c r="BT1614" s="7"/>
      <c r="BU1614" s="7"/>
      <c r="BV1614" s="7"/>
      <c r="BW1614" s="7"/>
      <c r="BX1614" s="7"/>
      <c r="BY1614" s="7"/>
      <c r="BZ1614" s="7"/>
      <c r="CA1614" s="7"/>
      <c r="CB1614" s="7"/>
      <c r="CC1614" s="7"/>
      <c r="CD1614" s="7"/>
      <c r="CE1614" s="7"/>
      <c r="CF1614" s="7"/>
      <c r="CG1614" s="7"/>
    </row>
    <row r="1615" spans="3:85"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  <c r="AA1615" s="7"/>
      <c r="AB1615" s="7"/>
      <c r="AC1615" s="7"/>
      <c r="AD1615" s="7"/>
      <c r="AF1615" s="7"/>
      <c r="AG1615" s="7"/>
      <c r="AH1615" s="7"/>
      <c r="AI1615" s="7"/>
      <c r="AJ1615" s="7"/>
      <c r="AK1615" s="7"/>
      <c r="AL1615" s="7"/>
      <c r="AM1615" s="7"/>
      <c r="AN1615" s="7"/>
      <c r="AO1615" s="7"/>
      <c r="AP1615" s="7"/>
      <c r="AQ1615" s="7"/>
      <c r="AR1615" s="7"/>
      <c r="AS1615" s="7"/>
      <c r="AT1615" s="7"/>
      <c r="AU1615" s="7"/>
      <c r="AV1615" s="7"/>
      <c r="AW1615" s="7"/>
      <c r="AX1615" s="7"/>
      <c r="AY1615" s="7"/>
      <c r="AZ1615" s="7"/>
      <c r="BA1615" s="7"/>
      <c r="BB1615" s="7"/>
      <c r="BC1615" s="7"/>
      <c r="BD1615" s="7"/>
      <c r="BE1615" s="7"/>
      <c r="BF1615" s="7"/>
      <c r="BG1615" s="7"/>
      <c r="BH1615" s="7"/>
      <c r="BI1615" s="7"/>
      <c r="BJ1615" s="7"/>
      <c r="BK1615" s="7"/>
      <c r="BL1615" s="7"/>
      <c r="BM1615" s="7"/>
      <c r="BN1615" s="7"/>
      <c r="BO1615" s="7"/>
      <c r="BP1615" s="7"/>
      <c r="BQ1615" s="7"/>
      <c r="BR1615" s="7"/>
      <c r="BS1615" s="7"/>
      <c r="BT1615" s="7"/>
      <c r="BU1615" s="7"/>
      <c r="BV1615" s="7"/>
      <c r="BW1615" s="7"/>
      <c r="BX1615" s="7"/>
      <c r="BY1615" s="7"/>
      <c r="BZ1615" s="7"/>
      <c r="CA1615" s="7"/>
      <c r="CB1615" s="7"/>
      <c r="CC1615" s="7"/>
      <c r="CD1615" s="7"/>
      <c r="CE1615" s="7"/>
      <c r="CF1615" s="7"/>
      <c r="CG1615" s="7"/>
    </row>
    <row r="1616" spans="3:85"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  <c r="AA1616" s="7"/>
      <c r="AB1616" s="7"/>
      <c r="AC1616" s="7"/>
      <c r="AD1616" s="7"/>
      <c r="AF1616" s="7"/>
      <c r="AG1616" s="7"/>
      <c r="AH1616" s="7"/>
      <c r="AI1616" s="7"/>
      <c r="AJ1616" s="7"/>
      <c r="AK1616" s="7"/>
      <c r="AL1616" s="7"/>
      <c r="AM1616" s="7"/>
      <c r="AN1616" s="7"/>
      <c r="AO1616" s="7"/>
      <c r="AP1616" s="7"/>
      <c r="AQ1616" s="7"/>
      <c r="AR1616" s="7"/>
      <c r="AS1616" s="7"/>
      <c r="AT1616" s="7"/>
      <c r="AU1616" s="7"/>
      <c r="AV1616" s="7"/>
      <c r="AW1616" s="7"/>
      <c r="AX1616" s="7"/>
      <c r="AY1616" s="7"/>
      <c r="AZ1616" s="7"/>
      <c r="BA1616" s="7"/>
      <c r="BB1616" s="7"/>
      <c r="BC1616" s="7"/>
      <c r="BD1616" s="7"/>
      <c r="BE1616" s="7"/>
      <c r="BF1616" s="7"/>
      <c r="BG1616" s="7"/>
      <c r="BH1616" s="7"/>
      <c r="BI1616" s="7"/>
      <c r="BJ1616" s="7"/>
      <c r="BK1616" s="7"/>
      <c r="BL1616" s="7"/>
      <c r="BM1616" s="7"/>
      <c r="BN1616" s="7"/>
      <c r="BO1616" s="7"/>
      <c r="BP1616" s="7"/>
      <c r="BQ1616" s="7"/>
      <c r="BR1616" s="7"/>
      <c r="BS1616" s="7"/>
      <c r="BT1616" s="7"/>
      <c r="BU1616" s="7"/>
      <c r="BV1616" s="7"/>
      <c r="BW1616" s="7"/>
      <c r="BX1616" s="7"/>
      <c r="BY1616" s="7"/>
      <c r="BZ1616" s="7"/>
      <c r="CA1616" s="7"/>
      <c r="CB1616" s="7"/>
      <c r="CC1616" s="7"/>
      <c r="CD1616" s="7"/>
      <c r="CE1616" s="7"/>
      <c r="CF1616" s="7"/>
      <c r="CG1616" s="7"/>
    </row>
    <row r="1617" spans="3:85"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  <c r="AA1617" s="7"/>
      <c r="AB1617" s="7"/>
      <c r="AC1617" s="7"/>
      <c r="AD1617" s="7"/>
      <c r="AF1617" s="7"/>
      <c r="AG1617" s="7"/>
      <c r="AH1617" s="7"/>
      <c r="AI1617" s="7"/>
      <c r="AJ1617" s="7"/>
      <c r="AK1617" s="7"/>
      <c r="AL1617" s="7"/>
      <c r="AM1617" s="7"/>
      <c r="AN1617" s="7"/>
      <c r="AO1617" s="7"/>
      <c r="AP1617" s="7"/>
      <c r="AQ1617" s="7"/>
      <c r="AR1617" s="7"/>
      <c r="AS1617" s="7"/>
      <c r="AT1617" s="7"/>
      <c r="AU1617" s="7"/>
      <c r="AV1617" s="7"/>
      <c r="AW1617" s="7"/>
      <c r="AX1617" s="7"/>
      <c r="AY1617" s="7"/>
      <c r="AZ1617" s="7"/>
      <c r="BA1617" s="7"/>
      <c r="BB1617" s="7"/>
      <c r="BC1617" s="7"/>
      <c r="BD1617" s="7"/>
      <c r="BE1617" s="7"/>
      <c r="BF1617" s="7"/>
      <c r="BG1617" s="7"/>
      <c r="BH1617" s="7"/>
      <c r="BI1617" s="7"/>
      <c r="BJ1617" s="7"/>
      <c r="BK1617" s="7"/>
      <c r="BL1617" s="7"/>
      <c r="BM1617" s="7"/>
      <c r="BN1617" s="7"/>
      <c r="BO1617" s="7"/>
      <c r="BP1617" s="7"/>
      <c r="BQ1617" s="7"/>
      <c r="BR1617" s="7"/>
      <c r="BS1617" s="7"/>
      <c r="BT1617" s="7"/>
      <c r="BU1617" s="7"/>
      <c r="BV1617" s="7"/>
      <c r="BW1617" s="7"/>
      <c r="BX1617" s="7"/>
      <c r="BY1617" s="7"/>
      <c r="BZ1617" s="7"/>
      <c r="CA1617" s="7"/>
      <c r="CB1617" s="7"/>
      <c r="CC1617" s="7"/>
      <c r="CD1617" s="7"/>
      <c r="CE1617" s="7"/>
      <c r="CF1617" s="7"/>
      <c r="CG1617" s="7"/>
    </row>
    <row r="1618" spans="3:85"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  <c r="AA1618" s="7"/>
      <c r="AB1618" s="7"/>
      <c r="AC1618" s="7"/>
      <c r="AD1618" s="7"/>
      <c r="AF1618" s="7"/>
      <c r="AG1618" s="7"/>
      <c r="AH1618" s="7"/>
      <c r="AI1618" s="7"/>
      <c r="AJ1618" s="7"/>
      <c r="AK1618" s="7"/>
      <c r="AL1618" s="7"/>
      <c r="AM1618" s="7"/>
      <c r="AN1618" s="7"/>
      <c r="AO1618" s="7"/>
      <c r="AP1618" s="7"/>
      <c r="AQ1618" s="7"/>
      <c r="AR1618" s="7"/>
      <c r="AS1618" s="7"/>
      <c r="AT1618" s="7"/>
      <c r="AU1618" s="7"/>
      <c r="AV1618" s="7"/>
      <c r="AW1618" s="7"/>
      <c r="AX1618" s="7"/>
      <c r="AY1618" s="7"/>
      <c r="AZ1618" s="7"/>
      <c r="BA1618" s="7"/>
      <c r="BB1618" s="7"/>
      <c r="BC1618" s="7"/>
      <c r="BD1618" s="7"/>
      <c r="BE1618" s="7"/>
      <c r="BF1618" s="7"/>
      <c r="BG1618" s="7"/>
      <c r="BH1618" s="7"/>
      <c r="BI1618" s="7"/>
      <c r="BJ1618" s="7"/>
      <c r="BK1618" s="7"/>
      <c r="BL1618" s="7"/>
      <c r="BM1618" s="7"/>
      <c r="BN1618" s="7"/>
      <c r="BO1618" s="7"/>
      <c r="BP1618" s="7"/>
      <c r="BQ1618" s="7"/>
      <c r="BR1618" s="7"/>
      <c r="BS1618" s="7"/>
      <c r="BT1618" s="7"/>
      <c r="BU1618" s="7"/>
      <c r="BV1618" s="7"/>
      <c r="BW1618" s="7"/>
      <c r="BX1618" s="7"/>
      <c r="BY1618" s="7"/>
      <c r="BZ1618" s="7"/>
      <c r="CA1618" s="7"/>
      <c r="CB1618" s="7"/>
      <c r="CC1618" s="7"/>
      <c r="CD1618" s="7"/>
      <c r="CE1618" s="7"/>
      <c r="CF1618" s="7"/>
      <c r="CG1618" s="7"/>
    </row>
    <row r="1619" spans="3:85"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  <c r="AA1619" s="7"/>
      <c r="AB1619" s="7"/>
      <c r="AC1619" s="7"/>
      <c r="AD1619" s="7"/>
      <c r="AF1619" s="7"/>
      <c r="AG1619" s="7"/>
      <c r="AH1619" s="7"/>
      <c r="AI1619" s="7"/>
      <c r="AJ1619" s="7"/>
      <c r="AK1619" s="7"/>
      <c r="AL1619" s="7"/>
      <c r="AM1619" s="7"/>
      <c r="AN1619" s="7"/>
      <c r="AO1619" s="7"/>
      <c r="AP1619" s="7"/>
      <c r="AQ1619" s="7"/>
      <c r="AR1619" s="7"/>
      <c r="AS1619" s="7"/>
      <c r="AT1619" s="7"/>
      <c r="AU1619" s="7"/>
      <c r="AV1619" s="7"/>
      <c r="AW1619" s="7"/>
      <c r="AX1619" s="7"/>
      <c r="AY1619" s="7"/>
      <c r="AZ1619" s="7"/>
      <c r="BA1619" s="7"/>
      <c r="BB1619" s="7"/>
      <c r="BC1619" s="7"/>
      <c r="BD1619" s="7"/>
      <c r="BE1619" s="7"/>
      <c r="BF1619" s="7"/>
      <c r="BG1619" s="7"/>
      <c r="BH1619" s="7"/>
      <c r="BI1619" s="7"/>
      <c r="BJ1619" s="7"/>
      <c r="BK1619" s="7"/>
      <c r="BL1619" s="7"/>
      <c r="BM1619" s="7"/>
      <c r="BN1619" s="7"/>
      <c r="BO1619" s="7"/>
      <c r="BP1619" s="7"/>
      <c r="BQ1619" s="7"/>
      <c r="BR1619" s="7"/>
      <c r="BS1619" s="7"/>
      <c r="BT1619" s="7"/>
      <c r="BU1619" s="7"/>
      <c r="BV1619" s="7"/>
      <c r="BW1619" s="7"/>
      <c r="BX1619" s="7"/>
      <c r="BY1619" s="7"/>
      <c r="BZ1619" s="7"/>
      <c r="CA1619" s="7"/>
      <c r="CB1619" s="7"/>
      <c r="CC1619" s="7"/>
      <c r="CD1619" s="7"/>
      <c r="CE1619" s="7"/>
      <c r="CF1619" s="7"/>
      <c r="CG1619" s="7"/>
    </row>
    <row r="1620" spans="3:85"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  <c r="AA1620" s="7"/>
      <c r="AB1620" s="7"/>
      <c r="AC1620" s="7"/>
      <c r="AD1620" s="7"/>
      <c r="AF1620" s="7"/>
      <c r="AG1620" s="7"/>
      <c r="AH1620" s="7"/>
      <c r="AI1620" s="7"/>
      <c r="AJ1620" s="7"/>
      <c r="AK1620" s="7"/>
      <c r="AL1620" s="7"/>
      <c r="AM1620" s="7"/>
      <c r="AN1620" s="7"/>
      <c r="AO1620" s="7"/>
      <c r="AP1620" s="7"/>
      <c r="AQ1620" s="7"/>
      <c r="AR1620" s="7"/>
      <c r="AS1620" s="7"/>
      <c r="AT1620" s="7"/>
      <c r="AU1620" s="7"/>
      <c r="AV1620" s="7"/>
      <c r="AW1620" s="7"/>
      <c r="AX1620" s="7"/>
      <c r="AY1620" s="7"/>
      <c r="AZ1620" s="7"/>
      <c r="BA1620" s="7"/>
      <c r="BB1620" s="7"/>
      <c r="BC1620" s="7"/>
      <c r="BD1620" s="7"/>
      <c r="BE1620" s="7"/>
      <c r="BF1620" s="7"/>
      <c r="BG1620" s="7"/>
      <c r="BH1620" s="7"/>
      <c r="BI1620" s="7"/>
      <c r="BJ1620" s="7"/>
      <c r="BK1620" s="7"/>
      <c r="BL1620" s="7"/>
      <c r="BM1620" s="7"/>
      <c r="BN1620" s="7"/>
      <c r="BO1620" s="7"/>
      <c r="BP1620" s="7"/>
      <c r="BQ1620" s="7"/>
      <c r="BR1620" s="7"/>
      <c r="BS1620" s="7"/>
      <c r="BT1620" s="7"/>
      <c r="BU1620" s="7"/>
      <c r="BV1620" s="7"/>
      <c r="BW1620" s="7"/>
      <c r="BX1620" s="7"/>
      <c r="BY1620" s="7"/>
      <c r="BZ1620" s="7"/>
      <c r="CA1620" s="7"/>
      <c r="CB1620" s="7"/>
      <c r="CC1620" s="7"/>
      <c r="CD1620" s="7"/>
      <c r="CE1620" s="7"/>
      <c r="CF1620" s="7"/>
      <c r="CG1620" s="7"/>
    </row>
    <row r="1621" spans="3:85"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  <c r="AA1621" s="7"/>
      <c r="AB1621" s="7"/>
      <c r="AC1621" s="7"/>
      <c r="AD1621" s="7"/>
      <c r="AF1621" s="7"/>
      <c r="AG1621" s="7"/>
      <c r="AH1621" s="7"/>
      <c r="AI1621" s="7"/>
      <c r="AJ1621" s="7"/>
      <c r="AK1621" s="7"/>
      <c r="AL1621" s="7"/>
      <c r="AM1621" s="7"/>
      <c r="AN1621" s="7"/>
      <c r="AO1621" s="7"/>
      <c r="AP1621" s="7"/>
      <c r="AQ1621" s="7"/>
      <c r="AR1621" s="7"/>
      <c r="AS1621" s="7"/>
      <c r="AT1621" s="7"/>
      <c r="AU1621" s="7"/>
      <c r="AV1621" s="7"/>
      <c r="AW1621" s="7"/>
      <c r="AX1621" s="7"/>
      <c r="AY1621" s="7"/>
      <c r="AZ1621" s="7"/>
      <c r="BA1621" s="7"/>
      <c r="BB1621" s="7"/>
      <c r="BC1621" s="7"/>
      <c r="BD1621" s="7"/>
      <c r="BE1621" s="7"/>
      <c r="BF1621" s="7"/>
      <c r="BG1621" s="7"/>
      <c r="BH1621" s="7"/>
      <c r="BI1621" s="7"/>
      <c r="BJ1621" s="7"/>
      <c r="BK1621" s="7"/>
      <c r="BL1621" s="7"/>
      <c r="BM1621" s="7"/>
      <c r="BN1621" s="7"/>
      <c r="BO1621" s="7"/>
      <c r="BP1621" s="7"/>
      <c r="BQ1621" s="7"/>
      <c r="BR1621" s="7"/>
      <c r="BS1621" s="7"/>
      <c r="BT1621" s="7"/>
      <c r="BU1621" s="7"/>
      <c r="BV1621" s="7"/>
      <c r="BW1621" s="7"/>
      <c r="BX1621" s="7"/>
      <c r="BY1621" s="7"/>
      <c r="BZ1621" s="7"/>
      <c r="CA1621" s="7"/>
      <c r="CB1621" s="7"/>
      <c r="CC1621" s="7"/>
      <c r="CD1621" s="7"/>
      <c r="CE1621" s="7"/>
      <c r="CF1621" s="7"/>
      <c r="CG1621" s="7"/>
    </row>
    <row r="1622" spans="3:85"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  <c r="AA1622" s="7"/>
      <c r="AB1622" s="7"/>
      <c r="AC1622" s="7"/>
      <c r="AD1622" s="7"/>
      <c r="AF1622" s="7"/>
      <c r="AG1622" s="7"/>
      <c r="AH1622" s="7"/>
      <c r="AI1622" s="7"/>
      <c r="AJ1622" s="7"/>
      <c r="AK1622" s="7"/>
      <c r="AL1622" s="7"/>
      <c r="AM1622" s="7"/>
      <c r="AN1622" s="7"/>
      <c r="AO1622" s="7"/>
      <c r="AP1622" s="7"/>
      <c r="AQ1622" s="7"/>
      <c r="AR1622" s="7"/>
      <c r="AS1622" s="7"/>
      <c r="AT1622" s="7"/>
      <c r="AU1622" s="7"/>
      <c r="AV1622" s="7"/>
      <c r="AW1622" s="7"/>
      <c r="AX1622" s="7"/>
      <c r="AY1622" s="7"/>
      <c r="AZ1622" s="7"/>
      <c r="BA1622" s="7"/>
      <c r="BB1622" s="7"/>
      <c r="BC1622" s="7"/>
      <c r="BD1622" s="7"/>
      <c r="BE1622" s="7"/>
      <c r="BF1622" s="7"/>
      <c r="BG1622" s="7"/>
      <c r="BH1622" s="7"/>
      <c r="BI1622" s="7"/>
      <c r="BJ1622" s="7"/>
      <c r="BK1622" s="7"/>
      <c r="BL1622" s="7"/>
      <c r="BM1622" s="7"/>
      <c r="BN1622" s="7"/>
      <c r="BO1622" s="7"/>
      <c r="BP1622" s="7"/>
      <c r="BQ1622" s="7"/>
      <c r="BR1622" s="7"/>
      <c r="BS1622" s="7"/>
      <c r="BT1622" s="7"/>
      <c r="BU1622" s="7"/>
      <c r="BV1622" s="7"/>
      <c r="BW1622" s="7"/>
      <c r="BX1622" s="7"/>
      <c r="BY1622" s="7"/>
      <c r="BZ1622" s="7"/>
      <c r="CA1622" s="7"/>
      <c r="CB1622" s="7"/>
      <c r="CC1622" s="7"/>
      <c r="CD1622" s="7"/>
      <c r="CE1622" s="7"/>
      <c r="CF1622" s="7"/>
      <c r="CG1622" s="7"/>
    </row>
    <row r="1623" spans="3:85"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  <c r="AA1623" s="7"/>
      <c r="AB1623" s="7"/>
      <c r="AC1623" s="7"/>
      <c r="AD1623" s="7"/>
      <c r="AF1623" s="7"/>
      <c r="AG1623" s="7"/>
      <c r="AH1623" s="7"/>
      <c r="AI1623" s="7"/>
      <c r="AJ1623" s="7"/>
      <c r="AK1623" s="7"/>
      <c r="AL1623" s="7"/>
      <c r="AM1623" s="7"/>
      <c r="AN1623" s="7"/>
      <c r="AO1623" s="7"/>
      <c r="AP1623" s="7"/>
      <c r="AQ1623" s="7"/>
      <c r="AR1623" s="7"/>
      <c r="AS1623" s="7"/>
      <c r="AT1623" s="7"/>
      <c r="AU1623" s="7"/>
      <c r="AV1623" s="7"/>
      <c r="AW1623" s="7"/>
      <c r="AX1623" s="7"/>
      <c r="AY1623" s="7"/>
      <c r="AZ1623" s="7"/>
      <c r="BA1623" s="7"/>
      <c r="BB1623" s="7"/>
      <c r="BC1623" s="7"/>
      <c r="BD1623" s="7"/>
      <c r="BE1623" s="7"/>
      <c r="BF1623" s="7"/>
      <c r="BG1623" s="7"/>
      <c r="BH1623" s="7"/>
      <c r="BI1623" s="7"/>
      <c r="BJ1623" s="7"/>
      <c r="BK1623" s="7"/>
      <c r="BL1623" s="7"/>
      <c r="BM1623" s="7"/>
      <c r="BN1623" s="7"/>
      <c r="BO1623" s="7"/>
      <c r="BP1623" s="7"/>
      <c r="BQ1623" s="7"/>
      <c r="BR1623" s="7"/>
      <c r="BS1623" s="7"/>
      <c r="BT1623" s="7"/>
      <c r="BU1623" s="7"/>
      <c r="BV1623" s="7"/>
      <c r="BW1623" s="7"/>
      <c r="BX1623" s="7"/>
      <c r="BY1623" s="7"/>
      <c r="BZ1623" s="7"/>
      <c r="CA1623" s="7"/>
      <c r="CB1623" s="7"/>
      <c r="CC1623" s="7"/>
      <c r="CD1623" s="7"/>
      <c r="CE1623" s="7"/>
      <c r="CF1623" s="7"/>
      <c r="CG1623" s="7"/>
    </row>
    <row r="1624" spans="3:85"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  <c r="AA1624" s="7"/>
      <c r="AB1624" s="7"/>
      <c r="AC1624" s="7"/>
      <c r="AD1624" s="7"/>
      <c r="AF1624" s="7"/>
      <c r="AG1624" s="7"/>
      <c r="AH1624" s="7"/>
      <c r="AI1624" s="7"/>
      <c r="AJ1624" s="7"/>
      <c r="AK1624" s="7"/>
      <c r="AL1624" s="7"/>
      <c r="AM1624" s="7"/>
      <c r="AN1624" s="7"/>
      <c r="AO1624" s="7"/>
      <c r="AP1624" s="7"/>
      <c r="AQ1624" s="7"/>
      <c r="AR1624" s="7"/>
      <c r="AS1624" s="7"/>
      <c r="AT1624" s="7"/>
      <c r="AU1624" s="7"/>
      <c r="AV1624" s="7"/>
      <c r="AW1624" s="7"/>
      <c r="AX1624" s="7"/>
      <c r="AY1624" s="7"/>
      <c r="AZ1624" s="7"/>
      <c r="BA1624" s="7"/>
      <c r="BB1624" s="7"/>
      <c r="BC1624" s="7"/>
      <c r="BD1624" s="7"/>
      <c r="BE1624" s="7"/>
      <c r="BF1624" s="7"/>
      <c r="BG1624" s="7"/>
      <c r="BH1624" s="7"/>
      <c r="BI1624" s="7"/>
      <c r="BJ1624" s="7"/>
      <c r="BK1624" s="7"/>
      <c r="BL1624" s="7"/>
      <c r="BM1624" s="7"/>
      <c r="BN1624" s="7"/>
      <c r="BO1624" s="7"/>
      <c r="BP1624" s="7"/>
      <c r="BQ1624" s="7"/>
      <c r="BR1624" s="7"/>
      <c r="BS1624" s="7"/>
      <c r="BT1624" s="7"/>
      <c r="BU1624" s="7"/>
      <c r="BV1624" s="7"/>
      <c r="BW1624" s="7"/>
      <c r="BX1624" s="7"/>
      <c r="BY1624" s="7"/>
      <c r="BZ1624" s="7"/>
      <c r="CA1624" s="7"/>
      <c r="CB1624" s="7"/>
      <c r="CC1624" s="7"/>
      <c r="CD1624" s="7"/>
      <c r="CE1624" s="7"/>
      <c r="CF1624" s="7"/>
      <c r="CG1624" s="7"/>
    </row>
    <row r="1625" spans="3:85"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  <c r="AA1625" s="7"/>
      <c r="AB1625" s="7"/>
      <c r="AC1625" s="7"/>
      <c r="AD1625" s="7"/>
      <c r="AF1625" s="7"/>
      <c r="AG1625" s="7"/>
      <c r="AH1625" s="7"/>
      <c r="AI1625" s="7"/>
      <c r="AJ1625" s="7"/>
      <c r="AK1625" s="7"/>
      <c r="AL1625" s="7"/>
      <c r="AM1625" s="7"/>
      <c r="AN1625" s="7"/>
      <c r="AO1625" s="7"/>
      <c r="AP1625" s="7"/>
      <c r="AQ1625" s="7"/>
      <c r="AR1625" s="7"/>
      <c r="AS1625" s="7"/>
      <c r="AT1625" s="7"/>
      <c r="AU1625" s="7"/>
      <c r="AV1625" s="7"/>
      <c r="AW1625" s="7"/>
      <c r="AX1625" s="7"/>
      <c r="AY1625" s="7"/>
      <c r="AZ1625" s="7"/>
      <c r="BA1625" s="7"/>
      <c r="BB1625" s="7"/>
      <c r="BC1625" s="7"/>
      <c r="BD1625" s="7"/>
      <c r="BE1625" s="7"/>
      <c r="BF1625" s="7"/>
      <c r="BG1625" s="7"/>
      <c r="BH1625" s="7"/>
      <c r="BI1625" s="7"/>
      <c r="BJ1625" s="7"/>
      <c r="BK1625" s="7"/>
      <c r="BL1625" s="7"/>
      <c r="BM1625" s="7"/>
      <c r="BN1625" s="7"/>
      <c r="BO1625" s="7"/>
      <c r="BP1625" s="7"/>
      <c r="BQ1625" s="7"/>
      <c r="BR1625" s="7"/>
      <c r="BS1625" s="7"/>
      <c r="BT1625" s="7"/>
      <c r="BU1625" s="7"/>
      <c r="BV1625" s="7"/>
      <c r="BW1625" s="7"/>
      <c r="BX1625" s="7"/>
      <c r="BY1625" s="7"/>
      <c r="BZ1625" s="7"/>
      <c r="CA1625" s="7"/>
      <c r="CB1625" s="7"/>
      <c r="CC1625" s="7"/>
      <c r="CD1625" s="7"/>
      <c r="CE1625" s="7"/>
      <c r="CF1625" s="7"/>
      <c r="CG1625" s="7"/>
    </row>
    <row r="1626" spans="3:85"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  <c r="AA1626" s="7"/>
      <c r="AB1626" s="7"/>
      <c r="AC1626" s="7"/>
      <c r="AD1626" s="7"/>
      <c r="AF1626" s="7"/>
      <c r="AG1626" s="7"/>
      <c r="AH1626" s="7"/>
      <c r="AI1626" s="7"/>
      <c r="AJ1626" s="7"/>
      <c r="AK1626" s="7"/>
      <c r="AL1626" s="7"/>
      <c r="AM1626" s="7"/>
      <c r="AN1626" s="7"/>
      <c r="AO1626" s="7"/>
      <c r="AP1626" s="7"/>
      <c r="AQ1626" s="7"/>
      <c r="AR1626" s="7"/>
      <c r="AS1626" s="7"/>
      <c r="AT1626" s="7"/>
      <c r="AU1626" s="7"/>
      <c r="AV1626" s="7"/>
      <c r="AW1626" s="7"/>
      <c r="AX1626" s="7"/>
      <c r="AY1626" s="7"/>
      <c r="AZ1626" s="7"/>
      <c r="BA1626" s="7"/>
      <c r="BB1626" s="7"/>
      <c r="BC1626" s="7"/>
      <c r="BD1626" s="7"/>
      <c r="BE1626" s="7"/>
      <c r="BF1626" s="7"/>
      <c r="BG1626" s="7"/>
      <c r="BH1626" s="7"/>
      <c r="BI1626" s="7"/>
      <c r="BJ1626" s="7"/>
      <c r="BK1626" s="7"/>
      <c r="BL1626" s="7"/>
      <c r="BM1626" s="7"/>
      <c r="BN1626" s="7"/>
      <c r="BO1626" s="7"/>
      <c r="BP1626" s="7"/>
      <c r="BQ1626" s="7"/>
      <c r="BR1626" s="7"/>
      <c r="BS1626" s="7"/>
      <c r="BT1626" s="7"/>
      <c r="BU1626" s="7"/>
      <c r="BV1626" s="7"/>
      <c r="BW1626" s="7"/>
      <c r="BX1626" s="7"/>
      <c r="BY1626" s="7"/>
      <c r="BZ1626" s="7"/>
      <c r="CA1626" s="7"/>
      <c r="CB1626" s="7"/>
      <c r="CC1626" s="7"/>
      <c r="CD1626" s="7"/>
      <c r="CE1626" s="7"/>
      <c r="CF1626" s="7"/>
      <c r="CG1626" s="7"/>
    </row>
    <row r="1627" spans="3:85"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  <c r="AA1627" s="7"/>
      <c r="AB1627" s="7"/>
      <c r="AC1627" s="7"/>
      <c r="AD1627" s="7"/>
      <c r="AF1627" s="7"/>
      <c r="AG1627" s="7"/>
      <c r="AH1627" s="7"/>
      <c r="AI1627" s="7"/>
      <c r="AJ1627" s="7"/>
      <c r="AK1627" s="7"/>
      <c r="AL1627" s="7"/>
      <c r="AM1627" s="7"/>
      <c r="AN1627" s="7"/>
      <c r="AO1627" s="7"/>
      <c r="AP1627" s="7"/>
      <c r="AQ1627" s="7"/>
      <c r="AR1627" s="7"/>
      <c r="AS1627" s="7"/>
      <c r="AT1627" s="7"/>
      <c r="AU1627" s="7"/>
      <c r="AV1627" s="7"/>
      <c r="AW1627" s="7"/>
      <c r="AX1627" s="7"/>
      <c r="AY1627" s="7"/>
      <c r="AZ1627" s="7"/>
      <c r="BA1627" s="7"/>
      <c r="BB1627" s="7"/>
      <c r="BC1627" s="7"/>
      <c r="BD1627" s="7"/>
      <c r="BE1627" s="7"/>
      <c r="BF1627" s="7"/>
      <c r="BG1627" s="7"/>
      <c r="BH1627" s="7"/>
      <c r="BI1627" s="7"/>
      <c r="BJ1627" s="7"/>
      <c r="BK1627" s="7"/>
      <c r="BL1627" s="7"/>
      <c r="BM1627" s="7"/>
      <c r="BN1627" s="7"/>
      <c r="BO1627" s="7"/>
      <c r="BP1627" s="7"/>
      <c r="BQ1627" s="7"/>
      <c r="BR1627" s="7"/>
      <c r="BS1627" s="7"/>
      <c r="BT1627" s="7"/>
      <c r="BU1627" s="7"/>
      <c r="BV1627" s="7"/>
      <c r="BW1627" s="7"/>
      <c r="BX1627" s="7"/>
      <c r="BY1627" s="7"/>
      <c r="BZ1627" s="7"/>
      <c r="CA1627" s="7"/>
      <c r="CB1627" s="7"/>
      <c r="CC1627" s="7"/>
      <c r="CD1627" s="7"/>
      <c r="CE1627" s="7"/>
      <c r="CF1627" s="7"/>
      <c r="CG1627" s="7"/>
    </row>
    <row r="1628" spans="3:85"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  <c r="AA1628" s="7"/>
      <c r="AB1628" s="7"/>
      <c r="AC1628" s="7"/>
      <c r="AD1628" s="7"/>
      <c r="AF1628" s="7"/>
      <c r="AG1628" s="7"/>
      <c r="AH1628" s="7"/>
      <c r="AI1628" s="7"/>
      <c r="AJ1628" s="7"/>
      <c r="AK1628" s="7"/>
      <c r="AL1628" s="7"/>
      <c r="AM1628" s="7"/>
      <c r="AN1628" s="7"/>
      <c r="AO1628" s="7"/>
      <c r="AP1628" s="7"/>
      <c r="AQ1628" s="7"/>
      <c r="AR1628" s="7"/>
      <c r="AS1628" s="7"/>
      <c r="AT1628" s="7"/>
      <c r="AU1628" s="7"/>
      <c r="AV1628" s="7"/>
      <c r="AW1628" s="7"/>
      <c r="AX1628" s="7"/>
      <c r="AY1628" s="7"/>
      <c r="AZ1628" s="7"/>
      <c r="BA1628" s="7"/>
      <c r="BB1628" s="7"/>
      <c r="BC1628" s="7"/>
      <c r="BD1628" s="7"/>
      <c r="BE1628" s="7"/>
      <c r="BF1628" s="7"/>
      <c r="BG1628" s="7"/>
      <c r="BH1628" s="7"/>
      <c r="BI1628" s="7"/>
      <c r="BJ1628" s="7"/>
      <c r="BK1628" s="7"/>
      <c r="BL1628" s="7"/>
      <c r="BM1628" s="7"/>
      <c r="BN1628" s="7"/>
      <c r="BO1628" s="7"/>
      <c r="BP1628" s="7"/>
      <c r="BQ1628" s="7"/>
      <c r="BR1628" s="7"/>
      <c r="BS1628" s="7"/>
      <c r="BT1628" s="7"/>
      <c r="BU1628" s="7"/>
      <c r="BV1628" s="7"/>
      <c r="BW1628" s="7"/>
      <c r="BX1628" s="7"/>
      <c r="BY1628" s="7"/>
      <c r="BZ1628" s="7"/>
      <c r="CA1628" s="7"/>
      <c r="CB1628" s="7"/>
      <c r="CC1628" s="7"/>
      <c r="CD1628" s="7"/>
      <c r="CE1628" s="7"/>
      <c r="CF1628" s="7"/>
      <c r="CG1628" s="7"/>
    </row>
    <row r="1629" spans="3:85"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  <c r="AA1629" s="7"/>
      <c r="AB1629" s="7"/>
      <c r="AC1629" s="7"/>
      <c r="AD1629" s="7"/>
      <c r="AF1629" s="7"/>
      <c r="AG1629" s="7"/>
      <c r="AH1629" s="7"/>
      <c r="AI1629" s="7"/>
      <c r="AJ1629" s="7"/>
      <c r="AK1629" s="7"/>
      <c r="AL1629" s="7"/>
      <c r="AM1629" s="7"/>
      <c r="AN1629" s="7"/>
      <c r="AO1629" s="7"/>
      <c r="AP1629" s="7"/>
      <c r="AQ1629" s="7"/>
      <c r="AR1629" s="7"/>
      <c r="AS1629" s="7"/>
      <c r="AT1629" s="7"/>
      <c r="AU1629" s="7"/>
      <c r="AV1629" s="7"/>
      <c r="AW1629" s="7"/>
      <c r="AX1629" s="7"/>
      <c r="AY1629" s="7"/>
      <c r="AZ1629" s="7"/>
      <c r="BA1629" s="7"/>
      <c r="BB1629" s="7"/>
      <c r="BC1629" s="7"/>
      <c r="BD1629" s="7"/>
      <c r="BE1629" s="7"/>
      <c r="BF1629" s="7"/>
      <c r="BG1629" s="7"/>
      <c r="BH1629" s="7"/>
      <c r="BI1629" s="7"/>
      <c r="BJ1629" s="7"/>
      <c r="BK1629" s="7"/>
      <c r="BL1629" s="7"/>
      <c r="BM1629" s="7"/>
      <c r="BN1629" s="7"/>
      <c r="BO1629" s="7"/>
      <c r="BP1629" s="7"/>
      <c r="BQ1629" s="7"/>
      <c r="BR1629" s="7"/>
      <c r="BS1629" s="7"/>
      <c r="BT1629" s="7"/>
      <c r="BU1629" s="7"/>
      <c r="BV1629" s="7"/>
      <c r="BW1629" s="7"/>
      <c r="BX1629" s="7"/>
      <c r="BY1629" s="7"/>
      <c r="BZ1629" s="7"/>
      <c r="CA1629" s="7"/>
      <c r="CB1629" s="7"/>
      <c r="CC1629" s="7"/>
      <c r="CD1629" s="7"/>
      <c r="CE1629" s="7"/>
      <c r="CF1629" s="7"/>
      <c r="CG1629" s="7"/>
    </row>
    <row r="1630" spans="3:85"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  <c r="AA1630" s="7"/>
      <c r="AB1630" s="7"/>
      <c r="AC1630" s="7"/>
      <c r="AD1630" s="7"/>
      <c r="AF1630" s="7"/>
      <c r="AG1630" s="7"/>
      <c r="AH1630" s="7"/>
      <c r="AI1630" s="7"/>
      <c r="AJ1630" s="7"/>
      <c r="AK1630" s="7"/>
      <c r="AL1630" s="7"/>
      <c r="AM1630" s="7"/>
      <c r="AN1630" s="7"/>
      <c r="AO1630" s="7"/>
      <c r="AP1630" s="7"/>
      <c r="AQ1630" s="7"/>
      <c r="AR1630" s="7"/>
      <c r="AS1630" s="7"/>
      <c r="AT1630" s="7"/>
      <c r="AU1630" s="7"/>
      <c r="AV1630" s="7"/>
      <c r="AW1630" s="7"/>
      <c r="AX1630" s="7"/>
      <c r="AY1630" s="7"/>
      <c r="AZ1630" s="7"/>
      <c r="BA1630" s="7"/>
      <c r="BB1630" s="7"/>
      <c r="BC1630" s="7"/>
      <c r="BD1630" s="7"/>
      <c r="BE1630" s="7"/>
      <c r="BF1630" s="7"/>
      <c r="BG1630" s="7"/>
      <c r="BH1630" s="7"/>
      <c r="BI1630" s="7"/>
      <c r="BJ1630" s="7"/>
      <c r="BK1630" s="7"/>
      <c r="BL1630" s="7"/>
      <c r="BM1630" s="7"/>
      <c r="BN1630" s="7"/>
      <c r="BO1630" s="7"/>
      <c r="BP1630" s="7"/>
      <c r="BQ1630" s="7"/>
      <c r="BR1630" s="7"/>
      <c r="BS1630" s="7"/>
      <c r="BT1630" s="7"/>
      <c r="BU1630" s="7"/>
      <c r="BV1630" s="7"/>
      <c r="BW1630" s="7"/>
      <c r="BX1630" s="7"/>
      <c r="BY1630" s="7"/>
      <c r="BZ1630" s="7"/>
      <c r="CA1630" s="7"/>
      <c r="CB1630" s="7"/>
      <c r="CC1630" s="7"/>
      <c r="CD1630" s="7"/>
      <c r="CE1630" s="7"/>
      <c r="CF1630" s="7"/>
      <c r="CG1630" s="7"/>
    </row>
    <row r="1631" spans="3:85"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  <c r="AA1631" s="7"/>
      <c r="AB1631" s="7"/>
      <c r="AC1631" s="7"/>
      <c r="AD1631" s="7"/>
      <c r="AF1631" s="7"/>
      <c r="AG1631" s="7"/>
      <c r="AH1631" s="7"/>
      <c r="AI1631" s="7"/>
      <c r="AJ1631" s="7"/>
      <c r="AK1631" s="7"/>
      <c r="AL1631" s="7"/>
      <c r="AM1631" s="7"/>
      <c r="AN1631" s="7"/>
      <c r="AO1631" s="7"/>
      <c r="AP1631" s="7"/>
      <c r="AQ1631" s="7"/>
      <c r="AR1631" s="7"/>
      <c r="AS1631" s="7"/>
      <c r="AT1631" s="7"/>
      <c r="AU1631" s="7"/>
      <c r="AV1631" s="7"/>
      <c r="AW1631" s="7"/>
      <c r="AX1631" s="7"/>
      <c r="AY1631" s="7"/>
      <c r="AZ1631" s="7"/>
      <c r="BA1631" s="7"/>
      <c r="BB1631" s="7"/>
      <c r="BC1631" s="7"/>
      <c r="BD1631" s="7"/>
      <c r="BE1631" s="7"/>
      <c r="BF1631" s="7"/>
      <c r="BG1631" s="7"/>
      <c r="BH1631" s="7"/>
      <c r="BI1631" s="7"/>
      <c r="BJ1631" s="7"/>
      <c r="BK1631" s="7"/>
      <c r="BL1631" s="7"/>
      <c r="BM1631" s="7"/>
      <c r="BN1631" s="7"/>
      <c r="BO1631" s="7"/>
      <c r="BP1631" s="7"/>
      <c r="BQ1631" s="7"/>
      <c r="BR1631" s="7"/>
      <c r="BS1631" s="7"/>
      <c r="BT1631" s="7"/>
      <c r="BU1631" s="7"/>
      <c r="BV1631" s="7"/>
      <c r="BW1631" s="7"/>
      <c r="BX1631" s="7"/>
      <c r="BY1631" s="7"/>
      <c r="BZ1631" s="7"/>
      <c r="CA1631" s="7"/>
      <c r="CB1631" s="7"/>
      <c r="CC1631" s="7"/>
      <c r="CD1631" s="7"/>
      <c r="CE1631" s="7"/>
      <c r="CF1631" s="7"/>
      <c r="CG1631" s="7"/>
    </row>
    <row r="1632" spans="3:85"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  <c r="AA1632" s="7"/>
      <c r="AB1632" s="7"/>
      <c r="AC1632" s="7"/>
      <c r="AD1632" s="7"/>
      <c r="AF1632" s="7"/>
      <c r="AG1632" s="7"/>
      <c r="AH1632" s="7"/>
      <c r="AI1632" s="7"/>
      <c r="AJ1632" s="7"/>
      <c r="AK1632" s="7"/>
      <c r="AL1632" s="7"/>
      <c r="AM1632" s="7"/>
      <c r="AN1632" s="7"/>
      <c r="AO1632" s="7"/>
      <c r="AP1632" s="7"/>
      <c r="AQ1632" s="7"/>
      <c r="AR1632" s="7"/>
      <c r="AS1632" s="7"/>
      <c r="AT1632" s="7"/>
      <c r="AU1632" s="7"/>
      <c r="AV1632" s="7"/>
      <c r="AW1632" s="7"/>
      <c r="AX1632" s="7"/>
      <c r="AY1632" s="7"/>
      <c r="AZ1632" s="7"/>
      <c r="BA1632" s="7"/>
      <c r="BB1632" s="7"/>
      <c r="BC1632" s="7"/>
      <c r="BD1632" s="7"/>
      <c r="BE1632" s="7"/>
      <c r="BF1632" s="7"/>
      <c r="BG1632" s="7"/>
      <c r="BH1632" s="7"/>
      <c r="BI1632" s="7"/>
      <c r="BJ1632" s="7"/>
      <c r="BK1632" s="7"/>
      <c r="BL1632" s="7"/>
      <c r="BM1632" s="7"/>
      <c r="BN1632" s="7"/>
      <c r="BO1632" s="7"/>
      <c r="BP1632" s="7"/>
      <c r="BQ1632" s="7"/>
      <c r="BR1632" s="7"/>
      <c r="BS1632" s="7"/>
      <c r="BT1632" s="7"/>
      <c r="BU1632" s="7"/>
      <c r="BV1632" s="7"/>
      <c r="BW1632" s="7"/>
      <c r="BX1632" s="7"/>
      <c r="BY1632" s="7"/>
      <c r="BZ1632" s="7"/>
      <c r="CA1632" s="7"/>
      <c r="CB1632" s="7"/>
      <c r="CC1632" s="7"/>
      <c r="CD1632" s="7"/>
      <c r="CE1632" s="7"/>
      <c r="CF1632" s="7"/>
      <c r="CG1632" s="7"/>
    </row>
    <row r="1633" spans="3:85"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  <c r="AA1633" s="7"/>
      <c r="AB1633" s="7"/>
      <c r="AC1633" s="7"/>
      <c r="AD1633" s="7"/>
      <c r="AF1633" s="7"/>
      <c r="AG1633" s="7"/>
      <c r="AH1633" s="7"/>
      <c r="AI1633" s="7"/>
      <c r="AJ1633" s="7"/>
      <c r="AK1633" s="7"/>
      <c r="AL1633" s="7"/>
      <c r="AM1633" s="7"/>
      <c r="AN1633" s="7"/>
      <c r="AO1633" s="7"/>
      <c r="AP1633" s="7"/>
      <c r="AQ1633" s="7"/>
      <c r="AR1633" s="7"/>
      <c r="AS1633" s="7"/>
      <c r="AT1633" s="7"/>
      <c r="AU1633" s="7"/>
      <c r="AV1633" s="7"/>
      <c r="AW1633" s="7"/>
      <c r="AX1633" s="7"/>
      <c r="AY1633" s="7"/>
      <c r="AZ1633" s="7"/>
      <c r="BA1633" s="7"/>
      <c r="BB1633" s="7"/>
      <c r="BC1633" s="7"/>
      <c r="BD1633" s="7"/>
      <c r="BE1633" s="7"/>
      <c r="BF1633" s="7"/>
      <c r="BG1633" s="7"/>
      <c r="BH1633" s="7"/>
      <c r="BI1633" s="7"/>
      <c r="BJ1633" s="7"/>
      <c r="BK1633" s="7"/>
      <c r="BL1633" s="7"/>
      <c r="BM1633" s="7"/>
      <c r="BN1633" s="7"/>
      <c r="BO1633" s="7"/>
      <c r="BP1633" s="7"/>
      <c r="BQ1633" s="7"/>
      <c r="BR1633" s="7"/>
      <c r="BS1633" s="7"/>
      <c r="BT1633" s="7"/>
      <c r="BU1633" s="7"/>
      <c r="BV1633" s="7"/>
      <c r="BW1633" s="7"/>
      <c r="BX1633" s="7"/>
      <c r="BY1633" s="7"/>
      <c r="BZ1633" s="7"/>
      <c r="CA1633" s="7"/>
      <c r="CB1633" s="7"/>
      <c r="CC1633" s="7"/>
      <c r="CD1633" s="7"/>
      <c r="CE1633" s="7"/>
      <c r="CF1633" s="7"/>
      <c r="CG1633" s="7"/>
    </row>
    <row r="1634" spans="3:85"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  <c r="AA1634" s="7"/>
      <c r="AB1634" s="7"/>
      <c r="AC1634" s="7"/>
      <c r="AD1634" s="7"/>
      <c r="AF1634" s="7"/>
      <c r="AG1634" s="7"/>
      <c r="AH1634" s="7"/>
      <c r="AI1634" s="7"/>
      <c r="AJ1634" s="7"/>
      <c r="AK1634" s="7"/>
      <c r="AL1634" s="7"/>
      <c r="AM1634" s="7"/>
      <c r="AN1634" s="7"/>
      <c r="AO1634" s="7"/>
      <c r="AP1634" s="7"/>
      <c r="AQ1634" s="7"/>
      <c r="AR1634" s="7"/>
      <c r="AS1634" s="7"/>
      <c r="AT1634" s="7"/>
      <c r="AU1634" s="7"/>
      <c r="AV1634" s="7"/>
      <c r="AW1634" s="7"/>
      <c r="AX1634" s="7"/>
      <c r="AY1634" s="7"/>
      <c r="AZ1634" s="7"/>
      <c r="BA1634" s="7"/>
      <c r="BB1634" s="7"/>
      <c r="BC1634" s="7"/>
      <c r="BD1634" s="7"/>
      <c r="BE1634" s="7"/>
      <c r="BF1634" s="7"/>
      <c r="BG1634" s="7"/>
      <c r="BH1634" s="7"/>
      <c r="BI1634" s="7"/>
      <c r="BJ1634" s="7"/>
      <c r="BK1634" s="7"/>
      <c r="BL1634" s="7"/>
      <c r="BM1634" s="7"/>
      <c r="BN1634" s="7"/>
      <c r="BO1634" s="7"/>
      <c r="BP1634" s="7"/>
      <c r="BQ1634" s="7"/>
      <c r="BR1634" s="7"/>
      <c r="BS1634" s="7"/>
      <c r="BT1634" s="7"/>
      <c r="BU1634" s="7"/>
      <c r="BV1634" s="7"/>
      <c r="BW1634" s="7"/>
      <c r="BX1634" s="7"/>
      <c r="BY1634" s="7"/>
      <c r="BZ1634" s="7"/>
      <c r="CA1634" s="7"/>
      <c r="CB1634" s="7"/>
      <c r="CC1634" s="7"/>
      <c r="CD1634" s="7"/>
      <c r="CE1634" s="7"/>
      <c r="CF1634" s="7"/>
      <c r="CG1634" s="7"/>
    </row>
    <row r="1635" spans="3:85"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  <c r="AA1635" s="7"/>
      <c r="AB1635" s="7"/>
      <c r="AC1635" s="7"/>
      <c r="AD1635" s="7"/>
      <c r="AF1635" s="7"/>
      <c r="AG1635" s="7"/>
      <c r="AH1635" s="7"/>
      <c r="AI1635" s="7"/>
      <c r="AJ1635" s="7"/>
      <c r="AK1635" s="7"/>
      <c r="AL1635" s="7"/>
      <c r="AM1635" s="7"/>
      <c r="AN1635" s="7"/>
      <c r="AO1635" s="7"/>
      <c r="AP1635" s="7"/>
      <c r="AQ1635" s="7"/>
      <c r="AR1635" s="7"/>
      <c r="AS1635" s="7"/>
      <c r="AT1635" s="7"/>
      <c r="AU1635" s="7"/>
      <c r="AV1635" s="7"/>
      <c r="AW1635" s="7"/>
      <c r="AX1635" s="7"/>
      <c r="AY1635" s="7"/>
      <c r="AZ1635" s="7"/>
      <c r="BA1635" s="7"/>
      <c r="BB1635" s="7"/>
      <c r="BC1635" s="7"/>
      <c r="BD1635" s="7"/>
      <c r="BE1635" s="7"/>
      <c r="BF1635" s="7"/>
      <c r="BG1635" s="7"/>
      <c r="BH1635" s="7"/>
      <c r="BI1635" s="7"/>
      <c r="BJ1635" s="7"/>
      <c r="BK1635" s="7"/>
      <c r="BL1635" s="7"/>
      <c r="BM1635" s="7"/>
      <c r="BN1635" s="7"/>
      <c r="BO1635" s="7"/>
      <c r="BP1635" s="7"/>
      <c r="BQ1635" s="7"/>
      <c r="BR1635" s="7"/>
      <c r="BS1635" s="7"/>
      <c r="BT1635" s="7"/>
      <c r="BU1635" s="7"/>
      <c r="BV1635" s="7"/>
      <c r="BW1635" s="7"/>
      <c r="BX1635" s="7"/>
      <c r="BY1635" s="7"/>
      <c r="BZ1635" s="7"/>
      <c r="CA1635" s="7"/>
      <c r="CB1635" s="7"/>
      <c r="CC1635" s="7"/>
      <c r="CD1635" s="7"/>
      <c r="CE1635" s="7"/>
      <c r="CF1635" s="7"/>
      <c r="CG1635" s="7"/>
    </row>
    <row r="1636" spans="3:85"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  <c r="AA1636" s="7"/>
      <c r="AB1636" s="7"/>
      <c r="AC1636" s="7"/>
      <c r="AD1636" s="7"/>
      <c r="AF1636" s="7"/>
      <c r="AG1636" s="7"/>
      <c r="AH1636" s="7"/>
      <c r="AI1636" s="7"/>
      <c r="AJ1636" s="7"/>
      <c r="AK1636" s="7"/>
      <c r="AL1636" s="7"/>
      <c r="AM1636" s="7"/>
      <c r="AN1636" s="7"/>
      <c r="AO1636" s="7"/>
      <c r="AP1636" s="7"/>
      <c r="AQ1636" s="7"/>
      <c r="AR1636" s="7"/>
      <c r="AS1636" s="7"/>
      <c r="AT1636" s="7"/>
      <c r="AU1636" s="7"/>
      <c r="AV1636" s="7"/>
      <c r="AW1636" s="7"/>
      <c r="AX1636" s="7"/>
      <c r="AY1636" s="7"/>
      <c r="AZ1636" s="7"/>
      <c r="BA1636" s="7"/>
      <c r="BB1636" s="7"/>
      <c r="BC1636" s="7"/>
      <c r="BD1636" s="7"/>
      <c r="BE1636" s="7"/>
      <c r="BF1636" s="7"/>
      <c r="BG1636" s="7"/>
      <c r="BH1636" s="7"/>
      <c r="BI1636" s="7"/>
      <c r="BJ1636" s="7"/>
      <c r="BK1636" s="7"/>
      <c r="BL1636" s="7"/>
      <c r="BM1636" s="7"/>
      <c r="BN1636" s="7"/>
      <c r="BO1636" s="7"/>
      <c r="BP1636" s="7"/>
      <c r="BQ1636" s="7"/>
      <c r="BR1636" s="7"/>
      <c r="BS1636" s="7"/>
      <c r="BT1636" s="7"/>
      <c r="BU1636" s="7"/>
      <c r="BV1636" s="7"/>
      <c r="BW1636" s="7"/>
      <c r="BX1636" s="7"/>
      <c r="BY1636" s="7"/>
      <c r="BZ1636" s="7"/>
      <c r="CA1636" s="7"/>
      <c r="CB1636" s="7"/>
      <c r="CC1636" s="7"/>
      <c r="CD1636" s="7"/>
      <c r="CE1636" s="7"/>
      <c r="CF1636" s="7"/>
      <c r="CG1636" s="7"/>
    </row>
    <row r="1637" spans="3:85"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  <c r="AA1637" s="7"/>
      <c r="AB1637" s="7"/>
      <c r="AC1637" s="7"/>
      <c r="AD1637" s="7"/>
      <c r="AF1637" s="7"/>
      <c r="AG1637" s="7"/>
      <c r="AH1637" s="7"/>
      <c r="AI1637" s="7"/>
      <c r="AJ1637" s="7"/>
      <c r="AK1637" s="7"/>
      <c r="AL1637" s="7"/>
      <c r="AM1637" s="7"/>
      <c r="AN1637" s="7"/>
      <c r="AO1637" s="7"/>
      <c r="AP1637" s="7"/>
      <c r="AQ1637" s="7"/>
      <c r="AR1637" s="7"/>
      <c r="AS1637" s="7"/>
      <c r="AT1637" s="7"/>
      <c r="AU1637" s="7"/>
      <c r="AV1637" s="7"/>
      <c r="AW1637" s="7"/>
      <c r="AX1637" s="7"/>
      <c r="AY1637" s="7"/>
      <c r="AZ1637" s="7"/>
      <c r="BA1637" s="7"/>
      <c r="BB1637" s="7"/>
      <c r="BC1637" s="7"/>
      <c r="BD1637" s="7"/>
      <c r="BE1637" s="7"/>
      <c r="BF1637" s="7"/>
      <c r="BG1637" s="7"/>
      <c r="BH1637" s="7"/>
      <c r="BI1637" s="7"/>
      <c r="BJ1637" s="7"/>
      <c r="BK1637" s="7"/>
      <c r="BL1637" s="7"/>
      <c r="BM1637" s="7"/>
      <c r="BN1637" s="7"/>
      <c r="BO1637" s="7"/>
      <c r="BP1637" s="7"/>
      <c r="BQ1637" s="7"/>
      <c r="BR1637" s="7"/>
      <c r="BS1637" s="7"/>
      <c r="BT1637" s="7"/>
      <c r="BU1637" s="7"/>
      <c r="BV1637" s="7"/>
      <c r="BW1637" s="7"/>
      <c r="BX1637" s="7"/>
      <c r="BY1637" s="7"/>
      <c r="BZ1637" s="7"/>
      <c r="CA1637" s="7"/>
      <c r="CB1637" s="7"/>
      <c r="CC1637" s="7"/>
      <c r="CD1637" s="7"/>
      <c r="CE1637" s="7"/>
      <c r="CF1637" s="7"/>
      <c r="CG1637" s="7"/>
    </row>
    <row r="1638" spans="3:85"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  <c r="AA1638" s="7"/>
      <c r="AB1638" s="7"/>
      <c r="AC1638" s="7"/>
      <c r="AD1638" s="7"/>
      <c r="AF1638" s="7"/>
      <c r="AG1638" s="7"/>
      <c r="AH1638" s="7"/>
      <c r="AI1638" s="7"/>
      <c r="AJ1638" s="7"/>
      <c r="AK1638" s="7"/>
      <c r="AL1638" s="7"/>
      <c r="AM1638" s="7"/>
      <c r="AN1638" s="7"/>
      <c r="AO1638" s="7"/>
      <c r="AP1638" s="7"/>
      <c r="AQ1638" s="7"/>
      <c r="AR1638" s="7"/>
      <c r="AS1638" s="7"/>
      <c r="AT1638" s="7"/>
      <c r="AU1638" s="7"/>
      <c r="AV1638" s="7"/>
      <c r="AW1638" s="7"/>
      <c r="AX1638" s="7"/>
      <c r="AY1638" s="7"/>
      <c r="AZ1638" s="7"/>
      <c r="BA1638" s="7"/>
      <c r="BB1638" s="7"/>
      <c r="BC1638" s="7"/>
      <c r="BD1638" s="7"/>
      <c r="BE1638" s="7"/>
      <c r="BF1638" s="7"/>
      <c r="BG1638" s="7"/>
      <c r="BH1638" s="7"/>
      <c r="BI1638" s="7"/>
      <c r="BJ1638" s="7"/>
      <c r="BK1638" s="7"/>
      <c r="BL1638" s="7"/>
      <c r="BM1638" s="7"/>
      <c r="BN1638" s="7"/>
      <c r="BO1638" s="7"/>
      <c r="BP1638" s="7"/>
      <c r="BQ1638" s="7"/>
      <c r="BR1638" s="7"/>
      <c r="BS1638" s="7"/>
      <c r="BT1638" s="7"/>
      <c r="BU1638" s="7"/>
      <c r="BV1638" s="7"/>
      <c r="BW1638" s="7"/>
      <c r="BX1638" s="7"/>
      <c r="BY1638" s="7"/>
      <c r="BZ1638" s="7"/>
      <c r="CA1638" s="7"/>
      <c r="CB1638" s="7"/>
      <c r="CC1638" s="7"/>
      <c r="CD1638" s="7"/>
      <c r="CE1638" s="7"/>
      <c r="CF1638" s="7"/>
      <c r="CG1638" s="7"/>
    </row>
    <row r="1639" spans="3:85"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  <c r="AA1639" s="7"/>
      <c r="AB1639" s="7"/>
      <c r="AC1639" s="7"/>
      <c r="AD1639" s="7"/>
      <c r="AF1639" s="7"/>
      <c r="AG1639" s="7"/>
      <c r="AH1639" s="7"/>
      <c r="AI1639" s="7"/>
      <c r="AJ1639" s="7"/>
      <c r="AK1639" s="7"/>
      <c r="AL1639" s="7"/>
      <c r="AM1639" s="7"/>
      <c r="AN1639" s="7"/>
      <c r="AO1639" s="7"/>
      <c r="AP1639" s="7"/>
      <c r="AQ1639" s="7"/>
      <c r="AR1639" s="7"/>
      <c r="AS1639" s="7"/>
      <c r="AT1639" s="7"/>
      <c r="AU1639" s="7"/>
      <c r="AV1639" s="7"/>
      <c r="AW1639" s="7"/>
      <c r="AX1639" s="7"/>
      <c r="AY1639" s="7"/>
      <c r="AZ1639" s="7"/>
      <c r="BA1639" s="7"/>
      <c r="BB1639" s="7"/>
      <c r="BC1639" s="7"/>
      <c r="BD1639" s="7"/>
      <c r="BE1639" s="7"/>
      <c r="BF1639" s="7"/>
      <c r="BG1639" s="7"/>
      <c r="BH1639" s="7"/>
      <c r="BI1639" s="7"/>
      <c r="BJ1639" s="7"/>
      <c r="BK1639" s="7"/>
      <c r="BL1639" s="7"/>
      <c r="BM1639" s="7"/>
      <c r="BN1639" s="7"/>
      <c r="BO1639" s="7"/>
      <c r="BP1639" s="7"/>
      <c r="BQ1639" s="7"/>
      <c r="BR1639" s="7"/>
      <c r="BS1639" s="7"/>
      <c r="BT1639" s="7"/>
      <c r="BU1639" s="7"/>
      <c r="BV1639" s="7"/>
      <c r="BW1639" s="7"/>
      <c r="BX1639" s="7"/>
      <c r="BY1639" s="7"/>
      <c r="BZ1639" s="7"/>
      <c r="CA1639" s="7"/>
      <c r="CB1639" s="7"/>
      <c r="CC1639" s="7"/>
      <c r="CD1639" s="7"/>
      <c r="CE1639" s="7"/>
      <c r="CF1639" s="7"/>
      <c r="CG1639" s="7"/>
    </row>
    <row r="1640" spans="3:85"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  <c r="AA1640" s="7"/>
      <c r="AB1640" s="7"/>
      <c r="AC1640" s="7"/>
      <c r="AD1640" s="7"/>
      <c r="AF1640" s="7"/>
      <c r="AG1640" s="7"/>
      <c r="AH1640" s="7"/>
      <c r="AI1640" s="7"/>
      <c r="AJ1640" s="7"/>
      <c r="AK1640" s="7"/>
      <c r="AL1640" s="7"/>
      <c r="AM1640" s="7"/>
      <c r="AN1640" s="7"/>
      <c r="AO1640" s="7"/>
      <c r="AP1640" s="7"/>
      <c r="AQ1640" s="7"/>
      <c r="AR1640" s="7"/>
      <c r="AS1640" s="7"/>
      <c r="AT1640" s="7"/>
      <c r="AU1640" s="7"/>
      <c r="AV1640" s="7"/>
      <c r="AW1640" s="7"/>
      <c r="AX1640" s="7"/>
      <c r="AY1640" s="7"/>
      <c r="AZ1640" s="7"/>
      <c r="BA1640" s="7"/>
      <c r="BB1640" s="7"/>
      <c r="BC1640" s="7"/>
      <c r="BD1640" s="7"/>
      <c r="BE1640" s="7"/>
      <c r="BF1640" s="7"/>
      <c r="BG1640" s="7"/>
      <c r="BH1640" s="7"/>
      <c r="BI1640" s="7"/>
      <c r="BJ1640" s="7"/>
      <c r="BK1640" s="7"/>
      <c r="BL1640" s="7"/>
      <c r="BM1640" s="7"/>
      <c r="BN1640" s="7"/>
      <c r="BO1640" s="7"/>
      <c r="BP1640" s="7"/>
      <c r="BQ1640" s="7"/>
      <c r="BR1640" s="7"/>
      <c r="BS1640" s="7"/>
      <c r="BT1640" s="7"/>
      <c r="BU1640" s="7"/>
      <c r="BV1640" s="7"/>
      <c r="BW1640" s="7"/>
      <c r="BX1640" s="7"/>
      <c r="BY1640" s="7"/>
      <c r="BZ1640" s="7"/>
      <c r="CA1640" s="7"/>
      <c r="CB1640" s="7"/>
      <c r="CC1640" s="7"/>
      <c r="CD1640" s="7"/>
      <c r="CE1640" s="7"/>
      <c r="CF1640" s="7"/>
      <c r="CG1640" s="7"/>
    </row>
    <row r="1641" spans="3:85"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  <c r="AA1641" s="7"/>
      <c r="AB1641" s="7"/>
      <c r="AC1641" s="7"/>
      <c r="AD1641" s="7"/>
      <c r="AF1641" s="7"/>
      <c r="AG1641" s="7"/>
      <c r="AH1641" s="7"/>
      <c r="AI1641" s="7"/>
      <c r="AJ1641" s="7"/>
      <c r="AK1641" s="7"/>
      <c r="AL1641" s="7"/>
      <c r="AM1641" s="7"/>
      <c r="AN1641" s="7"/>
      <c r="AO1641" s="7"/>
      <c r="AP1641" s="7"/>
      <c r="AQ1641" s="7"/>
      <c r="AR1641" s="7"/>
      <c r="AS1641" s="7"/>
      <c r="AT1641" s="7"/>
      <c r="AU1641" s="7"/>
      <c r="AV1641" s="7"/>
      <c r="AW1641" s="7"/>
      <c r="AX1641" s="7"/>
      <c r="AY1641" s="7"/>
      <c r="AZ1641" s="7"/>
      <c r="BA1641" s="7"/>
      <c r="BB1641" s="7"/>
      <c r="BC1641" s="7"/>
      <c r="BD1641" s="7"/>
      <c r="BE1641" s="7"/>
      <c r="BF1641" s="7"/>
      <c r="BG1641" s="7"/>
      <c r="BH1641" s="7"/>
      <c r="BI1641" s="7"/>
      <c r="BJ1641" s="7"/>
      <c r="BK1641" s="7"/>
      <c r="BL1641" s="7"/>
      <c r="BM1641" s="7"/>
      <c r="BN1641" s="7"/>
      <c r="BO1641" s="7"/>
      <c r="BP1641" s="7"/>
      <c r="BQ1641" s="7"/>
      <c r="BR1641" s="7"/>
      <c r="BS1641" s="7"/>
      <c r="BT1641" s="7"/>
      <c r="BU1641" s="7"/>
      <c r="BV1641" s="7"/>
      <c r="BW1641" s="7"/>
      <c r="BX1641" s="7"/>
      <c r="BY1641" s="7"/>
      <c r="BZ1641" s="7"/>
      <c r="CA1641" s="7"/>
      <c r="CB1641" s="7"/>
      <c r="CC1641" s="7"/>
      <c r="CD1641" s="7"/>
      <c r="CE1641" s="7"/>
      <c r="CF1641" s="7"/>
      <c r="CG1641" s="7"/>
    </row>
    <row r="1642" spans="3:85"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  <c r="AA1642" s="7"/>
      <c r="AB1642" s="7"/>
      <c r="AC1642" s="7"/>
      <c r="AD1642" s="7"/>
      <c r="AF1642" s="7"/>
      <c r="AG1642" s="7"/>
      <c r="AH1642" s="7"/>
      <c r="AI1642" s="7"/>
      <c r="AJ1642" s="7"/>
      <c r="AK1642" s="7"/>
      <c r="AL1642" s="7"/>
      <c r="AM1642" s="7"/>
      <c r="AN1642" s="7"/>
      <c r="AO1642" s="7"/>
      <c r="AP1642" s="7"/>
      <c r="AQ1642" s="7"/>
      <c r="AR1642" s="7"/>
      <c r="AS1642" s="7"/>
      <c r="AT1642" s="7"/>
      <c r="AU1642" s="7"/>
      <c r="AV1642" s="7"/>
      <c r="AW1642" s="7"/>
      <c r="AX1642" s="7"/>
      <c r="AY1642" s="7"/>
      <c r="AZ1642" s="7"/>
      <c r="BA1642" s="7"/>
      <c r="BB1642" s="7"/>
      <c r="BC1642" s="7"/>
      <c r="BD1642" s="7"/>
      <c r="BE1642" s="7"/>
      <c r="BF1642" s="7"/>
      <c r="BG1642" s="7"/>
      <c r="BH1642" s="7"/>
      <c r="BI1642" s="7"/>
      <c r="BJ1642" s="7"/>
      <c r="BK1642" s="7"/>
      <c r="BL1642" s="7"/>
      <c r="BM1642" s="7"/>
      <c r="BN1642" s="7"/>
      <c r="BO1642" s="7"/>
      <c r="BP1642" s="7"/>
      <c r="BQ1642" s="7"/>
      <c r="BR1642" s="7"/>
      <c r="BS1642" s="7"/>
      <c r="BT1642" s="7"/>
      <c r="BU1642" s="7"/>
      <c r="BV1642" s="7"/>
      <c r="BW1642" s="7"/>
      <c r="BX1642" s="7"/>
      <c r="BY1642" s="7"/>
      <c r="BZ1642" s="7"/>
      <c r="CA1642" s="7"/>
      <c r="CB1642" s="7"/>
      <c r="CC1642" s="7"/>
      <c r="CD1642" s="7"/>
      <c r="CE1642" s="7"/>
      <c r="CF1642" s="7"/>
      <c r="CG1642" s="7"/>
    </row>
    <row r="1643" spans="3:85"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  <c r="AA1643" s="7"/>
      <c r="AB1643" s="7"/>
      <c r="AC1643" s="7"/>
      <c r="AD1643" s="7"/>
      <c r="AF1643" s="7"/>
      <c r="AG1643" s="7"/>
      <c r="AH1643" s="7"/>
      <c r="AI1643" s="7"/>
      <c r="AJ1643" s="7"/>
      <c r="AK1643" s="7"/>
      <c r="AL1643" s="7"/>
      <c r="AM1643" s="7"/>
      <c r="AN1643" s="7"/>
      <c r="AO1643" s="7"/>
      <c r="AP1643" s="7"/>
      <c r="AQ1643" s="7"/>
      <c r="AR1643" s="7"/>
      <c r="AS1643" s="7"/>
      <c r="AT1643" s="7"/>
      <c r="AU1643" s="7"/>
      <c r="AV1643" s="7"/>
      <c r="AW1643" s="7"/>
      <c r="AX1643" s="7"/>
      <c r="AY1643" s="7"/>
      <c r="AZ1643" s="7"/>
      <c r="BA1643" s="7"/>
      <c r="BB1643" s="7"/>
      <c r="BC1643" s="7"/>
      <c r="BD1643" s="7"/>
      <c r="BE1643" s="7"/>
      <c r="BF1643" s="7"/>
      <c r="BG1643" s="7"/>
      <c r="BH1643" s="7"/>
      <c r="BI1643" s="7"/>
      <c r="BJ1643" s="7"/>
      <c r="BK1643" s="7"/>
      <c r="BL1643" s="7"/>
      <c r="BM1643" s="7"/>
      <c r="BN1643" s="7"/>
      <c r="BO1643" s="7"/>
      <c r="BP1643" s="7"/>
      <c r="BQ1643" s="7"/>
      <c r="BR1643" s="7"/>
      <c r="BS1643" s="7"/>
      <c r="BT1643" s="7"/>
      <c r="BU1643" s="7"/>
      <c r="BV1643" s="7"/>
      <c r="BW1643" s="7"/>
      <c r="BX1643" s="7"/>
      <c r="BY1643" s="7"/>
      <c r="BZ1643" s="7"/>
      <c r="CA1643" s="7"/>
      <c r="CB1643" s="7"/>
      <c r="CC1643" s="7"/>
      <c r="CD1643" s="7"/>
      <c r="CE1643" s="7"/>
      <c r="CF1643" s="7"/>
      <c r="CG1643" s="7"/>
    </row>
    <row r="1644" spans="3:85"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  <c r="AA1644" s="7"/>
      <c r="AB1644" s="7"/>
      <c r="AC1644" s="7"/>
      <c r="AD1644" s="7"/>
      <c r="AF1644" s="7"/>
      <c r="AG1644" s="7"/>
      <c r="AH1644" s="7"/>
      <c r="AI1644" s="7"/>
      <c r="AJ1644" s="7"/>
      <c r="AK1644" s="7"/>
      <c r="AL1644" s="7"/>
      <c r="AM1644" s="7"/>
      <c r="AN1644" s="7"/>
      <c r="AO1644" s="7"/>
      <c r="AP1644" s="7"/>
      <c r="AQ1644" s="7"/>
      <c r="AR1644" s="7"/>
      <c r="AS1644" s="7"/>
      <c r="AT1644" s="7"/>
      <c r="AU1644" s="7"/>
      <c r="AV1644" s="7"/>
      <c r="AW1644" s="7"/>
      <c r="AX1644" s="7"/>
      <c r="AY1644" s="7"/>
      <c r="AZ1644" s="7"/>
      <c r="BA1644" s="7"/>
      <c r="BB1644" s="7"/>
      <c r="BC1644" s="7"/>
      <c r="BD1644" s="7"/>
      <c r="BE1644" s="7"/>
      <c r="BF1644" s="7"/>
      <c r="BG1644" s="7"/>
      <c r="BH1644" s="7"/>
      <c r="BI1644" s="7"/>
      <c r="BJ1644" s="7"/>
      <c r="BK1644" s="7"/>
      <c r="BL1644" s="7"/>
      <c r="BM1644" s="7"/>
      <c r="BN1644" s="7"/>
      <c r="BO1644" s="7"/>
      <c r="BP1644" s="7"/>
      <c r="BQ1644" s="7"/>
      <c r="BR1644" s="7"/>
      <c r="BS1644" s="7"/>
      <c r="BT1644" s="7"/>
      <c r="BU1644" s="7"/>
      <c r="BV1644" s="7"/>
      <c r="BW1644" s="7"/>
      <c r="BX1644" s="7"/>
      <c r="BY1644" s="7"/>
      <c r="BZ1644" s="7"/>
      <c r="CA1644" s="7"/>
      <c r="CB1644" s="7"/>
      <c r="CC1644" s="7"/>
      <c r="CD1644" s="7"/>
      <c r="CE1644" s="7"/>
      <c r="CF1644" s="7"/>
      <c r="CG1644" s="7"/>
    </row>
    <row r="1645" spans="3:85"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  <c r="AA1645" s="7"/>
      <c r="AB1645" s="7"/>
      <c r="AC1645" s="7"/>
      <c r="AD1645" s="7"/>
      <c r="AF1645" s="7"/>
      <c r="AG1645" s="7"/>
      <c r="AH1645" s="7"/>
      <c r="AI1645" s="7"/>
      <c r="AJ1645" s="7"/>
      <c r="AK1645" s="7"/>
      <c r="AL1645" s="7"/>
      <c r="AM1645" s="7"/>
      <c r="AN1645" s="7"/>
      <c r="AO1645" s="7"/>
      <c r="AP1645" s="7"/>
      <c r="AQ1645" s="7"/>
      <c r="AR1645" s="7"/>
      <c r="AS1645" s="7"/>
      <c r="AT1645" s="7"/>
      <c r="AU1645" s="7"/>
      <c r="AV1645" s="7"/>
      <c r="AW1645" s="7"/>
      <c r="AX1645" s="7"/>
      <c r="AY1645" s="7"/>
      <c r="AZ1645" s="7"/>
      <c r="BA1645" s="7"/>
      <c r="BB1645" s="7"/>
      <c r="BC1645" s="7"/>
      <c r="BD1645" s="7"/>
      <c r="BE1645" s="7"/>
      <c r="BF1645" s="7"/>
      <c r="BG1645" s="7"/>
      <c r="BH1645" s="7"/>
      <c r="BI1645" s="7"/>
      <c r="BJ1645" s="7"/>
      <c r="BK1645" s="7"/>
      <c r="BL1645" s="7"/>
      <c r="BM1645" s="7"/>
      <c r="BN1645" s="7"/>
      <c r="BO1645" s="7"/>
      <c r="BP1645" s="7"/>
      <c r="BQ1645" s="7"/>
      <c r="BR1645" s="7"/>
      <c r="BS1645" s="7"/>
      <c r="BT1645" s="7"/>
      <c r="BU1645" s="7"/>
      <c r="BV1645" s="7"/>
      <c r="BW1645" s="7"/>
      <c r="BX1645" s="7"/>
      <c r="BY1645" s="7"/>
      <c r="BZ1645" s="7"/>
      <c r="CA1645" s="7"/>
      <c r="CB1645" s="7"/>
      <c r="CC1645" s="7"/>
      <c r="CD1645" s="7"/>
      <c r="CE1645" s="7"/>
      <c r="CF1645" s="7"/>
      <c r="CG1645" s="7"/>
    </row>
    <row r="1646" spans="3:85"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  <c r="AA1646" s="7"/>
      <c r="AB1646" s="7"/>
      <c r="AC1646" s="7"/>
      <c r="AD1646" s="7"/>
      <c r="AF1646" s="7"/>
      <c r="AG1646" s="7"/>
      <c r="AH1646" s="7"/>
      <c r="AI1646" s="7"/>
      <c r="AJ1646" s="7"/>
      <c r="AK1646" s="7"/>
      <c r="AL1646" s="7"/>
      <c r="AM1646" s="7"/>
      <c r="AN1646" s="7"/>
      <c r="AO1646" s="7"/>
      <c r="AP1646" s="7"/>
      <c r="AQ1646" s="7"/>
      <c r="AR1646" s="7"/>
      <c r="AS1646" s="7"/>
      <c r="AT1646" s="7"/>
      <c r="AU1646" s="7"/>
      <c r="AV1646" s="7"/>
      <c r="AW1646" s="7"/>
      <c r="AX1646" s="7"/>
      <c r="AY1646" s="7"/>
      <c r="AZ1646" s="7"/>
      <c r="BA1646" s="7"/>
      <c r="BB1646" s="7"/>
      <c r="BC1646" s="7"/>
      <c r="BD1646" s="7"/>
      <c r="BE1646" s="7"/>
      <c r="BF1646" s="7"/>
      <c r="BG1646" s="7"/>
      <c r="BH1646" s="7"/>
      <c r="BI1646" s="7"/>
      <c r="BJ1646" s="7"/>
      <c r="BK1646" s="7"/>
      <c r="BL1646" s="7"/>
      <c r="BM1646" s="7"/>
      <c r="BN1646" s="7"/>
      <c r="BO1646" s="7"/>
      <c r="BP1646" s="7"/>
      <c r="BQ1646" s="7"/>
      <c r="BR1646" s="7"/>
      <c r="BS1646" s="7"/>
      <c r="BT1646" s="7"/>
      <c r="BU1646" s="7"/>
      <c r="BV1646" s="7"/>
      <c r="BW1646" s="7"/>
      <c r="BX1646" s="7"/>
      <c r="BY1646" s="7"/>
      <c r="BZ1646" s="7"/>
      <c r="CA1646" s="7"/>
      <c r="CB1646" s="7"/>
      <c r="CC1646" s="7"/>
      <c r="CD1646" s="7"/>
      <c r="CE1646" s="7"/>
      <c r="CF1646" s="7"/>
      <c r="CG1646" s="7"/>
    </row>
    <row r="1647" spans="3:85"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  <c r="AA1647" s="7"/>
      <c r="AB1647" s="7"/>
      <c r="AC1647" s="7"/>
      <c r="AD1647" s="7"/>
      <c r="AF1647" s="7"/>
      <c r="AG1647" s="7"/>
      <c r="AH1647" s="7"/>
      <c r="AI1647" s="7"/>
      <c r="AJ1647" s="7"/>
      <c r="AK1647" s="7"/>
      <c r="AL1647" s="7"/>
      <c r="AM1647" s="7"/>
      <c r="AN1647" s="7"/>
      <c r="AO1647" s="7"/>
      <c r="AP1647" s="7"/>
      <c r="AQ1647" s="7"/>
      <c r="AR1647" s="7"/>
      <c r="AS1647" s="7"/>
      <c r="AT1647" s="7"/>
      <c r="AU1647" s="7"/>
      <c r="AV1647" s="7"/>
      <c r="AW1647" s="7"/>
      <c r="AX1647" s="7"/>
      <c r="AY1647" s="7"/>
      <c r="AZ1647" s="7"/>
      <c r="BA1647" s="7"/>
      <c r="BB1647" s="7"/>
      <c r="BC1647" s="7"/>
      <c r="BD1647" s="7"/>
      <c r="BE1647" s="7"/>
      <c r="BF1647" s="7"/>
      <c r="BG1647" s="7"/>
      <c r="BH1647" s="7"/>
      <c r="BI1647" s="7"/>
      <c r="BJ1647" s="7"/>
      <c r="BK1647" s="7"/>
      <c r="BL1647" s="7"/>
      <c r="BM1647" s="7"/>
      <c r="BN1647" s="7"/>
      <c r="BO1647" s="7"/>
      <c r="BP1647" s="7"/>
      <c r="BQ1647" s="7"/>
      <c r="BR1647" s="7"/>
      <c r="BS1647" s="7"/>
      <c r="BT1647" s="7"/>
      <c r="BU1647" s="7"/>
      <c r="BV1647" s="7"/>
      <c r="BW1647" s="7"/>
      <c r="BX1647" s="7"/>
      <c r="BY1647" s="7"/>
      <c r="BZ1647" s="7"/>
      <c r="CA1647" s="7"/>
      <c r="CB1647" s="7"/>
      <c r="CC1647" s="7"/>
      <c r="CD1647" s="7"/>
      <c r="CE1647" s="7"/>
      <c r="CF1647" s="7"/>
      <c r="CG1647" s="7"/>
    </row>
    <row r="1648" spans="3:85"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  <c r="AA1648" s="7"/>
      <c r="AB1648" s="7"/>
      <c r="AC1648" s="7"/>
      <c r="AD1648" s="7"/>
      <c r="AF1648" s="7"/>
      <c r="AG1648" s="7"/>
      <c r="AH1648" s="7"/>
      <c r="AI1648" s="7"/>
      <c r="AJ1648" s="7"/>
      <c r="AK1648" s="7"/>
      <c r="AL1648" s="7"/>
      <c r="AM1648" s="7"/>
      <c r="AN1648" s="7"/>
      <c r="AO1648" s="7"/>
      <c r="AP1648" s="7"/>
      <c r="AQ1648" s="7"/>
      <c r="AR1648" s="7"/>
      <c r="AS1648" s="7"/>
      <c r="AT1648" s="7"/>
      <c r="AU1648" s="7"/>
      <c r="AV1648" s="7"/>
      <c r="AW1648" s="7"/>
      <c r="AX1648" s="7"/>
      <c r="AY1648" s="7"/>
      <c r="AZ1648" s="7"/>
      <c r="BA1648" s="7"/>
      <c r="BB1648" s="7"/>
      <c r="BC1648" s="7"/>
      <c r="BD1648" s="7"/>
      <c r="BE1648" s="7"/>
      <c r="BF1648" s="7"/>
      <c r="BG1648" s="7"/>
      <c r="BH1648" s="7"/>
      <c r="BI1648" s="7"/>
      <c r="BJ1648" s="7"/>
      <c r="BK1648" s="7"/>
      <c r="BL1648" s="7"/>
      <c r="BM1648" s="7"/>
      <c r="BN1648" s="7"/>
      <c r="BO1648" s="7"/>
      <c r="BP1648" s="7"/>
      <c r="BQ1648" s="7"/>
      <c r="BR1648" s="7"/>
      <c r="BS1648" s="7"/>
      <c r="BT1648" s="7"/>
      <c r="BU1648" s="7"/>
      <c r="BV1648" s="7"/>
      <c r="BW1648" s="7"/>
      <c r="BX1648" s="7"/>
      <c r="BY1648" s="7"/>
      <c r="BZ1648" s="7"/>
      <c r="CA1648" s="7"/>
      <c r="CB1648" s="7"/>
      <c r="CC1648" s="7"/>
      <c r="CD1648" s="7"/>
      <c r="CE1648" s="7"/>
      <c r="CF1648" s="7"/>
      <c r="CG1648" s="7"/>
    </row>
    <row r="1649" spans="3:85"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  <c r="AA1649" s="7"/>
      <c r="AB1649" s="7"/>
      <c r="AC1649" s="7"/>
      <c r="AD1649" s="7"/>
      <c r="AF1649" s="7"/>
      <c r="AG1649" s="7"/>
      <c r="AH1649" s="7"/>
      <c r="AI1649" s="7"/>
      <c r="AJ1649" s="7"/>
      <c r="AK1649" s="7"/>
      <c r="AL1649" s="7"/>
      <c r="AM1649" s="7"/>
      <c r="AN1649" s="7"/>
      <c r="AO1649" s="7"/>
      <c r="AP1649" s="7"/>
      <c r="AQ1649" s="7"/>
      <c r="AR1649" s="7"/>
      <c r="AS1649" s="7"/>
      <c r="AT1649" s="7"/>
      <c r="AU1649" s="7"/>
      <c r="AV1649" s="7"/>
      <c r="AW1649" s="7"/>
      <c r="AX1649" s="7"/>
      <c r="AY1649" s="7"/>
      <c r="AZ1649" s="7"/>
      <c r="BA1649" s="7"/>
      <c r="BB1649" s="7"/>
      <c r="BC1649" s="7"/>
      <c r="BD1649" s="7"/>
      <c r="BE1649" s="7"/>
      <c r="BF1649" s="7"/>
      <c r="BG1649" s="7"/>
      <c r="BH1649" s="7"/>
      <c r="BI1649" s="7"/>
      <c r="BJ1649" s="7"/>
      <c r="BK1649" s="7"/>
      <c r="BL1649" s="7"/>
      <c r="BM1649" s="7"/>
      <c r="BN1649" s="7"/>
      <c r="BO1649" s="7"/>
      <c r="BP1649" s="7"/>
      <c r="BQ1649" s="7"/>
      <c r="BR1649" s="7"/>
      <c r="BS1649" s="7"/>
      <c r="BT1649" s="7"/>
      <c r="BU1649" s="7"/>
      <c r="BV1649" s="7"/>
      <c r="BW1649" s="7"/>
      <c r="BX1649" s="7"/>
      <c r="BY1649" s="7"/>
      <c r="BZ1649" s="7"/>
      <c r="CA1649" s="7"/>
      <c r="CB1649" s="7"/>
      <c r="CC1649" s="7"/>
      <c r="CD1649" s="7"/>
      <c r="CE1649" s="7"/>
      <c r="CF1649" s="7"/>
      <c r="CG1649" s="7"/>
    </row>
    <row r="1650" spans="3:85"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  <c r="AA1650" s="7"/>
      <c r="AB1650" s="7"/>
      <c r="AC1650" s="7"/>
      <c r="AD1650" s="7"/>
      <c r="AF1650" s="7"/>
      <c r="AG1650" s="7"/>
      <c r="AH1650" s="7"/>
      <c r="AI1650" s="7"/>
      <c r="AJ1650" s="7"/>
      <c r="AK1650" s="7"/>
      <c r="AL1650" s="7"/>
      <c r="AM1650" s="7"/>
      <c r="AN1650" s="7"/>
      <c r="AO1650" s="7"/>
      <c r="AP1650" s="7"/>
      <c r="AQ1650" s="7"/>
      <c r="AR1650" s="7"/>
      <c r="AS1650" s="7"/>
      <c r="AT1650" s="7"/>
      <c r="AU1650" s="7"/>
      <c r="AV1650" s="7"/>
      <c r="AW1650" s="7"/>
      <c r="AX1650" s="7"/>
      <c r="AY1650" s="7"/>
      <c r="AZ1650" s="7"/>
      <c r="BA1650" s="7"/>
      <c r="BB1650" s="7"/>
      <c r="BC1650" s="7"/>
      <c r="BD1650" s="7"/>
      <c r="BE1650" s="7"/>
      <c r="BF1650" s="7"/>
      <c r="BG1650" s="7"/>
      <c r="BH1650" s="7"/>
      <c r="BI1650" s="7"/>
      <c r="BJ1650" s="7"/>
      <c r="BK1650" s="7"/>
      <c r="BL1650" s="7"/>
      <c r="BM1650" s="7"/>
      <c r="BN1650" s="7"/>
      <c r="BO1650" s="7"/>
      <c r="BP1650" s="7"/>
      <c r="BQ1650" s="7"/>
      <c r="BR1650" s="7"/>
      <c r="BS1650" s="7"/>
      <c r="BT1650" s="7"/>
      <c r="BU1650" s="7"/>
      <c r="BV1650" s="7"/>
      <c r="BW1650" s="7"/>
      <c r="BX1650" s="7"/>
      <c r="BY1650" s="7"/>
      <c r="BZ1650" s="7"/>
      <c r="CA1650" s="7"/>
      <c r="CB1650" s="7"/>
      <c r="CC1650" s="7"/>
      <c r="CD1650" s="7"/>
      <c r="CE1650" s="7"/>
      <c r="CF1650" s="7"/>
      <c r="CG1650" s="7"/>
    </row>
    <row r="1651" spans="3:85"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  <c r="AA1651" s="7"/>
      <c r="AB1651" s="7"/>
      <c r="AC1651" s="7"/>
      <c r="AD1651" s="7"/>
      <c r="AF1651" s="7"/>
      <c r="AG1651" s="7"/>
      <c r="AH1651" s="7"/>
      <c r="AI1651" s="7"/>
      <c r="AJ1651" s="7"/>
      <c r="AK1651" s="7"/>
      <c r="AL1651" s="7"/>
      <c r="AM1651" s="7"/>
      <c r="AN1651" s="7"/>
      <c r="AO1651" s="7"/>
      <c r="AP1651" s="7"/>
      <c r="AQ1651" s="7"/>
      <c r="AR1651" s="7"/>
      <c r="AS1651" s="7"/>
      <c r="AT1651" s="7"/>
      <c r="AU1651" s="7"/>
      <c r="AV1651" s="7"/>
      <c r="AW1651" s="7"/>
      <c r="AX1651" s="7"/>
      <c r="AY1651" s="7"/>
      <c r="AZ1651" s="7"/>
      <c r="BA1651" s="7"/>
      <c r="BB1651" s="7"/>
      <c r="BC1651" s="7"/>
      <c r="BD1651" s="7"/>
      <c r="BE1651" s="7"/>
      <c r="BF1651" s="7"/>
      <c r="BG1651" s="7"/>
      <c r="BH1651" s="7"/>
      <c r="BI1651" s="7"/>
      <c r="BJ1651" s="7"/>
      <c r="BK1651" s="7"/>
      <c r="BL1651" s="7"/>
      <c r="BM1651" s="7"/>
      <c r="BN1651" s="7"/>
      <c r="BO1651" s="7"/>
      <c r="BP1651" s="7"/>
      <c r="BQ1651" s="7"/>
      <c r="BR1651" s="7"/>
      <c r="BS1651" s="7"/>
      <c r="BT1651" s="7"/>
      <c r="BU1651" s="7"/>
      <c r="BV1651" s="7"/>
      <c r="BW1651" s="7"/>
      <c r="BX1651" s="7"/>
      <c r="BY1651" s="7"/>
      <c r="BZ1651" s="7"/>
      <c r="CA1651" s="7"/>
      <c r="CB1651" s="7"/>
      <c r="CC1651" s="7"/>
      <c r="CD1651" s="7"/>
      <c r="CE1651" s="7"/>
      <c r="CF1651" s="7"/>
      <c r="CG1651" s="7"/>
    </row>
    <row r="1652" spans="3:85"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  <c r="AA1652" s="7"/>
      <c r="AB1652" s="7"/>
      <c r="AC1652" s="7"/>
      <c r="AD1652" s="7"/>
      <c r="AF1652" s="7"/>
      <c r="AG1652" s="7"/>
      <c r="AH1652" s="7"/>
      <c r="AI1652" s="7"/>
      <c r="AJ1652" s="7"/>
      <c r="AK1652" s="7"/>
      <c r="AL1652" s="7"/>
      <c r="AM1652" s="7"/>
      <c r="AN1652" s="7"/>
      <c r="AO1652" s="7"/>
      <c r="AP1652" s="7"/>
      <c r="AQ1652" s="7"/>
      <c r="AR1652" s="7"/>
      <c r="AS1652" s="7"/>
      <c r="AT1652" s="7"/>
      <c r="AU1652" s="7"/>
      <c r="AV1652" s="7"/>
      <c r="AW1652" s="7"/>
      <c r="AX1652" s="7"/>
      <c r="AY1652" s="7"/>
      <c r="AZ1652" s="7"/>
      <c r="BA1652" s="7"/>
      <c r="BB1652" s="7"/>
      <c r="BC1652" s="7"/>
      <c r="BD1652" s="7"/>
      <c r="BE1652" s="7"/>
      <c r="BF1652" s="7"/>
      <c r="BG1652" s="7"/>
      <c r="BH1652" s="7"/>
      <c r="BI1652" s="7"/>
      <c r="BJ1652" s="7"/>
      <c r="BK1652" s="7"/>
      <c r="BL1652" s="7"/>
      <c r="BM1652" s="7"/>
      <c r="BN1652" s="7"/>
      <c r="BO1652" s="7"/>
      <c r="BP1652" s="7"/>
      <c r="BQ1652" s="7"/>
      <c r="BR1652" s="7"/>
      <c r="BS1652" s="7"/>
      <c r="BT1652" s="7"/>
      <c r="BU1652" s="7"/>
      <c r="BV1652" s="7"/>
      <c r="BW1652" s="7"/>
      <c r="BX1652" s="7"/>
      <c r="BY1652" s="7"/>
      <c r="BZ1652" s="7"/>
      <c r="CA1652" s="7"/>
      <c r="CB1652" s="7"/>
      <c r="CC1652" s="7"/>
      <c r="CD1652" s="7"/>
      <c r="CE1652" s="7"/>
      <c r="CF1652" s="7"/>
      <c r="CG1652" s="7"/>
    </row>
    <row r="1653" spans="3:85"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  <c r="AA1653" s="7"/>
      <c r="AB1653" s="7"/>
      <c r="AC1653" s="7"/>
      <c r="AD1653" s="7"/>
      <c r="AF1653" s="7"/>
      <c r="AG1653" s="7"/>
      <c r="AH1653" s="7"/>
      <c r="AI1653" s="7"/>
      <c r="AJ1653" s="7"/>
      <c r="AK1653" s="7"/>
      <c r="AL1653" s="7"/>
      <c r="AM1653" s="7"/>
      <c r="AN1653" s="7"/>
      <c r="AO1653" s="7"/>
      <c r="AP1653" s="7"/>
      <c r="AQ1653" s="7"/>
      <c r="AR1653" s="7"/>
      <c r="AS1653" s="7"/>
      <c r="AT1653" s="7"/>
      <c r="AU1653" s="7"/>
      <c r="AV1653" s="7"/>
      <c r="AW1653" s="7"/>
      <c r="AX1653" s="7"/>
      <c r="AY1653" s="7"/>
      <c r="AZ1653" s="7"/>
      <c r="BA1653" s="7"/>
      <c r="BB1653" s="7"/>
      <c r="BC1653" s="7"/>
      <c r="BD1653" s="7"/>
      <c r="BE1653" s="7"/>
      <c r="BF1653" s="7"/>
      <c r="BG1653" s="7"/>
      <c r="BH1653" s="7"/>
      <c r="BI1653" s="7"/>
      <c r="BJ1653" s="7"/>
      <c r="BK1653" s="7"/>
      <c r="BL1653" s="7"/>
      <c r="BM1653" s="7"/>
      <c r="BN1653" s="7"/>
      <c r="BO1653" s="7"/>
      <c r="BP1653" s="7"/>
      <c r="BQ1653" s="7"/>
      <c r="BR1653" s="7"/>
      <c r="BS1653" s="7"/>
      <c r="BT1653" s="7"/>
      <c r="BU1653" s="7"/>
      <c r="BV1653" s="7"/>
      <c r="BW1653" s="7"/>
      <c r="BX1653" s="7"/>
      <c r="BY1653" s="7"/>
      <c r="BZ1653" s="7"/>
      <c r="CA1653" s="7"/>
      <c r="CB1653" s="7"/>
      <c r="CC1653" s="7"/>
      <c r="CD1653" s="7"/>
      <c r="CE1653" s="7"/>
      <c r="CF1653" s="7"/>
      <c r="CG1653" s="7"/>
    </row>
    <row r="1654" spans="3:85"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  <c r="AA1654" s="7"/>
      <c r="AB1654" s="7"/>
      <c r="AC1654" s="7"/>
      <c r="AD1654" s="7"/>
      <c r="AF1654" s="7"/>
      <c r="AG1654" s="7"/>
      <c r="AH1654" s="7"/>
      <c r="AI1654" s="7"/>
      <c r="AJ1654" s="7"/>
      <c r="AK1654" s="7"/>
      <c r="AL1654" s="7"/>
      <c r="AM1654" s="7"/>
      <c r="AN1654" s="7"/>
      <c r="AO1654" s="7"/>
      <c r="AP1654" s="7"/>
      <c r="AQ1654" s="7"/>
      <c r="AR1654" s="7"/>
      <c r="AS1654" s="7"/>
      <c r="AT1654" s="7"/>
      <c r="AU1654" s="7"/>
      <c r="AV1654" s="7"/>
      <c r="AW1654" s="7"/>
      <c r="AX1654" s="7"/>
      <c r="AY1654" s="7"/>
      <c r="AZ1654" s="7"/>
      <c r="BA1654" s="7"/>
      <c r="BB1654" s="7"/>
      <c r="BC1654" s="7"/>
      <c r="BD1654" s="7"/>
      <c r="BE1654" s="7"/>
      <c r="BF1654" s="7"/>
      <c r="BG1654" s="7"/>
      <c r="BH1654" s="7"/>
      <c r="BI1654" s="7"/>
      <c r="BJ1654" s="7"/>
      <c r="BK1654" s="7"/>
      <c r="BL1654" s="7"/>
      <c r="BM1654" s="7"/>
      <c r="BN1654" s="7"/>
      <c r="BO1654" s="7"/>
      <c r="BP1654" s="7"/>
      <c r="BQ1654" s="7"/>
      <c r="BR1654" s="7"/>
      <c r="BS1654" s="7"/>
      <c r="BT1654" s="7"/>
      <c r="BU1654" s="7"/>
      <c r="BV1654" s="7"/>
      <c r="BW1654" s="7"/>
      <c r="BX1654" s="7"/>
      <c r="BY1654" s="7"/>
      <c r="BZ1654" s="7"/>
      <c r="CA1654" s="7"/>
      <c r="CB1654" s="7"/>
      <c r="CC1654" s="7"/>
      <c r="CD1654" s="7"/>
      <c r="CE1654" s="7"/>
      <c r="CF1654" s="7"/>
      <c r="CG1654" s="7"/>
    </row>
    <row r="1655" spans="3:85"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  <c r="AA1655" s="7"/>
      <c r="AB1655" s="7"/>
      <c r="AC1655" s="7"/>
      <c r="AD1655" s="7"/>
      <c r="AF1655" s="7"/>
      <c r="AG1655" s="7"/>
      <c r="AH1655" s="7"/>
      <c r="AI1655" s="7"/>
      <c r="AJ1655" s="7"/>
      <c r="AK1655" s="7"/>
      <c r="AL1655" s="7"/>
      <c r="AM1655" s="7"/>
      <c r="AN1655" s="7"/>
      <c r="AO1655" s="7"/>
      <c r="AP1655" s="7"/>
      <c r="AQ1655" s="7"/>
      <c r="AR1655" s="7"/>
      <c r="AS1655" s="7"/>
      <c r="AT1655" s="7"/>
      <c r="AU1655" s="7"/>
      <c r="AV1655" s="7"/>
      <c r="AW1655" s="7"/>
      <c r="AX1655" s="7"/>
      <c r="AY1655" s="7"/>
      <c r="AZ1655" s="7"/>
      <c r="BA1655" s="7"/>
      <c r="BB1655" s="7"/>
      <c r="BC1655" s="7"/>
      <c r="BD1655" s="7"/>
      <c r="BE1655" s="7"/>
      <c r="BF1655" s="7"/>
      <c r="BG1655" s="7"/>
      <c r="BH1655" s="7"/>
      <c r="BI1655" s="7"/>
      <c r="BJ1655" s="7"/>
      <c r="BK1655" s="7"/>
      <c r="BL1655" s="7"/>
      <c r="BM1655" s="7"/>
      <c r="BN1655" s="7"/>
      <c r="BO1655" s="7"/>
      <c r="BP1655" s="7"/>
      <c r="BQ1655" s="7"/>
      <c r="BR1655" s="7"/>
      <c r="BS1655" s="7"/>
      <c r="BT1655" s="7"/>
      <c r="BU1655" s="7"/>
      <c r="BV1655" s="7"/>
      <c r="BW1655" s="7"/>
      <c r="BX1655" s="7"/>
      <c r="BY1655" s="7"/>
      <c r="BZ1655" s="7"/>
      <c r="CA1655" s="7"/>
      <c r="CB1655" s="7"/>
      <c r="CC1655" s="7"/>
      <c r="CD1655" s="7"/>
      <c r="CE1655" s="7"/>
      <c r="CF1655" s="7"/>
      <c r="CG1655" s="7"/>
    </row>
    <row r="1656" spans="3:85"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  <c r="AA1656" s="7"/>
      <c r="AB1656" s="7"/>
      <c r="AC1656" s="7"/>
      <c r="AD1656" s="7"/>
      <c r="AF1656" s="7"/>
      <c r="AG1656" s="7"/>
      <c r="AH1656" s="7"/>
      <c r="AI1656" s="7"/>
      <c r="AJ1656" s="7"/>
      <c r="AK1656" s="7"/>
      <c r="AL1656" s="7"/>
      <c r="AM1656" s="7"/>
      <c r="AN1656" s="7"/>
      <c r="AO1656" s="7"/>
      <c r="AP1656" s="7"/>
      <c r="AQ1656" s="7"/>
      <c r="AR1656" s="7"/>
      <c r="AS1656" s="7"/>
      <c r="AT1656" s="7"/>
      <c r="AU1656" s="7"/>
      <c r="AV1656" s="7"/>
      <c r="AW1656" s="7"/>
      <c r="AX1656" s="7"/>
      <c r="AY1656" s="7"/>
      <c r="AZ1656" s="7"/>
      <c r="BA1656" s="7"/>
      <c r="BB1656" s="7"/>
      <c r="BC1656" s="7"/>
      <c r="BD1656" s="7"/>
      <c r="BE1656" s="7"/>
      <c r="BF1656" s="7"/>
      <c r="BG1656" s="7"/>
      <c r="BH1656" s="7"/>
      <c r="BI1656" s="7"/>
      <c r="BJ1656" s="7"/>
      <c r="BK1656" s="7"/>
      <c r="BL1656" s="7"/>
      <c r="BM1656" s="7"/>
      <c r="BN1656" s="7"/>
      <c r="BO1656" s="7"/>
      <c r="BP1656" s="7"/>
      <c r="BQ1656" s="7"/>
      <c r="BR1656" s="7"/>
      <c r="BS1656" s="7"/>
      <c r="BT1656" s="7"/>
      <c r="BU1656" s="7"/>
      <c r="BV1656" s="7"/>
      <c r="BW1656" s="7"/>
      <c r="BX1656" s="7"/>
      <c r="BY1656" s="7"/>
      <c r="BZ1656" s="7"/>
      <c r="CA1656" s="7"/>
      <c r="CB1656" s="7"/>
      <c r="CC1656" s="7"/>
      <c r="CD1656" s="7"/>
      <c r="CE1656" s="7"/>
      <c r="CF1656" s="7"/>
      <c r="CG1656" s="7"/>
    </row>
    <row r="1657" spans="3:85"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  <c r="AA1657" s="7"/>
      <c r="AB1657" s="7"/>
      <c r="AC1657" s="7"/>
      <c r="AD1657" s="7"/>
      <c r="AF1657" s="7"/>
      <c r="AG1657" s="7"/>
      <c r="AH1657" s="7"/>
      <c r="AI1657" s="7"/>
      <c r="AJ1657" s="7"/>
      <c r="AK1657" s="7"/>
      <c r="AL1657" s="7"/>
      <c r="AM1657" s="7"/>
      <c r="AN1657" s="7"/>
      <c r="AO1657" s="7"/>
      <c r="AP1657" s="7"/>
      <c r="AQ1657" s="7"/>
      <c r="AR1657" s="7"/>
      <c r="AS1657" s="7"/>
      <c r="AT1657" s="7"/>
      <c r="AU1657" s="7"/>
      <c r="AV1657" s="7"/>
      <c r="AW1657" s="7"/>
      <c r="AX1657" s="7"/>
      <c r="AY1657" s="7"/>
      <c r="AZ1657" s="7"/>
      <c r="BA1657" s="7"/>
      <c r="BB1657" s="7"/>
      <c r="BC1657" s="7"/>
      <c r="BD1657" s="7"/>
      <c r="BE1657" s="7"/>
      <c r="BF1657" s="7"/>
      <c r="BG1657" s="7"/>
      <c r="BH1657" s="7"/>
      <c r="BI1657" s="7"/>
      <c r="BJ1657" s="7"/>
      <c r="BK1657" s="7"/>
      <c r="BL1657" s="7"/>
      <c r="BM1657" s="7"/>
      <c r="BN1657" s="7"/>
      <c r="BO1657" s="7"/>
      <c r="BP1657" s="7"/>
      <c r="BQ1657" s="7"/>
      <c r="BR1657" s="7"/>
      <c r="BS1657" s="7"/>
      <c r="BT1657" s="7"/>
      <c r="BU1657" s="7"/>
      <c r="BV1657" s="7"/>
      <c r="BW1657" s="7"/>
      <c r="BX1657" s="7"/>
      <c r="BY1657" s="7"/>
      <c r="BZ1657" s="7"/>
      <c r="CA1657" s="7"/>
      <c r="CB1657" s="7"/>
      <c r="CC1657" s="7"/>
      <c r="CD1657" s="7"/>
      <c r="CE1657" s="7"/>
      <c r="CF1657" s="7"/>
      <c r="CG1657" s="7"/>
    </row>
    <row r="1658" spans="3:85"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  <c r="AA1658" s="7"/>
      <c r="AB1658" s="7"/>
      <c r="AC1658" s="7"/>
      <c r="AD1658" s="7"/>
      <c r="AF1658" s="7"/>
      <c r="AG1658" s="7"/>
      <c r="AH1658" s="7"/>
      <c r="AI1658" s="7"/>
      <c r="AJ1658" s="7"/>
      <c r="AK1658" s="7"/>
      <c r="AL1658" s="7"/>
      <c r="AM1658" s="7"/>
      <c r="AN1658" s="7"/>
      <c r="AO1658" s="7"/>
      <c r="AP1658" s="7"/>
      <c r="AQ1658" s="7"/>
      <c r="AR1658" s="7"/>
      <c r="AS1658" s="7"/>
      <c r="AT1658" s="7"/>
      <c r="AU1658" s="7"/>
      <c r="AV1658" s="7"/>
      <c r="AW1658" s="7"/>
      <c r="AX1658" s="7"/>
      <c r="AY1658" s="7"/>
      <c r="AZ1658" s="7"/>
      <c r="BA1658" s="7"/>
      <c r="BB1658" s="7"/>
      <c r="BC1658" s="7"/>
      <c r="BD1658" s="7"/>
      <c r="BE1658" s="7"/>
      <c r="BF1658" s="7"/>
      <c r="BG1658" s="7"/>
      <c r="BH1658" s="7"/>
      <c r="BI1658" s="7"/>
      <c r="BJ1658" s="7"/>
      <c r="BK1658" s="7"/>
      <c r="BL1658" s="7"/>
      <c r="BM1658" s="7"/>
      <c r="BN1658" s="7"/>
      <c r="BO1658" s="7"/>
      <c r="BP1658" s="7"/>
      <c r="BQ1658" s="7"/>
      <c r="BR1658" s="7"/>
      <c r="BS1658" s="7"/>
      <c r="BT1658" s="7"/>
      <c r="BU1658" s="7"/>
      <c r="BV1658" s="7"/>
      <c r="BW1658" s="7"/>
      <c r="BX1658" s="7"/>
      <c r="BY1658" s="7"/>
      <c r="BZ1658" s="7"/>
      <c r="CA1658" s="7"/>
      <c r="CB1658" s="7"/>
      <c r="CC1658" s="7"/>
      <c r="CD1658" s="7"/>
      <c r="CE1658" s="7"/>
      <c r="CF1658" s="7"/>
      <c r="CG1658" s="7"/>
    </row>
    <row r="1659" spans="3:85"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  <c r="AA1659" s="7"/>
      <c r="AB1659" s="7"/>
      <c r="AC1659" s="7"/>
      <c r="AD1659" s="7"/>
      <c r="AF1659" s="7"/>
      <c r="AG1659" s="7"/>
      <c r="AH1659" s="7"/>
      <c r="AI1659" s="7"/>
      <c r="AJ1659" s="7"/>
      <c r="AK1659" s="7"/>
      <c r="AL1659" s="7"/>
      <c r="AM1659" s="7"/>
      <c r="AN1659" s="7"/>
      <c r="AO1659" s="7"/>
      <c r="AP1659" s="7"/>
      <c r="AQ1659" s="7"/>
      <c r="AR1659" s="7"/>
      <c r="AS1659" s="7"/>
      <c r="AT1659" s="7"/>
      <c r="AU1659" s="7"/>
      <c r="AV1659" s="7"/>
      <c r="AW1659" s="7"/>
      <c r="AX1659" s="7"/>
      <c r="AY1659" s="7"/>
      <c r="AZ1659" s="7"/>
      <c r="BA1659" s="7"/>
      <c r="BB1659" s="7"/>
      <c r="BC1659" s="7"/>
      <c r="BD1659" s="7"/>
      <c r="BE1659" s="7"/>
      <c r="BF1659" s="7"/>
      <c r="BG1659" s="7"/>
      <c r="BH1659" s="7"/>
      <c r="BI1659" s="7"/>
      <c r="BJ1659" s="7"/>
      <c r="BK1659" s="7"/>
      <c r="BL1659" s="7"/>
      <c r="BM1659" s="7"/>
      <c r="BN1659" s="7"/>
      <c r="BO1659" s="7"/>
      <c r="BP1659" s="7"/>
      <c r="BQ1659" s="7"/>
      <c r="BR1659" s="7"/>
      <c r="BS1659" s="7"/>
      <c r="BT1659" s="7"/>
      <c r="BU1659" s="7"/>
      <c r="BV1659" s="7"/>
      <c r="BW1659" s="7"/>
      <c r="BX1659" s="7"/>
      <c r="BY1659" s="7"/>
      <c r="BZ1659" s="7"/>
      <c r="CA1659" s="7"/>
      <c r="CB1659" s="7"/>
      <c r="CC1659" s="7"/>
      <c r="CD1659" s="7"/>
      <c r="CE1659" s="7"/>
      <c r="CF1659" s="7"/>
      <c r="CG1659" s="7"/>
    </row>
    <row r="1660" spans="3:85"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  <c r="AA1660" s="7"/>
      <c r="AB1660" s="7"/>
      <c r="AC1660" s="7"/>
      <c r="AD1660" s="7"/>
      <c r="AF1660" s="7"/>
      <c r="AG1660" s="7"/>
      <c r="AH1660" s="7"/>
      <c r="AI1660" s="7"/>
      <c r="AJ1660" s="7"/>
      <c r="AK1660" s="7"/>
      <c r="AL1660" s="7"/>
      <c r="AM1660" s="7"/>
      <c r="AN1660" s="7"/>
      <c r="AO1660" s="7"/>
      <c r="AP1660" s="7"/>
      <c r="AQ1660" s="7"/>
      <c r="AR1660" s="7"/>
      <c r="AS1660" s="7"/>
      <c r="AT1660" s="7"/>
      <c r="AU1660" s="7"/>
      <c r="AV1660" s="7"/>
      <c r="AW1660" s="7"/>
      <c r="AX1660" s="7"/>
      <c r="AY1660" s="7"/>
      <c r="AZ1660" s="7"/>
      <c r="BA1660" s="7"/>
      <c r="BB1660" s="7"/>
      <c r="BC1660" s="7"/>
      <c r="BD1660" s="7"/>
      <c r="BE1660" s="7"/>
      <c r="BF1660" s="7"/>
      <c r="BG1660" s="7"/>
      <c r="BH1660" s="7"/>
      <c r="BI1660" s="7"/>
      <c r="BJ1660" s="7"/>
      <c r="BK1660" s="7"/>
      <c r="BL1660" s="7"/>
      <c r="BM1660" s="7"/>
      <c r="BN1660" s="7"/>
      <c r="BO1660" s="7"/>
      <c r="BP1660" s="7"/>
      <c r="BQ1660" s="7"/>
      <c r="BR1660" s="7"/>
      <c r="BS1660" s="7"/>
      <c r="BT1660" s="7"/>
      <c r="BU1660" s="7"/>
      <c r="BV1660" s="7"/>
      <c r="BW1660" s="7"/>
      <c r="BX1660" s="7"/>
      <c r="BY1660" s="7"/>
      <c r="BZ1660" s="7"/>
      <c r="CA1660" s="7"/>
      <c r="CB1660" s="7"/>
      <c r="CC1660" s="7"/>
      <c r="CD1660" s="7"/>
      <c r="CE1660" s="7"/>
      <c r="CF1660" s="7"/>
      <c r="CG1660" s="7"/>
    </row>
    <row r="1661" spans="3:85"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  <c r="AA1661" s="7"/>
      <c r="AB1661" s="7"/>
      <c r="AC1661" s="7"/>
      <c r="AD1661" s="7"/>
      <c r="AF1661" s="7"/>
      <c r="AG1661" s="7"/>
      <c r="AH1661" s="7"/>
      <c r="AI1661" s="7"/>
      <c r="AJ1661" s="7"/>
      <c r="AK1661" s="7"/>
      <c r="AL1661" s="7"/>
      <c r="AM1661" s="7"/>
      <c r="AN1661" s="7"/>
      <c r="AO1661" s="7"/>
      <c r="AP1661" s="7"/>
      <c r="AQ1661" s="7"/>
      <c r="AR1661" s="7"/>
      <c r="AS1661" s="7"/>
      <c r="AT1661" s="7"/>
      <c r="AU1661" s="7"/>
      <c r="AV1661" s="7"/>
      <c r="AW1661" s="7"/>
      <c r="AX1661" s="7"/>
      <c r="AY1661" s="7"/>
      <c r="AZ1661" s="7"/>
      <c r="BA1661" s="7"/>
      <c r="BB1661" s="7"/>
      <c r="BC1661" s="7"/>
      <c r="BD1661" s="7"/>
      <c r="BE1661" s="7"/>
      <c r="BF1661" s="7"/>
      <c r="BG1661" s="7"/>
      <c r="BH1661" s="7"/>
      <c r="BI1661" s="7"/>
      <c r="BJ1661" s="7"/>
      <c r="BK1661" s="7"/>
      <c r="BL1661" s="7"/>
      <c r="BM1661" s="7"/>
      <c r="BN1661" s="7"/>
      <c r="BO1661" s="7"/>
      <c r="BP1661" s="7"/>
      <c r="BQ1661" s="7"/>
      <c r="BR1661" s="7"/>
      <c r="BS1661" s="7"/>
      <c r="BT1661" s="7"/>
      <c r="BU1661" s="7"/>
      <c r="BV1661" s="7"/>
      <c r="BW1661" s="7"/>
      <c r="BX1661" s="7"/>
      <c r="BY1661" s="7"/>
      <c r="BZ1661" s="7"/>
      <c r="CA1661" s="7"/>
      <c r="CB1661" s="7"/>
      <c r="CC1661" s="7"/>
      <c r="CD1661" s="7"/>
      <c r="CE1661" s="7"/>
      <c r="CF1661" s="7"/>
      <c r="CG1661" s="7"/>
    </row>
    <row r="1662" spans="3:85"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  <c r="AA1662" s="7"/>
      <c r="AB1662" s="7"/>
      <c r="AC1662" s="7"/>
      <c r="AD1662" s="7"/>
      <c r="AF1662" s="7"/>
      <c r="AG1662" s="7"/>
      <c r="AH1662" s="7"/>
      <c r="AI1662" s="7"/>
      <c r="AJ1662" s="7"/>
      <c r="AK1662" s="7"/>
      <c r="AL1662" s="7"/>
      <c r="AM1662" s="7"/>
      <c r="AN1662" s="7"/>
      <c r="AO1662" s="7"/>
      <c r="AP1662" s="7"/>
      <c r="AQ1662" s="7"/>
      <c r="AR1662" s="7"/>
      <c r="AS1662" s="7"/>
      <c r="AT1662" s="7"/>
      <c r="AU1662" s="7"/>
      <c r="AV1662" s="7"/>
      <c r="AW1662" s="7"/>
      <c r="AX1662" s="7"/>
      <c r="AY1662" s="7"/>
      <c r="AZ1662" s="7"/>
      <c r="BA1662" s="7"/>
      <c r="BB1662" s="7"/>
      <c r="BC1662" s="7"/>
      <c r="BD1662" s="7"/>
      <c r="BE1662" s="7"/>
      <c r="BF1662" s="7"/>
      <c r="BG1662" s="7"/>
      <c r="BH1662" s="7"/>
      <c r="BI1662" s="7"/>
      <c r="BJ1662" s="7"/>
      <c r="BK1662" s="7"/>
      <c r="BL1662" s="7"/>
      <c r="BM1662" s="7"/>
      <c r="BN1662" s="7"/>
      <c r="BO1662" s="7"/>
      <c r="BP1662" s="7"/>
      <c r="BQ1662" s="7"/>
      <c r="BR1662" s="7"/>
      <c r="BS1662" s="7"/>
      <c r="BT1662" s="7"/>
      <c r="BU1662" s="7"/>
      <c r="BV1662" s="7"/>
      <c r="BW1662" s="7"/>
      <c r="BX1662" s="7"/>
      <c r="BY1662" s="7"/>
      <c r="BZ1662" s="7"/>
      <c r="CA1662" s="7"/>
      <c r="CB1662" s="7"/>
      <c r="CC1662" s="7"/>
      <c r="CD1662" s="7"/>
      <c r="CE1662" s="7"/>
      <c r="CF1662" s="7"/>
      <c r="CG1662" s="7"/>
    </row>
    <row r="1663" spans="3:85"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  <c r="AA1663" s="7"/>
      <c r="AB1663" s="7"/>
      <c r="AC1663" s="7"/>
      <c r="AD1663" s="7"/>
      <c r="AF1663" s="7"/>
      <c r="AG1663" s="7"/>
      <c r="AH1663" s="7"/>
      <c r="AI1663" s="7"/>
      <c r="AJ1663" s="7"/>
      <c r="AK1663" s="7"/>
      <c r="AL1663" s="7"/>
      <c r="AM1663" s="7"/>
      <c r="AN1663" s="7"/>
      <c r="AO1663" s="7"/>
      <c r="AP1663" s="7"/>
      <c r="AQ1663" s="7"/>
      <c r="AR1663" s="7"/>
      <c r="AS1663" s="7"/>
      <c r="AT1663" s="7"/>
      <c r="AU1663" s="7"/>
      <c r="AV1663" s="7"/>
      <c r="AW1663" s="7"/>
      <c r="AX1663" s="7"/>
      <c r="AY1663" s="7"/>
      <c r="AZ1663" s="7"/>
      <c r="BA1663" s="7"/>
      <c r="BB1663" s="7"/>
      <c r="BC1663" s="7"/>
      <c r="BD1663" s="7"/>
      <c r="BE1663" s="7"/>
      <c r="BF1663" s="7"/>
      <c r="BG1663" s="7"/>
      <c r="BH1663" s="7"/>
      <c r="BI1663" s="7"/>
      <c r="BJ1663" s="7"/>
      <c r="BK1663" s="7"/>
      <c r="BL1663" s="7"/>
      <c r="BM1663" s="7"/>
      <c r="BN1663" s="7"/>
      <c r="BO1663" s="7"/>
      <c r="BP1663" s="7"/>
      <c r="BQ1663" s="7"/>
      <c r="BR1663" s="7"/>
      <c r="BS1663" s="7"/>
      <c r="BT1663" s="7"/>
      <c r="BU1663" s="7"/>
      <c r="BV1663" s="7"/>
      <c r="BW1663" s="7"/>
      <c r="BX1663" s="7"/>
      <c r="BY1663" s="7"/>
      <c r="BZ1663" s="7"/>
      <c r="CA1663" s="7"/>
      <c r="CB1663" s="7"/>
      <c r="CC1663" s="7"/>
      <c r="CD1663" s="7"/>
      <c r="CE1663" s="7"/>
      <c r="CF1663" s="7"/>
      <c r="CG1663" s="7"/>
    </row>
    <row r="1664" spans="3:85"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  <c r="AA1664" s="7"/>
      <c r="AB1664" s="7"/>
      <c r="AC1664" s="7"/>
      <c r="AD1664" s="7"/>
      <c r="AF1664" s="7"/>
      <c r="AG1664" s="7"/>
      <c r="AH1664" s="7"/>
      <c r="AI1664" s="7"/>
      <c r="AJ1664" s="7"/>
      <c r="AK1664" s="7"/>
      <c r="AL1664" s="7"/>
      <c r="AM1664" s="7"/>
      <c r="AN1664" s="7"/>
      <c r="AO1664" s="7"/>
      <c r="AP1664" s="7"/>
      <c r="AQ1664" s="7"/>
      <c r="AR1664" s="7"/>
      <c r="AS1664" s="7"/>
      <c r="AT1664" s="7"/>
      <c r="AU1664" s="7"/>
      <c r="AV1664" s="7"/>
      <c r="AW1664" s="7"/>
      <c r="AX1664" s="7"/>
      <c r="AY1664" s="7"/>
      <c r="AZ1664" s="7"/>
      <c r="BA1664" s="7"/>
      <c r="BB1664" s="7"/>
      <c r="BC1664" s="7"/>
      <c r="BD1664" s="7"/>
      <c r="BE1664" s="7"/>
      <c r="BF1664" s="7"/>
      <c r="BG1664" s="7"/>
      <c r="BH1664" s="7"/>
      <c r="BI1664" s="7"/>
      <c r="BJ1664" s="7"/>
      <c r="BK1664" s="7"/>
      <c r="BL1664" s="7"/>
      <c r="BM1664" s="7"/>
      <c r="BN1664" s="7"/>
      <c r="BO1664" s="7"/>
      <c r="BP1664" s="7"/>
      <c r="BQ1664" s="7"/>
      <c r="BR1664" s="7"/>
      <c r="BS1664" s="7"/>
      <c r="BT1664" s="7"/>
      <c r="BU1664" s="7"/>
      <c r="BV1664" s="7"/>
      <c r="BW1664" s="7"/>
      <c r="BX1664" s="7"/>
      <c r="BY1664" s="7"/>
      <c r="BZ1664" s="7"/>
      <c r="CA1664" s="7"/>
      <c r="CB1664" s="7"/>
      <c r="CC1664" s="7"/>
      <c r="CD1664" s="7"/>
      <c r="CE1664" s="7"/>
      <c r="CF1664" s="7"/>
      <c r="CG1664" s="7"/>
    </row>
    <row r="1665" spans="3:85"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  <c r="AA1665" s="7"/>
      <c r="AB1665" s="7"/>
      <c r="AC1665" s="7"/>
      <c r="AD1665" s="7"/>
      <c r="AF1665" s="7"/>
      <c r="AG1665" s="7"/>
      <c r="AH1665" s="7"/>
      <c r="AI1665" s="7"/>
      <c r="AJ1665" s="7"/>
      <c r="AK1665" s="7"/>
      <c r="AL1665" s="7"/>
      <c r="AM1665" s="7"/>
      <c r="AN1665" s="7"/>
      <c r="AO1665" s="7"/>
      <c r="AP1665" s="7"/>
      <c r="AQ1665" s="7"/>
      <c r="AR1665" s="7"/>
      <c r="AS1665" s="7"/>
      <c r="AT1665" s="7"/>
      <c r="AU1665" s="7"/>
      <c r="AV1665" s="7"/>
      <c r="AW1665" s="7"/>
      <c r="AX1665" s="7"/>
      <c r="AY1665" s="7"/>
      <c r="AZ1665" s="7"/>
      <c r="BA1665" s="7"/>
      <c r="BB1665" s="7"/>
      <c r="BC1665" s="7"/>
      <c r="BD1665" s="7"/>
      <c r="BE1665" s="7"/>
      <c r="BF1665" s="7"/>
      <c r="BG1665" s="7"/>
      <c r="BH1665" s="7"/>
      <c r="BI1665" s="7"/>
      <c r="BJ1665" s="7"/>
      <c r="BK1665" s="7"/>
      <c r="BL1665" s="7"/>
      <c r="BM1665" s="7"/>
      <c r="BN1665" s="7"/>
      <c r="BO1665" s="7"/>
      <c r="BP1665" s="7"/>
      <c r="BQ1665" s="7"/>
      <c r="BR1665" s="7"/>
      <c r="BS1665" s="7"/>
      <c r="BT1665" s="7"/>
      <c r="BU1665" s="7"/>
      <c r="BV1665" s="7"/>
      <c r="BW1665" s="7"/>
      <c r="BX1665" s="7"/>
      <c r="BY1665" s="7"/>
      <c r="BZ1665" s="7"/>
      <c r="CA1665" s="7"/>
      <c r="CB1665" s="7"/>
      <c r="CC1665" s="7"/>
      <c r="CD1665" s="7"/>
      <c r="CE1665" s="7"/>
      <c r="CF1665" s="7"/>
      <c r="CG1665" s="7"/>
    </row>
    <row r="1666" spans="3:85"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  <c r="AA1666" s="7"/>
      <c r="AB1666" s="7"/>
      <c r="AC1666" s="7"/>
      <c r="AD1666" s="7"/>
      <c r="AF1666" s="7"/>
      <c r="AG1666" s="7"/>
      <c r="AH1666" s="7"/>
      <c r="AI1666" s="7"/>
      <c r="AJ1666" s="7"/>
      <c r="AK1666" s="7"/>
      <c r="AL1666" s="7"/>
      <c r="AM1666" s="7"/>
      <c r="AN1666" s="7"/>
      <c r="AO1666" s="7"/>
      <c r="AP1666" s="7"/>
      <c r="AQ1666" s="7"/>
      <c r="AR1666" s="7"/>
      <c r="AS1666" s="7"/>
      <c r="AT1666" s="7"/>
      <c r="AU1666" s="7"/>
      <c r="AV1666" s="7"/>
      <c r="AW1666" s="7"/>
      <c r="AX1666" s="7"/>
      <c r="AY1666" s="7"/>
      <c r="AZ1666" s="7"/>
      <c r="BA1666" s="7"/>
      <c r="BB1666" s="7"/>
      <c r="BC1666" s="7"/>
      <c r="BD1666" s="7"/>
      <c r="BE1666" s="7"/>
      <c r="BF1666" s="7"/>
      <c r="BG1666" s="7"/>
      <c r="BH1666" s="7"/>
      <c r="BI1666" s="7"/>
      <c r="BJ1666" s="7"/>
      <c r="BK1666" s="7"/>
      <c r="BL1666" s="7"/>
      <c r="BM1666" s="7"/>
      <c r="BN1666" s="7"/>
      <c r="BO1666" s="7"/>
      <c r="BP1666" s="7"/>
      <c r="BQ1666" s="7"/>
      <c r="BR1666" s="7"/>
      <c r="BS1666" s="7"/>
      <c r="BT1666" s="7"/>
      <c r="BU1666" s="7"/>
      <c r="BV1666" s="7"/>
      <c r="BW1666" s="7"/>
      <c r="BX1666" s="7"/>
      <c r="BY1666" s="7"/>
      <c r="BZ1666" s="7"/>
      <c r="CA1666" s="7"/>
      <c r="CB1666" s="7"/>
      <c r="CC1666" s="7"/>
      <c r="CD1666" s="7"/>
      <c r="CE1666" s="7"/>
      <c r="CF1666" s="7"/>
      <c r="CG1666" s="7"/>
    </row>
    <row r="1667" spans="3:85"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  <c r="AA1667" s="7"/>
      <c r="AB1667" s="7"/>
      <c r="AC1667" s="7"/>
      <c r="AD1667" s="7"/>
      <c r="AF1667" s="7"/>
      <c r="AG1667" s="7"/>
      <c r="AH1667" s="7"/>
      <c r="AI1667" s="7"/>
      <c r="AJ1667" s="7"/>
      <c r="AK1667" s="7"/>
      <c r="AL1667" s="7"/>
      <c r="AM1667" s="7"/>
      <c r="AN1667" s="7"/>
      <c r="AO1667" s="7"/>
      <c r="AP1667" s="7"/>
      <c r="AQ1667" s="7"/>
      <c r="AR1667" s="7"/>
      <c r="AS1667" s="7"/>
      <c r="AT1667" s="7"/>
      <c r="AU1667" s="7"/>
      <c r="AV1667" s="7"/>
      <c r="AW1667" s="7"/>
      <c r="AX1667" s="7"/>
      <c r="AY1667" s="7"/>
      <c r="AZ1667" s="7"/>
      <c r="BA1667" s="7"/>
      <c r="BB1667" s="7"/>
      <c r="BC1667" s="7"/>
      <c r="BD1667" s="7"/>
      <c r="BE1667" s="7"/>
      <c r="BF1667" s="7"/>
      <c r="BG1667" s="7"/>
      <c r="BH1667" s="7"/>
      <c r="BI1667" s="7"/>
      <c r="BJ1667" s="7"/>
      <c r="BK1667" s="7"/>
      <c r="BL1667" s="7"/>
      <c r="BM1667" s="7"/>
      <c r="BN1667" s="7"/>
      <c r="BO1667" s="7"/>
      <c r="BP1667" s="7"/>
      <c r="BQ1667" s="7"/>
      <c r="BR1667" s="7"/>
      <c r="BS1667" s="7"/>
      <c r="BT1667" s="7"/>
      <c r="BU1667" s="7"/>
      <c r="BV1667" s="7"/>
      <c r="BW1667" s="7"/>
      <c r="BX1667" s="7"/>
      <c r="BY1667" s="7"/>
      <c r="BZ1667" s="7"/>
      <c r="CA1667" s="7"/>
      <c r="CB1667" s="7"/>
      <c r="CC1667" s="7"/>
      <c r="CD1667" s="7"/>
      <c r="CE1667" s="7"/>
      <c r="CF1667" s="7"/>
      <c r="CG1667" s="7"/>
    </row>
    <row r="1668" spans="3:85"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  <c r="AA1668" s="7"/>
      <c r="AB1668" s="7"/>
      <c r="AC1668" s="7"/>
      <c r="AD1668" s="7"/>
      <c r="AF1668" s="7"/>
      <c r="AG1668" s="7"/>
      <c r="AH1668" s="7"/>
      <c r="AI1668" s="7"/>
      <c r="AJ1668" s="7"/>
      <c r="AK1668" s="7"/>
      <c r="AL1668" s="7"/>
      <c r="AM1668" s="7"/>
      <c r="AN1668" s="7"/>
      <c r="AO1668" s="7"/>
      <c r="AP1668" s="7"/>
      <c r="AQ1668" s="7"/>
      <c r="AR1668" s="7"/>
      <c r="AS1668" s="7"/>
      <c r="AT1668" s="7"/>
      <c r="AU1668" s="7"/>
      <c r="AV1668" s="7"/>
      <c r="AW1668" s="7"/>
      <c r="AX1668" s="7"/>
      <c r="AY1668" s="7"/>
      <c r="AZ1668" s="7"/>
      <c r="BA1668" s="7"/>
      <c r="BB1668" s="7"/>
      <c r="BC1668" s="7"/>
      <c r="BD1668" s="7"/>
      <c r="BE1668" s="7"/>
      <c r="BF1668" s="7"/>
      <c r="BG1668" s="7"/>
      <c r="BH1668" s="7"/>
      <c r="BI1668" s="7"/>
      <c r="BJ1668" s="7"/>
      <c r="BK1668" s="7"/>
      <c r="BL1668" s="7"/>
      <c r="BM1668" s="7"/>
      <c r="BN1668" s="7"/>
      <c r="BO1668" s="7"/>
      <c r="BP1668" s="7"/>
      <c r="BQ1668" s="7"/>
      <c r="BR1668" s="7"/>
      <c r="BS1668" s="7"/>
      <c r="BT1668" s="7"/>
      <c r="BU1668" s="7"/>
      <c r="BV1668" s="7"/>
      <c r="BW1668" s="7"/>
      <c r="BX1668" s="7"/>
      <c r="BY1668" s="7"/>
      <c r="BZ1668" s="7"/>
      <c r="CA1668" s="7"/>
      <c r="CB1668" s="7"/>
      <c r="CC1668" s="7"/>
      <c r="CD1668" s="7"/>
      <c r="CE1668" s="7"/>
      <c r="CF1668" s="7"/>
      <c r="CG1668" s="7"/>
    </row>
    <row r="1669" spans="3:85"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  <c r="AA1669" s="7"/>
      <c r="AB1669" s="7"/>
      <c r="AC1669" s="7"/>
      <c r="AD1669" s="7"/>
      <c r="AF1669" s="7"/>
      <c r="AG1669" s="7"/>
      <c r="AH1669" s="7"/>
      <c r="AI1669" s="7"/>
      <c r="AJ1669" s="7"/>
      <c r="AK1669" s="7"/>
      <c r="AL1669" s="7"/>
      <c r="AM1669" s="7"/>
      <c r="AN1669" s="7"/>
      <c r="AO1669" s="7"/>
      <c r="AP1669" s="7"/>
      <c r="AQ1669" s="7"/>
      <c r="AR1669" s="7"/>
      <c r="AS1669" s="7"/>
      <c r="AT1669" s="7"/>
      <c r="AU1669" s="7"/>
      <c r="AV1669" s="7"/>
      <c r="AW1669" s="7"/>
      <c r="AX1669" s="7"/>
      <c r="AY1669" s="7"/>
      <c r="AZ1669" s="7"/>
      <c r="BA1669" s="7"/>
      <c r="BB1669" s="7"/>
      <c r="BC1669" s="7"/>
      <c r="BD1669" s="7"/>
      <c r="BE1669" s="7"/>
      <c r="BF1669" s="7"/>
      <c r="BG1669" s="7"/>
      <c r="BH1669" s="7"/>
      <c r="BI1669" s="7"/>
      <c r="BJ1669" s="7"/>
      <c r="BK1669" s="7"/>
      <c r="BL1669" s="7"/>
      <c r="BM1669" s="7"/>
      <c r="BN1669" s="7"/>
      <c r="BO1669" s="7"/>
      <c r="BP1669" s="7"/>
      <c r="BQ1669" s="7"/>
      <c r="BR1669" s="7"/>
      <c r="BS1669" s="7"/>
      <c r="BT1669" s="7"/>
      <c r="BU1669" s="7"/>
      <c r="BV1669" s="7"/>
      <c r="BW1669" s="7"/>
      <c r="BX1669" s="7"/>
      <c r="BY1669" s="7"/>
      <c r="BZ1669" s="7"/>
      <c r="CA1669" s="7"/>
      <c r="CB1669" s="7"/>
      <c r="CC1669" s="7"/>
      <c r="CD1669" s="7"/>
      <c r="CE1669" s="7"/>
      <c r="CF1669" s="7"/>
      <c r="CG1669" s="7"/>
    </row>
    <row r="1670" spans="3:85"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  <c r="AA1670" s="7"/>
      <c r="AB1670" s="7"/>
      <c r="AC1670" s="7"/>
      <c r="AD1670" s="7"/>
      <c r="AF1670" s="7"/>
      <c r="AG1670" s="7"/>
      <c r="AH1670" s="7"/>
      <c r="AI1670" s="7"/>
      <c r="AJ1670" s="7"/>
      <c r="AK1670" s="7"/>
      <c r="AL1670" s="7"/>
      <c r="AM1670" s="7"/>
      <c r="AN1670" s="7"/>
      <c r="AO1670" s="7"/>
      <c r="AP1670" s="7"/>
      <c r="AQ1670" s="7"/>
      <c r="AR1670" s="7"/>
      <c r="AS1670" s="7"/>
      <c r="AT1670" s="7"/>
      <c r="AU1670" s="7"/>
      <c r="AV1670" s="7"/>
      <c r="AW1670" s="7"/>
      <c r="AX1670" s="7"/>
      <c r="AY1670" s="7"/>
      <c r="AZ1670" s="7"/>
      <c r="BA1670" s="7"/>
      <c r="BB1670" s="7"/>
      <c r="BC1670" s="7"/>
      <c r="BD1670" s="7"/>
      <c r="BE1670" s="7"/>
      <c r="BF1670" s="7"/>
      <c r="BG1670" s="7"/>
      <c r="BH1670" s="7"/>
      <c r="BI1670" s="7"/>
      <c r="BJ1670" s="7"/>
      <c r="BK1670" s="7"/>
      <c r="BL1670" s="7"/>
      <c r="BM1670" s="7"/>
      <c r="BN1670" s="7"/>
      <c r="BO1670" s="7"/>
      <c r="BP1670" s="7"/>
      <c r="BQ1670" s="7"/>
      <c r="BR1670" s="7"/>
      <c r="BS1670" s="7"/>
      <c r="BT1670" s="7"/>
      <c r="BU1670" s="7"/>
      <c r="BV1670" s="7"/>
      <c r="BW1670" s="7"/>
      <c r="BX1670" s="7"/>
      <c r="BY1670" s="7"/>
      <c r="BZ1670" s="7"/>
      <c r="CA1670" s="7"/>
      <c r="CB1670" s="7"/>
      <c r="CC1670" s="7"/>
      <c r="CD1670" s="7"/>
      <c r="CE1670" s="7"/>
      <c r="CF1670" s="7"/>
      <c r="CG1670" s="7"/>
    </row>
    <row r="1671" spans="3:85"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  <c r="AA1671" s="7"/>
      <c r="AB1671" s="7"/>
      <c r="AC1671" s="7"/>
      <c r="AD1671" s="7"/>
      <c r="AF1671" s="7"/>
      <c r="AG1671" s="7"/>
      <c r="AH1671" s="7"/>
      <c r="AI1671" s="7"/>
      <c r="AJ1671" s="7"/>
      <c r="AK1671" s="7"/>
      <c r="AL1671" s="7"/>
      <c r="AM1671" s="7"/>
      <c r="AN1671" s="7"/>
      <c r="AO1671" s="7"/>
      <c r="AP1671" s="7"/>
      <c r="AQ1671" s="7"/>
      <c r="AR1671" s="7"/>
      <c r="AS1671" s="7"/>
      <c r="AT1671" s="7"/>
      <c r="AU1671" s="7"/>
      <c r="AV1671" s="7"/>
      <c r="AW1671" s="7"/>
      <c r="AX1671" s="7"/>
      <c r="AY1671" s="7"/>
      <c r="AZ1671" s="7"/>
      <c r="BA1671" s="7"/>
      <c r="BB1671" s="7"/>
      <c r="BC1671" s="7"/>
      <c r="BD1671" s="7"/>
      <c r="BE1671" s="7"/>
      <c r="BF1671" s="7"/>
      <c r="BG1671" s="7"/>
      <c r="BH1671" s="7"/>
      <c r="BI1671" s="7"/>
      <c r="BJ1671" s="7"/>
      <c r="BK1671" s="7"/>
      <c r="BL1671" s="7"/>
      <c r="BM1671" s="7"/>
      <c r="BN1671" s="7"/>
      <c r="BO1671" s="7"/>
      <c r="BP1671" s="7"/>
      <c r="BQ1671" s="7"/>
      <c r="BR1671" s="7"/>
      <c r="BS1671" s="7"/>
      <c r="BT1671" s="7"/>
      <c r="BU1671" s="7"/>
      <c r="BV1671" s="7"/>
      <c r="BW1671" s="7"/>
      <c r="BX1671" s="7"/>
      <c r="BY1671" s="7"/>
      <c r="BZ1671" s="7"/>
      <c r="CA1671" s="7"/>
      <c r="CB1671" s="7"/>
      <c r="CC1671" s="7"/>
      <c r="CD1671" s="7"/>
      <c r="CE1671" s="7"/>
      <c r="CF1671" s="7"/>
      <c r="CG1671" s="7"/>
    </row>
    <row r="1672" spans="3:85"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  <c r="AA1672" s="7"/>
      <c r="AB1672" s="7"/>
      <c r="AC1672" s="7"/>
      <c r="AD1672" s="7"/>
      <c r="AF1672" s="7"/>
      <c r="AG1672" s="7"/>
      <c r="AH1672" s="7"/>
      <c r="AI1672" s="7"/>
      <c r="AJ1672" s="7"/>
      <c r="AK1672" s="7"/>
      <c r="AL1672" s="7"/>
      <c r="AM1672" s="7"/>
      <c r="AN1672" s="7"/>
      <c r="AO1672" s="7"/>
      <c r="AP1672" s="7"/>
      <c r="AQ1672" s="7"/>
      <c r="AR1672" s="7"/>
      <c r="AS1672" s="7"/>
      <c r="AT1672" s="7"/>
      <c r="AU1672" s="7"/>
      <c r="AV1672" s="7"/>
      <c r="AW1672" s="7"/>
      <c r="AX1672" s="7"/>
      <c r="AY1672" s="7"/>
      <c r="AZ1672" s="7"/>
      <c r="BA1672" s="7"/>
      <c r="BB1672" s="7"/>
      <c r="BC1672" s="7"/>
      <c r="BD1672" s="7"/>
      <c r="BE1672" s="7"/>
      <c r="BF1672" s="7"/>
      <c r="BG1672" s="7"/>
      <c r="BH1672" s="7"/>
      <c r="BI1672" s="7"/>
      <c r="BJ1672" s="7"/>
      <c r="BK1672" s="7"/>
      <c r="BL1672" s="7"/>
      <c r="BM1672" s="7"/>
      <c r="BN1672" s="7"/>
      <c r="BO1672" s="7"/>
      <c r="BP1672" s="7"/>
      <c r="BQ1672" s="7"/>
      <c r="BR1672" s="7"/>
      <c r="BS1672" s="7"/>
      <c r="BT1672" s="7"/>
      <c r="BU1672" s="7"/>
      <c r="BV1672" s="7"/>
      <c r="BW1672" s="7"/>
      <c r="BX1672" s="7"/>
      <c r="BY1672" s="7"/>
      <c r="BZ1672" s="7"/>
      <c r="CA1672" s="7"/>
      <c r="CB1672" s="7"/>
      <c r="CC1672" s="7"/>
      <c r="CD1672" s="7"/>
      <c r="CE1672" s="7"/>
      <c r="CF1672" s="7"/>
      <c r="CG1672" s="7"/>
    </row>
    <row r="1673" spans="3:85"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  <c r="AA1673" s="7"/>
      <c r="AB1673" s="7"/>
      <c r="AC1673" s="7"/>
      <c r="AD1673" s="7"/>
      <c r="AF1673" s="7"/>
      <c r="AG1673" s="7"/>
      <c r="AH1673" s="7"/>
      <c r="AI1673" s="7"/>
      <c r="AJ1673" s="7"/>
      <c r="AK1673" s="7"/>
      <c r="AL1673" s="7"/>
      <c r="AM1673" s="7"/>
      <c r="AN1673" s="7"/>
      <c r="AO1673" s="7"/>
      <c r="AP1673" s="7"/>
      <c r="AQ1673" s="7"/>
      <c r="AR1673" s="7"/>
      <c r="AS1673" s="7"/>
      <c r="AT1673" s="7"/>
      <c r="AU1673" s="7"/>
      <c r="AV1673" s="7"/>
      <c r="AW1673" s="7"/>
      <c r="AX1673" s="7"/>
      <c r="AY1673" s="7"/>
      <c r="AZ1673" s="7"/>
      <c r="BA1673" s="7"/>
      <c r="BB1673" s="7"/>
      <c r="BC1673" s="7"/>
      <c r="BD1673" s="7"/>
      <c r="BE1673" s="7"/>
      <c r="BF1673" s="7"/>
      <c r="BG1673" s="7"/>
      <c r="BH1673" s="7"/>
      <c r="BI1673" s="7"/>
      <c r="BJ1673" s="7"/>
      <c r="BK1673" s="7"/>
      <c r="BL1673" s="7"/>
      <c r="BM1673" s="7"/>
      <c r="BN1673" s="7"/>
      <c r="BO1673" s="7"/>
      <c r="BP1673" s="7"/>
      <c r="BQ1673" s="7"/>
      <c r="BR1673" s="7"/>
      <c r="BS1673" s="7"/>
      <c r="BT1673" s="7"/>
      <c r="BU1673" s="7"/>
      <c r="BV1673" s="7"/>
      <c r="BW1673" s="7"/>
      <c r="BX1673" s="7"/>
      <c r="BY1673" s="7"/>
      <c r="BZ1673" s="7"/>
      <c r="CA1673" s="7"/>
      <c r="CB1673" s="7"/>
      <c r="CC1673" s="7"/>
      <c r="CD1673" s="7"/>
      <c r="CE1673" s="7"/>
      <c r="CF1673" s="7"/>
      <c r="CG1673" s="7"/>
    </row>
    <row r="1674" spans="3:85"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  <c r="AA1674" s="7"/>
      <c r="AB1674" s="7"/>
      <c r="AC1674" s="7"/>
      <c r="AD1674" s="7"/>
      <c r="AF1674" s="7"/>
      <c r="AG1674" s="7"/>
      <c r="AH1674" s="7"/>
      <c r="AI1674" s="7"/>
      <c r="AJ1674" s="7"/>
      <c r="AK1674" s="7"/>
      <c r="AL1674" s="7"/>
      <c r="AM1674" s="7"/>
      <c r="AN1674" s="7"/>
      <c r="AO1674" s="7"/>
      <c r="AP1674" s="7"/>
      <c r="AQ1674" s="7"/>
      <c r="AR1674" s="7"/>
      <c r="AS1674" s="7"/>
      <c r="AT1674" s="7"/>
      <c r="AU1674" s="7"/>
      <c r="AV1674" s="7"/>
      <c r="AW1674" s="7"/>
      <c r="AX1674" s="7"/>
      <c r="AY1674" s="7"/>
      <c r="AZ1674" s="7"/>
      <c r="BA1674" s="7"/>
      <c r="BB1674" s="7"/>
      <c r="BC1674" s="7"/>
      <c r="BD1674" s="7"/>
      <c r="BE1674" s="7"/>
      <c r="BF1674" s="7"/>
      <c r="BG1674" s="7"/>
      <c r="BH1674" s="7"/>
      <c r="BI1674" s="7"/>
      <c r="BJ1674" s="7"/>
      <c r="BK1674" s="7"/>
      <c r="BL1674" s="7"/>
      <c r="BM1674" s="7"/>
      <c r="BN1674" s="7"/>
      <c r="BO1674" s="7"/>
      <c r="BP1674" s="7"/>
      <c r="BQ1674" s="7"/>
      <c r="BR1674" s="7"/>
      <c r="BS1674" s="7"/>
      <c r="BT1674" s="7"/>
      <c r="BU1674" s="7"/>
      <c r="BV1674" s="7"/>
      <c r="BW1674" s="7"/>
      <c r="BX1674" s="7"/>
      <c r="BY1674" s="7"/>
      <c r="BZ1674" s="7"/>
      <c r="CA1674" s="7"/>
      <c r="CB1674" s="7"/>
      <c r="CC1674" s="7"/>
      <c r="CD1674" s="7"/>
      <c r="CE1674" s="7"/>
      <c r="CF1674" s="7"/>
      <c r="CG1674" s="7"/>
    </row>
    <row r="1675" spans="3:85"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  <c r="AA1675" s="7"/>
      <c r="AB1675" s="7"/>
      <c r="AC1675" s="7"/>
      <c r="AD1675" s="7"/>
      <c r="AF1675" s="7"/>
      <c r="AG1675" s="7"/>
      <c r="AH1675" s="7"/>
      <c r="AI1675" s="7"/>
      <c r="AJ1675" s="7"/>
      <c r="AK1675" s="7"/>
      <c r="AL1675" s="7"/>
      <c r="AM1675" s="7"/>
      <c r="AN1675" s="7"/>
      <c r="AO1675" s="7"/>
      <c r="AP1675" s="7"/>
      <c r="AQ1675" s="7"/>
      <c r="AR1675" s="7"/>
      <c r="AS1675" s="7"/>
      <c r="AT1675" s="7"/>
      <c r="AU1675" s="7"/>
      <c r="AV1675" s="7"/>
      <c r="AW1675" s="7"/>
      <c r="AX1675" s="7"/>
      <c r="AY1675" s="7"/>
      <c r="AZ1675" s="7"/>
      <c r="BA1675" s="7"/>
      <c r="BB1675" s="7"/>
      <c r="BC1675" s="7"/>
      <c r="BD1675" s="7"/>
      <c r="BE1675" s="7"/>
      <c r="BF1675" s="7"/>
      <c r="BG1675" s="7"/>
      <c r="BH1675" s="7"/>
      <c r="BI1675" s="7"/>
      <c r="BJ1675" s="7"/>
      <c r="BK1675" s="7"/>
      <c r="BL1675" s="7"/>
      <c r="BM1675" s="7"/>
      <c r="BN1675" s="7"/>
      <c r="BO1675" s="7"/>
      <c r="BP1675" s="7"/>
      <c r="BQ1675" s="7"/>
      <c r="BR1675" s="7"/>
      <c r="BS1675" s="7"/>
      <c r="BT1675" s="7"/>
      <c r="BU1675" s="7"/>
      <c r="BV1675" s="7"/>
      <c r="BW1675" s="7"/>
      <c r="BX1675" s="7"/>
      <c r="BY1675" s="7"/>
      <c r="BZ1675" s="7"/>
      <c r="CA1675" s="7"/>
      <c r="CB1675" s="7"/>
      <c r="CC1675" s="7"/>
      <c r="CD1675" s="7"/>
      <c r="CE1675" s="7"/>
      <c r="CF1675" s="7"/>
      <c r="CG1675" s="7"/>
    </row>
    <row r="1676" spans="3:85"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  <c r="AA1676" s="7"/>
      <c r="AB1676" s="7"/>
      <c r="AC1676" s="7"/>
      <c r="AD1676" s="7"/>
      <c r="AF1676" s="7"/>
      <c r="AG1676" s="7"/>
      <c r="AH1676" s="7"/>
      <c r="AI1676" s="7"/>
      <c r="AJ1676" s="7"/>
      <c r="AK1676" s="7"/>
      <c r="AL1676" s="7"/>
      <c r="AM1676" s="7"/>
      <c r="AN1676" s="7"/>
      <c r="AO1676" s="7"/>
      <c r="AP1676" s="7"/>
      <c r="AQ1676" s="7"/>
      <c r="AR1676" s="7"/>
      <c r="AS1676" s="7"/>
      <c r="AT1676" s="7"/>
      <c r="AU1676" s="7"/>
      <c r="AV1676" s="7"/>
      <c r="AW1676" s="7"/>
      <c r="AX1676" s="7"/>
      <c r="AY1676" s="7"/>
      <c r="AZ1676" s="7"/>
      <c r="BA1676" s="7"/>
      <c r="BB1676" s="7"/>
      <c r="BC1676" s="7"/>
      <c r="BD1676" s="7"/>
      <c r="BE1676" s="7"/>
      <c r="BF1676" s="7"/>
      <c r="BG1676" s="7"/>
      <c r="BH1676" s="7"/>
      <c r="BI1676" s="7"/>
      <c r="BJ1676" s="7"/>
      <c r="BK1676" s="7"/>
      <c r="BL1676" s="7"/>
      <c r="BM1676" s="7"/>
      <c r="BN1676" s="7"/>
      <c r="BO1676" s="7"/>
      <c r="BP1676" s="7"/>
      <c r="BQ1676" s="7"/>
      <c r="BR1676" s="7"/>
      <c r="BS1676" s="7"/>
      <c r="BT1676" s="7"/>
      <c r="BU1676" s="7"/>
      <c r="BV1676" s="7"/>
      <c r="BW1676" s="7"/>
      <c r="BX1676" s="7"/>
      <c r="BY1676" s="7"/>
      <c r="BZ1676" s="7"/>
      <c r="CA1676" s="7"/>
      <c r="CB1676" s="7"/>
      <c r="CC1676" s="7"/>
      <c r="CD1676" s="7"/>
      <c r="CE1676" s="7"/>
      <c r="CF1676" s="7"/>
      <c r="CG1676" s="7"/>
    </row>
    <row r="1677" spans="3:85"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  <c r="AA1677" s="7"/>
      <c r="AB1677" s="7"/>
      <c r="AC1677" s="7"/>
      <c r="AD1677" s="7"/>
      <c r="AF1677" s="7"/>
      <c r="AG1677" s="7"/>
      <c r="AH1677" s="7"/>
      <c r="AI1677" s="7"/>
      <c r="AJ1677" s="7"/>
      <c r="AK1677" s="7"/>
      <c r="AL1677" s="7"/>
      <c r="AM1677" s="7"/>
      <c r="AN1677" s="7"/>
      <c r="AO1677" s="7"/>
      <c r="AP1677" s="7"/>
      <c r="AQ1677" s="7"/>
      <c r="AR1677" s="7"/>
      <c r="AS1677" s="7"/>
      <c r="AT1677" s="7"/>
      <c r="AU1677" s="7"/>
      <c r="AV1677" s="7"/>
      <c r="AW1677" s="7"/>
      <c r="AX1677" s="7"/>
      <c r="AY1677" s="7"/>
      <c r="AZ1677" s="7"/>
      <c r="BA1677" s="7"/>
      <c r="BB1677" s="7"/>
      <c r="BC1677" s="7"/>
      <c r="BD1677" s="7"/>
      <c r="BE1677" s="7"/>
      <c r="BF1677" s="7"/>
      <c r="BG1677" s="7"/>
      <c r="BH1677" s="7"/>
      <c r="BI1677" s="7"/>
      <c r="BJ1677" s="7"/>
      <c r="BK1677" s="7"/>
      <c r="BL1677" s="7"/>
      <c r="BM1677" s="7"/>
      <c r="BN1677" s="7"/>
      <c r="BO1677" s="7"/>
      <c r="BP1677" s="7"/>
      <c r="BQ1677" s="7"/>
      <c r="BR1677" s="7"/>
      <c r="BS1677" s="7"/>
      <c r="BT1677" s="7"/>
      <c r="BU1677" s="7"/>
      <c r="BV1677" s="7"/>
      <c r="BW1677" s="7"/>
      <c r="BX1677" s="7"/>
      <c r="BY1677" s="7"/>
      <c r="BZ1677" s="7"/>
      <c r="CA1677" s="7"/>
      <c r="CB1677" s="7"/>
      <c r="CC1677" s="7"/>
      <c r="CD1677" s="7"/>
      <c r="CE1677" s="7"/>
      <c r="CF1677" s="7"/>
      <c r="CG1677" s="7"/>
    </row>
    <row r="1678" spans="3:85"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  <c r="AA1678" s="7"/>
      <c r="AB1678" s="7"/>
      <c r="AC1678" s="7"/>
      <c r="AD1678" s="7"/>
      <c r="AF1678" s="7"/>
      <c r="AG1678" s="7"/>
      <c r="AH1678" s="7"/>
      <c r="AI1678" s="7"/>
      <c r="AJ1678" s="7"/>
      <c r="AK1678" s="7"/>
      <c r="AL1678" s="7"/>
      <c r="AM1678" s="7"/>
      <c r="AN1678" s="7"/>
      <c r="AO1678" s="7"/>
      <c r="AP1678" s="7"/>
      <c r="AQ1678" s="7"/>
      <c r="AR1678" s="7"/>
      <c r="AS1678" s="7"/>
      <c r="AT1678" s="7"/>
      <c r="AU1678" s="7"/>
      <c r="AV1678" s="7"/>
      <c r="AW1678" s="7"/>
      <c r="AX1678" s="7"/>
      <c r="AY1678" s="7"/>
      <c r="AZ1678" s="7"/>
      <c r="BA1678" s="7"/>
      <c r="BB1678" s="7"/>
      <c r="BC1678" s="7"/>
      <c r="BD1678" s="7"/>
      <c r="BE1678" s="7"/>
      <c r="BF1678" s="7"/>
      <c r="BG1678" s="7"/>
      <c r="BH1678" s="7"/>
      <c r="BI1678" s="7"/>
      <c r="BJ1678" s="7"/>
      <c r="BK1678" s="7"/>
      <c r="BL1678" s="7"/>
      <c r="BM1678" s="7"/>
      <c r="BN1678" s="7"/>
      <c r="BO1678" s="7"/>
      <c r="BP1678" s="7"/>
      <c r="BQ1678" s="7"/>
      <c r="BR1678" s="7"/>
      <c r="BS1678" s="7"/>
      <c r="BT1678" s="7"/>
      <c r="BU1678" s="7"/>
      <c r="BV1678" s="7"/>
      <c r="BW1678" s="7"/>
      <c r="BX1678" s="7"/>
      <c r="BY1678" s="7"/>
      <c r="BZ1678" s="7"/>
      <c r="CA1678" s="7"/>
      <c r="CB1678" s="7"/>
      <c r="CC1678" s="7"/>
      <c r="CD1678" s="7"/>
      <c r="CE1678" s="7"/>
      <c r="CF1678" s="7"/>
      <c r="CG1678" s="7"/>
    </row>
    <row r="1679" spans="3:85"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  <c r="AA1679" s="7"/>
      <c r="AB1679" s="7"/>
      <c r="AC1679" s="7"/>
      <c r="AD1679" s="7"/>
      <c r="AF1679" s="7"/>
      <c r="AG1679" s="7"/>
      <c r="AH1679" s="7"/>
      <c r="AI1679" s="7"/>
      <c r="AJ1679" s="7"/>
      <c r="AK1679" s="7"/>
      <c r="AL1679" s="7"/>
      <c r="AM1679" s="7"/>
      <c r="AN1679" s="7"/>
      <c r="AO1679" s="7"/>
      <c r="AP1679" s="7"/>
      <c r="AQ1679" s="7"/>
      <c r="AR1679" s="7"/>
      <c r="AS1679" s="7"/>
      <c r="AT1679" s="7"/>
      <c r="AU1679" s="7"/>
      <c r="AV1679" s="7"/>
      <c r="AW1679" s="7"/>
      <c r="AX1679" s="7"/>
      <c r="AY1679" s="7"/>
      <c r="AZ1679" s="7"/>
      <c r="BA1679" s="7"/>
      <c r="BB1679" s="7"/>
      <c r="BC1679" s="7"/>
      <c r="BD1679" s="7"/>
      <c r="BE1679" s="7"/>
      <c r="BF1679" s="7"/>
      <c r="BG1679" s="7"/>
      <c r="BH1679" s="7"/>
      <c r="BI1679" s="7"/>
      <c r="BJ1679" s="7"/>
      <c r="BK1679" s="7"/>
      <c r="BL1679" s="7"/>
      <c r="BM1679" s="7"/>
      <c r="BN1679" s="7"/>
      <c r="BO1679" s="7"/>
      <c r="BP1679" s="7"/>
      <c r="BQ1679" s="7"/>
      <c r="BR1679" s="7"/>
      <c r="BS1679" s="7"/>
      <c r="BT1679" s="7"/>
      <c r="BU1679" s="7"/>
      <c r="BV1679" s="7"/>
      <c r="BW1679" s="7"/>
      <c r="BX1679" s="7"/>
      <c r="BY1679" s="7"/>
      <c r="BZ1679" s="7"/>
      <c r="CA1679" s="7"/>
      <c r="CB1679" s="7"/>
      <c r="CC1679" s="7"/>
      <c r="CD1679" s="7"/>
      <c r="CE1679" s="7"/>
      <c r="CF1679" s="7"/>
      <c r="CG1679" s="7"/>
    </row>
    <row r="1680" spans="3:85"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  <c r="AA1680" s="7"/>
      <c r="AB1680" s="7"/>
      <c r="AC1680" s="7"/>
      <c r="AD1680" s="7"/>
      <c r="AF1680" s="7"/>
      <c r="AG1680" s="7"/>
      <c r="AH1680" s="7"/>
      <c r="AI1680" s="7"/>
      <c r="AJ1680" s="7"/>
      <c r="AK1680" s="7"/>
      <c r="AL1680" s="7"/>
      <c r="AM1680" s="7"/>
      <c r="AN1680" s="7"/>
      <c r="AO1680" s="7"/>
      <c r="AP1680" s="7"/>
      <c r="AQ1680" s="7"/>
      <c r="AR1680" s="7"/>
      <c r="AS1680" s="7"/>
      <c r="AT1680" s="7"/>
      <c r="AU1680" s="7"/>
      <c r="AV1680" s="7"/>
      <c r="AW1680" s="7"/>
      <c r="AX1680" s="7"/>
      <c r="AY1680" s="7"/>
      <c r="AZ1680" s="7"/>
      <c r="BA1680" s="7"/>
      <c r="BB1680" s="7"/>
      <c r="BC1680" s="7"/>
      <c r="BD1680" s="7"/>
      <c r="BE1680" s="7"/>
      <c r="BF1680" s="7"/>
      <c r="BG1680" s="7"/>
      <c r="BH1680" s="7"/>
      <c r="BI1680" s="7"/>
      <c r="BJ1680" s="7"/>
      <c r="BK1680" s="7"/>
      <c r="BL1680" s="7"/>
      <c r="BM1680" s="7"/>
      <c r="BN1680" s="7"/>
      <c r="BO1680" s="7"/>
      <c r="BP1680" s="7"/>
      <c r="BQ1680" s="7"/>
      <c r="BR1680" s="7"/>
      <c r="BS1680" s="7"/>
      <c r="BT1680" s="7"/>
      <c r="BU1680" s="7"/>
      <c r="BV1680" s="7"/>
      <c r="BW1680" s="7"/>
      <c r="BX1680" s="7"/>
      <c r="BY1680" s="7"/>
      <c r="BZ1680" s="7"/>
      <c r="CA1680" s="7"/>
      <c r="CB1680" s="7"/>
      <c r="CC1680" s="7"/>
      <c r="CD1680" s="7"/>
      <c r="CE1680" s="7"/>
      <c r="CF1680" s="7"/>
      <c r="CG1680" s="7"/>
    </row>
    <row r="1681" spans="3:85"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  <c r="AA1681" s="7"/>
      <c r="AB1681" s="7"/>
      <c r="AC1681" s="7"/>
      <c r="AD1681" s="7"/>
      <c r="AF1681" s="7"/>
      <c r="AG1681" s="7"/>
      <c r="AH1681" s="7"/>
      <c r="AI1681" s="7"/>
      <c r="AJ1681" s="7"/>
      <c r="AK1681" s="7"/>
      <c r="AL1681" s="7"/>
      <c r="AM1681" s="7"/>
      <c r="AN1681" s="7"/>
      <c r="AO1681" s="7"/>
      <c r="AP1681" s="7"/>
      <c r="AQ1681" s="7"/>
      <c r="AR1681" s="7"/>
      <c r="AS1681" s="7"/>
      <c r="AT1681" s="7"/>
      <c r="AU1681" s="7"/>
      <c r="AV1681" s="7"/>
      <c r="AW1681" s="7"/>
      <c r="AX1681" s="7"/>
      <c r="AY1681" s="7"/>
      <c r="AZ1681" s="7"/>
      <c r="BA1681" s="7"/>
      <c r="BB1681" s="7"/>
      <c r="BC1681" s="7"/>
      <c r="BD1681" s="7"/>
      <c r="BE1681" s="7"/>
      <c r="BF1681" s="7"/>
      <c r="BG1681" s="7"/>
      <c r="BH1681" s="7"/>
      <c r="BI1681" s="7"/>
      <c r="BJ1681" s="7"/>
      <c r="BK1681" s="7"/>
      <c r="BL1681" s="7"/>
      <c r="BM1681" s="7"/>
      <c r="BN1681" s="7"/>
      <c r="BO1681" s="7"/>
      <c r="BP1681" s="7"/>
      <c r="BQ1681" s="7"/>
      <c r="BR1681" s="7"/>
      <c r="BS1681" s="7"/>
      <c r="BT1681" s="7"/>
      <c r="BU1681" s="7"/>
      <c r="BV1681" s="7"/>
      <c r="BW1681" s="7"/>
      <c r="BX1681" s="7"/>
      <c r="BY1681" s="7"/>
      <c r="BZ1681" s="7"/>
      <c r="CA1681" s="7"/>
      <c r="CB1681" s="7"/>
      <c r="CC1681" s="7"/>
      <c r="CD1681" s="7"/>
      <c r="CE1681" s="7"/>
      <c r="CF1681" s="7"/>
      <c r="CG1681" s="7"/>
    </row>
    <row r="1682" spans="3:85"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  <c r="AA1682" s="7"/>
      <c r="AB1682" s="7"/>
      <c r="AC1682" s="7"/>
      <c r="AD1682" s="7"/>
      <c r="AF1682" s="7"/>
      <c r="AG1682" s="7"/>
      <c r="AH1682" s="7"/>
      <c r="AI1682" s="7"/>
      <c r="AJ1682" s="7"/>
      <c r="AK1682" s="7"/>
      <c r="AL1682" s="7"/>
      <c r="AM1682" s="7"/>
      <c r="AN1682" s="7"/>
      <c r="AO1682" s="7"/>
      <c r="AP1682" s="7"/>
      <c r="AQ1682" s="7"/>
      <c r="AR1682" s="7"/>
      <c r="AS1682" s="7"/>
      <c r="AT1682" s="7"/>
      <c r="AU1682" s="7"/>
      <c r="AV1682" s="7"/>
      <c r="AW1682" s="7"/>
      <c r="AX1682" s="7"/>
      <c r="AY1682" s="7"/>
      <c r="AZ1682" s="7"/>
      <c r="BA1682" s="7"/>
      <c r="BB1682" s="7"/>
      <c r="BC1682" s="7"/>
      <c r="BD1682" s="7"/>
      <c r="BE1682" s="7"/>
      <c r="BF1682" s="7"/>
      <c r="BG1682" s="7"/>
      <c r="BH1682" s="7"/>
      <c r="BI1682" s="7"/>
      <c r="BJ1682" s="7"/>
      <c r="BK1682" s="7"/>
      <c r="BL1682" s="7"/>
      <c r="BM1682" s="7"/>
      <c r="BN1682" s="7"/>
      <c r="BO1682" s="7"/>
      <c r="BP1682" s="7"/>
      <c r="BQ1682" s="7"/>
      <c r="BR1682" s="7"/>
      <c r="BS1682" s="7"/>
      <c r="BT1682" s="7"/>
      <c r="BU1682" s="7"/>
      <c r="BV1682" s="7"/>
      <c r="BW1682" s="7"/>
      <c r="BX1682" s="7"/>
      <c r="BY1682" s="7"/>
      <c r="BZ1682" s="7"/>
      <c r="CA1682" s="7"/>
      <c r="CB1682" s="7"/>
      <c r="CC1682" s="7"/>
      <c r="CD1682" s="7"/>
      <c r="CE1682" s="7"/>
      <c r="CF1682" s="7"/>
      <c r="CG1682" s="7"/>
    </row>
    <row r="1683" spans="3:85"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  <c r="AA1683" s="7"/>
      <c r="AB1683" s="7"/>
      <c r="AC1683" s="7"/>
      <c r="AD1683" s="7"/>
      <c r="AF1683" s="7"/>
      <c r="AG1683" s="7"/>
      <c r="AH1683" s="7"/>
      <c r="AI1683" s="7"/>
      <c r="AJ1683" s="7"/>
      <c r="AK1683" s="7"/>
      <c r="AL1683" s="7"/>
      <c r="AM1683" s="7"/>
      <c r="AN1683" s="7"/>
      <c r="AO1683" s="7"/>
      <c r="AP1683" s="7"/>
      <c r="AQ1683" s="7"/>
      <c r="AR1683" s="7"/>
      <c r="AS1683" s="7"/>
      <c r="AT1683" s="7"/>
      <c r="AU1683" s="7"/>
      <c r="AV1683" s="7"/>
      <c r="AW1683" s="7"/>
      <c r="AX1683" s="7"/>
      <c r="AY1683" s="7"/>
      <c r="AZ1683" s="7"/>
      <c r="BA1683" s="7"/>
      <c r="BB1683" s="7"/>
      <c r="BC1683" s="7"/>
      <c r="BD1683" s="7"/>
      <c r="BE1683" s="7"/>
      <c r="BF1683" s="7"/>
      <c r="BG1683" s="7"/>
      <c r="BH1683" s="7"/>
      <c r="BI1683" s="7"/>
      <c r="BJ1683" s="7"/>
      <c r="BK1683" s="7"/>
      <c r="BL1683" s="7"/>
      <c r="BM1683" s="7"/>
      <c r="BN1683" s="7"/>
      <c r="BO1683" s="7"/>
      <c r="BP1683" s="7"/>
      <c r="BQ1683" s="7"/>
      <c r="BR1683" s="7"/>
      <c r="BS1683" s="7"/>
      <c r="BT1683" s="7"/>
      <c r="BU1683" s="7"/>
      <c r="BV1683" s="7"/>
      <c r="BW1683" s="7"/>
      <c r="BX1683" s="7"/>
      <c r="BY1683" s="7"/>
      <c r="BZ1683" s="7"/>
      <c r="CA1683" s="7"/>
      <c r="CB1683" s="7"/>
      <c r="CC1683" s="7"/>
      <c r="CD1683" s="7"/>
      <c r="CE1683" s="7"/>
      <c r="CF1683" s="7"/>
      <c r="CG1683" s="7"/>
    </row>
    <row r="1684" spans="3:85"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  <c r="AA1684" s="7"/>
      <c r="AB1684" s="7"/>
      <c r="AC1684" s="7"/>
      <c r="AD1684" s="7"/>
      <c r="AF1684" s="7"/>
      <c r="AG1684" s="7"/>
      <c r="AH1684" s="7"/>
      <c r="AI1684" s="7"/>
      <c r="AJ1684" s="7"/>
      <c r="AK1684" s="7"/>
      <c r="AL1684" s="7"/>
      <c r="AM1684" s="7"/>
      <c r="AN1684" s="7"/>
      <c r="AO1684" s="7"/>
      <c r="AP1684" s="7"/>
      <c r="AQ1684" s="7"/>
      <c r="AR1684" s="7"/>
      <c r="AS1684" s="7"/>
      <c r="AT1684" s="7"/>
      <c r="AU1684" s="7"/>
      <c r="AV1684" s="7"/>
      <c r="AW1684" s="7"/>
      <c r="AX1684" s="7"/>
      <c r="AY1684" s="7"/>
      <c r="AZ1684" s="7"/>
      <c r="BA1684" s="7"/>
      <c r="BB1684" s="7"/>
      <c r="BC1684" s="7"/>
      <c r="BD1684" s="7"/>
      <c r="BE1684" s="7"/>
      <c r="BF1684" s="7"/>
      <c r="BG1684" s="7"/>
      <c r="BH1684" s="7"/>
      <c r="BI1684" s="7"/>
      <c r="BJ1684" s="7"/>
      <c r="BK1684" s="7"/>
      <c r="BL1684" s="7"/>
      <c r="BM1684" s="7"/>
      <c r="BN1684" s="7"/>
      <c r="BO1684" s="7"/>
      <c r="BP1684" s="7"/>
      <c r="BQ1684" s="7"/>
      <c r="BR1684" s="7"/>
      <c r="BS1684" s="7"/>
      <c r="BT1684" s="7"/>
      <c r="BU1684" s="7"/>
      <c r="BV1684" s="7"/>
      <c r="BW1684" s="7"/>
      <c r="BX1684" s="7"/>
      <c r="BY1684" s="7"/>
      <c r="BZ1684" s="7"/>
      <c r="CA1684" s="7"/>
      <c r="CB1684" s="7"/>
      <c r="CC1684" s="7"/>
      <c r="CD1684" s="7"/>
      <c r="CE1684" s="7"/>
      <c r="CF1684" s="7"/>
      <c r="CG1684" s="7"/>
    </row>
    <row r="1685" spans="3:85"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  <c r="AA1685" s="7"/>
      <c r="AB1685" s="7"/>
      <c r="AC1685" s="7"/>
      <c r="AD1685" s="7"/>
      <c r="AF1685" s="7"/>
      <c r="AG1685" s="7"/>
      <c r="AH1685" s="7"/>
      <c r="AI1685" s="7"/>
      <c r="AJ1685" s="7"/>
      <c r="AK1685" s="7"/>
      <c r="AL1685" s="7"/>
      <c r="AM1685" s="7"/>
      <c r="AN1685" s="7"/>
      <c r="AO1685" s="7"/>
      <c r="AP1685" s="7"/>
      <c r="AQ1685" s="7"/>
      <c r="AR1685" s="7"/>
      <c r="AS1685" s="7"/>
      <c r="AT1685" s="7"/>
      <c r="AU1685" s="7"/>
      <c r="AV1685" s="7"/>
      <c r="AW1685" s="7"/>
      <c r="AX1685" s="7"/>
      <c r="AY1685" s="7"/>
      <c r="AZ1685" s="7"/>
      <c r="BA1685" s="7"/>
      <c r="BB1685" s="7"/>
      <c r="BC1685" s="7"/>
      <c r="BD1685" s="7"/>
      <c r="BE1685" s="7"/>
      <c r="BF1685" s="7"/>
      <c r="BG1685" s="7"/>
      <c r="BH1685" s="7"/>
      <c r="BI1685" s="7"/>
      <c r="BJ1685" s="7"/>
      <c r="BK1685" s="7"/>
      <c r="BL1685" s="7"/>
      <c r="BM1685" s="7"/>
      <c r="BN1685" s="7"/>
      <c r="BO1685" s="7"/>
      <c r="BP1685" s="7"/>
      <c r="BQ1685" s="7"/>
      <c r="BR1685" s="7"/>
      <c r="BS1685" s="7"/>
      <c r="BT1685" s="7"/>
      <c r="BU1685" s="7"/>
      <c r="BV1685" s="7"/>
      <c r="BW1685" s="7"/>
      <c r="BX1685" s="7"/>
      <c r="BY1685" s="7"/>
      <c r="BZ1685" s="7"/>
      <c r="CA1685" s="7"/>
      <c r="CB1685" s="7"/>
      <c r="CC1685" s="7"/>
      <c r="CD1685" s="7"/>
      <c r="CE1685" s="7"/>
      <c r="CF1685" s="7"/>
      <c r="CG1685" s="7"/>
    </row>
    <row r="1686" spans="3:85"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  <c r="AA1686" s="7"/>
      <c r="AB1686" s="7"/>
      <c r="AC1686" s="7"/>
      <c r="AD1686" s="7"/>
      <c r="AF1686" s="7"/>
      <c r="AG1686" s="7"/>
      <c r="AH1686" s="7"/>
      <c r="AI1686" s="7"/>
      <c r="AJ1686" s="7"/>
      <c r="AK1686" s="7"/>
      <c r="AL1686" s="7"/>
      <c r="AM1686" s="7"/>
      <c r="AN1686" s="7"/>
      <c r="AO1686" s="7"/>
      <c r="AP1686" s="7"/>
      <c r="AQ1686" s="7"/>
      <c r="AR1686" s="7"/>
      <c r="AS1686" s="7"/>
      <c r="AT1686" s="7"/>
      <c r="AU1686" s="7"/>
      <c r="AV1686" s="7"/>
      <c r="AW1686" s="7"/>
      <c r="AX1686" s="7"/>
      <c r="AY1686" s="7"/>
      <c r="AZ1686" s="7"/>
      <c r="BA1686" s="7"/>
      <c r="BB1686" s="7"/>
      <c r="BC1686" s="7"/>
      <c r="BD1686" s="7"/>
      <c r="BE1686" s="7"/>
      <c r="BF1686" s="7"/>
      <c r="BG1686" s="7"/>
      <c r="BH1686" s="7"/>
      <c r="BI1686" s="7"/>
      <c r="BJ1686" s="7"/>
      <c r="BK1686" s="7"/>
      <c r="BL1686" s="7"/>
      <c r="BM1686" s="7"/>
      <c r="BN1686" s="7"/>
      <c r="BO1686" s="7"/>
      <c r="BP1686" s="7"/>
      <c r="BQ1686" s="7"/>
      <c r="BR1686" s="7"/>
      <c r="BS1686" s="7"/>
      <c r="BT1686" s="7"/>
      <c r="BU1686" s="7"/>
      <c r="BV1686" s="7"/>
      <c r="BW1686" s="7"/>
      <c r="BX1686" s="7"/>
      <c r="BY1686" s="7"/>
      <c r="BZ1686" s="7"/>
      <c r="CA1686" s="7"/>
      <c r="CB1686" s="7"/>
      <c r="CC1686" s="7"/>
      <c r="CD1686" s="7"/>
      <c r="CE1686" s="7"/>
      <c r="CF1686" s="7"/>
      <c r="CG1686" s="7"/>
    </row>
    <row r="1687" spans="3:85"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  <c r="AA1687" s="7"/>
      <c r="AB1687" s="7"/>
      <c r="AC1687" s="7"/>
      <c r="AD1687" s="7"/>
      <c r="AF1687" s="7"/>
      <c r="AG1687" s="7"/>
      <c r="AH1687" s="7"/>
      <c r="AI1687" s="7"/>
      <c r="AJ1687" s="7"/>
      <c r="AK1687" s="7"/>
      <c r="AL1687" s="7"/>
      <c r="AM1687" s="7"/>
      <c r="AN1687" s="7"/>
      <c r="AO1687" s="7"/>
      <c r="AP1687" s="7"/>
      <c r="AQ1687" s="7"/>
      <c r="AR1687" s="7"/>
      <c r="AS1687" s="7"/>
      <c r="AT1687" s="7"/>
      <c r="AU1687" s="7"/>
      <c r="AV1687" s="7"/>
      <c r="AW1687" s="7"/>
      <c r="AX1687" s="7"/>
      <c r="AY1687" s="7"/>
      <c r="AZ1687" s="7"/>
      <c r="BA1687" s="7"/>
      <c r="BB1687" s="7"/>
      <c r="BC1687" s="7"/>
      <c r="BD1687" s="7"/>
      <c r="BE1687" s="7"/>
      <c r="BF1687" s="7"/>
      <c r="BG1687" s="7"/>
      <c r="BH1687" s="7"/>
      <c r="BI1687" s="7"/>
      <c r="BJ1687" s="7"/>
      <c r="BK1687" s="7"/>
      <c r="BL1687" s="7"/>
      <c r="BM1687" s="7"/>
      <c r="BN1687" s="7"/>
      <c r="BO1687" s="7"/>
      <c r="BP1687" s="7"/>
      <c r="BQ1687" s="7"/>
      <c r="BR1687" s="7"/>
      <c r="BS1687" s="7"/>
      <c r="BT1687" s="7"/>
      <c r="BU1687" s="7"/>
      <c r="BV1687" s="7"/>
      <c r="BW1687" s="7"/>
      <c r="BX1687" s="7"/>
      <c r="BY1687" s="7"/>
      <c r="BZ1687" s="7"/>
      <c r="CA1687" s="7"/>
      <c r="CB1687" s="7"/>
      <c r="CC1687" s="7"/>
      <c r="CD1687" s="7"/>
      <c r="CE1687" s="7"/>
      <c r="CF1687" s="7"/>
      <c r="CG1687" s="7"/>
    </row>
    <row r="1688" spans="3:85"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  <c r="AA1688" s="7"/>
      <c r="AB1688" s="7"/>
      <c r="AC1688" s="7"/>
      <c r="AD1688" s="7"/>
      <c r="AF1688" s="7"/>
      <c r="AG1688" s="7"/>
      <c r="AH1688" s="7"/>
      <c r="AI1688" s="7"/>
      <c r="AJ1688" s="7"/>
      <c r="AK1688" s="7"/>
      <c r="AL1688" s="7"/>
      <c r="AM1688" s="7"/>
      <c r="AN1688" s="7"/>
      <c r="AO1688" s="7"/>
      <c r="AP1688" s="7"/>
      <c r="AQ1688" s="7"/>
      <c r="AR1688" s="7"/>
      <c r="AS1688" s="7"/>
      <c r="AT1688" s="7"/>
      <c r="AU1688" s="7"/>
      <c r="AV1688" s="7"/>
      <c r="AW1688" s="7"/>
      <c r="AX1688" s="7"/>
      <c r="AY1688" s="7"/>
      <c r="AZ1688" s="7"/>
      <c r="BA1688" s="7"/>
      <c r="BB1688" s="7"/>
      <c r="BC1688" s="7"/>
      <c r="BD1688" s="7"/>
      <c r="BE1688" s="7"/>
      <c r="BF1688" s="7"/>
      <c r="BG1688" s="7"/>
      <c r="BH1688" s="7"/>
      <c r="BI1688" s="7"/>
      <c r="BJ1688" s="7"/>
      <c r="BK1688" s="7"/>
      <c r="BL1688" s="7"/>
      <c r="BM1688" s="7"/>
      <c r="BN1688" s="7"/>
      <c r="BO1688" s="7"/>
      <c r="BP1688" s="7"/>
      <c r="BQ1688" s="7"/>
      <c r="BR1688" s="7"/>
      <c r="BS1688" s="7"/>
      <c r="BT1688" s="7"/>
      <c r="BU1688" s="7"/>
      <c r="BV1688" s="7"/>
      <c r="BW1688" s="7"/>
      <c r="BX1688" s="7"/>
      <c r="BY1688" s="7"/>
      <c r="BZ1688" s="7"/>
      <c r="CA1688" s="7"/>
      <c r="CB1688" s="7"/>
      <c r="CC1688" s="7"/>
      <c r="CD1688" s="7"/>
      <c r="CE1688" s="7"/>
      <c r="CF1688" s="7"/>
      <c r="CG1688" s="7"/>
    </row>
    <row r="1689" spans="3:85"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  <c r="AA1689" s="7"/>
      <c r="AB1689" s="7"/>
      <c r="AC1689" s="7"/>
      <c r="AD1689" s="7"/>
      <c r="AF1689" s="7"/>
      <c r="AG1689" s="7"/>
      <c r="AH1689" s="7"/>
      <c r="AI1689" s="7"/>
      <c r="AJ1689" s="7"/>
      <c r="AK1689" s="7"/>
      <c r="AL1689" s="7"/>
      <c r="AM1689" s="7"/>
      <c r="AN1689" s="7"/>
      <c r="AO1689" s="7"/>
      <c r="AP1689" s="7"/>
      <c r="AQ1689" s="7"/>
      <c r="AR1689" s="7"/>
      <c r="AS1689" s="7"/>
      <c r="AT1689" s="7"/>
      <c r="AU1689" s="7"/>
      <c r="AV1689" s="7"/>
      <c r="AW1689" s="7"/>
      <c r="AX1689" s="7"/>
      <c r="AY1689" s="7"/>
      <c r="AZ1689" s="7"/>
      <c r="BA1689" s="7"/>
      <c r="BB1689" s="7"/>
      <c r="BC1689" s="7"/>
      <c r="BD1689" s="7"/>
      <c r="BE1689" s="7"/>
      <c r="BF1689" s="7"/>
      <c r="BG1689" s="7"/>
      <c r="BH1689" s="7"/>
      <c r="BI1689" s="7"/>
      <c r="BJ1689" s="7"/>
      <c r="BK1689" s="7"/>
      <c r="BL1689" s="7"/>
      <c r="BM1689" s="7"/>
      <c r="BN1689" s="7"/>
      <c r="BO1689" s="7"/>
      <c r="BP1689" s="7"/>
      <c r="BQ1689" s="7"/>
      <c r="BR1689" s="7"/>
      <c r="BS1689" s="7"/>
      <c r="BT1689" s="7"/>
      <c r="BU1689" s="7"/>
      <c r="BV1689" s="7"/>
      <c r="BW1689" s="7"/>
      <c r="BX1689" s="7"/>
      <c r="BY1689" s="7"/>
      <c r="BZ1689" s="7"/>
      <c r="CA1689" s="7"/>
      <c r="CB1689" s="7"/>
      <c r="CC1689" s="7"/>
      <c r="CD1689" s="7"/>
      <c r="CE1689" s="7"/>
      <c r="CF1689" s="7"/>
      <c r="CG1689" s="7"/>
    </row>
    <row r="1690" spans="3:85"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  <c r="AA1690" s="7"/>
      <c r="AB1690" s="7"/>
      <c r="AC1690" s="7"/>
      <c r="AD1690" s="7"/>
      <c r="AF1690" s="7"/>
      <c r="AG1690" s="7"/>
      <c r="AH1690" s="7"/>
      <c r="AI1690" s="7"/>
      <c r="AJ1690" s="7"/>
      <c r="AK1690" s="7"/>
      <c r="AL1690" s="7"/>
      <c r="AM1690" s="7"/>
      <c r="AN1690" s="7"/>
      <c r="AO1690" s="7"/>
      <c r="AP1690" s="7"/>
      <c r="AQ1690" s="7"/>
      <c r="AR1690" s="7"/>
      <c r="AS1690" s="7"/>
      <c r="AT1690" s="7"/>
      <c r="AU1690" s="7"/>
      <c r="AV1690" s="7"/>
      <c r="AW1690" s="7"/>
      <c r="AX1690" s="7"/>
      <c r="AY1690" s="7"/>
      <c r="AZ1690" s="7"/>
      <c r="BA1690" s="7"/>
      <c r="BB1690" s="7"/>
      <c r="BC1690" s="7"/>
      <c r="BD1690" s="7"/>
      <c r="BE1690" s="7"/>
      <c r="BF1690" s="7"/>
      <c r="BG1690" s="7"/>
      <c r="BH1690" s="7"/>
      <c r="BI1690" s="7"/>
      <c r="BJ1690" s="7"/>
      <c r="BK1690" s="7"/>
      <c r="BL1690" s="7"/>
      <c r="BM1690" s="7"/>
      <c r="BN1690" s="7"/>
      <c r="BO1690" s="7"/>
      <c r="BP1690" s="7"/>
      <c r="BQ1690" s="7"/>
      <c r="BR1690" s="7"/>
      <c r="BS1690" s="7"/>
      <c r="BT1690" s="7"/>
      <c r="BU1690" s="7"/>
      <c r="BV1690" s="7"/>
      <c r="BW1690" s="7"/>
      <c r="BX1690" s="7"/>
      <c r="BY1690" s="7"/>
      <c r="BZ1690" s="7"/>
      <c r="CA1690" s="7"/>
      <c r="CB1690" s="7"/>
      <c r="CC1690" s="7"/>
      <c r="CD1690" s="7"/>
      <c r="CE1690" s="7"/>
      <c r="CF1690" s="7"/>
      <c r="CG1690" s="7"/>
    </row>
    <row r="1691" spans="3:85"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  <c r="AA1691" s="7"/>
      <c r="AB1691" s="7"/>
      <c r="AC1691" s="7"/>
      <c r="AD1691" s="7"/>
      <c r="AF1691" s="7"/>
      <c r="AG1691" s="7"/>
      <c r="AH1691" s="7"/>
      <c r="AI1691" s="7"/>
      <c r="AJ1691" s="7"/>
      <c r="AK1691" s="7"/>
      <c r="AL1691" s="7"/>
      <c r="AM1691" s="7"/>
      <c r="AN1691" s="7"/>
      <c r="AO1691" s="7"/>
      <c r="AP1691" s="7"/>
      <c r="AQ1691" s="7"/>
      <c r="AR1691" s="7"/>
      <c r="AS1691" s="7"/>
      <c r="AT1691" s="7"/>
      <c r="AU1691" s="7"/>
      <c r="AV1691" s="7"/>
      <c r="AW1691" s="7"/>
      <c r="AX1691" s="7"/>
      <c r="AY1691" s="7"/>
      <c r="AZ1691" s="7"/>
      <c r="BA1691" s="7"/>
      <c r="BB1691" s="7"/>
      <c r="BC1691" s="7"/>
      <c r="BD1691" s="7"/>
      <c r="BE1691" s="7"/>
      <c r="BF1691" s="7"/>
      <c r="BG1691" s="7"/>
      <c r="BH1691" s="7"/>
      <c r="BI1691" s="7"/>
      <c r="BJ1691" s="7"/>
      <c r="BK1691" s="7"/>
      <c r="BL1691" s="7"/>
      <c r="BM1691" s="7"/>
      <c r="BN1691" s="7"/>
      <c r="BO1691" s="7"/>
      <c r="BP1691" s="7"/>
      <c r="BQ1691" s="7"/>
      <c r="BR1691" s="7"/>
      <c r="BS1691" s="7"/>
      <c r="BT1691" s="7"/>
      <c r="BU1691" s="7"/>
      <c r="BV1691" s="7"/>
      <c r="BW1691" s="7"/>
      <c r="BX1691" s="7"/>
      <c r="BY1691" s="7"/>
      <c r="BZ1691" s="7"/>
      <c r="CA1691" s="7"/>
      <c r="CB1691" s="7"/>
      <c r="CC1691" s="7"/>
      <c r="CD1691" s="7"/>
      <c r="CE1691" s="7"/>
      <c r="CF1691" s="7"/>
      <c r="CG1691" s="7"/>
    </row>
    <row r="1692" spans="3:85"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  <c r="AA1692" s="7"/>
      <c r="AB1692" s="7"/>
      <c r="AC1692" s="7"/>
      <c r="AD1692" s="7"/>
      <c r="AF1692" s="7"/>
      <c r="AG1692" s="7"/>
      <c r="AH1692" s="7"/>
      <c r="AI1692" s="7"/>
      <c r="AJ1692" s="7"/>
      <c r="AK1692" s="7"/>
      <c r="AL1692" s="7"/>
      <c r="AM1692" s="7"/>
      <c r="AN1692" s="7"/>
      <c r="AO1692" s="7"/>
      <c r="AP1692" s="7"/>
      <c r="AQ1692" s="7"/>
      <c r="AR1692" s="7"/>
      <c r="AS1692" s="7"/>
      <c r="AT1692" s="7"/>
      <c r="AU1692" s="7"/>
      <c r="AV1692" s="7"/>
      <c r="AW1692" s="7"/>
      <c r="AX1692" s="7"/>
      <c r="AY1692" s="7"/>
      <c r="AZ1692" s="7"/>
      <c r="BA1692" s="7"/>
      <c r="BB1692" s="7"/>
      <c r="BC1692" s="7"/>
      <c r="BD1692" s="7"/>
      <c r="BE1692" s="7"/>
      <c r="BF1692" s="7"/>
      <c r="BG1692" s="7"/>
      <c r="BH1692" s="7"/>
      <c r="BI1692" s="7"/>
      <c r="BJ1692" s="7"/>
      <c r="BK1692" s="7"/>
      <c r="BL1692" s="7"/>
      <c r="BM1692" s="7"/>
      <c r="BN1692" s="7"/>
      <c r="BO1692" s="7"/>
      <c r="BP1692" s="7"/>
      <c r="BQ1692" s="7"/>
      <c r="BR1692" s="7"/>
      <c r="BS1692" s="7"/>
      <c r="BT1692" s="7"/>
      <c r="BU1692" s="7"/>
      <c r="BV1692" s="7"/>
      <c r="BW1692" s="7"/>
      <c r="BX1692" s="7"/>
      <c r="BY1692" s="7"/>
      <c r="BZ1692" s="7"/>
      <c r="CA1692" s="7"/>
      <c r="CB1692" s="7"/>
      <c r="CC1692" s="7"/>
      <c r="CD1692" s="7"/>
      <c r="CE1692" s="7"/>
      <c r="CF1692" s="7"/>
      <c r="CG1692" s="7"/>
    </row>
    <row r="1693" spans="3:85"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  <c r="AA1693" s="7"/>
      <c r="AB1693" s="7"/>
      <c r="AC1693" s="7"/>
      <c r="AD1693" s="7"/>
      <c r="AF1693" s="7"/>
      <c r="AG1693" s="7"/>
      <c r="AH1693" s="7"/>
      <c r="AI1693" s="7"/>
      <c r="AJ1693" s="7"/>
      <c r="AK1693" s="7"/>
      <c r="AL1693" s="7"/>
      <c r="AM1693" s="7"/>
      <c r="AN1693" s="7"/>
      <c r="AO1693" s="7"/>
      <c r="AP1693" s="7"/>
      <c r="AQ1693" s="7"/>
      <c r="AR1693" s="7"/>
      <c r="AS1693" s="7"/>
      <c r="AT1693" s="7"/>
      <c r="AU1693" s="7"/>
      <c r="AV1693" s="7"/>
      <c r="AW1693" s="7"/>
      <c r="AX1693" s="7"/>
      <c r="AY1693" s="7"/>
      <c r="AZ1693" s="7"/>
      <c r="BA1693" s="7"/>
      <c r="BB1693" s="7"/>
      <c r="BC1693" s="7"/>
      <c r="BD1693" s="7"/>
      <c r="BE1693" s="7"/>
      <c r="BF1693" s="7"/>
      <c r="BG1693" s="7"/>
      <c r="BH1693" s="7"/>
      <c r="BI1693" s="7"/>
      <c r="BJ1693" s="7"/>
      <c r="BK1693" s="7"/>
      <c r="BL1693" s="7"/>
      <c r="BM1693" s="7"/>
      <c r="BN1693" s="7"/>
      <c r="BO1693" s="7"/>
      <c r="BP1693" s="7"/>
      <c r="BQ1693" s="7"/>
      <c r="BR1693" s="7"/>
      <c r="BS1693" s="7"/>
      <c r="BT1693" s="7"/>
      <c r="BU1693" s="7"/>
      <c r="BV1693" s="7"/>
      <c r="BW1693" s="7"/>
      <c r="BX1693" s="7"/>
      <c r="BY1693" s="7"/>
      <c r="BZ1693" s="7"/>
      <c r="CA1693" s="7"/>
      <c r="CB1693" s="7"/>
      <c r="CC1693" s="7"/>
      <c r="CD1693" s="7"/>
      <c r="CE1693" s="7"/>
      <c r="CF1693" s="7"/>
      <c r="CG1693" s="7"/>
    </row>
    <row r="1694" spans="3:85"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  <c r="AA1694" s="7"/>
      <c r="AB1694" s="7"/>
      <c r="AC1694" s="7"/>
      <c r="AD1694" s="7"/>
      <c r="AF1694" s="7"/>
      <c r="AG1694" s="7"/>
      <c r="AH1694" s="7"/>
      <c r="AI1694" s="7"/>
      <c r="AJ1694" s="7"/>
      <c r="AK1694" s="7"/>
      <c r="AL1694" s="7"/>
      <c r="AM1694" s="7"/>
      <c r="AN1694" s="7"/>
      <c r="AO1694" s="7"/>
      <c r="AP1694" s="7"/>
      <c r="AQ1694" s="7"/>
      <c r="AR1694" s="7"/>
      <c r="AS1694" s="7"/>
      <c r="AT1694" s="7"/>
      <c r="AU1694" s="7"/>
      <c r="AV1694" s="7"/>
      <c r="AW1694" s="7"/>
      <c r="AX1694" s="7"/>
      <c r="AY1694" s="7"/>
      <c r="AZ1694" s="7"/>
      <c r="BA1694" s="7"/>
      <c r="BB1694" s="7"/>
      <c r="BC1694" s="7"/>
      <c r="BD1694" s="7"/>
      <c r="BE1694" s="7"/>
      <c r="BF1694" s="7"/>
      <c r="BG1694" s="7"/>
      <c r="BH1694" s="7"/>
      <c r="BI1694" s="7"/>
      <c r="BJ1694" s="7"/>
      <c r="BK1694" s="7"/>
      <c r="BL1694" s="7"/>
      <c r="BM1694" s="7"/>
      <c r="BN1694" s="7"/>
      <c r="BO1694" s="7"/>
      <c r="BP1694" s="7"/>
      <c r="BQ1694" s="7"/>
      <c r="BR1694" s="7"/>
      <c r="BS1694" s="7"/>
      <c r="BT1694" s="7"/>
      <c r="BU1694" s="7"/>
      <c r="BV1694" s="7"/>
      <c r="BW1694" s="7"/>
      <c r="BX1694" s="7"/>
      <c r="BY1694" s="7"/>
      <c r="BZ1694" s="7"/>
      <c r="CA1694" s="7"/>
      <c r="CB1694" s="7"/>
      <c r="CC1694" s="7"/>
      <c r="CD1694" s="7"/>
      <c r="CE1694" s="7"/>
      <c r="CF1694" s="7"/>
      <c r="CG1694" s="7"/>
    </row>
    <row r="1695" spans="3:85"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  <c r="AA1695" s="7"/>
      <c r="AB1695" s="7"/>
      <c r="AC1695" s="7"/>
      <c r="AD1695" s="7"/>
      <c r="AF1695" s="7"/>
      <c r="AG1695" s="7"/>
      <c r="AH1695" s="7"/>
      <c r="AI1695" s="7"/>
      <c r="AJ1695" s="7"/>
      <c r="AK1695" s="7"/>
      <c r="AL1695" s="7"/>
      <c r="AM1695" s="7"/>
      <c r="AN1695" s="7"/>
      <c r="AO1695" s="7"/>
      <c r="AP1695" s="7"/>
      <c r="AQ1695" s="7"/>
      <c r="AR1695" s="7"/>
      <c r="AS1695" s="7"/>
      <c r="AT1695" s="7"/>
      <c r="AU1695" s="7"/>
      <c r="AV1695" s="7"/>
      <c r="AW1695" s="7"/>
      <c r="AX1695" s="7"/>
      <c r="AY1695" s="7"/>
      <c r="AZ1695" s="7"/>
      <c r="BA1695" s="7"/>
      <c r="BB1695" s="7"/>
      <c r="BC1695" s="7"/>
      <c r="BD1695" s="7"/>
      <c r="BE1695" s="7"/>
      <c r="BF1695" s="7"/>
      <c r="BG1695" s="7"/>
      <c r="BH1695" s="7"/>
      <c r="BI1695" s="7"/>
      <c r="BJ1695" s="7"/>
      <c r="BK1695" s="7"/>
      <c r="BL1695" s="7"/>
      <c r="BM1695" s="7"/>
      <c r="BN1695" s="7"/>
      <c r="BO1695" s="7"/>
      <c r="BP1695" s="7"/>
      <c r="BQ1695" s="7"/>
      <c r="BR1695" s="7"/>
      <c r="BS1695" s="7"/>
      <c r="BT1695" s="7"/>
      <c r="BU1695" s="7"/>
      <c r="BV1695" s="7"/>
      <c r="BW1695" s="7"/>
      <c r="BX1695" s="7"/>
      <c r="BY1695" s="7"/>
      <c r="BZ1695" s="7"/>
      <c r="CA1695" s="7"/>
      <c r="CB1695" s="7"/>
      <c r="CC1695" s="7"/>
      <c r="CD1695" s="7"/>
      <c r="CE1695" s="7"/>
      <c r="CF1695" s="7"/>
      <c r="CG1695" s="7"/>
    </row>
    <row r="1696" spans="3:85"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  <c r="AA1696" s="7"/>
      <c r="AB1696" s="7"/>
      <c r="AC1696" s="7"/>
      <c r="AD1696" s="7"/>
      <c r="AF1696" s="7"/>
      <c r="AG1696" s="7"/>
      <c r="AH1696" s="7"/>
      <c r="AI1696" s="7"/>
      <c r="AJ1696" s="7"/>
      <c r="AK1696" s="7"/>
      <c r="AL1696" s="7"/>
      <c r="AM1696" s="7"/>
      <c r="AN1696" s="7"/>
      <c r="AO1696" s="7"/>
      <c r="AP1696" s="7"/>
      <c r="AQ1696" s="7"/>
      <c r="AR1696" s="7"/>
      <c r="AS1696" s="7"/>
      <c r="AT1696" s="7"/>
      <c r="AU1696" s="7"/>
      <c r="AV1696" s="7"/>
      <c r="AW1696" s="7"/>
      <c r="AX1696" s="7"/>
      <c r="AY1696" s="7"/>
      <c r="AZ1696" s="7"/>
      <c r="BA1696" s="7"/>
      <c r="BB1696" s="7"/>
      <c r="BC1696" s="7"/>
      <c r="BD1696" s="7"/>
      <c r="BE1696" s="7"/>
      <c r="BF1696" s="7"/>
      <c r="BG1696" s="7"/>
      <c r="BH1696" s="7"/>
      <c r="BI1696" s="7"/>
      <c r="BJ1696" s="7"/>
      <c r="BK1696" s="7"/>
      <c r="BL1696" s="7"/>
      <c r="BM1696" s="7"/>
      <c r="BN1696" s="7"/>
      <c r="BO1696" s="7"/>
      <c r="BP1696" s="7"/>
      <c r="BQ1696" s="7"/>
      <c r="BR1696" s="7"/>
      <c r="BS1696" s="7"/>
      <c r="BT1696" s="7"/>
      <c r="BU1696" s="7"/>
      <c r="BV1696" s="7"/>
      <c r="BW1696" s="7"/>
      <c r="BX1696" s="7"/>
      <c r="BY1696" s="7"/>
      <c r="BZ1696" s="7"/>
      <c r="CA1696" s="7"/>
      <c r="CB1696" s="7"/>
      <c r="CC1696" s="7"/>
      <c r="CD1696" s="7"/>
      <c r="CE1696" s="7"/>
      <c r="CF1696" s="7"/>
      <c r="CG1696" s="7"/>
    </row>
    <row r="1697" spans="3:85"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  <c r="AA1697" s="7"/>
      <c r="AB1697" s="7"/>
      <c r="AC1697" s="7"/>
      <c r="AD1697" s="7"/>
      <c r="AF1697" s="7"/>
      <c r="AG1697" s="7"/>
      <c r="AH1697" s="7"/>
      <c r="AI1697" s="7"/>
      <c r="AJ1697" s="7"/>
      <c r="AK1697" s="7"/>
      <c r="AL1697" s="7"/>
      <c r="AM1697" s="7"/>
      <c r="AN1697" s="7"/>
      <c r="AO1697" s="7"/>
      <c r="AP1697" s="7"/>
      <c r="AQ1697" s="7"/>
      <c r="AR1697" s="7"/>
      <c r="AS1697" s="7"/>
      <c r="AT1697" s="7"/>
      <c r="AU1697" s="7"/>
      <c r="AV1697" s="7"/>
      <c r="AW1697" s="7"/>
      <c r="AX1697" s="7"/>
      <c r="AY1697" s="7"/>
      <c r="AZ1697" s="7"/>
      <c r="BA1697" s="7"/>
      <c r="BB1697" s="7"/>
      <c r="BC1697" s="7"/>
      <c r="BD1697" s="7"/>
      <c r="BE1697" s="7"/>
      <c r="BF1697" s="7"/>
      <c r="BG1697" s="7"/>
      <c r="BH1697" s="7"/>
      <c r="BI1697" s="7"/>
      <c r="BJ1697" s="7"/>
      <c r="BK1697" s="7"/>
      <c r="BL1697" s="7"/>
      <c r="BM1697" s="7"/>
      <c r="BN1697" s="7"/>
      <c r="BO1697" s="7"/>
      <c r="BP1697" s="7"/>
      <c r="BQ1697" s="7"/>
      <c r="BR1697" s="7"/>
      <c r="BS1697" s="7"/>
      <c r="BT1697" s="7"/>
      <c r="BU1697" s="7"/>
      <c r="BV1697" s="7"/>
      <c r="BW1697" s="7"/>
      <c r="BX1697" s="7"/>
      <c r="BY1697" s="7"/>
      <c r="BZ1697" s="7"/>
      <c r="CA1697" s="7"/>
      <c r="CB1697" s="7"/>
      <c r="CC1697" s="7"/>
      <c r="CD1697" s="7"/>
      <c r="CE1697" s="7"/>
      <c r="CF1697" s="7"/>
      <c r="CG1697" s="7"/>
    </row>
    <row r="1698" spans="3:85"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  <c r="AA1698" s="7"/>
      <c r="AB1698" s="7"/>
      <c r="AC1698" s="7"/>
      <c r="AD1698" s="7"/>
      <c r="AF1698" s="7"/>
      <c r="AG1698" s="7"/>
      <c r="AH1698" s="7"/>
      <c r="AI1698" s="7"/>
      <c r="AJ1698" s="7"/>
      <c r="AK1698" s="7"/>
      <c r="AL1698" s="7"/>
      <c r="AM1698" s="7"/>
      <c r="AN1698" s="7"/>
      <c r="AO1698" s="7"/>
      <c r="AP1698" s="7"/>
      <c r="AQ1698" s="7"/>
      <c r="AR1698" s="7"/>
      <c r="AS1698" s="7"/>
      <c r="AT1698" s="7"/>
      <c r="AU1698" s="7"/>
      <c r="AV1698" s="7"/>
      <c r="AW1698" s="7"/>
      <c r="AX1698" s="7"/>
      <c r="AY1698" s="7"/>
      <c r="AZ1698" s="7"/>
      <c r="BA1698" s="7"/>
      <c r="BB1698" s="7"/>
      <c r="BC1698" s="7"/>
      <c r="BD1698" s="7"/>
      <c r="BE1698" s="7"/>
      <c r="BF1698" s="7"/>
      <c r="BG1698" s="7"/>
      <c r="BH1698" s="7"/>
      <c r="BI1698" s="7"/>
      <c r="BJ1698" s="7"/>
      <c r="BK1698" s="7"/>
      <c r="BL1698" s="7"/>
      <c r="BM1698" s="7"/>
      <c r="BN1698" s="7"/>
      <c r="BO1698" s="7"/>
      <c r="BP1698" s="7"/>
      <c r="BQ1698" s="7"/>
      <c r="BR1698" s="7"/>
      <c r="BS1698" s="7"/>
      <c r="BT1698" s="7"/>
      <c r="BU1698" s="7"/>
      <c r="BV1698" s="7"/>
      <c r="BW1698" s="7"/>
      <c r="BX1698" s="7"/>
      <c r="BY1698" s="7"/>
      <c r="BZ1698" s="7"/>
      <c r="CA1698" s="7"/>
      <c r="CB1698" s="7"/>
      <c r="CC1698" s="7"/>
      <c r="CD1698" s="7"/>
      <c r="CE1698" s="7"/>
      <c r="CF1698" s="7"/>
      <c r="CG1698" s="7"/>
    </row>
    <row r="1699" spans="3:85"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  <c r="AA1699" s="7"/>
      <c r="AB1699" s="7"/>
      <c r="AC1699" s="7"/>
      <c r="AD1699" s="7"/>
      <c r="AF1699" s="7"/>
      <c r="AG1699" s="7"/>
      <c r="AH1699" s="7"/>
      <c r="AI1699" s="7"/>
      <c r="AJ1699" s="7"/>
      <c r="AK1699" s="7"/>
      <c r="AL1699" s="7"/>
      <c r="AM1699" s="7"/>
      <c r="AN1699" s="7"/>
      <c r="AO1699" s="7"/>
      <c r="AP1699" s="7"/>
      <c r="AQ1699" s="7"/>
      <c r="AR1699" s="7"/>
      <c r="AS1699" s="7"/>
      <c r="AT1699" s="7"/>
      <c r="AU1699" s="7"/>
      <c r="AV1699" s="7"/>
      <c r="AW1699" s="7"/>
      <c r="AX1699" s="7"/>
      <c r="AY1699" s="7"/>
      <c r="AZ1699" s="7"/>
      <c r="BA1699" s="7"/>
      <c r="BB1699" s="7"/>
      <c r="BC1699" s="7"/>
      <c r="BD1699" s="7"/>
      <c r="BE1699" s="7"/>
      <c r="BF1699" s="7"/>
      <c r="BG1699" s="7"/>
      <c r="BH1699" s="7"/>
      <c r="BI1699" s="7"/>
      <c r="BJ1699" s="7"/>
      <c r="BK1699" s="7"/>
      <c r="BL1699" s="7"/>
      <c r="BM1699" s="7"/>
      <c r="BN1699" s="7"/>
      <c r="BO1699" s="7"/>
      <c r="BP1699" s="7"/>
      <c r="BQ1699" s="7"/>
      <c r="BR1699" s="7"/>
      <c r="BS1699" s="7"/>
      <c r="BT1699" s="7"/>
      <c r="BU1699" s="7"/>
      <c r="BV1699" s="7"/>
      <c r="BW1699" s="7"/>
      <c r="BX1699" s="7"/>
      <c r="BY1699" s="7"/>
      <c r="BZ1699" s="7"/>
      <c r="CA1699" s="7"/>
      <c r="CB1699" s="7"/>
      <c r="CC1699" s="7"/>
      <c r="CD1699" s="7"/>
      <c r="CE1699" s="7"/>
      <c r="CF1699" s="7"/>
      <c r="CG1699" s="7"/>
    </row>
    <row r="1700" spans="3:85"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  <c r="AA1700" s="7"/>
      <c r="AB1700" s="7"/>
      <c r="AC1700" s="7"/>
      <c r="AD1700" s="7"/>
      <c r="AF1700" s="7"/>
      <c r="AG1700" s="7"/>
      <c r="AH1700" s="7"/>
      <c r="AI1700" s="7"/>
      <c r="AJ1700" s="7"/>
      <c r="AK1700" s="7"/>
      <c r="AL1700" s="7"/>
      <c r="AM1700" s="7"/>
      <c r="AN1700" s="7"/>
      <c r="AO1700" s="7"/>
      <c r="AP1700" s="7"/>
      <c r="AQ1700" s="7"/>
      <c r="AR1700" s="7"/>
      <c r="AS1700" s="7"/>
      <c r="AT1700" s="7"/>
      <c r="AU1700" s="7"/>
      <c r="AV1700" s="7"/>
      <c r="AW1700" s="7"/>
      <c r="AX1700" s="7"/>
      <c r="AY1700" s="7"/>
      <c r="AZ1700" s="7"/>
      <c r="BA1700" s="7"/>
      <c r="BB1700" s="7"/>
      <c r="BC1700" s="7"/>
      <c r="BD1700" s="7"/>
      <c r="BE1700" s="7"/>
      <c r="BF1700" s="7"/>
      <c r="BG1700" s="7"/>
      <c r="BH1700" s="7"/>
      <c r="BI1700" s="7"/>
      <c r="BJ1700" s="7"/>
      <c r="BK1700" s="7"/>
      <c r="BL1700" s="7"/>
      <c r="BM1700" s="7"/>
      <c r="BN1700" s="7"/>
      <c r="BO1700" s="7"/>
      <c r="BP1700" s="7"/>
      <c r="BQ1700" s="7"/>
      <c r="BR1700" s="7"/>
      <c r="BS1700" s="7"/>
      <c r="BT1700" s="7"/>
      <c r="BU1700" s="7"/>
      <c r="BV1700" s="7"/>
      <c r="BW1700" s="7"/>
      <c r="BX1700" s="7"/>
      <c r="BY1700" s="7"/>
      <c r="BZ1700" s="7"/>
      <c r="CA1700" s="7"/>
      <c r="CB1700" s="7"/>
      <c r="CC1700" s="7"/>
      <c r="CD1700" s="7"/>
      <c r="CE1700" s="7"/>
      <c r="CF1700" s="7"/>
      <c r="CG1700" s="7"/>
    </row>
    <row r="1701" spans="3:85"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  <c r="AA1701" s="7"/>
      <c r="AB1701" s="7"/>
      <c r="AC1701" s="7"/>
      <c r="AD1701" s="7"/>
      <c r="AF1701" s="7"/>
      <c r="AG1701" s="7"/>
      <c r="AH1701" s="7"/>
      <c r="AI1701" s="7"/>
      <c r="AJ1701" s="7"/>
      <c r="AK1701" s="7"/>
      <c r="AL1701" s="7"/>
      <c r="AM1701" s="7"/>
      <c r="AN1701" s="7"/>
      <c r="AO1701" s="7"/>
      <c r="AP1701" s="7"/>
      <c r="AQ1701" s="7"/>
      <c r="AR1701" s="7"/>
      <c r="AS1701" s="7"/>
      <c r="AT1701" s="7"/>
      <c r="AU1701" s="7"/>
      <c r="AV1701" s="7"/>
      <c r="AW1701" s="7"/>
      <c r="AX1701" s="7"/>
      <c r="AY1701" s="7"/>
      <c r="AZ1701" s="7"/>
      <c r="BA1701" s="7"/>
      <c r="BB1701" s="7"/>
      <c r="BC1701" s="7"/>
      <c r="BD1701" s="7"/>
      <c r="BE1701" s="7"/>
      <c r="BF1701" s="7"/>
      <c r="BG1701" s="7"/>
      <c r="BH1701" s="7"/>
      <c r="BI1701" s="7"/>
      <c r="BJ1701" s="7"/>
      <c r="BK1701" s="7"/>
      <c r="BL1701" s="7"/>
      <c r="BM1701" s="7"/>
      <c r="BN1701" s="7"/>
      <c r="BO1701" s="7"/>
      <c r="BP1701" s="7"/>
      <c r="BQ1701" s="7"/>
      <c r="BR1701" s="7"/>
      <c r="BS1701" s="7"/>
      <c r="BT1701" s="7"/>
      <c r="BU1701" s="7"/>
      <c r="BV1701" s="7"/>
      <c r="BW1701" s="7"/>
      <c r="BX1701" s="7"/>
      <c r="BY1701" s="7"/>
      <c r="BZ1701" s="7"/>
      <c r="CA1701" s="7"/>
      <c r="CB1701" s="7"/>
      <c r="CC1701" s="7"/>
      <c r="CD1701" s="7"/>
      <c r="CE1701" s="7"/>
      <c r="CF1701" s="7"/>
      <c r="CG1701" s="7"/>
    </row>
    <row r="1702" spans="3:85"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  <c r="AA1702" s="7"/>
      <c r="AB1702" s="7"/>
      <c r="AC1702" s="7"/>
      <c r="AD1702" s="7"/>
      <c r="AF1702" s="7"/>
      <c r="AG1702" s="7"/>
      <c r="AH1702" s="7"/>
      <c r="AI1702" s="7"/>
      <c r="AJ1702" s="7"/>
      <c r="AK1702" s="7"/>
      <c r="AL1702" s="7"/>
      <c r="AM1702" s="7"/>
      <c r="AN1702" s="7"/>
      <c r="AO1702" s="7"/>
      <c r="AP1702" s="7"/>
      <c r="AQ1702" s="7"/>
      <c r="AR1702" s="7"/>
      <c r="AS1702" s="7"/>
      <c r="AT1702" s="7"/>
      <c r="AU1702" s="7"/>
      <c r="AV1702" s="7"/>
      <c r="AW1702" s="7"/>
      <c r="AX1702" s="7"/>
      <c r="AY1702" s="7"/>
      <c r="AZ1702" s="7"/>
      <c r="BA1702" s="7"/>
      <c r="BB1702" s="7"/>
      <c r="BC1702" s="7"/>
      <c r="BD1702" s="7"/>
      <c r="BE1702" s="7"/>
      <c r="BF1702" s="7"/>
      <c r="BG1702" s="7"/>
      <c r="BH1702" s="7"/>
      <c r="BI1702" s="7"/>
      <c r="BJ1702" s="7"/>
      <c r="BK1702" s="7"/>
      <c r="BL1702" s="7"/>
      <c r="BM1702" s="7"/>
      <c r="BN1702" s="7"/>
      <c r="BO1702" s="7"/>
      <c r="BP1702" s="7"/>
      <c r="BQ1702" s="7"/>
      <c r="BR1702" s="7"/>
      <c r="BS1702" s="7"/>
      <c r="BT1702" s="7"/>
      <c r="BU1702" s="7"/>
      <c r="BV1702" s="7"/>
      <c r="BW1702" s="7"/>
      <c r="BX1702" s="7"/>
      <c r="BY1702" s="7"/>
      <c r="BZ1702" s="7"/>
      <c r="CA1702" s="7"/>
      <c r="CB1702" s="7"/>
      <c r="CC1702" s="7"/>
      <c r="CD1702" s="7"/>
      <c r="CE1702" s="7"/>
      <c r="CF1702" s="7"/>
      <c r="CG1702" s="7"/>
    </row>
    <row r="1703" spans="3:85"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  <c r="AA1703" s="7"/>
      <c r="AB1703" s="7"/>
      <c r="AC1703" s="7"/>
      <c r="AD1703" s="7"/>
      <c r="AF1703" s="7"/>
      <c r="AG1703" s="7"/>
      <c r="AH1703" s="7"/>
      <c r="AI1703" s="7"/>
      <c r="AJ1703" s="7"/>
      <c r="AK1703" s="7"/>
      <c r="AL1703" s="7"/>
      <c r="AM1703" s="7"/>
      <c r="AN1703" s="7"/>
      <c r="AO1703" s="7"/>
      <c r="AP1703" s="7"/>
      <c r="AQ1703" s="7"/>
      <c r="AR1703" s="7"/>
      <c r="AS1703" s="7"/>
      <c r="AT1703" s="7"/>
      <c r="AU1703" s="7"/>
      <c r="AV1703" s="7"/>
      <c r="AW1703" s="7"/>
      <c r="AX1703" s="7"/>
      <c r="AY1703" s="7"/>
      <c r="AZ1703" s="7"/>
      <c r="BA1703" s="7"/>
      <c r="BB1703" s="7"/>
      <c r="BC1703" s="7"/>
      <c r="BD1703" s="7"/>
      <c r="BE1703" s="7"/>
      <c r="BF1703" s="7"/>
      <c r="BG1703" s="7"/>
      <c r="BH1703" s="7"/>
      <c r="BI1703" s="7"/>
      <c r="BJ1703" s="7"/>
      <c r="BK1703" s="7"/>
      <c r="BL1703" s="7"/>
      <c r="BM1703" s="7"/>
      <c r="BN1703" s="7"/>
      <c r="BO1703" s="7"/>
      <c r="BP1703" s="7"/>
      <c r="BQ1703" s="7"/>
      <c r="BR1703" s="7"/>
      <c r="BS1703" s="7"/>
      <c r="BT1703" s="7"/>
      <c r="BU1703" s="7"/>
      <c r="BV1703" s="7"/>
      <c r="BW1703" s="7"/>
      <c r="BX1703" s="7"/>
      <c r="BY1703" s="7"/>
      <c r="BZ1703" s="7"/>
      <c r="CA1703" s="7"/>
      <c r="CB1703" s="7"/>
      <c r="CC1703" s="7"/>
      <c r="CD1703" s="7"/>
      <c r="CE1703" s="7"/>
      <c r="CF1703" s="7"/>
      <c r="CG1703" s="7"/>
    </row>
    <row r="1704" spans="3:85"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  <c r="AA1704" s="7"/>
      <c r="AB1704" s="7"/>
      <c r="AC1704" s="7"/>
      <c r="AD1704" s="7"/>
      <c r="AF1704" s="7"/>
      <c r="AG1704" s="7"/>
      <c r="AH1704" s="7"/>
      <c r="AI1704" s="7"/>
      <c r="AJ1704" s="7"/>
      <c r="AK1704" s="7"/>
      <c r="AL1704" s="7"/>
      <c r="AM1704" s="7"/>
      <c r="AN1704" s="7"/>
      <c r="AO1704" s="7"/>
      <c r="AP1704" s="7"/>
      <c r="AQ1704" s="7"/>
      <c r="AR1704" s="7"/>
      <c r="AS1704" s="7"/>
      <c r="AT1704" s="7"/>
      <c r="AU1704" s="7"/>
      <c r="AV1704" s="7"/>
      <c r="AW1704" s="7"/>
      <c r="AX1704" s="7"/>
      <c r="AY1704" s="7"/>
      <c r="AZ1704" s="7"/>
      <c r="BA1704" s="7"/>
      <c r="BB1704" s="7"/>
      <c r="BC1704" s="7"/>
      <c r="BD1704" s="7"/>
      <c r="BE1704" s="7"/>
      <c r="BF1704" s="7"/>
      <c r="BG1704" s="7"/>
      <c r="BH1704" s="7"/>
      <c r="BI1704" s="7"/>
      <c r="BJ1704" s="7"/>
      <c r="BK1704" s="7"/>
      <c r="BL1704" s="7"/>
      <c r="BM1704" s="7"/>
      <c r="BN1704" s="7"/>
      <c r="BO1704" s="7"/>
      <c r="BP1704" s="7"/>
      <c r="BQ1704" s="7"/>
      <c r="BR1704" s="7"/>
      <c r="BS1704" s="7"/>
      <c r="BT1704" s="7"/>
      <c r="BU1704" s="7"/>
      <c r="BV1704" s="7"/>
      <c r="BW1704" s="7"/>
      <c r="BX1704" s="7"/>
      <c r="BY1704" s="7"/>
      <c r="BZ1704" s="7"/>
      <c r="CA1704" s="7"/>
      <c r="CB1704" s="7"/>
      <c r="CC1704" s="7"/>
      <c r="CD1704" s="7"/>
      <c r="CE1704" s="7"/>
      <c r="CF1704" s="7"/>
      <c r="CG1704" s="7"/>
    </row>
    <row r="1705" spans="3:85"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  <c r="AA1705" s="7"/>
      <c r="AB1705" s="7"/>
      <c r="AC1705" s="7"/>
      <c r="AD1705" s="7"/>
      <c r="AF1705" s="7"/>
      <c r="AG1705" s="7"/>
      <c r="AH1705" s="7"/>
      <c r="AI1705" s="7"/>
      <c r="AJ1705" s="7"/>
      <c r="AK1705" s="7"/>
      <c r="AL1705" s="7"/>
      <c r="AM1705" s="7"/>
      <c r="AN1705" s="7"/>
      <c r="AO1705" s="7"/>
      <c r="AP1705" s="7"/>
      <c r="AQ1705" s="7"/>
      <c r="AR1705" s="7"/>
      <c r="AS1705" s="7"/>
      <c r="AT1705" s="7"/>
      <c r="AU1705" s="7"/>
      <c r="AV1705" s="7"/>
      <c r="AW1705" s="7"/>
      <c r="AX1705" s="7"/>
      <c r="AY1705" s="7"/>
      <c r="AZ1705" s="7"/>
      <c r="BA1705" s="7"/>
      <c r="BB1705" s="7"/>
      <c r="BC1705" s="7"/>
      <c r="BD1705" s="7"/>
      <c r="BE1705" s="7"/>
      <c r="BF1705" s="7"/>
      <c r="BG1705" s="7"/>
      <c r="BH1705" s="7"/>
      <c r="BI1705" s="7"/>
      <c r="BJ1705" s="7"/>
      <c r="BK1705" s="7"/>
      <c r="BL1705" s="7"/>
      <c r="BM1705" s="7"/>
      <c r="BN1705" s="7"/>
      <c r="BO1705" s="7"/>
      <c r="BP1705" s="7"/>
      <c r="BQ1705" s="7"/>
      <c r="BR1705" s="7"/>
      <c r="BS1705" s="7"/>
      <c r="BT1705" s="7"/>
      <c r="BU1705" s="7"/>
      <c r="BV1705" s="7"/>
      <c r="BW1705" s="7"/>
      <c r="BX1705" s="7"/>
      <c r="BY1705" s="7"/>
      <c r="BZ1705" s="7"/>
      <c r="CA1705" s="7"/>
      <c r="CB1705" s="7"/>
      <c r="CC1705" s="7"/>
      <c r="CD1705" s="7"/>
      <c r="CE1705" s="7"/>
      <c r="CF1705" s="7"/>
      <c r="CG1705" s="7"/>
    </row>
    <row r="1706" spans="3:85"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  <c r="AA1706" s="7"/>
      <c r="AB1706" s="7"/>
      <c r="AC1706" s="7"/>
      <c r="AD1706" s="7"/>
      <c r="AF1706" s="7"/>
      <c r="AG1706" s="7"/>
      <c r="AH1706" s="7"/>
      <c r="AI1706" s="7"/>
      <c r="AJ1706" s="7"/>
      <c r="AK1706" s="7"/>
      <c r="AL1706" s="7"/>
      <c r="AM1706" s="7"/>
      <c r="AN1706" s="7"/>
      <c r="AO1706" s="7"/>
      <c r="AP1706" s="7"/>
      <c r="AQ1706" s="7"/>
      <c r="AR1706" s="7"/>
      <c r="AS1706" s="7"/>
      <c r="AT1706" s="7"/>
      <c r="AU1706" s="7"/>
      <c r="AV1706" s="7"/>
      <c r="AW1706" s="7"/>
      <c r="AX1706" s="7"/>
      <c r="AY1706" s="7"/>
      <c r="AZ1706" s="7"/>
      <c r="BA1706" s="7"/>
      <c r="BB1706" s="7"/>
      <c r="BC1706" s="7"/>
      <c r="BD1706" s="7"/>
      <c r="BE1706" s="7"/>
      <c r="BF1706" s="7"/>
      <c r="BG1706" s="7"/>
      <c r="BH1706" s="7"/>
      <c r="BI1706" s="7"/>
      <c r="BJ1706" s="7"/>
      <c r="BK1706" s="7"/>
      <c r="BL1706" s="7"/>
      <c r="BM1706" s="7"/>
      <c r="BN1706" s="7"/>
      <c r="BO1706" s="7"/>
      <c r="BP1706" s="7"/>
      <c r="BQ1706" s="7"/>
      <c r="BR1706" s="7"/>
      <c r="BS1706" s="7"/>
      <c r="BT1706" s="7"/>
      <c r="BU1706" s="7"/>
      <c r="BV1706" s="7"/>
      <c r="BW1706" s="7"/>
      <c r="BX1706" s="7"/>
      <c r="BY1706" s="7"/>
      <c r="BZ1706" s="7"/>
      <c r="CA1706" s="7"/>
      <c r="CB1706" s="7"/>
      <c r="CC1706" s="7"/>
      <c r="CD1706" s="7"/>
      <c r="CE1706" s="7"/>
      <c r="CF1706" s="7"/>
      <c r="CG1706" s="7"/>
    </row>
    <row r="1707" spans="3:85"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  <c r="AA1707" s="7"/>
      <c r="AB1707" s="7"/>
      <c r="AC1707" s="7"/>
      <c r="AD1707" s="7"/>
      <c r="AF1707" s="7"/>
      <c r="AG1707" s="7"/>
      <c r="AH1707" s="7"/>
      <c r="AI1707" s="7"/>
      <c r="AJ1707" s="7"/>
      <c r="AK1707" s="7"/>
      <c r="AL1707" s="7"/>
      <c r="AM1707" s="7"/>
      <c r="AN1707" s="7"/>
      <c r="AO1707" s="7"/>
      <c r="AP1707" s="7"/>
      <c r="AQ1707" s="7"/>
      <c r="AR1707" s="7"/>
      <c r="AS1707" s="7"/>
      <c r="AT1707" s="7"/>
      <c r="AU1707" s="7"/>
      <c r="AV1707" s="7"/>
      <c r="AW1707" s="7"/>
      <c r="AX1707" s="7"/>
      <c r="AY1707" s="7"/>
      <c r="AZ1707" s="7"/>
      <c r="BA1707" s="7"/>
      <c r="BB1707" s="7"/>
      <c r="BC1707" s="7"/>
      <c r="BD1707" s="7"/>
      <c r="BE1707" s="7"/>
      <c r="BF1707" s="7"/>
      <c r="BG1707" s="7"/>
      <c r="BH1707" s="7"/>
      <c r="BI1707" s="7"/>
      <c r="BJ1707" s="7"/>
      <c r="BK1707" s="7"/>
      <c r="BL1707" s="7"/>
      <c r="BM1707" s="7"/>
      <c r="BN1707" s="7"/>
      <c r="BO1707" s="7"/>
      <c r="BP1707" s="7"/>
      <c r="BQ1707" s="7"/>
      <c r="BR1707" s="7"/>
      <c r="BS1707" s="7"/>
      <c r="BT1707" s="7"/>
      <c r="BU1707" s="7"/>
      <c r="BV1707" s="7"/>
      <c r="BW1707" s="7"/>
      <c r="BX1707" s="7"/>
      <c r="BY1707" s="7"/>
      <c r="BZ1707" s="7"/>
      <c r="CA1707" s="7"/>
      <c r="CB1707" s="7"/>
      <c r="CC1707" s="7"/>
      <c r="CD1707" s="7"/>
      <c r="CE1707" s="7"/>
      <c r="CF1707" s="7"/>
      <c r="CG1707" s="7"/>
    </row>
    <row r="1708" spans="3:85"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  <c r="AA1708" s="7"/>
      <c r="AB1708" s="7"/>
      <c r="AC1708" s="7"/>
      <c r="AD1708" s="7"/>
      <c r="AF1708" s="7"/>
      <c r="AG1708" s="7"/>
      <c r="AH1708" s="7"/>
      <c r="AI1708" s="7"/>
      <c r="AJ1708" s="7"/>
      <c r="AK1708" s="7"/>
      <c r="AL1708" s="7"/>
      <c r="AM1708" s="7"/>
      <c r="AN1708" s="7"/>
      <c r="AO1708" s="7"/>
      <c r="AP1708" s="7"/>
      <c r="AQ1708" s="7"/>
      <c r="AR1708" s="7"/>
      <c r="AS1708" s="7"/>
      <c r="AT1708" s="7"/>
      <c r="AU1708" s="7"/>
      <c r="AV1708" s="7"/>
      <c r="AW1708" s="7"/>
      <c r="AX1708" s="7"/>
      <c r="AY1708" s="7"/>
      <c r="AZ1708" s="7"/>
      <c r="BA1708" s="7"/>
      <c r="BB1708" s="7"/>
      <c r="BC1708" s="7"/>
      <c r="BD1708" s="7"/>
      <c r="BE1708" s="7"/>
      <c r="BF1708" s="7"/>
      <c r="BG1708" s="7"/>
      <c r="BH1708" s="7"/>
      <c r="BI1708" s="7"/>
      <c r="BJ1708" s="7"/>
      <c r="BK1708" s="7"/>
      <c r="BL1708" s="7"/>
      <c r="BM1708" s="7"/>
      <c r="BN1708" s="7"/>
      <c r="BO1708" s="7"/>
      <c r="BP1708" s="7"/>
      <c r="BQ1708" s="7"/>
      <c r="BR1708" s="7"/>
      <c r="BS1708" s="7"/>
      <c r="BT1708" s="7"/>
      <c r="BU1708" s="7"/>
      <c r="BV1708" s="7"/>
      <c r="BW1708" s="7"/>
      <c r="BX1708" s="7"/>
      <c r="BY1708" s="7"/>
      <c r="BZ1708" s="7"/>
      <c r="CA1708" s="7"/>
      <c r="CB1708" s="7"/>
      <c r="CC1708" s="7"/>
      <c r="CD1708" s="7"/>
      <c r="CE1708" s="7"/>
      <c r="CF1708" s="7"/>
      <c r="CG1708" s="7"/>
    </row>
    <row r="1709" spans="3:85"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  <c r="AA1709" s="7"/>
      <c r="AB1709" s="7"/>
      <c r="AC1709" s="7"/>
      <c r="AD1709" s="7"/>
      <c r="AF1709" s="7"/>
      <c r="AG1709" s="7"/>
      <c r="AH1709" s="7"/>
      <c r="AI1709" s="7"/>
      <c r="AJ1709" s="7"/>
      <c r="AK1709" s="7"/>
      <c r="AL1709" s="7"/>
      <c r="AM1709" s="7"/>
      <c r="AN1709" s="7"/>
      <c r="AO1709" s="7"/>
      <c r="AP1709" s="7"/>
      <c r="AQ1709" s="7"/>
      <c r="AR1709" s="7"/>
      <c r="AS1709" s="7"/>
      <c r="AT1709" s="7"/>
      <c r="AU1709" s="7"/>
      <c r="AV1709" s="7"/>
      <c r="AW1709" s="7"/>
      <c r="AX1709" s="7"/>
      <c r="AY1709" s="7"/>
      <c r="AZ1709" s="7"/>
      <c r="BA1709" s="7"/>
      <c r="BB1709" s="7"/>
      <c r="BC1709" s="7"/>
      <c r="BD1709" s="7"/>
      <c r="BE1709" s="7"/>
      <c r="BF1709" s="7"/>
      <c r="BG1709" s="7"/>
      <c r="BH1709" s="7"/>
      <c r="BI1709" s="7"/>
      <c r="BJ1709" s="7"/>
      <c r="BK1709" s="7"/>
      <c r="BL1709" s="7"/>
      <c r="BM1709" s="7"/>
      <c r="BN1709" s="7"/>
      <c r="BO1709" s="7"/>
      <c r="BP1709" s="7"/>
      <c r="BQ1709" s="7"/>
      <c r="BR1709" s="7"/>
      <c r="BS1709" s="7"/>
      <c r="BT1709" s="7"/>
      <c r="BU1709" s="7"/>
      <c r="BV1709" s="7"/>
      <c r="BW1709" s="7"/>
      <c r="BX1709" s="7"/>
      <c r="BY1709" s="7"/>
      <c r="BZ1709" s="7"/>
      <c r="CA1709" s="7"/>
      <c r="CB1709" s="7"/>
      <c r="CC1709" s="7"/>
      <c r="CD1709" s="7"/>
      <c r="CE1709" s="7"/>
      <c r="CF1709" s="7"/>
      <c r="CG1709" s="7"/>
    </row>
    <row r="1710" spans="3:85"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  <c r="AA1710" s="7"/>
      <c r="AB1710" s="7"/>
      <c r="AC1710" s="7"/>
      <c r="AD1710" s="7"/>
      <c r="AF1710" s="7"/>
      <c r="AG1710" s="7"/>
      <c r="AH1710" s="7"/>
      <c r="AI1710" s="7"/>
      <c r="AJ1710" s="7"/>
      <c r="AK1710" s="7"/>
      <c r="AL1710" s="7"/>
      <c r="AM1710" s="7"/>
      <c r="AN1710" s="7"/>
      <c r="AO1710" s="7"/>
      <c r="AP1710" s="7"/>
      <c r="AQ1710" s="7"/>
      <c r="AR1710" s="7"/>
      <c r="AS1710" s="7"/>
      <c r="AT1710" s="7"/>
      <c r="AU1710" s="7"/>
      <c r="AV1710" s="7"/>
      <c r="AW1710" s="7"/>
      <c r="AX1710" s="7"/>
      <c r="AY1710" s="7"/>
      <c r="AZ1710" s="7"/>
      <c r="BA1710" s="7"/>
      <c r="BB1710" s="7"/>
      <c r="BC1710" s="7"/>
      <c r="BD1710" s="7"/>
      <c r="BE1710" s="7"/>
      <c r="BF1710" s="7"/>
      <c r="BG1710" s="7"/>
      <c r="BH1710" s="7"/>
      <c r="BI1710" s="7"/>
      <c r="BJ1710" s="7"/>
      <c r="BK1710" s="7"/>
      <c r="BL1710" s="7"/>
      <c r="BM1710" s="7"/>
      <c r="BN1710" s="7"/>
      <c r="BO1710" s="7"/>
      <c r="BP1710" s="7"/>
      <c r="BQ1710" s="7"/>
      <c r="BR1710" s="7"/>
      <c r="BS1710" s="7"/>
      <c r="BT1710" s="7"/>
      <c r="BU1710" s="7"/>
      <c r="BV1710" s="7"/>
      <c r="BW1710" s="7"/>
      <c r="BX1710" s="7"/>
      <c r="BY1710" s="7"/>
      <c r="BZ1710" s="7"/>
      <c r="CA1710" s="7"/>
      <c r="CB1710" s="7"/>
      <c r="CC1710" s="7"/>
      <c r="CD1710" s="7"/>
      <c r="CE1710" s="7"/>
      <c r="CF1710" s="7"/>
      <c r="CG1710" s="7"/>
    </row>
    <row r="1711" spans="3:85"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  <c r="AA1711" s="7"/>
      <c r="AB1711" s="7"/>
      <c r="AC1711" s="7"/>
      <c r="AD1711" s="7"/>
      <c r="AF1711" s="7"/>
      <c r="AG1711" s="7"/>
      <c r="AH1711" s="7"/>
      <c r="AI1711" s="7"/>
      <c r="AJ1711" s="7"/>
      <c r="AK1711" s="7"/>
      <c r="AL1711" s="7"/>
      <c r="AM1711" s="7"/>
      <c r="AN1711" s="7"/>
      <c r="AO1711" s="7"/>
      <c r="AP1711" s="7"/>
      <c r="AQ1711" s="7"/>
      <c r="AR1711" s="7"/>
      <c r="AS1711" s="7"/>
      <c r="AT1711" s="7"/>
      <c r="AU1711" s="7"/>
      <c r="AV1711" s="7"/>
      <c r="AW1711" s="7"/>
      <c r="AX1711" s="7"/>
      <c r="AY1711" s="7"/>
      <c r="AZ1711" s="7"/>
      <c r="BA1711" s="7"/>
      <c r="BB1711" s="7"/>
      <c r="BC1711" s="7"/>
      <c r="BD1711" s="7"/>
      <c r="BE1711" s="7"/>
      <c r="BF1711" s="7"/>
      <c r="BG1711" s="7"/>
      <c r="BH1711" s="7"/>
      <c r="BI1711" s="7"/>
      <c r="BJ1711" s="7"/>
      <c r="BK1711" s="7"/>
      <c r="BL1711" s="7"/>
      <c r="BM1711" s="7"/>
      <c r="BN1711" s="7"/>
      <c r="BO1711" s="7"/>
      <c r="BP1711" s="7"/>
      <c r="BQ1711" s="7"/>
      <c r="BR1711" s="7"/>
      <c r="BS1711" s="7"/>
      <c r="BT1711" s="7"/>
      <c r="BU1711" s="7"/>
      <c r="BV1711" s="7"/>
      <c r="BW1711" s="7"/>
      <c r="BX1711" s="7"/>
      <c r="BY1711" s="7"/>
      <c r="BZ1711" s="7"/>
      <c r="CA1711" s="7"/>
      <c r="CB1711" s="7"/>
      <c r="CC1711" s="7"/>
      <c r="CD1711" s="7"/>
      <c r="CE1711" s="7"/>
      <c r="CF1711" s="7"/>
      <c r="CG1711" s="7"/>
    </row>
    <row r="1712" spans="3:85"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  <c r="AA1712" s="7"/>
      <c r="AB1712" s="7"/>
      <c r="AC1712" s="7"/>
      <c r="AD1712" s="7"/>
      <c r="AF1712" s="7"/>
      <c r="AG1712" s="7"/>
      <c r="AH1712" s="7"/>
      <c r="AI1712" s="7"/>
      <c r="AJ1712" s="7"/>
      <c r="AK1712" s="7"/>
      <c r="AL1712" s="7"/>
      <c r="AM1712" s="7"/>
      <c r="AN1712" s="7"/>
      <c r="AO1712" s="7"/>
      <c r="AP1712" s="7"/>
      <c r="AQ1712" s="7"/>
      <c r="AR1712" s="7"/>
      <c r="AS1712" s="7"/>
      <c r="AT1712" s="7"/>
      <c r="AU1712" s="7"/>
      <c r="AV1712" s="7"/>
      <c r="AW1712" s="7"/>
      <c r="AX1712" s="7"/>
      <c r="AY1712" s="7"/>
      <c r="AZ1712" s="7"/>
      <c r="BA1712" s="7"/>
      <c r="BB1712" s="7"/>
      <c r="BC1712" s="7"/>
      <c r="BD1712" s="7"/>
      <c r="BE1712" s="7"/>
      <c r="BF1712" s="7"/>
      <c r="BG1712" s="7"/>
      <c r="BH1712" s="7"/>
      <c r="BI1712" s="7"/>
      <c r="BJ1712" s="7"/>
      <c r="BK1712" s="7"/>
      <c r="BL1712" s="7"/>
      <c r="BM1712" s="7"/>
      <c r="BN1712" s="7"/>
      <c r="BO1712" s="7"/>
      <c r="BP1712" s="7"/>
      <c r="BQ1712" s="7"/>
      <c r="BR1712" s="7"/>
      <c r="BS1712" s="7"/>
      <c r="BT1712" s="7"/>
      <c r="BU1712" s="7"/>
      <c r="BV1712" s="7"/>
      <c r="BW1712" s="7"/>
      <c r="BX1712" s="7"/>
      <c r="BY1712" s="7"/>
      <c r="BZ1712" s="7"/>
      <c r="CA1712" s="7"/>
      <c r="CB1712" s="7"/>
      <c r="CC1712" s="7"/>
      <c r="CD1712" s="7"/>
      <c r="CE1712" s="7"/>
      <c r="CF1712" s="7"/>
      <c r="CG1712" s="7"/>
    </row>
    <row r="1713" spans="3:85"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  <c r="AA1713" s="7"/>
      <c r="AB1713" s="7"/>
      <c r="AC1713" s="7"/>
      <c r="AD1713" s="7"/>
      <c r="AF1713" s="7"/>
      <c r="AG1713" s="7"/>
      <c r="AH1713" s="7"/>
      <c r="AI1713" s="7"/>
      <c r="AJ1713" s="7"/>
      <c r="AK1713" s="7"/>
      <c r="AL1713" s="7"/>
      <c r="AM1713" s="7"/>
      <c r="AN1713" s="7"/>
      <c r="AO1713" s="7"/>
      <c r="AP1713" s="7"/>
      <c r="AQ1713" s="7"/>
      <c r="AR1713" s="7"/>
      <c r="AS1713" s="7"/>
      <c r="AT1713" s="7"/>
      <c r="AU1713" s="7"/>
      <c r="AV1713" s="7"/>
      <c r="AW1713" s="7"/>
      <c r="AX1713" s="7"/>
      <c r="AY1713" s="7"/>
      <c r="AZ1713" s="7"/>
      <c r="BA1713" s="7"/>
      <c r="BB1713" s="7"/>
      <c r="BC1713" s="7"/>
      <c r="BD1713" s="7"/>
      <c r="BE1713" s="7"/>
      <c r="BF1713" s="7"/>
      <c r="BG1713" s="7"/>
      <c r="BH1713" s="7"/>
      <c r="BI1713" s="7"/>
      <c r="BJ1713" s="7"/>
      <c r="BK1713" s="7"/>
      <c r="BL1713" s="7"/>
      <c r="BM1713" s="7"/>
      <c r="BN1713" s="7"/>
      <c r="BO1713" s="7"/>
      <c r="BP1713" s="7"/>
      <c r="BQ1713" s="7"/>
      <c r="BR1713" s="7"/>
      <c r="BS1713" s="7"/>
      <c r="BT1713" s="7"/>
      <c r="BU1713" s="7"/>
      <c r="BV1713" s="7"/>
      <c r="BW1713" s="7"/>
      <c r="BX1713" s="7"/>
      <c r="BY1713" s="7"/>
      <c r="BZ1713" s="7"/>
      <c r="CA1713" s="7"/>
      <c r="CB1713" s="7"/>
      <c r="CC1713" s="7"/>
      <c r="CD1713" s="7"/>
      <c r="CE1713" s="7"/>
      <c r="CF1713" s="7"/>
      <c r="CG1713" s="7"/>
    </row>
    <row r="1714" spans="3:85"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  <c r="AA1714" s="7"/>
      <c r="AB1714" s="7"/>
      <c r="AC1714" s="7"/>
      <c r="AD1714" s="7"/>
      <c r="AF1714" s="7"/>
      <c r="AG1714" s="7"/>
      <c r="AH1714" s="7"/>
      <c r="AI1714" s="7"/>
      <c r="AJ1714" s="7"/>
      <c r="AK1714" s="7"/>
      <c r="AL1714" s="7"/>
      <c r="AM1714" s="7"/>
      <c r="AN1714" s="7"/>
      <c r="AO1714" s="7"/>
      <c r="AP1714" s="7"/>
      <c r="AQ1714" s="7"/>
      <c r="AR1714" s="7"/>
      <c r="AS1714" s="7"/>
      <c r="AT1714" s="7"/>
      <c r="AU1714" s="7"/>
      <c r="AV1714" s="7"/>
      <c r="AW1714" s="7"/>
      <c r="AX1714" s="7"/>
      <c r="AY1714" s="7"/>
      <c r="AZ1714" s="7"/>
      <c r="BA1714" s="7"/>
      <c r="BB1714" s="7"/>
      <c r="BC1714" s="7"/>
      <c r="BD1714" s="7"/>
      <c r="BE1714" s="7"/>
      <c r="BF1714" s="7"/>
      <c r="BG1714" s="7"/>
      <c r="BH1714" s="7"/>
      <c r="BI1714" s="7"/>
      <c r="BJ1714" s="7"/>
      <c r="BK1714" s="7"/>
      <c r="BL1714" s="7"/>
      <c r="BM1714" s="7"/>
      <c r="BN1714" s="7"/>
      <c r="BO1714" s="7"/>
      <c r="BP1714" s="7"/>
      <c r="BQ1714" s="7"/>
      <c r="BR1714" s="7"/>
      <c r="BS1714" s="7"/>
      <c r="BT1714" s="7"/>
      <c r="BU1714" s="7"/>
      <c r="BV1714" s="7"/>
      <c r="BW1714" s="7"/>
      <c r="BX1714" s="7"/>
      <c r="BY1714" s="7"/>
      <c r="BZ1714" s="7"/>
      <c r="CA1714" s="7"/>
      <c r="CB1714" s="7"/>
      <c r="CC1714" s="7"/>
      <c r="CD1714" s="7"/>
      <c r="CE1714" s="7"/>
      <c r="CF1714" s="7"/>
      <c r="CG1714" s="7"/>
    </row>
    <row r="1715" spans="3:85"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  <c r="AA1715" s="7"/>
      <c r="AB1715" s="7"/>
      <c r="AC1715" s="7"/>
      <c r="AD1715" s="7"/>
      <c r="AF1715" s="7"/>
      <c r="AG1715" s="7"/>
      <c r="AH1715" s="7"/>
      <c r="AI1715" s="7"/>
      <c r="AJ1715" s="7"/>
      <c r="AK1715" s="7"/>
      <c r="AL1715" s="7"/>
      <c r="AM1715" s="7"/>
      <c r="AN1715" s="7"/>
      <c r="AO1715" s="7"/>
      <c r="AP1715" s="7"/>
      <c r="AQ1715" s="7"/>
      <c r="AR1715" s="7"/>
      <c r="AS1715" s="7"/>
      <c r="AT1715" s="7"/>
      <c r="AU1715" s="7"/>
      <c r="AV1715" s="7"/>
      <c r="AW1715" s="7"/>
      <c r="AX1715" s="7"/>
      <c r="AY1715" s="7"/>
      <c r="AZ1715" s="7"/>
      <c r="BA1715" s="7"/>
      <c r="BB1715" s="7"/>
      <c r="BC1715" s="7"/>
      <c r="BD1715" s="7"/>
      <c r="BE1715" s="7"/>
      <c r="BF1715" s="7"/>
      <c r="BG1715" s="7"/>
      <c r="BH1715" s="7"/>
      <c r="BI1715" s="7"/>
      <c r="BJ1715" s="7"/>
      <c r="BK1715" s="7"/>
      <c r="BL1715" s="7"/>
      <c r="BM1715" s="7"/>
      <c r="BN1715" s="7"/>
      <c r="BO1715" s="7"/>
      <c r="BP1715" s="7"/>
      <c r="BQ1715" s="7"/>
      <c r="BR1715" s="7"/>
      <c r="BS1715" s="7"/>
      <c r="BT1715" s="7"/>
      <c r="BU1715" s="7"/>
      <c r="BV1715" s="7"/>
      <c r="BW1715" s="7"/>
      <c r="BX1715" s="7"/>
      <c r="BY1715" s="7"/>
      <c r="BZ1715" s="7"/>
      <c r="CA1715" s="7"/>
      <c r="CB1715" s="7"/>
      <c r="CC1715" s="7"/>
      <c r="CD1715" s="7"/>
      <c r="CE1715" s="7"/>
      <c r="CF1715" s="7"/>
      <c r="CG1715" s="7"/>
    </row>
    <row r="1716" spans="3:85"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  <c r="AA1716" s="7"/>
      <c r="AB1716" s="7"/>
      <c r="AC1716" s="7"/>
      <c r="AD1716" s="7"/>
      <c r="AF1716" s="7"/>
      <c r="AG1716" s="7"/>
      <c r="AH1716" s="7"/>
      <c r="AI1716" s="7"/>
      <c r="AJ1716" s="7"/>
      <c r="AK1716" s="7"/>
      <c r="AL1716" s="7"/>
      <c r="AM1716" s="7"/>
      <c r="AN1716" s="7"/>
      <c r="AO1716" s="7"/>
      <c r="AP1716" s="7"/>
      <c r="AQ1716" s="7"/>
      <c r="AR1716" s="7"/>
      <c r="AS1716" s="7"/>
      <c r="AT1716" s="7"/>
      <c r="AU1716" s="7"/>
      <c r="AV1716" s="7"/>
      <c r="AW1716" s="7"/>
      <c r="AX1716" s="7"/>
      <c r="AY1716" s="7"/>
      <c r="AZ1716" s="7"/>
      <c r="BA1716" s="7"/>
      <c r="BB1716" s="7"/>
      <c r="BC1716" s="7"/>
      <c r="BD1716" s="7"/>
      <c r="BE1716" s="7"/>
      <c r="BF1716" s="7"/>
      <c r="BG1716" s="7"/>
      <c r="BH1716" s="7"/>
      <c r="BI1716" s="7"/>
      <c r="BJ1716" s="7"/>
      <c r="BK1716" s="7"/>
      <c r="BL1716" s="7"/>
      <c r="BM1716" s="7"/>
      <c r="BN1716" s="7"/>
      <c r="BO1716" s="7"/>
      <c r="BP1716" s="7"/>
      <c r="BQ1716" s="7"/>
      <c r="BR1716" s="7"/>
      <c r="BS1716" s="7"/>
      <c r="BT1716" s="7"/>
      <c r="BU1716" s="7"/>
      <c r="BV1716" s="7"/>
      <c r="BW1716" s="7"/>
      <c r="BX1716" s="7"/>
      <c r="BY1716" s="7"/>
      <c r="BZ1716" s="7"/>
      <c r="CA1716" s="7"/>
      <c r="CB1716" s="7"/>
      <c r="CC1716" s="7"/>
      <c r="CD1716" s="7"/>
      <c r="CE1716" s="7"/>
      <c r="CF1716" s="7"/>
      <c r="CG1716" s="7"/>
    </row>
    <row r="1717" spans="3:85"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  <c r="AA1717" s="7"/>
      <c r="AB1717" s="7"/>
      <c r="AC1717" s="7"/>
      <c r="AD1717" s="7"/>
      <c r="AF1717" s="7"/>
      <c r="AG1717" s="7"/>
      <c r="AH1717" s="7"/>
      <c r="AI1717" s="7"/>
      <c r="AJ1717" s="7"/>
      <c r="AK1717" s="7"/>
      <c r="AL1717" s="7"/>
      <c r="AM1717" s="7"/>
      <c r="AN1717" s="7"/>
      <c r="AO1717" s="7"/>
      <c r="AP1717" s="7"/>
      <c r="AQ1717" s="7"/>
      <c r="AR1717" s="7"/>
      <c r="AS1717" s="7"/>
      <c r="AT1717" s="7"/>
      <c r="AU1717" s="7"/>
      <c r="AV1717" s="7"/>
      <c r="AW1717" s="7"/>
      <c r="AX1717" s="7"/>
      <c r="AY1717" s="7"/>
      <c r="AZ1717" s="7"/>
      <c r="BA1717" s="7"/>
      <c r="BB1717" s="7"/>
      <c r="BC1717" s="7"/>
      <c r="BD1717" s="7"/>
      <c r="BE1717" s="7"/>
      <c r="BF1717" s="7"/>
      <c r="BG1717" s="7"/>
      <c r="BH1717" s="7"/>
      <c r="BI1717" s="7"/>
      <c r="BJ1717" s="7"/>
      <c r="BK1717" s="7"/>
      <c r="BL1717" s="7"/>
      <c r="BM1717" s="7"/>
      <c r="BN1717" s="7"/>
      <c r="BO1717" s="7"/>
      <c r="BP1717" s="7"/>
      <c r="BQ1717" s="7"/>
      <c r="BR1717" s="7"/>
      <c r="BS1717" s="7"/>
      <c r="BT1717" s="7"/>
      <c r="BU1717" s="7"/>
      <c r="BV1717" s="7"/>
      <c r="BW1717" s="7"/>
      <c r="BX1717" s="7"/>
      <c r="BY1717" s="7"/>
      <c r="BZ1717" s="7"/>
      <c r="CA1717" s="7"/>
      <c r="CB1717" s="7"/>
      <c r="CC1717" s="7"/>
      <c r="CD1717" s="7"/>
      <c r="CE1717" s="7"/>
      <c r="CF1717" s="7"/>
      <c r="CG1717" s="7"/>
    </row>
    <row r="1718" spans="3:85"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  <c r="AA1718" s="7"/>
      <c r="AB1718" s="7"/>
      <c r="AC1718" s="7"/>
      <c r="AD1718" s="7"/>
      <c r="AF1718" s="7"/>
      <c r="AG1718" s="7"/>
      <c r="AH1718" s="7"/>
      <c r="AI1718" s="7"/>
      <c r="AJ1718" s="7"/>
      <c r="AK1718" s="7"/>
      <c r="AL1718" s="7"/>
      <c r="AM1718" s="7"/>
      <c r="AN1718" s="7"/>
      <c r="AO1718" s="7"/>
      <c r="AP1718" s="7"/>
      <c r="AQ1718" s="7"/>
      <c r="AR1718" s="7"/>
      <c r="AS1718" s="7"/>
      <c r="AT1718" s="7"/>
      <c r="AU1718" s="7"/>
      <c r="AV1718" s="7"/>
      <c r="AW1718" s="7"/>
      <c r="AX1718" s="7"/>
      <c r="AY1718" s="7"/>
      <c r="AZ1718" s="7"/>
      <c r="BA1718" s="7"/>
      <c r="BB1718" s="7"/>
      <c r="BC1718" s="7"/>
      <c r="BD1718" s="7"/>
      <c r="BE1718" s="7"/>
      <c r="BF1718" s="7"/>
      <c r="BG1718" s="7"/>
      <c r="BH1718" s="7"/>
      <c r="BI1718" s="7"/>
      <c r="BJ1718" s="7"/>
      <c r="BK1718" s="7"/>
      <c r="BL1718" s="7"/>
      <c r="BM1718" s="7"/>
      <c r="BN1718" s="7"/>
      <c r="BO1718" s="7"/>
      <c r="BP1718" s="7"/>
      <c r="BQ1718" s="7"/>
      <c r="BR1718" s="7"/>
      <c r="BS1718" s="7"/>
      <c r="BT1718" s="7"/>
      <c r="BU1718" s="7"/>
      <c r="BV1718" s="7"/>
      <c r="BW1718" s="7"/>
      <c r="BX1718" s="7"/>
      <c r="BY1718" s="7"/>
      <c r="BZ1718" s="7"/>
      <c r="CA1718" s="7"/>
      <c r="CB1718" s="7"/>
      <c r="CC1718" s="7"/>
      <c r="CD1718" s="7"/>
      <c r="CE1718" s="7"/>
      <c r="CF1718" s="7"/>
      <c r="CG1718" s="7"/>
    </row>
    <row r="1719" spans="3:85"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  <c r="AA1719" s="7"/>
      <c r="AB1719" s="7"/>
      <c r="AC1719" s="7"/>
      <c r="AD1719" s="7"/>
      <c r="AF1719" s="7"/>
      <c r="AG1719" s="7"/>
      <c r="AH1719" s="7"/>
      <c r="AI1719" s="7"/>
      <c r="AJ1719" s="7"/>
      <c r="AK1719" s="7"/>
      <c r="AL1719" s="7"/>
      <c r="AM1719" s="7"/>
      <c r="AN1719" s="7"/>
      <c r="AO1719" s="7"/>
      <c r="AP1719" s="7"/>
      <c r="AQ1719" s="7"/>
      <c r="AR1719" s="7"/>
      <c r="AS1719" s="7"/>
      <c r="AT1719" s="7"/>
      <c r="AU1719" s="7"/>
      <c r="AV1719" s="7"/>
      <c r="AW1719" s="7"/>
      <c r="AX1719" s="7"/>
      <c r="AY1719" s="7"/>
      <c r="AZ1719" s="7"/>
      <c r="BA1719" s="7"/>
      <c r="BB1719" s="7"/>
      <c r="BC1719" s="7"/>
      <c r="BD1719" s="7"/>
      <c r="BE1719" s="7"/>
      <c r="BF1719" s="7"/>
      <c r="BG1719" s="7"/>
      <c r="BH1719" s="7"/>
      <c r="BI1719" s="7"/>
      <c r="BJ1719" s="7"/>
      <c r="BK1719" s="7"/>
      <c r="BL1719" s="7"/>
      <c r="BM1719" s="7"/>
      <c r="BN1719" s="7"/>
      <c r="BO1719" s="7"/>
      <c r="BP1719" s="7"/>
      <c r="BQ1719" s="7"/>
      <c r="BR1719" s="7"/>
      <c r="BS1719" s="7"/>
      <c r="BT1719" s="7"/>
      <c r="BU1719" s="7"/>
      <c r="BV1719" s="7"/>
      <c r="BW1719" s="7"/>
      <c r="BX1719" s="7"/>
      <c r="BY1719" s="7"/>
      <c r="BZ1719" s="7"/>
      <c r="CA1719" s="7"/>
      <c r="CB1719" s="7"/>
      <c r="CC1719" s="7"/>
      <c r="CD1719" s="7"/>
      <c r="CE1719" s="7"/>
      <c r="CF1719" s="7"/>
      <c r="CG1719" s="7"/>
    </row>
    <row r="1720" spans="3:85"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  <c r="AA1720" s="7"/>
      <c r="AB1720" s="7"/>
      <c r="AC1720" s="7"/>
      <c r="AD1720" s="7"/>
      <c r="AF1720" s="7"/>
      <c r="AG1720" s="7"/>
      <c r="AH1720" s="7"/>
      <c r="AI1720" s="7"/>
      <c r="AJ1720" s="7"/>
      <c r="AK1720" s="7"/>
      <c r="AL1720" s="7"/>
      <c r="AM1720" s="7"/>
      <c r="AN1720" s="7"/>
      <c r="AO1720" s="7"/>
      <c r="AP1720" s="7"/>
      <c r="AQ1720" s="7"/>
      <c r="AR1720" s="7"/>
      <c r="AS1720" s="7"/>
      <c r="AT1720" s="7"/>
      <c r="AU1720" s="7"/>
      <c r="AV1720" s="7"/>
      <c r="AW1720" s="7"/>
      <c r="AX1720" s="7"/>
      <c r="AY1720" s="7"/>
      <c r="AZ1720" s="7"/>
      <c r="BA1720" s="7"/>
      <c r="BB1720" s="7"/>
      <c r="BC1720" s="7"/>
      <c r="BD1720" s="7"/>
      <c r="BE1720" s="7"/>
      <c r="BF1720" s="7"/>
      <c r="BG1720" s="7"/>
      <c r="BH1720" s="7"/>
      <c r="BI1720" s="7"/>
      <c r="BJ1720" s="7"/>
      <c r="BK1720" s="7"/>
      <c r="BL1720" s="7"/>
      <c r="BM1720" s="7"/>
      <c r="BN1720" s="7"/>
      <c r="BO1720" s="7"/>
      <c r="BP1720" s="7"/>
      <c r="BQ1720" s="7"/>
      <c r="BR1720" s="7"/>
      <c r="BS1720" s="7"/>
      <c r="BT1720" s="7"/>
      <c r="BU1720" s="7"/>
      <c r="BV1720" s="7"/>
      <c r="BW1720" s="7"/>
      <c r="BX1720" s="7"/>
      <c r="BY1720" s="7"/>
      <c r="BZ1720" s="7"/>
      <c r="CA1720" s="7"/>
      <c r="CB1720" s="7"/>
      <c r="CC1720" s="7"/>
      <c r="CD1720" s="7"/>
      <c r="CE1720" s="7"/>
      <c r="CF1720" s="7"/>
      <c r="CG1720" s="7"/>
    </row>
    <row r="1721" spans="3:85"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  <c r="AA1721" s="7"/>
      <c r="AB1721" s="7"/>
      <c r="AC1721" s="7"/>
      <c r="AD1721" s="7"/>
      <c r="AF1721" s="7"/>
      <c r="AG1721" s="7"/>
      <c r="AH1721" s="7"/>
      <c r="AI1721" s="7"/>
      <c r="AJ1721" s="7"/>
      <c r="AK1721" s="7"/>
      <c r="AL1721" s="7"/>
      <c r="AM1721" s="7"/>
      <c r="AN1721" s="7"/>
      <c r="AO1721" s="7"/>
      <c r="AP1721" s="7"/>
      <c r="AQ1721" s="7"/>
      <c r="AR1721" s="7"/>
      <c r="AS1721" s="7"/>
      <c r="AT1721" s="7"/>
      <c r="AU1721" s="7"/>
      <c r="AV1721" s="7"/>
      <c r="AW1721" s="7"/>
      <c r="AX1721" s="7"/>
      <c r="AY1721" s="7"/>
      <c r="AZ1721" s="7"/>
      <c r="BA1721" s="7"/>
      <c r="BB1721" s="7"/>
      <c r="BC1721" s="7"/>
      <c r="BD1721" s="7"/>
      <c r="BE1721" s="7"/>
      <c r="BF1721" s="7"/>
      <c r="BG1721" s="7"/>
      <c r="BH1721" s="7"/>
      <c r="BI1721" s="7"/>
      <c r="BJ1721" s="7"/>
      <c r="BK1721" s="7"/>
      <c r="BL1721" s="7"/>
      <c r="BM1721" s="7"/>
      <c r="BN1721" s="7"/>
      <c r="BO1721" s="7"/>
      <c r="BP1721" s="7"/>
      <c r="BQ1721" s="7"/>
      <c r="BR1721" s="7"/>
      <c r="BS1721" s="7"/>
      <c r="BT1721" s="7"/>
      <c r="BU1721" s="7"/>
      <c r="BV1721" s="7"/>
      <c r="BW1721" s="7"/>
      <c r="BX1721" s="7"/>
      <c r="BY1721" s="7"/>
      <c r="BZ1721" s="7"/>
      <c r="CA1721" s="7"/>
      <c r="CB1721" s="7"/>
      <c r="CC1721" s="7"/>
      <c r="CD1721" s="7"/>
      <c r="CE1721" s="7"/>
      <c r="CF1721" s="7"/>
      <c r="CG1721" s="7"/>
    </row>
    <row r="1722" spans="3:85"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  <c r="AA1722" s="7"/>
      <c r="AB1722" s="7"/>
      <c r="AC1722" s="7"/>
      <c r="AD1722" s="7"/>
      <c r="AF1722" s="7"/>
      <c r="AG1722" s="7"/>
      <c r="AH1722" s="7"/>
      <c r="AI1722" s="7"/>
      <c r="AJ1722" s="7"/>
      <c r="AK1722" s="7"/>
      <c r="AL1722" s="7"/>
      <c r="AM1722" s="7"/>
      <c r="AN1722" s="7"/>
      <c r="AO1722" s="7"/>
      <c r="AP1722" s="7"/>
      <c r="AQ1722" s="7"/>
      <c r="AR1722" s="7"/>
      <c r="AS1722" s="7"/>
      <c r="AT1722" s="7"/>
      <c r="AU1722" s="7"/>
      <c r="AV1722" s="7"/>
      <c r="AW1722" s="7"/>
      <c r="AX1722" s="7"/>
      <c r="AY1722" s="7"/>
      <c r="AZ1722" s="7"/>
      <c r="BA1722" s="7"/>
      <c r="BB1722" s="7"/>
      <c r="BC1722" s="7"/>
      <c r="BD1722" s="7"/>
      <c r="BE1722" s="7"/>
      <c r="BF1722" s="7"/>
      <c r="BG1722" s="7"/>
      <c r="BH1722" s="7"/>
      <c r="BI1722" s="7"/>
      <c r="BJ1722" s="7"/>
      <c r="BK1722" s="7"/>
      <c r="BL1722" s="7"/>
      <c r="BM1722" s="7"/>
      <c r="BN1722" s="7"/>
      <c r="BO1722" s="7"/>
      <c r="BP1722" s="7"/>
      <c r="BQ1722" s="7"/>
      <c r="BR1722" s="7"/>
      <c r="BS1722" s="7"/>
      <c r="BT1722" s="7"/>
      <c r="BU1722" s="7"/>
      <c r="BV1722" s="7"/>
      <c r="BW1722" s="7"/>
      <c r="BX1722" s="7"/>
      <c r="BY1722" s="7"/>
      <c r="BZ1722" s="7"/>
      <c r="CA1722" s="7"/>
      <c r="CB1722" s="7"/>
      <c r="CC1722" s="7"/>
      <c r="CD1722" s="7"/>
      <c r="CE1722" s="7"/>
      <c r="CF1722" s="7"/>
      <c r="CG1722" s="7"/>
    </row>
    <row r="1723" spans="3:85"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  <c r="AA1723" s="7"/>
      <c r="AB1723" s="7"/>
      <c r="AC1723" s="7"/>
      <c r="AD1723" s="7"/>
      <c r="AF1723" s="7"/>
      <c r="AG1723" s="7"/>
      <c r="AH1723" s="7"/>
      <c r="AI1723" s="7"/>
      <c r="AJ1723" s="7"/>
      <c r="AK1723" s="7"/>
      <c r="AL1723" s="7"/>
      <c r="AM1723" s="7"/>
      <c r="AN1723" s="7"/>
      <c r="AO1723" s="7"/>
      <c r="AP1723" s="7"/>
      <c r="AQ1723" s="7"/>
      <c r="AR1723" s="7"/>
      <c r="AS1723" s="7"/>
      <c r="AT1723" s="7"/>
      <c r="AU1723" s="7"/>
      <c r="AV1723" s="7"/>
      <c r="AW1723" s="7"/>
      <c r="AX1723" s="7"/>
      <c r="AY1723" s="7"/>
      <c r="AZ1723" s="7"/>
      <c r="BA1723" s="7"/>
      <c r="BB1723" s="7"/>
      <c r="BC1723" s="7"/>
      <c r="BD1723" s="7"/>
      <c r="BE1723" s="7"/>
      <c r="BF1723" s="7"/>
      <c r="BG1723" s="7"/>
      <c r="BH1723" s="7"/>
      <c r="BI1723" s="7"/>
      <c r="BJ1723" s="7"/>
      <c r="BK1723" s="7"/>
      <c r="BL1723" s="7"/>
      <c r="BM1723" s="7"/>
      <c r="BN1723" s="7"/>
      <c r="BO1723" s="7"/>
      <c r="BP1723" s="7"/>
      <c r="BQ1723" s="7"/>
      <c r="BR1723" s="7"/>
      <c r="BS1723" s="7"/>
      <c r="BT1723" s="7"/>
      <c r="BU1723" s="7"/>
      <c r="BV1723" s="7"/>
      <c r="BW1723" s="7"/>
      <c r="BX1723" s="7"/>
      <c r="BY1723" s="7"/>
      <c r="BZ1723" s="7"/>
      <c r="CA1723" s="7"/>
      <c r="CB1723" s="7"/>
      <c r="CC1723" s="7"/>
      <c r="CD1723" s="7"/>
      <c r="CE1723" s="7"/>
      <c r="CF1723" s="7"/>
      <c r="CG1723" s="7"/>
    </row>
    <row r="1724" spans="3:85"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  <c r="AA1724" s="7"/>
      <c r="AB1724" s="7"/>
      <c r="AC1724" s="7"/>
      <c r="AD1724" s="7"/>
      <c r="AF1724" s="7"/>
      <c r="AG1724" s="7"/>
      <c r="AH1724" s="7"/>
      <c r="AI1724" s="7"/>
      <c r="AJ1724" s="7"/>
      <c r="AK1724" s="7"/>
      <c r="AL1724" s="7"/>
      <c r="AM1724" s="7"/>
      <c r="AN1724" s="7"/>
      <c r="AO1724" s="7"/>
      <c r="AP1724" s="7"/>
      <c r="AQ1724" s="7"/>
      <c r="AR1724" s="7"/>
      <c r="AS1724" s="7"/>
      <c r="AT1724" s="7"/>
      <c r="AU1724" s="7"/>
      <c r="AV1724" s="7"/>
      <c r="AW1724" s="7"/>
      <c r="AX1724" s="7"/>
      <c r="AY1724" s="7"/>
      <c r="AZ1724" s="7"/>
      <c r="BA1724" s="7"/>
      <c r="BB1724" s="7"/>
      <c r="BC1724" s="7"/>
      <c r="BD1724" s="7"/>
      <c r="BE1724" s="7"/>
      <c r="BF1724" s="7"/>
      <c r="BG1724" s="7"/>
      <c r="BH1724" s="7"/>
      <c r="BI1724" s="7"/>
      <c r="BJ1724" s="7"/>
      <c r="BK1724" s="7"/>
      <c r="BL1724" s="7"/>
      <c r="BM1724" s="7"/>
      <c r="BN1724" s="7"/>
      <c r="BO1724" s="7"/>
      <c r="BP1724" s="7"/>
      <c r="BQ1724" s="7"/>
      <c r="BR1724" s="7"/>
      <c r="BS1724" s="7"/>
      <c r="BT1724" s="7"/>
      <c r="BU1724" s="7"/>
      <c r="BV1724" s="7"/>
      <c r="BW1724" s="7"/>
      <c r="BX1724" s="7"/>
      <c r="BY1724" s="7"/>
      <c r="BZ1724" s="7"/>
      <c r="CA1724" s="7"/>
      <c r="CB1724" s="7"/>
      <c r="CC1724" s="7"/>
      <c r="CD1724" s="7"/>
      <c r="CE1724" s="7"/>
      <c r="CF1724" s="7"/>
      <c r="CG1724" s="7"/>
    </row>
    <row r="1725" spans="3:85"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  <c r="AA1725" s="7"/>
      <c r="AB1725" s="7"/>
      <c r="AC1725" s="7"/>
      <c r="AD1725" s="7"/>
      <c r="AF1725" s="7"/>
      <c r="AG1725" s="7"/>
      <c r="AH1725" s="7"/>
      <c r="AI1725" s="7"/>
      <c r="AJ1725" s="7"/>
      <c r="AK1725" s="7"/>
      <c r="AL1725" s="7"/>
      <c r="AM1725" s="7"/>
      <c r="AN1725" s="7"/>
      <c r="AO1725" s="7"/>
      <c r="AP1725" s="7"/>
      <c r="AQ1725" s="7"/>
      <c r="AR1725" s="7"/>
      <c r="AS1725" s="7"/>
      <c r="AT1725" s="7"/>
      <c r="AU1725" s="7"/>
      <c r="AV1725" s="7"/>
      <c r="AW1725" s="7"/>
      <c r="AX1725" s="7"/>
      <c r="AY1725" s="7"/>
      <c r="AZ1725" s="7"/>
      <c r="BA1725" s="7"/>
      <c r="BB1725" s="7"/>
      <c r="BC1725" s="7"/>
      <c r="BD1725" s="7"/>
      <c r="BE1725" s="7"/>
      <c r="BF1725" s="7"/>
      <c r="BG1725" s="7"/>
      <c r="BH1725" s="7"/>
      <c r="BI1725" s="7"/>
      <c r="BJ1725" s="7"/>
      <c r="BK1725" s="7"/>
      <c r="BL1725" s="7"/>
      <c r="BM1725" s="7"/>
      <c r="BN1725" s="7"/>
      <c r="BO1725" s="7"/>
      <c r="BP1725" s="7"/>
      <c r="BQ1725" s="7"/>
      <c r="BR1725" s="7"/>
      <c r="BS1725" s="7"/>
      <c r="BT1725" s="7"/>
      <c r="BU1725" s="7"/>
      <c r="BV1725" s="7"/>
      <c r="BW1725" s="7"/>
      <c r="BX1725" s="7"/>
      <c r="BY1725" s="7"/>
      <c r="BZ1725" s="7"/>
      <c r="CA1725" s="7"/>
      <c r="CB1725" s="7"/>
      <c r="CC1725" s="7"/>
      <c r="CD1725" s="7"/>
      <c r="CE1725" s="7"/>
      <c r="CF1725" s="7"/>
      <c r="CG1725" s="7"/>
    </row>
    <row r="1726" spans="3:85"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  <c r="AA1726" s="7"/>
      <c r="AB1726" s="7"/>
      <c r="AC1726" s="7"/>
      <c r="AD1726" s="7"/>
      <c r="AF1726" s="7"/>
      <c r="AG1726" s="7"/>
      <c r="AH1726" s="7"/>
      <c r="AI1726" s="7"/>
      <c r="AJ1726" s="7"/>
      <c r="AK1726" s="7"/>
      <c r="AL1726" s="7"/>
      <c r="AM1726" s="7"/>
      <c r="AN1726" s="7"/>
      <c r="AO1726" s="7"/>
      <c r="AP1726" s="7"/>
      <c r="AQ1726" s="7"/>
      <c r="AR1726" s="7"/>
      <c r="AS1726" s="7"/>
      <c r="AT1726" s="7"/>
      <c r="AU1726" s="7"/>
      <c r="AV1726" s="7"/>
      <c r="AW1726" s="7"/>
      <c r="AX1726" s="7"/>
      <c r="AY1726" s="7"/>
      <c r="AZ1726" s="7"/>
      <c r="BA1726" s="7"/>
      <c r="BB1726" s="7"/>
      <c r="BC1726" s="7"/>
      <c r="BD1726" s="7"/>
      <c r="BE1726" s="7"/>
      <c r="BF1726" s="7"/>
      <c r="BG1726" s="7"/>
      <c r="BH1726" s="7"/>
      <c r="BI1726" s="7"/>
      <c r="BJ1726" s="7"/>
      <c r="BK1726" s="7"/>
      <c r="BL1726" s="7"/>
      <c r="BM1726" s="7"/>
      <c r="BN1726" s="7"/>
      <c r="BO1726" s="7"/>
      <c r="BP1726" s="7"/>
      <c r="BQ1726" s="7"/>
      <c r="BR1726" s="7"/>
      <c r="BS1726" s="7"/>
      <c r="BT1726" s="7"/>
      <c r="BU1726" s="7"/>
      <c r="BV1726" s="7"/>
      <c r="BW1726" s="7"/>
      <c r="BX1726" s="7"/>
      <c r="BY1726" s="7"/>
      <c r="BZ1726" s="7"/>
      <c r="CA1726" s="7"/>
      <c r="CB1726" s="7"/>
      <c r="CC1726" s="7"/>
      <c r="CD1726" s="7"/>
      <c r="CE1726" s="7"/>
      <c r="CF1726" s="7"/>
      <c r="CG1726" s="7"/>
    </row>
    <row r="1727" spans="3:85"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  <c r="AA1727" s="7"/>
      <c r="AB1727" s="7"/>
      <c r="AC1727" s="7"/>
      <c r="AD1727" s="7"/>
      <c r="AF1727" s="7"/>
      <c r="AG1727" s="7"/>
      <c r="AH1727" s="7"/>
      <c r="AI1727" s="7"/>
      <c r="AJ1727" s="7"/>
      <c r="AK1727" s="7"/>
      <c r="AL1727" s="7"/>
      <c r="AM1727" s="7"/>
      <c r="AN1727" s="7"/>
      <c r="AO1727" s="7"/>
      <c r="AP1727" s="7"/>
      <c r="AQ1727" s="7"/>
      <c r="AR1727" s="7"/>
      <c r="AS1727" s="7"/>
      <c r="AT1727" s="7"/>
      <c r="AU1727" s="7"/>
      <c r="AV1727" s="7"/>
      <c r="AW1727" s="7"/>
      <c r="AX1727" s="7"/>
      <c r="AY1727" s="7"/>
      <c r="AZ1727" s="7"/>
      <c r="BA1727" s="7"/>
      <c r="BB1727" s="7"/>
      <c r="BC1727" s="7"/>
      <c r="BD1727" s="7"/>
      <c r="BE1727" s="7"/>
      <c r="BF1727" s="7"/>
      <c r="BG1727" s="7"/>
      <c r="BH1727" s="7"/>
      <c r="BI1727" s="7"/>
      <c r="BJ1727" s="7"/>
      <c r="BK1727" s="7"/>
      <c r="BL1727" s="7"/>
      <c r="BM1727" s="7"/>
      <c r="BN1727" s="7"/>
      <c r="BO1727" s="7"/>
      <c r="BP1727" s="7"/>
      <c r="BQ1727" s="7"/>
      <c r="BR1727" s="7"/>
      <c r="BS1727" s="7"/>
      <c r="BT1727" s="7"/>
      <c r="BU1727" s="7"/>
      <c r="BV1727" s="7"/>
      <c r="BW1727" s="7"/>
      <c r="BX1727" s="7"/>
      <c r="BY1727" s="7"/>
      <c r="BZ1727" s="7"/>
      <c r="CA1727" s="7"/>
      <c r="CB1727" s="7"/>
      <c r="CC1727" s="7"/>
      <c r="CD1727" s="7"/>
      <c r="CE1727" s="7"/>
      <c r="CF1727" s="7"/>
      <c r="CG1727" s="7"/>
    </row>
    <row r="1728" spans="3:85"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  <c r="AA1728" s="7"/>
      <c r="AB1728" s="7"/>
      <c r="AC1728" s="7"/>
      <c r="AD1728" s="7"/>
      <c r="AF1728" s="7"/>
      <c r="AG1728" s="7"/>
      <c r="AH1728" s="7"/>
      <c r="AI1728" s="7"/>
      <c r="AJ1728" s="7"/>
      <c r="AK1728" s="7"/>
      <c r="AL1728" s="7"/>
      <c r="AM1728" s="7"/>
      <c r="AN1728" s="7"/>
      <c r="AO1728" s="7"/>
      <c r="AP1728" s="7"/>
      <c r="AQ1728" s="7"/>
      <c r="AR1728" s="7"/>
      <c r="AS1728" s="7"/>
      <c r="AT1728" s="7"/>
      <c r="AU1728" s="7"/>
      <c r="AV1728" s="7"/>
      <c r="AW1728" s="7"/>
      <c r="AX1728" s="7"/>
      <c r="AY1728" s="7"/>
      <c r="AZ1728" s="7"/>
      <c r="BA1728" s="7"/>
      <c r="BB1728" s="7"/>
      <c r="BC1728" s="7"/>
      <c r="BD1728" s="7"/>
      <c r="BE1728" s="7"/>
      <c r="BF1728" s="7"/>
      <c r="BG1728" s="7"/>
      <c r="BH1728" s="7"/>
      <c r="BI1728" s="7"/>
      <c r="BJ1728" s="7"/>
      <c r="BK1728" s="7"/>
      <c r="BL1728" s="7"/>
      <c r="BM1728" s="7"/>
      <c r="BN1728" s="7"/>
      <c r="BO1728" s="7"/>
      <c r="BP1728" s="7"/>
      <c r="BQ1728" s="7"/>
      <c r="BR1728" s="7"/>
      <c r="BS1728" s="7"/>
      <c r="BT1728" s="7"/>
      <c r="BU1728" s="7"/>
      <c r="BV1728" s="7"/>
      <c r="BW1728" s="7"/>
      <c r="BX1728" s="7"/>
      <c r="BY1728" s="7"/>
      <c r="BZ1728" s="7"/>
      <c r="CA1728" s="7"/>
      <c r="CB1728" s="7"/>
      <c r="CC1728" s="7"/>
      <c r="CD1728" s="7"/>
      <c r="CE1728" s="7"/>
      <c r="CF1728" s="7"/>
      <c r="CG1728" s="7"/>
    </row>
    <row r="1729" spans="3:85"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  <c r="AA1729" s="7"/>
      <c r="AB1729" s="7"/>
      <c r="AC1729" s="7"/>
      <c r="AD1729" s="7"/>
      <c r="AF1729" s="7"/>
      <c r="AG1729" s="7"/>
      <c r="AH1729" s="7"/>
      <c r="AI1729" s="7"/>
      <c r="AJ1729" s="7"/>
      <c r="AK1729" s="7"/>
      <c r="AL1729" s="7"/>
      <c r="AM1729" s="7"/>
      <c r="AN1729" s="7"/>
      <c r="AO1729" s="7"/>
      <c r="AP1729" s="7"/>
      <c r="AQ1729" s="7"/>
      <c r="AR1729" s="7"/>
      <c r="AS1729" s="7"/>
      <c r="AT1729" s="7"/>
      <c r="AU1729" s="7"/>
      <c r="AV1729" s="7"/>
      <c r="AW1729" s="7"/>
      <c r="AX1729" s="7"/>
      <c r="AY1729" s="7"/>
      <c r="AZ1729" s="7"/>
      <c r="BA1729" s="7"/>
      <c r="BB1729" s="7"/>
      <c r="BC1729" s="7"/>
      <c r="BD1729" s="7"/>
      <c r="BE1729" s="7"/>
      <c r="BF1729" s="7"/>
      <c r="BG1729" s="7"/>
      <c r="BH1729" s="7"/>
      <c r="BI1729" s="7"/>
      <c r="BJ1729" s="7"/>
      <c r="BK1729" s="7"/>
      <c r="BL1729" s="7"/>
      <c r="BM1729" s="7"/>
      <c r="BN1729" s="7"/>
      <c r="BO1729" s="7"/>
      <c r="BP1729" s="7"/>
      <c r="BQ1729" s="7"/>
      <c r="BR1729" s="7"/>
      <c r="BS1729" s="7"/>
      <c r="BT1729" s="7"/>
      <c r="BU1729" s="7"/>
      <c r="BV1729" s="7"/>
      <c r="BW1729" s="7"/>
      <c r="BX1729" s="7"/>
      <c r="BY1729" s="7"/>
      <c r="BZ1729" s="7"/>
      <c r="CA1729" s="7"/>
      <c r="CB1729" s="7"/>
      <c r="CC1729" s="7"/>
      <c r="CD1729" s="7"/>
      <c r="CE1729" s="7"/>
      <c r="CF1729" s="7"/>
      <c r="CG1729" s="7"/>
    </row>
    <row r="1730" spans="3:85"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  <c r="AA1730" s="7"/>
      <c r="AB1730" s="7"/>
      <c r="AC1730" s="7"/>
      <c r="AD1730" s="7"/>
      <c r="AF1730" s="7"/>
      <c r="AG1730" s="7"/>
      <c r="AH1730" s="7"/>
      <c r="AI1730" s="7"/>
      <c r="AJ1730" s="7"/>
      <c r="AK1730" s="7"/>
      <c r="AL1730" s="7"/>
      <c r="AM1730" s="7"/>
      <c r="AN1730" s="7"/>
      <c r="AO1730" s="7"/>
      <c r="AP1730" s="7"/>
      <c r="AQ1730" s="7"/>
      <c r="AR1730" s="7"/>
      <c r="AS1730" s="7"/>
      <c r="AT1730" s="7"/>
      <c r="AU1730" s="7"/>
      <c r="AV1730" s="7"/>
      <c r="AW1730" s="7"/>
      <c r="AX1730" s="7"/>
      <c r="AY1730" s="7"/>
      <c r="AZ1730" s="7"/>
      <c r="BA1730" s="7"/>
      <c r="BB1730" s="7"/>
      <c r="BC1730" s="7"/>
      <c r="BD1730" s="7"/>
      <c r="BE1730" s="7"/>
      <c r="BF1730" s="7"/>
      <c r="BG1730" s="7"/>
      <c r="BH1730" s="7"/>
      <c r="BI1730" s="7"/>
      <c r="BJ1730" s="7"/>
      <c r="BK1730" s="7"/>
      <c r="BL1730" s="7"/>
      <c r="BM1730" s="7"/>
      <c r="BN1730" s="7"/>
      <c r="BO1730" s="7"/>
      <c r="BP1730" s="7"/>
      <c r="BQ1730" s="7"/>
      <c r="BR1730" s="7"/>
      <c r="BS1730" s="7"/>
      <c r="BT1730" s="7"/>
      <c r="BU1730" s="7"/>
      <c r="BV1730" s="7"/>
      <c r="BW1730" s="7"/>
      <c r="BX1730" s="7"/>
      <c r="BY1730" s="7"/>
      <c r="BZ1730" s="7"/>
      <c r="CA1730" s="7"/>
      <c r="CB1730" s="7"/>
      <c r="CC1730" s="7"/>
      <c r="CD1730" s="7"/>
      <c r="CE1730" s="7"/>
      <c r="CF1730" s="7"/>
      <c r="CG1730" s="7"/>
    </row>
    <row r="1731" spans="3:85"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  <c r="AA1731" s="7"/>
      <c r="AB1731" s="7"/>
      <c r="AC1731" s="7"/>
      <c r="AD1731" s="7"/>
      <c r="AF1731" s="7"/>
      <c r="AG1731" s="7"/>
      <c r="AH1731" s="7"/>
      <c r="AI1731" s="7"/>
      <c r="AJ1731" s="7"/>
      <c r="AK1731" s="7"/>
      <c r="AL1731" s="7"/>
      <c r="AM1731" s="7"/>
      <c r="AN1731" s="7"/>
      <c r="AO1731" s="7"/>
      <c r="AP1731" s="7"/>
      <c r="AQ1731" s="7"/>
      <c r="AR1731" s="7"/>
      <c r="AS1731" s="7"/>
      <c r="AT1731" s="7"/>
      <c r="AU1731" s="7"/>
      <c r="AV1731" s="7"/>
      <c r="AW1731" s="7"/>
      <c r="AX1731" s="7"/>
      <c r="AY1731" s="7"/>
      <c r="AZ1731" s="7"/>
      <c r="BA1731" s="7"/>
      <c r="BB1731" s="7"/>
      <c r="BC1731" s="7"/>
      <c r="BD1731" s="7"/>
      <c r="BE1731" s="7"/>
      <c r="BF1731" s="7"/>
      <c r="BG1731" s="7"/>
      <c r="BH1731" s="7"/>
      <c r="BI1731" s="7"/>
      <c r="BJ1731" s="7"/>
      <c r="BK1731" s="7"/>
      <c r="BL1731" s="7"/>
      <c r="BM1731" s="7"/>
      <c r="BN1731" s="7"/>
      <c r="BO1731" s="7"/>
      <c r="BP1731" s="7"/>
      <c r="BQ1731" s="7"/>
      <c r="BR1731" s="7"/>
      <c r="BS1731" s="7"/>
      <c r="BT1731" s="7"/>
      <c r="BU1731" s="7"/>
      <c r="BV1731" s="7"/>
      <c r="BW1731" s="7"/>
      <c r="BX1731" s="7"/>
      <c r="BY1731" s="7"/>
      <c r="BZ1731" s="7"/>
      <c r="CA1731" s="7"/>
      <c r="CB1731" s="7"/>
      <c r="CC1731" s="7"/>
      <c r="CD1731" s="7"/>
      <c r="CE1731" s="7"/>
      <c r="CF1731" s="7"/>
      <c r="CG1731" s="7"/>
    </row>
    <row r="1732" spans="3:85"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  <c r="AA1732" s="7"/>
      <c r="AB1732" s="7"/>
      <c r="AC1732" s="7"/>
      <c r="AD1732" s="7"/>
      <c r="AF1732" s="7"/>
      <c r="AG1732" s="7"/>
      <c r="AH1732" s="7"/>
      <c r="AI1732" s="7"/>
      <c r="AJ1732" s="7"/>
      <c r="AK1732" s="7"/>
      <c r="AL1732" s="7"/>
      <c r="AM1732" s="7"/>
      <c r="AN1732" s="7"/>
      <c r="AO1732" s="7"/>
      <c r="AP1732" s="7"/>
      <c r="AQ1732" s="7"/>
      <c r="AR1732" s="7"/>
      <c r="AS1732" s="7"/>
      <c r="AT1732" s="7"/>
      <c r="AU1732" s="7"/>
      <c r="AV1732" s="7"/>
      <c r="AW1732" s="7"/>
      <c r="AX1732" s="7"/>
      <c r="AY1732" s="7"/>
      <c r="AZ1732" s="7"/>
      <c r="BA1732" s="7"/>
      <c r="BB1732" s="7"/>
      <c r="BC1732" s="7"/>
      <c r="BD1732" s="7"/>
      <c r="BE1732" s="7"/>
      <c r="BF1732" s="7"/>
      <c r="BG1732" s="7"/>
      <c r="BH1732" s="7"/>
      <c r="BI1732" s="7"/>
      <c r="BJ1732" s="7"/>
      <c r="BK1732" s="7"/>
      <c r="BL1732" s="7"/>
      <c r="BM1732" s="7"/>
      <c r="BN1732" s="7"/>
      <c r="BO1732" s="7"/>
      <c r="BP1732" s="7"/>
      <c r="BQ1732" s="7"/>
      <c r="BR1732" s="7"/>
      <c r="BS1732" s="7"/>
      <c r="BT1732" s="7"/>
      <c r="BU1732" s="7"/>
      <c r="BV1732" s="7"/>
      <c r="BW1732" s="7"/>
      <c r="BX1732" s="7"/>
      <c r="BY1732" s="7"/>
      <c r="BZ1732" s="7"/>
      <c r="CA1732" s="7"/>
      <c r="CB1732" s="7"/>
      <c r="CC1732" s="7"/>
      <c r="CD1732" s="7"/>
      <c r="CE1732" s="7"/>
      <c r="CF1732" s="7"/>
      <c r="CG1732" s="7"/>
    </row>
    <row r="1733" spans="3:85"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  <c r="AA1733" s="7"/>
      <c r="AB1733" s="7"/>
      <c r="AC1733" s="7"/>
      <c r="AD1733" s="7"/>
      <c r="AF1733" s="7"/>
      <c r="AG1733" s="7"/>
      <c r="AH1733" s="7"/>
      <c r="AI1733" s="7"/>
      <c r="AJ1733" s="7"/>
      <c r="AK1733" s="7"/>
      <c r="AL1733" s="7"/>
      <c r="AM1733" s="7"/>
      <c r="AN1733" s="7"/>
      <c r="AO1733" s="7"/>
      <c r="AP1733" s="7"/>
      <c r="AQ1733" s="7"/>
      <c r="AR1733" s="7"/>
      <c r="AS1733" s="7"/>
      <c r="AT1733" s="7"/>
      <c r="AU1733" s="7"/>
      <c r="AV1733" s="7"/>
      <c r="AW1733" s="7"/>
      <c r="AX1733" s="7"/>
      <c r="AY1733" s="7"/>
      <c r="AZ1733" s="7"/>
      <c r="BA1733" s="7"/>
      <c r="BB1733" s="7"/>
      <c r="BC1733" s="7"/>
      <c r="BD1733" s="7"/>
      <c r="BE1733" s="7"/>
      <c r="BF1733" s="7"/>
      <c r="BG1733" s="7"/>
      <c r="BH1733" s="7"/>
      <c r="BI1733" s="7"/>
      <c r="BJ1733" s="7"/>
      <c r="BK1733" s="7"/>
      <c r="BL1733" s="7"/>
      <c r="BM1733" s="7"/>
      <c r="BN1733" s="7"/>
      <c r="BO1733" s="7"/>
      <c r="BP1733" s="7"/>
      <c r="BQ1733" s="7"/>
      <c r="BR1733" s="7"/>
      <c r="BS1733" s="7"/>
      <c r="BT1733" s="7"/>
      <c r="BU1733" s="7"/>
      <c r="BV1733" s="7"/>
      <c r="BW1733" s="7"/>
      <c r="BX1733" s="7"/>
      <c r="BY1733" s="7"/>
      <c r="BZ1733" s="7"/>
      <c r="CA1733" s="7"/>
      <c r="CB1733" s="7"/>
      <c r="CC1733" s="7"/>
      <c r="CD1733" s="7"/>
      <c r="CE1733" s="7"/>
      <c r="CF1733" s="7"/>
      <c r="CG1733" s="7"/>
    </row>
    <row r="1734" spans="3:85"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  <c r="AA1734" s="7"/>
      <c r="AB1734" s="7"/>
      <c r="AC1734" s="7"/>
      <c r="AD1734" s="7"/>
      <c r="AF1734" s="7"/>
      <c r="AG1734" s="7"/>
      <c r="AH1734" s="7"/>
      <c r="AI1734" s="7"/>
      <c r="AJ1734" s="7"/>
      <c r="AK1734" s="7"/>
      <c r="AL1734" s="7"/>
      <c r="AM1734" s="7"/>
      <c r="AN1734" s="7"/>
      <c r="AO1734" s="7"/>
      <c r="AP1734" s="7"/>
      <c r="AQ1734" s="7"/>
      <c r="AR1734" s="7"/>
      <c r="AS1734" s="7"/>
      <c r="AT1734" s="7"/>
      <c r="AU1734" s="7"/>
      <c r="AV1734" s="7"/>
      <c r="AW1734" s="7"/>
      <c r="AX1734" s="7"/>
      <c r="AY1734" s="7"/>
      <c r="AZ1734" s="7"/>
      <c r="BA1734" s="7"/>
      <c r="BB1734" s="7"/>
      <c r="BC1734" s="7"/>
      <c r="BD1734" s="7"/>
      <c r="BE1734" s="7"/>
      <c r="BF1734" s="7"/>
      <c r="BG1734" s="7"/>
      <c r="BH1734" s="7"/>
      <c r="BI1734" s="7"/>
      <c r="BJ1734" s="7"/>
      <c r="BK1734" s="7"/>
      <c r="BL1734" s="7"/>
      <c r="BM1734" s="7"/>
      <c r="BN1734" s="7"/>
      <c r="BO1734" s="7"/>
      <c r="BP1734" s="7"/>
      <c r="BQ1734" s="7"/>
      <c r="BR1734" s="7"/>
      <c r="BS1734" s="7"/>
      <c r="BT1734" s="7"/>
      <c r="BU1734" s="7"/>
      <c r="BV1734" s="7"/>
      <c r="BW1734" s="7"/>
      <c r="BX1734" s="7"/>
      <c r="BY1734" s="7"/>
      <c r="BZ1734" s="7"/>
      <c r="CA1734" s="7"/>
      <c r="CB1734" s="7"/>
      <c r="CC1734" s="7"/>
      <c r="CD1734" s="7"/>
      <c r="CE1734" s="7"/>
      <c r="CF1734" s="7"/>
      <c r="CG1734" s="7"/>
    </row>
    <row r="1735" spans="3:85"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  <c r="AA1735" s="7"/>
      <c r="AB1735" s="7"/>
      <c r="AC1735" s="7"/>
      <c r="AD1735" s="7"/>
      <c r="AF1735" s="7"/>
      <c r="AG1735" s="7"/>
      <c r="AH1735" s="7"/>
      <c r="AI1735" s="7"/>
      <c r="AJ1735" s="7"/>
      <c r="AK1735" s="7"/>
      <c r="AL1735" s="7"/>
      <c r="AM1735" s="7"/>
      <c r="AN1735" s="7"/>
      <c r="AO1735" s="7"/>
      <c r="AP1735" s="7"/>
      <c r="AQ1735" s="7"/>
      <c r="AR1735" s="7"/>
      <c r="AS1735" s="7"/>
      <c r="AT1735" s="7"/>
      <c r="AU1735" s="7"/>
      <c r="AV1735" s="7"/>
      <c r="AW1735" s="7"/>
      <c r="AX1735" s="7"/>
      <c r="AY1735" s="7"/>
      <c r="AZ1735" s="7"/>
      <c r="BA1735" s="7"/>
      <c r="BB1735" s="7"/>
      <c r="BC1735" s="7"/>
      <c r="BD1735" s="7"/>
      <c r="BE1735" s="7"/>
      <c r="BF1735" s="7"/>
      <c r="BG1735" s="7"/>
      <c r="BH1735" s="7"/>
      <c r="BI1735" s="7"/>
      <c r="BJ1735" s="7"/>
      <c r="BK1735" s="7"/>
      <c r="BL1735" s="7"/>
      <c r="BM1735" s="7"/>
      <c r="BN1735" s="7"/>
      <c r="BO1735" s="7"/>
      <c r="BP1735" s="7"/>
      <c r="BQ1735" s="7"/>
      <c r="BR1735" s="7"/>
      <c r="BS1735" s="7"/>
      <c r="BT1735" s="7"/>
      <c r="BU1735" s="7"/>
      <c r="BV1735" s="7"/>
      <c r="BW1735" s="7"/>
      <c r="BX1735" s="7"/>
      <c r="BY1735" s="7"/>
      <c r="BZ1735" s="7"/>
      <c r="CA1735" s="7"/>
      <c r="CB1735" s="7"/>
      <c r="CC1735" s="7"/>
      <c r="CD1735" s="7"/>
      <c r="CE1735" s="7"/>
      <c r="CF1735" s="7"/>
      <c r="CG1735" s="7"/>
    </row>
    <row r="1736" spans="3:85"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  <c r="AA1736" s="7"/>
      <c r="AB1736" s="7"/>
      <c r="AC1736" s="7"/>
      <c r="AD1736" s="7"/>
      <c r="AF1736" s="7"/>
      <c r="AG1736" s="7"/>
      <c r="AH1736" s="7"/>
      <c r="AI1736" s="7"/>
      <c r="AJ1736" s="7"/>
      <c r="AK1736" s="7"/>
      <c r="AL1736" s="7"/>
      <c r="AM1736" s="7"/>
      <c r="AN1736" s="7"/>
      <c r="AO1736" s="7"/>
      <c r="AP1736" s="7"/>
      <c r="AQ1736" s="7"/>
      <c r="AR1736" s="7"/>
      <c r="AS1736" s="7"/>
      <c r="AT1736" s="7"/>
      <c r="AU1736" s="7"/>
      <c r="AV1736" s="7"/>
      <c r="AW1736" s="7"/>
      <c r="AX1736" s="7"/>
      <c r="AY1736" s="7"/>
      <c r="AZ1736" s="7"/>
      <c r="BA1736" s="7"/>
      <c r="BB1736" s="7"/>
      <c r="BC1736" s="7"/>
      <c r="BD1736" s="7"/>
      <c r="BE1736" s="7"/>
      <c r="BF1736" s="7"/>
      <c r="BG1736" s="7"/>
      <c r="BH1736" s="7"/>
      <c r="BI1736" s="7"/>
      <c r="BJ1736" s="7"/>
      <c r="BK1736" s="7"/>
      <c r="BL1736" s="7"/>
      <c r="BM1736" s="7"/>
      <c r="BN1736" s="7"/>
      <c r="BO1736" s="7"/>
      <c r="BP1736" s="7"/>
      <c r="BQ1736" s="7"/>
      <c r="BR1736" s="7"/>
      <c r="BS1736" s="7"/>
      <c r="BT1736" s="7"/>
      <c r="BU1736" s="7"/>
      <c r="BV1736" s="7"/>
      <c r="BW1736" s="7"/>
      <c r="BX1736" s="7"/>
      <c r="BY1736" s="7"/>
      <c r="BZ1736" s="7"/>
      <c r="CA1736" s="7"/>
      <c r="CB1736" s="7"/>
      <c r="CC1736" s="7"/>
      <c r="CD1736" s="7"/>
      <c r="CE1736" s="7"/>
      <c r="CF1736" s="7"/>
      <c r="CG1736" s="7"/>
    </row>
    <row r="1737" spans="3:85"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  <c r="AA1737" s="7"/>
      <c r="AB1737" s="7"/>
      <c r="AC1737" s="7"/>
      <c r="AD1737" s="7"/>
      <c r="AF1737" s="7"/>
      <c r="AG1737" s="7"/>
      <c r="AH1737" s="7"/>
      <c r="AI1737" s="7"/>
      <c r="AJ1737" s="7"/>
      <c r="AK1737" s="7"/>
      <c r="AL1737" s="7"/>
      <c r="AM1737" s="7"/>
      <c r="AN1737" s="7"/>
      <c r="AO1737" s="7"/>
      <c r="AP1737" s="7"/>
      <c r="AQ1737" s="7"/>
      <c r="AR1737" s="7"/>
      <c r="AS1737" s="7"/>
      <c r="AT1737" s="7"/>
      <c r="AU1737" s="7"/>
      <c r="AV1737" s="7"/>
      <c r="AW1737" s="7"/>
      <c r="AX1737" s="7"/>
      <c r="AY1737" s="7"/>
      <c r="AZ1737" s="7"/>
      <c r="BA1737" s="7"/>
      <c r="BB1737" s="7"/>
      <c r="BC1737" s="7"/>
      <c r="BD1737" s="7"/>
      <c r="BE1737" s="7"/>
      <c r="BF1737" s="7"/>
      <c r="BG1737" s="7"/>
      <c r="BH1737" s="7"/>
      <c r="BI1737" s="7"/>
      <c r="BJ1737" s="7"/>
      <c r="BK1737" s="7"/>
      <c r="BL1737" s="7"/>
      <c r="BM1737" s="7"/>
      <c r="BN1737" s="7"/>
      <c r="BO1737" s="7"/>
      <c r="BP1737" s="7"/>
      <c r="BQ1737" s="7"/>
      <c r="BR1737" s="7"/>
      <c r="BS1737" s="7"/>
      <c r="BT1737" s="7"/>
      <c r="BU1737" s="7"/>
      <c r="BV1737" s="7"/>
      <c r="BW1737" s="7"/>
      <c r="BX1737" s="7"/>
      <c r="BY1737" s="7"/>
      <c r="BZ1737" s="7"/>
      <c r="CA1737" s="7"/>
      <c r="CB1737" s="7"/>
      <c r="CC1737" s="7"/>
      <c r="CD1737" s="7"/>
      <c r="CE1737" s="7"/>
      <c r="CF1737" s="7"/>
      <c r="CG1737" s="7"/>
    </row>
    <row r="1738" spans="3:85"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  <c r="AA1738" s="7"/>
      <c r="AB1738" s="7"/>
      <c r="AC1738" s="7"/>
      <c r="AD1738" s="7"/>
      <c r="AF1738" s="7"/>
      <c r="AG1738" s="7"/>
      <c r="AH1738" s="7"/>
      <c r="AI1738" s="7"/>
      <c r="AJ1738" s="7"/>
      <c r="AK1738" s="7"/>
      <c r="AL1738" s="7"/>
      <c r="AM1738" s="7"/>
      <c r="AN1738" s="7"/>
      <c r="AO1738" s="7"/>
      <c r="AP1738" s="7"/>
      <c r="AQ1738" s="7"/>
      <c r="AR1738" s="7"/>
      <c r="AS1738" s="7"/>
      <c r="AT1738" s="7"/>
      <c r="AU1738" s="7"/>
      <c r="AV1738" s="7"/>
      <c r="AW1738" s="7"/>
      <c r="AX1738" s="7"/>
      <c r="AY1738" s="7"/>
      <c r="AZ1738" s="7"/>
      <c r="BA1738" s="7"/>
      <c r="BB1738" s="7"/>
      <c r="BC1738" s="7"/>
      <c r="BD1738" s="7"/>
      <c r="BE1738" s="7"/>
      <c r="BF1738" s="7"/>
      <c r="BG1738" s="7"/>
      <c r="BH1738" s="7"/>
      <c r="BI1738" s="7"/>
      <c r="BJ1738" s="7"/>
      <c r="BK1738" s="7"/>
      <c r="BL1738" s="7"/>
      <c r="BM1738" s="7"/>
      <c r="BN1738" s="7"/>
      <c r="BO1738" s="7"/>
      <c r="BP1738" s="7"/>
      <c r="BQ1738" s="7"/>
      <c r="BR1738" s="7"/>
      <c r="BS1738" s="7"/>
      <c r="BT1738" s="7"/>
      <c r="BU1738" s="7"/>
      <c r="BV1738" s="7"/>
      <c r="BW1738" s="7"/>
      <c r="BX1738" s="7"/>
      <c r="BY1738" s="7"/>
      <c r="BZ1738" s="7"/>
      <c r="CA1738" s="7"/>
      <c r="CB1738" s="7"/>
      <c r="CC1738" s="7"/>
      <c r="CD1738" s="7"/>
      <c r="CE1738" s="7"/>
      <c r="CF1738" s="7"/>
      <c r="CG1738" s="7"/>
    </row>
    <row r="1739" spans="3:85"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  <c r="AA1739" s="7"/>
      <c r="AB1739" s="7"/>
      <c r="AC1739" s="7"/>
      <c r="AD1739" s="7"/>
      <c r="AF1739" s="7"/>
      <c r="AG1739" s="7"/>
      <c r="AH1739" s="7"/>
      <c r="AI1739" s="7"/>
      <c r="AJ1739" s="7"/>
      <c r="AK1739" s="7"/>
      <c r="AL1739" s="7"/>
      <c r="AM1739" s="7"/>
      <c r="AN1739" s="7"/>
      <c r="AO1739" s="7"/>
      <c r="AP1739" s="7"/>
      <c r="AQ1739" s="7"/>
      <c r="AR1739" s="7"/>
      <c r="AS1739" s="7"/>
      <c r="AT1739" s="7"/>
      <c r="AU1739" s="7"/>
      <c r="AV1739" s="7"/>
      <c r="AW1739" s="7"/>
      <c r="AX1739" s="7"/>
      <c r="AY1739" s="7"/>
      <c r="AZ1739" s="7"/>
      <c r="BA1739" s="7"/>
      <c r="BB1739" s="7"/>
      <c r="BC1739" s="7"/>
      <c r="BD1739" s="7"/>
      <c r="BE1739" s="7"/>
      <c r="BF1739" s="7"/>
      <c r="BG1739" s="7"/>
      <c r="BH1739" s="7"/>
      <c r="BI1739" s="7"/>
      <c r="BJ1739" s="7"/>
      <c r="BK1739" s="7"/>
      <c r="BL1739" s="7"/>
      <c r="BM1739" s="7"/>
      <c r="BN1739" s="7"/>
      <c r="BO1739" s="7"/>
      <c r="BP1739" s="7"/>
      <c r="BQ1739" s="7"/>
      <c r="BR1739" s="7"/>
      <c r="BS1739" s="7"/>
      <c r="BT1739" s="7"/>
      <c r="BU1739" s="7"/>
      <c r="BV1739" s="7"/>
      <c r="BW1739" s="7"/>
      <c r="BX1739" s="7"/>
      <c r="BY1739" s="7"/>
      <c r="BZ1739" s="7"/>
      <c r="CA1739" s="7"/>
      <c r="CB1739" s="7"/>
      <c r="CC1739" s="7"/>
      <c r="CD1739" s="7"/>
      <c r="CE1739" s="7"/>
      <c r="CF1739" s="7"/>
      <c r="CG1739" s="7"/>
    </row>
    <row r="1740" spans="3:85"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  <c r="AA1740" s="7"/>
      <c r="AB1740" s="7"/>
      <c r="AC1740" s="7"/>
      <c r="AD1740" s="7"/>
      <c r="AF1740" s="7"/>
      <c r="AG1740" s="7"/>
      <c r="AH1740" s="7"/>
      <c r="AI1740" s="7"/>
      <c r="AJ1740" s="7"/>
      <c r="AK1740" s="7"/>
      <c r="AL1740" s="7"/>
      <c r="AM1740" s="7"/>
      <c r="AN1740" s="7"/>
      <c r="AO1740" s="7"/>
      <c r="AP1740" s="7"/>
      <c r="AQ1740" s="7"/>
      <c r="AR1740" s="7"/>
      <c r="AS1740" s="7"/>
      <c r="AT1740" s="7"/>
      <c r="AU1740" s="7"/>
      <c r="AV1740" s="7"/>
      <c r="AW1740" s="7"/>
      <c r="AX1740" s="7"/>
      <c r="AY1740" s="7"/>
      <c r="AZ1740" s="7"/>
      <c r="BA1740" s="7"/>
      <c r="BB1740" s="7"/>
      <c r="BC1740" s="7"/>
      <c r="BD1740" s="7"/>
      <c r="BE1740" s="7"/>
      <c r="BF1740" s="7"/>
      <c r="BG1740" s="7"/>
      <c r="BH1740" s="7"/>
      <c r="BI1740" s="7"/>
      <c r="BJ1740" s="7"/>
      <c r="BK1740" s="7"/>
      <c r="BL1740" s="7"/>
      <c r="BM1740" s="7"/>
      <c r="BN1740" s="7"/>
      <c r="BO1740" s="7"/>
      <c r="BP1740" s="7"/>
      <c r="BQ1740" s="7"/>
      <c r="BR1740" s="7"/>
      <c r="BS1740" s="7"/>
      <c r="BT1740" s="7"/>
      <c r="BU1740" s="7"/>
      <c r="BV1740" s="7"/>
      <c r="BW1740" s="7"/>
      <c r="BX1740" s="7"/>
      <c r="BY1740" s="7"/>
      <c r="BZ1740" s="7"/>
      <c r="CA1740" s="7"/>
      <c r="CB1740" s="7"/>
      <c r="CC1740" s="7"/>
      <c r="CD1740" s="7"/>
      <c r="CE1740" s="7"/>
      <c r="CF1740" s="7"/>
      <c r="CG1740" s="7"/>
    </row>
    <row r="1741" spans="3:85"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  <c r="AA1741" s="7"/>
      <c r="AB1741" s="7"/>
      <c r="AC1741" s="7"/>
      <c r="AD1741" s="7"/>
      <c r="AF1741" s="7"/>
      <c r="AG1741" s="7"/>
      <c r="AH1741" s="7"/>
      <c r="AI1741" s="7"/>
      <c r="AJ1741" s="7"/>
      <c r="AK1741" s="7"/>
      <c r="AL1741" s="7"/>
      <c r="AM1741" s="7"/>
      <c r="AN1741" s="7"/>
      <c r="AO1741" s="7"/>
      <c r="AP1741" s="7"/>
      <c r="AQ1741" s="7"/>
      <c r="AR1741" s="7"/>
      <c r="AS1741" s="7"/>
      <c r="AT1741" s="7"/>
      <c r="AU1741" s="7"/>
      <c r="AV1741" s="7"/>
      <c r="AW1741" s="7"/>
      <c r="AX1741" s="7"/>
      <c r="AY1741" s="7"/>
      <c r="AZ1741" s="7"/>
      <c r="BA1741" s="7"/>
      <c r="BB1741" s="7"/>
      <c r="BC1741" s="7"/>
      <c r="BD1741" s="7"/>
      <c r="BE1741" s="7"/>
      <c r="BF1741" s="7"/>
      <c r="BG1741" s="7"/>
      <c r="BH1741" s="7"/>
      <c r="BI1741" s="7"/>
      <c r="BJ1741" s="7"/>
      <c r="BK1741" s="7"/>
      <c r="BL1741" s="7"/>
      <c r="BM1741" s="7"/>
      <c r="BN1741" s="7"/>
      <c r="BO1741" s="7"/>
      <c r="BP1741" s="7"/>
      <c r="BQ1741" s="7"/>
      <c r="BR1741" s="7"/>
      <c r="BS1741" s="7"/>
      <c r="BT1741" s="7"/>
      <c r="BU1741" s="7"/>
      <c r="BV1741" s="7"/>
      <c r="BW1741" s="7"/>
      <c r="BX1741" s="7"/>
      <c r="BY1741" s="7"/>
      <c r="BZ1741" s="7"/>
      <c r="CA1741" s="7"/>
      <c r="CB1741" s="7"/>
      <c r="CC1741" s="7"/>
      <c r="CD1741" s="7"/>
      <c r="CE1741" s="7"/>
      <c r="CF1741" s="7"/>
      <c r="CG1741" s="7"/>
    </row>
    <row r="1742" spans="3:85"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  <c r="AA1742" s="7"/>
      <c r="AB1742" s="7"/>
      <c r="AC1742" s="7"/>
      <c r="AD1742" s="7"/>
      <c r="AF1742" s="7"/>
      <c r="AG1742" s="7"/>
      <c r="AH1742" s="7"/>
      <c r="AI1742" s="7"/>
      <c r="AJ1742" s="7"/>
      <c r="AK1742" s="7"/>
      <c r="AL1742" s="7"/>
      <c r="AM1742" s="7"/>
      <c r="AN1742" s="7"/>
      <c r="AO1742" s="7"/>
      <c r="AP1742" s="7"/>
      <c r="AQ1742" s="7"/>
      <c r="AR1742" s="7"/>
      <c r="AS1742" s="7"/>
      <c r="AT1742" s="7"/>
      <c r="AU1742" s="7"/>
      <c r="AV1742" s="7"/>
      <c r="AW1742" s="7"/>
      <c r="AX1742" s="7"/>
      <c r="AY1742" s="7"/>
      <c r="AZ1742" s="7"/>
      <c r="BA1742" s="7"/>
      <c r="BB1742" s="7"/>
      <c r="BC1742" s="7"/>
      <c r="BD1742" s="7"/>
      <c r="BE1742" s="7"/>
      <c r="BF1742" s="7"/>
      <c r="BG1742" s="7"/>
      <c r="BH1742" s="7"/>
      <c r="BI1742" s="7"/>
      <c r="BJ1742" s="7"/>
      <c r="BK1742" s="7"/>
      <c r="BL1742" s="7"/>
      <c r="BM1742" s="7"/>
      <c r="BN1742" s="7"/>
      <c r="BO1742" s="7"/>
      <c r="BP1742" s="7"/>
      <c r="BQ1742" s="7"/>
      <c r="BR1742" s="7"/>
      <c r="BS1742" s="7"/>
      <c r="BT1742" s="7"/>
      <c r="BU1742" s="7"/>
      <c r="BV1742" s="7"/>
      <c r="BW1742" s="7"/>
      <c r="BX1742" s="7"/>
      <c r="BY1742" s="7"/>
      <c r="BZ1742" s="7"/>
      <c r="CA1742" s="7"/>
      <c r="CB1742" s="7"/>
      <c r="CC1742" s="7"/>
      <c r="CD1742" s="7"/>
      <c r="CE1742" s="7"/>
      <c r="CF1742" s="7"/>
      <c r="CG1742" s="7"/>
    </row>
    <row r="1743" spans="3:85"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  <c r="AA1743" s="7"/>
      <c r="AB1743" s="7"/>
      <c r="AC1743" s="7"/>
      <c r="AD1743" s="7"/>
      <c r="AF1743" s="7"/>
      <c r="AG1743" s="7"/>
      <c r="AH1743" s="7"/>
      <c r="AI1743" s="7"/>
      <c r="AJ1743" s="7"/>
      <c r="AK1743" s="7"/>
      <c r="AL1743" s="7"/>
      <c r="AM1743" s="7"/>
      <c r="AN1743" s="7"/>
      <c r="AO1743" s="7"/>
      <c r="AP1743" s="7"/>
      <c r="AQ1743" s="7"/>
      <c r="AR1743" s="7"/>
      <c r="AS1743" s="7"/>
      <c r="AT1743" s="7"/>
      <c r="AU1743" s="7"/>
      <c r="AV1743" s="7"/>
      <c r="AW1743" s="7"/>
      <c r="AX1743" s="7"/>
      <c r="AY1743" s="7"/>
      <c r="AZ1743" s="7"/>
      <c r="BA1743" s="7"/>
      <c r="BB1743" s="7"/>
      <c r="BC1743" s="7"/>
      <c r="BD1743" s="7"/>
      <c r="BE1743" s="7"/>
      <c r="BF1743" s="7"/>
      <c r="BG1743" s="7"/>
      <c r="BH1743" s="7"/>
      <c r="BI1743" s="7"/>
      <c r="BJ1743" s="7"/>
      <c r="BK1743" s="7"/>
      <c r="BL1743" s="7"/>
      <c r="BM1743" s="7"/>
      <c r="BN1743" s="7"/>
      <c r="BO1743" s="7"/>
      <c r="BP1743" s="7"/>
      <c r="BQ1743" s="7"/>
      <c r="BR1743" s="7"/>
      <c r="BS1743" s="7"/>
      <c r="BT1743" s="7"/>
      <c r="BU1743" s="7"/>
      <c r="BV1743" s="7"/>
      <c r="BW1743" s="7"/>
      <c r="BX1743" s="7"/>
      <c r="BY1743" s="7"/>
      <c r="BZ1743" s="7"/>
      <c r="CA1743" s="7"/>
      <c r="CB1743" s="7"/>
      <c r="CC1743" s="7"/>
      <c r="CD1743" s="7"/>
      <c r="CE1743" s="7"/>
      <c r="CF1743" s="7"/>
      <c r="CG1743" s="7"/>
    </row>
    <row r="1744" spans="3:85"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  <c r="AA1744" s="7"/>
      <c r="AB1744" s="7"/>
      <c r="AC1744" s="7"/>
      <c r="AD1744" s="7"/>
      <c r="AF1744" s="7"/>
      <c r="AG1744" s="7"/>
      <c r="AH1744" s="7"/>
      <c r="AI1744" s="7"/>
      <c r="AJ1744" s="7"/>
      <c r="AK1744" s="7"/>
      <c r="AL1744" s="7"/>
      <c r="AM1744" s="7"/>
      <c r="AN1744" s="7"/>
      <c r="AO1744" s="7"/>
      <c r="AP1744" s="7"/>
      <c r="AQ1744" s="7"/>
      <c r="AR1744" s="7"/>
      <c r="AS1744" s="7"/>
      <c r="AT1744" s="7"/>
      <c r="AU1744" s="7"/>
      <c r="AV1744" s="7"/>
      <c r="AW1744" s="7"/>
      <c r="AX1744" s="7"/>
      <c r="AY1744" s="7"/>
      <c r="AZ1744" s="7"/>
      <c r="BA1744" s="7"/>
      <c r="BB1744" s="7"/>
      <c r="BC1744" s="7"/>
      <c r="BD1744" s="7"/>
      <c r="BE1744" s="7"/>
      <c r="BF1744" s="7"/>
      <c r="BG1744" s="7"/>
      <c r="BH1744" s="7"/>
      <c r="BI1744" s="7"/>
      <c r="BJ1744" s="7"/>
      <c r="BK1744" s="7"/>
      <c r="BL1744" s="7"/>
      <c r="BM1744" s="7"/>
      <c r="BN1744" s="7"/>
      <c r="BO1744" s="7"/>
      <c r="BP1744" s="7"/>
      <c r="BQ1744" s="7"/>
      <c r="BR1744" s="7"/>
      <c r="BS1744" s="7"/>
      <c r="BT1744" s="7"/>
      <c r="BU1744" s="7"/>
      <c r="BV1744" s="7"/>
      <c r="BW1744" s="7"/>
      <c r="BX1744" s="7"/>
      <c r="BY1744" s="7"/>
      <c r="BZ1744" s="7"/>
      <c r="CA1744" s="7"/>
      <c r="CB1744" s="7"/>
      <c r="CC1744" s="7"/>
      <c r="CD1744" s="7"/>
      <c r="CE1744" s="7"/>
      <c r="CF1744" s="7"/>
      <c r="CG1744" s="7"/>
    </row>
    <row r="1745" spans="3:85"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  <c r="AA1745" s="7"/>
      <c r="AB1745" s="7"/>
      <c r="AC1745" s="7"/>
      <c r="AD1745" s="7"/>
      <c r="AF1745" s="7"/>
      <c r="AG1745" s="7"/>
      <c r="AH1745" s="7"/>
      <c r="AI1745" s="7"/>
      <c r="AJ1745" s="7"/>
      <c r="AK1745" s="7"/>
      <c r="AL1745" s="7"/>
      <c r="AM1745" s="7"/>
      <c r="AN1745" s="7"/>
      <c r="AO1745" s="7"/>
      <c r="AP1745" s="7"/>
      <c r="AQ1745" s="7"/>
      <c r="AR1745" s="7"/>
      <c r="AS1745" s="7"/>
      <c r="AT1745" s="7"/>
      <c r="AU1745" s="7"/>
      <c r="AV1745" s="7"/>
      <c r="AW1745" s="7"/>
      <c r="AX1745" s="7"/>
      <c r="AY1745" s="7"/>
      <c r="AZ1745" s="7"/>
      <c r="BA1745" s="7"/>
      <c r="BB1745" s="7"/>
      <c r="BC1745" s="7"/>
      <c r="BD1745" s="7"/>
      <c r="BE1745" s="7"/>
      <c r="BF1745" s="7"/>
      <c r="BG1745" s="7"/>
      <c r="BH1745" s="7"/>
      <c r="BI1745" s="7"/>
      <c r="BJ1745" s="7"/>
      <c r="BK1745" s="7"/>
      <c r="BL1745" s="7"/>
      <c r="BM1745" s="7"/>
      <c r="BN1745" s="7"/>
      <c r="BO1745" s="7"/>
      <c r="BP1745" s="7"/>
      <c r="BQ1745" s="7"/>
      <c r="BR1745" s="7"/>
      <c r="BS1745" s="7"/>
      <c r="BT1745" s="7"/>
      <c r="BU1745" s="7"/>
      <c r="BV1745" s="7"/>
      <c r="BW1745" s="7"/>
      <c r="BX1745" s="7"/>
      <c r="BY1745" s="7"/>
      <c r="BZ1745" s="7"/>
      <c r="CA1745" s="7"/>
      <c r="CB1745" s="7"/>
      <c r="CC1745" s="7"/>
      <c r="CD1745" s="7"/>
      <c r="CE1745" s="7"/>
      <c r="CF1745" s="7"/>
      <c r="CG1745" s="7"/>
    </row>
    <row r="1746" spans="3:85"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  <c r="AA1746" s="7"/>
      <c r="AB1746" s="7"/>
      <c r="AC1746" s="7"/>
      <c r="AD1746" s="7"/>
      <c r="AF1746" s="7"/>
      <c r="AG1746" s="7"/>
      <c r="AH1746" s="7"/>
      <c r="AI1746" s="7"/>
      <c r="AJ1746" s="7"/>
      <c r="AK1746" s="7"/>
      <c r="AL1746" s="7"/>
      <c r="AM1746" s="7"/>
      <c r="AN1746" s="7"/>
      <c r="AO1746" s="7"/>
      <c r="AP1746" s="7"/>
      <c r="AQ1746" s="7"/>
      <c r="AR1746" s="7"/>
      <c r="AS1746" s="7"/>
      <c r="AT1746" s="7"/>
      <c r="AU1746" s="7"/>
      <c r="AV1746" s="7"/>
      <c r="AW1746" s="7"/>
      <c r="AX1746" s="7"/>
      <c r="AY1746" s="7"/>
      <c r="AZ1746" s="7"/>
      <c r="BA1746" s="7"/>
      <c r="BB1746" s="7"/>
      <c r="BC1746" s="7"/>
      <c r="BD1746" s="7"/>
      <c r="BE1746" s="7"/>
      <c r="BF1746" s="7"/>
      <c r="BG1746" s="7"/>
      <c r="BH1746" s="7"/>
      <c r="BI1746" s="7"/>
      <c r="BJ1746" s="7"/>
      <c r="BK1746" s="7"/>
      <c r="BL1746" s="7"/>
      <c r="BM1746" s="7"/>
      <c r="BN1746" s="7"/>
      <c r="BO1746" s="7"/>
      <c r="BP1746" s="7"/>
      <c r="BQ1746" s="7"/>
      <c r="BR1746" s="7"/>
      <c r="BS1746" s="7"/>
      <c r="BT1746" s="7"/>
      <c r="BU1746" s="7"/>
      <c r="BV1746" s="7"/>
      <c r="BW1746" s="7"/>
      <c r="BX1746" s="7"/>
      <c r="BY1746" s="7"/>
      <c r="BZ1746" s="7"/>
      <c r="CA1746" s="7"/>
      <c r="CB1746" s="7"/>
      <c r="CC1746" s="7"/>
      <c r="CD1746" s="7"/>
      <c r="CE1746" s="7"/>
      <c r="CF1746" s="7"/>
      <c r="CG1746" s="7"/>
    </row>
    <row r="1747" spans="3:85"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  <c r="AA1747" s="7"/>
      <c r="AB1747" s="7"/>
      <c r="AC1747" s="7"/>
      <c r="AD1747" s="7"/>
      <c r="AF1747" s="7"/>
      <c r="AG1747" s="7"/>
      <c r="AH1747" s="7"/>
      <c r="AI1747" s="7"/>
      <c r="AJ1747" s="7"/>
      <c r="AK1747" s="7"/>
      <c r="AL1747" s="7"/>
      <c r="AM1747" s="7"/>
      <c r="AN1747" s="7"/>
      <c r="AO1747" s="7"/>
      <c r="AP1747" s="7"/>
      <c r="AQ1747" s="7"/>
      <c r="AR1747" s="7"/>
      <c r="AS1747" s="7"/>
      <c r="AT1747" s="7"/>
      <c r="AU1747" s="7"/>
      <c r="AV1747" s="7"/>
      <c r="AW1747" s="7"/>
      <c r="AX1747" s="7"/>
      <c r="AY1747" s="7"/>
      <c r="AZ1747" s="7"/>
      <c r="BA1747" s="7"/>
      <c r="BB1747" s="7"/>
      <c r="BC1747" s="7"/>
      <c r="BD1747" s="7"/>
      <c r="BE1747" s="7"/>
      <c r="BF1747" s="7"/>
      <c r="BG1747" s="7"/>
      <c r="BH1747" s="7"/>
      <c r="BI1747" s="7"/>
      <c r="BJ1747" s="7"/>
      <c r="BK1747" s="7"/>
      <c r="BL1747" s="7"/>
      <c r="BM1747" s="7"/>
      <c r="BN1747" s="7"/>
      <c r="BO1747" s="7"/>
      <c r="BP1747" s="7"/>
      <c r="BQ1747" s="7"/>
      <c r="BR1747" s="7"/>
      <c r="BS1747" s="7"/>
      <c r="BT1747" s="7"/>
      <c r="BU1747" s="7"/>
      <c r="BV1747" s="7"/>
      <c r="BW1747" s="7"/>
      <c r="BX1747" s="7"/>
      <c r="BY1747" s="7"/>
      <c r="BZ1747" s="7"/>
      <c r="CA1747" s="7"/>
      <c r="CB1747" s="7"/>
      <c r="CC1747" s="7"/>
      <c r="CD1747" s="7"/>
      <c r="CE1747" s="7"/>
      <c r="CF1747" s="7"/>
      <c r="CG1747" s="7"/>
    </row>
    <row r="1748" spans="3:85"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  <c r="AA1748" s="7"/>
      <c r="AB1748" s="7"/>
      <c r="AC1748" s="7"/>
      <c r="AD1748" s="7"/>
      <c r="AF1748" s="7"/>
      <c r="AG1748" s="7"/>
      <c r="AH1748" s="7"/>
      <c r="AI1748" s="7"/>
      <c r="AJ1748" s="7"/>
      <c r="AK1748" s="7"/>
      <c r="AL1748" s="7"/>
      <c r="AM1748" s="7"/>
      <c r="AN1748" s="7"/>
      <c r="AO1748" s="7"/>
      <c r="AP1748" s="7"/>
      <c r="AQ1748" s="7"/>
      <c r="AR1748" s="7"/>
      <c r="AS1748" s="7"/>
      <c r="AT1748" s="7"/>
      <c r="AU1748" s="7"/>
      <c r="AV1748" s="7"/>
      <c r="AW1748" s="7"/>
      <c r="AX1748" s="7"/>
      <c r="AY1748" s="7"/>
      <c r="AZ1748" s="7"/>
      <c r="BA1748" s="7"/>
      <c r="BB1748" s="7"/>
      <c r="BC1748" s="7"/>
      <c r="BD1748" s="7"/>
      <c r="BE1748" s="7"/>
      <c r="BF1748" s="7"/>
      <c r="BG1748" s="7"/>
      <c r="BH1748" s="7"/>
      <c r="BI1748" s="7"/>
      <c r="BJ1748" s="7"/>
      <c r="BK1748" s="7"/>
      <c r="BL1748" s="7"/>
      <c r="BM1748" s="7"/>
      <c r="BN1748" s="7"/>
      <c r="BO1748" s="7"/>
      <c r="BP1748" s="7"/>
      <c r="BQ1748" s="7"/>
      <c r="BR1748" s="7"/>
      <c r="BS1748" s="7"/>
      <c r="BT1748" s="7"/>
      <c r="BU1748" s="7"/>
      <c r="BV1748" s="7"/>
      <c r="BW1748" s="7"/>
      <c r="BX1748" s="7"/>
      <c r="BY1748" s="7"/>
      <c r="BZ1748" s="7"/>
      <c r="CA1748" s="7"/>
      <c r="CB1748" s="7"/>
      <c r="CC1748" s="7"/>
      <c r="CD1748" s="7"/>
      <c r="CE1748" s="7"/>
      <c r="CF1748" s="7"/>
      <c r="CG1748" s="7"/>
    </row>
    <row r="1749" spans="3:85"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  <c r="AA1749" s="7"/>
      <c r="AB1749" s="7"/>
      <c r="AC1749" s="7"/>
      <c r="AD1749" s="7"/>
      <c r="AF1749" s="7"/>
      <c r="AG1749" s="7"/>
      <c r="AH1749" s="7"/>
      <c r="AI1749" s="7"/>
      <c r="AJ1749" s="7"/>
      <c r="AK1749" s="7"/>
      <c r="AL1749" s="7"/>
      <c r="AM1749" s="7"/>
      <c r="AN1749" s="7"/>
      <c r="AO1749" s="7"/>
      <c r="AP1749" s="7"/>
      <c r="AQ1749" s="7"/>
      <c r="AR1749" s="7"/>
      <c r="AS1749" s="7"/>
      <c r="AT1749" s="7"/>
      <c r="AU1749" s="7"/>
      <c r="AV1749" s="7"/>
      <c r="AW1749" s="7"/>
      <c r="AX1749" s="7"/>
      <c r="AY1749" s="7"/>
      <c r="AZ1749" s="7"/>
      <c r="BA1749" s="7"/>
      <c r="BB1749" s="7"/>
      <c r="BC1749" s="7"/>
      <c r="BD1749" s="7"/>
      <c r="BE1749" s="7"/>
      <c r="BF1749" s="7"/>
      <c r="BG1749" s="7"/>
      <c r="BH1749" s="7"/>
      <c r="BI1749" s="7"/>
      <c r="BJ1749" s="7"/>
      <c r="BK1749" s="7"/>
      <c r="BL1749" s="7"/>
      <c r="BM1749" s="7"/>
      <c r="BN1749" s="7"/>
      <c r="BO1749" s="7"/>
      <c r="BP1749" s="7"/>
      <c r="BQ1749" s="7"/>
      <c r="BR1749" s="7"/>
      <c r="BS1749" s="7"/>
      <c r="BT1749" s="7"/>
      <c r="BU1749" s="7"/>
      <c r="BV1749" s="7"/>
      <c r="BW1749" s="7"/>
      <c r="BX1749" s="7"/>
      <c r="BY1749" s="7"/>
      <c r="BZ1749" s="7"/>
      <c r="CA1749" s="7"/>
      <c r="CB1749" s="7"/>
      <c r="CC1749" s="7"/>
      <c r="CD1749" s="7"/>
      <c r="CE1749" s="7"/>
      <c r="CF1749" s="7"/>
      <c r="CG1749" s="7"/>
    </row>
    <row r="1750" spans="3:85"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  <c r="AA1750" s="7"/>
      <c r="AB1750" s="7"/>
      <c r="AC1750" s="7"/>
      <c r="AD1750" s="7"/>
      <c r="AF1750" s="7"/>
      <c r="AG1750" s="7"/>
      <c r="AH1750" s="7"/>
      <c r="AI1750" s="7"/>
      <c r="AJ1750" s="7"/>
      <c r="AK1750" s="7"/>
      <c r="AL1750" s="7"/>
      <c r="AM1750" s="7"/>
      <c r="AN1750" s="7"/>
      <c r="AO1750" s="7"/>
      <c r="AP1750" s="7"/>
      <c r="AQ1750" s="7"/>
      <c r="AR1750" s="7"/>
      <c r="AS1750" s="7"/>
      <c r="AT1750" s="7"/>
      <c r="AU1750" s="7"/>
      <c r="AV1750" s="7"/>
      <c r="AW1750" s="7"/>
      <c r="AX1750" s="7"/>
      <c r="AY1750" s="7"/>
      <c r="AZ1750" s="7"/>
      <c r="BA1750" s="7"/>
      <c r="BB1750" s="7"/>
      <c r="BC1750" s="7"/>
      <c r="BD1750" s="7"/>
      <c r="BE1750" s="7"/>
      <c r="BF1750" s="7"/>
      <c r="BG1750" s="7"/>
      <c r="BH1750" s="7"/>
      <c r="BI1750" s="7"/>
      <c r="BJ1750" s="7"/>
      <c r="BK1750" s="7"/>
      <c r="BL1750" s="7"/>
      <c r="BM1750" s="7"/>
      <c r="BN1750" s="7"/>
      <c r="BO1750" s="7"/>
      <c r="BP1750" s="7"/>
      <c r="BQ1750" s="7"/>
      <c r="BR1750" s="7"/>
      <c r="BS1750" s="7"/>
      <c r="BT1750" s="7"/>
      <c r="BU1750" s="7"/>
      <c r="BV1750" s="7"/>
      <c r="BW1750" s="7"/>
      <c r="BX1750" s="7"/>
      <c r="BY1750" s="7"/>
      <c r="BZ1750" s="7"/>
      <c r="CA1750" s="7"/>
      <c r="CB1750" s="7"/>
      <c r="CC1750" s="7"/>
      <c r="CD1750" s="7"/>
      <c r="CE1750" s="7"/>
      <c r="CF1750" s="7"/>
      <c r="CG1750" s="7"/>
    </row>
    <row r="1751" spans="3:85"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  <c r="AA1751" s="7"/>
      <c r="AB1751" s="7"/>
      <c r="AC1751" s="7"/>
      <c r="AD1751" s="7"/>
      <c r="AF1751" s="7"/>
      <c r="AG1751" s="7"/>
      <c r="AH1751" s="7"/>
      <c r="AI1751" s="7"/>
      <c r="AJ1751" s="7"/>
      <c r="AK1751" s="7"/>
      <c r="AL1751" s="7"/>
      <c r="AM1751" s="7"/>
      <c r="AN1751" s="7"/>
      <c r="AO1751" s="7"/>
      <c r="AP1751" s="7"/>
      <c r="AQ1751" s="7"/>
      <c r="AR1751" s="7"/>
      <c r="AS1751" s="7"/>
      <c r="AT1751" s="7"/>
      <c r="AU1751" s="7"/>
      <c r="AV1751" s="7"/>
      <c r="AW1751" s="7"/>
      <c r="AX1751" s="7"/>
      <c r="AY1751" s="7"/>
      <c r="AZ1751" s="7"/>
      <c r="BA1751" s="7"/>
      <c r="BB1751" s="7"/>
      <c r="BC1751" s="7"/>
      <c r="BD1751" s="7"/>
      <c r="BE1751" s="7"/>
      <c r="BF1751" s="7"/>
      <c r="BG1751" s="7"/>
      <c r="BH1751" s="7"/>
      <c r="BI1751" s="7"/>
      <c r="BJ1751" s="7"/>
      <c r="BK1751" s="7"/>
      <c r="BL1751" s="7"/>
      <c r="BM1751" s="7"/>
      <c r="BN1751" s="7"/>
      <c r="BO1751" s="7"/>
      <c r="BP1751" s="7"/>
      <c r="BQ1751" s="7"/>
      <c r="BR1751" s="7"/>
      <c r="BS1751" s="7"/>
      <c r="BT1751" s="7"/>
      <c r="BU1751" s="7"/>
      <c r="BV1751" s="7"/>
      <c r="BW1751" s="7"/>
      <c r="BX1751" s="7"/>
      <c r="BY1751" s="7"/>
      <c r="BZ1751" s="7"/>
      <c r="CA1751" s="7"/>
      <c r="CB1751" s="7"/>
      <c r="CC1751" s="7"/>
      <c r="CD1751" s="7"/>
      <c r="CE1751" s="7"/>
      <c r="CF1751" s="7"/>
      <c r="CG1751" s="7"/>
    </row>
    <row r="1752" spans="3:85"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  <c r="AA1752" s="7"/>
      <c r="AB1752" s="7"/>
      <c r="AC1752" s="7"/>
      <c r="AD1752" s="7"/>
      <c r="AF1752" s="7"/>
      <c r="AG1752" s="7"/>
      <c r="AH1752" s="7"/>
      <c r="AI1752" s="7"/>
      <c r="AJ1752" s="7"/>
      <c r="AK1752" s="7"/>
      <c r="AL1752" s="7"/>
      <c r="AM1752" s="7"/>
      <c r="AN1752" s="7"/>
      <c r="AO1752" s="7"/>
      <c r="AP1752" s="7"/>
      <c r="AQ1752" s="7"/>
      <c r="AR1752" s="7"/>
      <c r="AS1752" s="7"/>
      <c r="AT1752" s="7"/>
      <c r="AU1752" s="7"/>
      <c r="AV1752" s="7"/>
      <c r="AW1752" s="7"/>
      <c r="AX1752" s="7"/>
      <c r="AY1752" s="7"/>
      <c r="AZ1752" s="7"/>
      <c r="BA1752" s="7"/>
      <c r="BB1752" s="7"/>
      <c r="BC1752" s="7"/>
      <c r="BD1752" s="7"/>
      <c r="BE1752" s="7"/>
      <c r="BF1752" s="7"/>
      <c r="BG1752" s="7"/>
      <c r="BH1752" s="7"/>
      <c r="BI1752" s="7"/>
      <c r="BJ1752" s="7"/>
      <c r="BK1752" s="7"/>
      <c r="BL1752" s="7"/>
      <c r="BM1752" s="7"/>
      <c r="BN1752" s="7"/>
      <c r="BO1752" s="7"/>
      <c r="BP1752" s="7"/>
      <c r="BQ1752" s="7"/>
      <c r="BR1752" s="7"/>
      <c r="BS1752" s="7"/>
      <c r="BT1752" s="7"/>
      <c r="BU1752" s="7"/>
      <c r="BV1752" s="7"/>
      <c r="BW1752" s="7"/>
      <c r="BX1752" s="7"/>
      <c r="BY1752" s="7"/>
      <c r="BZ1752" s="7"/>
      <c r="CA1752" s="7"/>
      <c r="CB1752" s="7"/>
      <c r="CC1752" s="7"/>
      <c r="CD1752" s="7"/>
      <c r="CE1752" s="7"/>
      <c r="CF1752" s="7"/>
      <c r="CG1752" s="7"/>
    </row>
    <row r="1753" spans="3:85"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  <c r="AA1753" s="7"/>
      <c r="AB1753" s="7"/>
      <c r="AC1753" s="7"/>
      <c r="AD1753" s="7"/>
      <c r="AF1753" s="7"/>
      <c r="AG1753" s="7"/>
      <c r="AH1753" s="7"/>
      <c r="AI1753" s="7"/>
      <c r="AJ1753" s="7"/>
      <c r="AK1753" s="7"/>
      <c r="AL1753" s="7"/>
      <c r="AM1753" s="7"/>
      <c r="AN1753" s="7"/>
      <c r="AO1753" s="7"/>
      <c r="AP1753" s="7"/>
      <c r="AQ1753" s="7"/>
      <c r="AR1753" s="7"/>
      <c r="AS1753" s="7"/>
      <c r="AT1753" s="7"/>
      <c r="AU1753" s="7"/>
      <c r="AV1753" s="7"/>
      <c r="AW1753" s="7"/>
      <c r="AX1753" s="7"/>
      <c r="AY1753" s="7"/>
      <c r="AZ1753" s="7"/>
      <c r="BA1753" s="7"/>
      <c r="BB1753" s="7"/>
      <c r="BC1753" s="7"/>
      <c r="BD1753" s="7"/>
      <c r="BE1753" s="7"/>
      <c r="BF1753" s="7"/>
      <c r="BG1753" s="7"/>
      <c r="BH1753" s="7"/>
      <c r="BI1753" s="7"/>
      <c r="BJ1753" s="7"/>
      <c r="BK1753" s="7"/>
      <c r="BL1753" s="7"/>
      <c r="BM1753" s="7"/>
      <c r="BN1753" s="7"/>
      <c r="BO1753" s="7"/>
      <c r="BP1753" s="7"/>
      <c r="BQ1753" s="7"/>
      <c r="BR1753" s="7"/>
      <c r="BS1753" s="7"/>
      <c r="BT1753" s="7"/>
      <c r="BU1753" s="7"/>
      <c r="BV1753" s="7"/>
      <c r="BW1753" s="7"/>
      <c r="BX1753" s="7"/>
      <c r="BY1753" s="7"/>
      <c r="BZ1753" s="7"/>
      <c r="CA1753" s="7"/>
      <c r="CB1753" s="7"/>
      <c r="CC1753" s="7"/>
      <c r="CD1753" s="7"/>
      <c r="CE1753" s="7"/>
      <c r="CF1753" s="7"/>
      <c r="CG1753" s="7"/>
    </row>
    <row r="1754" spans="3:85"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  <c r="AA1754" s="7"/>
      <c r="AB1754" s="7"/>
      <c r="AC1754" s="7"/>
      <c r="AD1754" s="7"/>
      <c r="AF1754" s="7"/>
      <c r="AG1754" s="7"/>
      <c r="AH1754" s="7"/>
      <c r="AI1754" s="7"/>
      <c r="AJ1754" s="7"/>
      <c r="AK1754" s="7"/>
      <c r="AL1754" s="7"/>
      <c r="AM1754" s="7"/>
      <c r="AN1754" s="7"/>
      <c r="AO1754" s="7"/>
      <c r="AP1754" s="7"/>
      <c r="AQ1754" s="7"/>
      <c r="AR1754" s="7"/>
      <c r="AS1754" s="7"/>
      <c r="AT1754" s="7"/>
      <c r="AU1754" s="7"/>
      <c r="AV1754" s="7"/>
      <c r="AW1754" s="7"/>
      <c r="AX1754" s="7"/>
      <c r="AY1754" s="7"/>
      <c r="AZ1754" s="7"/>
      <c r="BA1754" s="7"/>
      <c r="BB1754" s="7"/>
      <c r="BC1754" s="7"/>
      <c r="BD1754" s="7"/>
      <c r="BE1754" s="7"/>
      <c r="BF1754" s="7"/>
      <c r="BG1754" s="7"/>
      <c r="BH1754" s="7"/>
      <c r="BI1754" s="7"/>
      <c r="BJ1754" s="7"/>
      <c r="BK1754" s="7"/>
      <c r="BL1754" s="7"/>
      <c r="BM1754" s="7"/>
      <c r="BN1754" s="7"/>
      <c r="BO1754" s="7"/>
      <c r="BP1754" s="7"/>
      <c r="BQ1754" s="7"/>
      <c r="BR1754" s="7"/>
      <c r="BS1754" s="7"/>
      <c r="BT1754" s="7"/>
      <c r="BU1754" s="7"/>
      <c r="BV1754" s="7"/>
      <c r="BW1754" s="7"/>
      <c r="BX1754" s="7"/>
      <c r="BY1754" s="7"/>
      <c r="BZ1754" s="7"/>
      <c r="CA1754" s="7"/>
      <c r="CB1754" s="7"/>
      <c r="CC1754" s="7"/>
      <c r="CD1754" s="7"/>
      <c r="CE1754" s="7"/>
      <c r="CF1754" s="7"/>
      <c r="CG1754" s="7"/>
    </row>
    <row r="1755" spans="3:85"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  <c r="AA1755" s="7"/>
      <c r="AB1755" s="7"/>
      <c r="AC1755" s="7"/>
      <c r="AD1755" s="7"/>
      <c r="AF1755" s="7"/>
      <c r="AG1755" s="7"/>
      <c r="AH1755" s="7"/>
      <c r="AI1755" s="7"/>
      <c r="AJ1755" s="7"/>
      <c r="AK1755" s="7"/>
      <c r="AL1755" s="7"/>
      <c r="AM1755" s="7"/>
      <c r="AN1755" s="7"/>
      <c r="AO1755" s="7"/>
      <c r="AP1755" s="7"/>
      <c r="AQ1755" s="7"/>
      <c r="AR1755" s="7"/>
      <c r="AS1755" s="7"/>
      <c r="AT1755" s="7"/>
      <c r="AU1755" s="7"/>
      <c r="AV1755" s="7"/>
      <c r="AW1755" s="7"/>
      <c r="AX1755" s="7"/>
      <c r="AY1755" s="7"/>
      <c r="AZ1755" s="7"/>
      <c r="BA1755" s="7"/>
      <c r="BB1755" s="7"/>
      <c r="BC1755" s="7"/>
      <c r="BD1755" s="7"/>
      <c r="BE1755" s="7"/>
      <c r="BF1755" s="7"/>
      <c r="BG1755" s="7"/>
      <c r="BH1755" s="7"/>
      <c r="BI1755" s="7"/>
      <c r="BJ1755" s="7"/>
      <c r="BK1755" s="7"/>
      <c r="BL1755" s="7"/>
      <c r="BM1755" s="7"/>
      <c r="BN1755" s="7"/>
      <c r="BO1755" s="7"/>
      <c r="BP1755" s="7"/>
      <c r="BQ1755" s="7"/>
      <c r="BR1755" s="7"/>
      <c r="BS1755" s="7"/>
      <c r="BT1755" s="7"/>
      <c r="BU1755" s="7"/>
      <c r="BV1755" s="7"/>
      <c r="BW1755" s="7"/>
      <c r="BX1755" s="7"/>
      <c r="BY1755" s="7"/>
      <c r="BZ1755" s="7"/>
      <c r="CA1755" s="7"/>
      <c r="CB1755" s="7"/>
      <c r="CC1755" s="7"/>
      <c r="CD1755" s="7"/>
      <c r="CE1755" s="7"/>
      <c r="CF1755" s="7"/>
      <c r="CG1755" s="7"/>
    </row>
    <row r="1756" spans="3:85"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  <c r="AA1756" s="7"/>
      <c r="AB1756" s="7"/>
      <c r="AC1756" s="7"/>
      <c r="AD1756" s="7"/>
      <c r="AF1756" s="7"/>
      <c r="AG1756" s="7"/>
      <c r="AH1756" s="7"/>
      <c r="AI1756" s="7"/>
      <c r="AJ1756" s="7"/>
      <c r="AK1756" s="7"/>
      <c r="AL1756" s="7"/>
      <c r="AM1756" s="7"/>
      <c r="AN1756" s="7"/>
      <c r="AO1756" s="7"/>
      <c r="AP1756" s="7"/>
      <c r="AQ1756" s="7"/>
      <c r="AR1756" s="7"/>
      <c r="AS1756" s="7"/>
      <c r="AT1756" s="7"/>
      <c r="AU1756" s="7"/>
      <c r="AV1756" s="7"/>
      <c r="AW1756" s="7"/>
      <c r="AX1756" s="7"/>
      <c r="AY1756" s="7"/>
      <c r="AZ1756" s="7"/>
      <c r="BA1756" s="7"/>
      <c r="BB1756" s="7"/>
      <c r="BC1756" s="7"/>
      <c r="BD1756" s="7"/>
      <c r="BE1756" s="7"/>
      <c r="BF1756" s="7"/>
      <c r="BG1756" s="7"/>
      <c r="BH1756" s="7"/>
      <c r="BI1756" s="7"/>
      <c r="BJ1756" s="7"/>
      <c r="BK1756" s="7"/>
      <c r="BL1756" s="7"/>
      <c r="BM1756" s="7"/>
      <c r="BN1756" s="7"/>
      <c r="BO1756" s="7"/>
      <c r="BP1756" s="7"/>
      <c r="BQ1756" s="7"/>
      <c r="BR1756" s="7"/>
      <c r="BS1756" s="7"/>
      <c r="BT1756" s="7"/>
      <c r="BU1756" s="7"/>
      <c r="BV1756" s="7"/>
      <c r="BW1756" s="7"/>
      <c r="BX1756" s="7"/>
      <c r="BY1756" s="7"/>
      <c r="BZ1756" s="7"/>
      <c r="CA1756" s="7"/>
      <c r="CB1756" s="7"/>
      <c r="CC1756" s="7"/>
      <c r="CD1756" s="7"/>
      <c r="CE1756" s="7"/>
      <c r="CF1756" s="7"/>
      <c r="CG1756" s="7"/>
    </row>
    <row r="1757" spans="3:85"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  <c r="AA1757" s="7"/>
      <c r="AB1757" s="7"/>
      <c r="AC1757" s="7"/>
      <c r="AD1757" s="7"/>
      <c r="AF1757" s="7"/>
      <c r="AG1757" s="7"/>
      <c r="AH1757" s="7"/>
      <c r="AI1757" s="7"/>
      <c r="AJ1757" s="7"/>
      <c r="AK1757" s="7"/>
      <c r="AL1757" s="7"/>
      <c r="AM1757" s="7"/>
      <c r="AN1757" s="7"/>
      <c r="AO1757" s="7"/>
      <c r="AP1757" s="7"/>
      <c r="AQ1757" s="7"/>
      <c r="AR1757" s="7"/>
      <c r="AS1757" s="7"/>
      <c r="AT1757" s="7"/>
      <c r="AU1757" s="7"/>
      <c r="AV1757" s="7"/>
      <c r="AW1757" s="7"/>
      <c r="AX1757" s="7"/>
      <c r="AY1757" s="7"/>
      <c r="AZ1757" s="7"/>
      <c r="BA1757" s="7"/>
      <c r="BB1757" s="7"/>
      <c r="BC1757" s="7"/>
      <c r="BD1757" s="7"/>
      <c r="BE1757" s="7"/>
      <c r="BF1757" s="7"/>
      <c r="BG1757" s="7"/>
      <c r="BH1757" s="7"/>
      <c r="BI1757" s="7"/>
      <c r="BJ1757" s="7"/>
      <c r="BK1757" s="7"/>
      <c r="BL1757" s="7"/>
      <c r="BM1757" s="7"/>
      <c r="BN1757" s="7"/>
      <c r="BO1757" s="7"/>
      <c r="BP1757" s="7"/>
      <c r="BQ1757" s="7"/>
      <c r="BR1757" s="7"/>
      <c r="BS1757" s="7"/>
      <c r="BT1757" s="7"/>
      <c r="BU1757" s="7"/>
      <c r="BV1757" s="7"/>
      <c r="BW1757" s="7"/>
      <c r="BX1757" s="7"/>
      <c r="BY1757" s="7"/>
      <c r="BZ1757" s="7"/>
      <c r="CA1757" s="7"/>
      <c r="CB1757" s="7"/>
      <c r="CC1757" s="7"/>
      <c r="CD1757" s="7"/>
      <c r="CE1757" s="7"/>
      <c r="CF1757" s="7"/>
      <c r="CG1757" s="7"/>
    </row>
    <row r="1758" spans="3:85"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  <c r="AA1758" s="7"/>
      <c r="AB1758" s="7"/>
      <c r="AC1758" s="7"/>
      <c r="AD1758" s="7"/>
      <c r="AF1758" s="7"/>
      <c r="AG1758" s="7"/>
      <c r="AH1758" s="7"/>
      <c r="AI1758" s="7"/>
      <c r="AJ1758" s="7"/>
      <c r="AK1758" s="7"/>
      <c r="AL1758" s="7"/>
      <c r="AM1758" s="7"/>
      <c r="AN1758" s="7"/>
      <c r="AO1758" s="7"/>
      <c r="AP1758" s="7"/>
      <c r="AQ1758" s="7"/>
      <c r="AR1758" s="7"/>
      <c r="AS1758" s="7"/>
      <c r="AT1758" s="7"/>
      <c r="AU1758" s="7"/>
      <c r="AV1758" s="7"/>
      <c r="AW1758" s="7"/>
      <c r="AX1758" s="7"/>
      <c r="AY1758" s="7"/>
      <c r="AZ1758" s="7"/>
      <c r="BA1758" s="7"/>
      <c r="BB1758" s="7"/>
      <c r="BC1758" s="7"/>
      <c r="BD1758" s="7"/>
      <c r="BE1758" s="7"/>
      <c r="BF1758" s="7"/>
      <c r="BG1758" s="7"/>
      <c r="BH1758" s="7"/>
      <c r="BI1758" s="7"/>
      <c r="BJ1758" s="7"/>
      <c r="BK1758" s="7"/>
      <c r="BL1758" s="7"/>
      <c r="BM1758" s="7"/>
      <c r="BN1758" s="7"/>
      <c r="BO1758" s="7"/>
      <c r="BP1758" s="7"/>
      <c r="BQ1758" s="7"/>
      <c r="BR1758" s="7"/>
      <c r="BS1758" s="7"/>
      <c r="BT1758" s="7"/>
      <c r="BU1758" s="7"/>
      <c r="BV1758" s="7"/>
      <c r="BW1758" s="7"/>
      <c r="BX1758" s="7"/>
      <c r="BY1758" s="7"/>
      <c r="BZ1758" s="7"/>
      <c r="CA1758" s="7"/>
      <c r="CB1758" s="7"/>
      <c r="CC1758" s="7"/>
      <c r="CD1758" s="7"/>
      <c r="CE1758" s="7"/>
      <c r="CF1758" s="7"/>
      <c r="CG1758" s="7"/>
    </row>
    <row r="1759" spans="3:85"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  <c r="AA1759" s="7"/>
      <c r="AB1759" s="7"/>
      <c r="AC1759" s="7"/>
      <c r="AD1759" s="7"/>
      <c r="AF1759" s="7"/>
      <c r="AG1759" s="7"/>
      <c r="AH1759" s="7"/>
      <c r="AI1759" s="7"/>
      <c r="AJ1759" s="7"/>
      <c r="AK1759" s="7"/>
      <c r="AL1759" s="7"/>
      <c r="AM1759" s="7"/>
      <c r="AN1759" s="7"/>
      <c r="AO1759" s="7"/>
      <c r="AP1759" s="7"/>
      <c r="AQ1759" s="7"/>
      <c r="AR1759" s="7"/>
      <c r="AS1759" s="7"/>
      <c r="AT1759" s="7"/>
      <c r="AU1759" s="7"/>
      <c r="AV1759" s="7"/>
      <c r="AW1759" s="7"/>
      <c r="AX1759" s="7"/>
      <c r="AY1759" s="7"/>
      <c r="AZ1759" s="7"/>
      <c r="BA1759" s="7"/>
      <c r="BB1759" s="7"/>
      <c r="BC1759" s="7"/>
      <c r="BD1759" s="7"/>
      <c r="BE1759" s="7"/>
      <c r="BF1759" s="7"/>
      <c r="BG1759" s="7"/>
      <c r="BH1759" s="7"/>
      <c r="BI1759" s="7"/>
      <c r="BJ1759" s="7"/>
      <c r="BK1759" s="7"/>
      <c r="BL1759" s="7"/>
      <c r="BM1759" s="7"/>
      <c r="BN1759" s="7"/>
      <c r="BO1759" s="7"/>
      <c r="BP1759" s="7"/>
      <c r="BQ1759" s="7"/>
      <c r="BR1759" s="7"/>
      <c r="BS1759" s="7"/>
      <c r="BT1759" s="7"/>
      <c r="BU1759" s="7"/>
      <c r="BV1759" s="7"/>
      <c r="BW1759" s="7"/>
      <c r="BX1759" s="7"/>
      <c r="BY1759" s="7"/>
      <c r="BZ1759" s="7"/>
      <c r="CA1759" s="7"/>
      <c r="CB1759" s="7"/>
      <c r="CC1759" s="7"/>
      <c r="CD1759" s="7"/>
      <c r="CE1759" s="7"/>
      <c r="CF1759" s="7"/>
      <c r="CG1759" s="7"/>
    </row>
    <row r="1760" spans="3:85"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  <c r="AA1760" s="7"/>
      <c r="AB1760" s="7"/>
      <c r="AC1760" s="7"/>
      <c r="AD1760" s="7"/>
      <c r="AF1760" s="7"/>
      <c r="AG1760" s="7"/>
      <c r="AH1760" s="7"/>
      <c r="AI1760" s="7"/>
      <c r="AJ1760" s="7"/>
      <c r="AK1760" s="7"/>
      <c r="AL1760" s="7"/>
      <c r="AM1760" s="7"/>
      <c r="AN1760" s="7"/>
      <c r="AO1760" s="7"/>
      <c r="AP1760" s="7"/>
      <c r="AQ1760" s="7"/>
      <c r="AR1760" s="7"/>
      <c r="AS1760" s="7"/>
      <c r="AT1760" s="7"/>
      <c r="AU1760" s="7"/>
      <c r="AV1760" s="7"/>
      <c r="AW1760" s="7"/>
      <c r="AX1760" s="7"/>
      <c r="AY1760" s="7"/>
      <c r="AZ1760" s="7"/>
      <c r="BA1760" s="7"/>
      <c r="BB1760" s="7"/>
      <c r="BC1760" s="7"/>
      <c r="BD1760" s="7"/>
      <c r="BE1760" s="7"/>
      <c r="BF1760" s="7"/>
      <c r="BG1760" s="7"/>
      <c r="BH1760" s="7"/>
      <c r="BI1760" s="7"/>
      <c r="BJ1760" s="7"/>
      <c r="BK1760" s="7"/>
      <c r="BL1760" s="7"/>
      <c r="BM1760" s="7"/>
      <c r="BN1760" s="7"/>
      <c r="BO1760" s="7"/>
      <c r="BP1760" s="7"/>
      <c r="BQ1760" s="7"/>
      <c r="BR1760" s="7"/>
      <c r="BS1760" s="7"/>
      <c r="BT1760" s="7"/>
      <c r="BU1760" s="7"/>
      <c r="BV1760" s="7"/>
      <c r="BW1760" s="7"/>
      <c r="BX1760" s="7"/>
      <c r="BY1760" s="7"/>
      <c r="BZ1760" s="7"/>
      <c r="CA1760" s="7"/>
      <c r="CB1760" s="7"/>
      <c r="CC1760" s="7"/>
      <c r="CD1760" s="7"/>
      <c r="CE1760" s="7"/>
      <c r="CF1760" s="7"/>
      <c r="CG1760" s="7"/>
    </row>
    <row r="1761" spans="3:85"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  <c r="AA1761" s="7"/>
      <c r="AB1761" s="7"/>
      <c r="AC1761" s="7"/>
      <c r="AD1761" s="7"/>
      <c r="AF1761" s="7"/>
      <c r="AG1761" s="7"/>
      <c r="AH1761" s="7"/>
      <c r="AI1761" s="7"/>
      <c r="AJ1761" s="7"/>
      <c r="AK1761" s="7"/>
      <c r="AL1761" s="7"/>
      <c r="AM1761" s="7"/>
      <c r="AN1761" s="7"/>
      <c r="AO1761" s="7"/>
      <c r="AP1761" s="7"/>
      <c r="AQ1761" s="7"/>
      <c r="AR1761" s="7"/>
      <c r="AS1761" s="7"/>
      <c r="AT1761" s="7"/>
      <c r="AU1761" s="7"/>
      <c r="AV1761" s="7"/>
      <c r="AW1761" s="7"/>
      <c r="AX1761" s="7"/>
      <c r="AY1761" s="7"/>
      <c r="AZ1761" s="7"/>
      <c r="BA1761" s="7"/>
      <c r="BB1761" s="7"/>
      <c r="BC1761" s="7"/>
      <c r="BD1761" s="7"/>
      <c r="BE1761" s="7"/>
      <c r="BF1761" s="7"/>
      <c r="BG1761" s="7"/>
      <c r="BH1761" s="7"/>
      <c r="BI1761" s="7"/>
      <c r="BJ1761" s="7"/>
      <c r="BK1761" s="7"/>
      <c r="BL1761" s="7"/>
      <c r="BM1761" s="7"/>
      <c r="BN1761" s="7"/>
      <c r="BO1761" s="7"/>
      <c r="BP1761" s="7"/>
      <c r="BQ1761" s="7"/>
      <c r="BR1761" s="7"/>
      <c r="BS1761" s="7"/>
      <c r="BT1761" s="7"/>
      <c r="BU1761" s="7"/>
      <c r="BV1761" s="7"/>
      <c r="BW1761" s="7"/>
      <c r="BX1761" s="7"/>
      <c r="BY1761" s="7"/>
      <c r="BZ1761" s="7"/>
      <c r="CA1761" s="7"/>
      <c r="CB1761" s="7"/>
      <c r="CC1761" s="7"/>
      <c r="CD1761" s="7"/>
      <c r="CE1761" s="7"/>
      <c r="CF1761" s="7"/>
      <c r="CG1761" s="7"/>
    </row>
    <row r="1762" spans="3:85"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  <c r="AA1762" s="7"/>
      <c r="AB1762" s="7"/>
      <c r="AC1762" s="7"/>
      <c r="AD1762" s="7"/>
      <c r="AF1762" s="7"/>
      <c r="AG1762" s="7"/>
      <c r="AH1762" s="7"/>
      <c r="AI1762" s="7"/>
      <c r="AJ1762" s="7"/>
      <c r="AK1762" s="7"/>
      <c r="AL1762" s="7"/>
      <c r="AM1762" s="7"/>
      <c r="AN1762" s="7"/>
      <c r="AO1762" s="7"/>
      <c r="AP1762" s="7"/>
      <c r="AQ1762" s="7"/>
      <c r="AR1762" s="7"/>
      <c r="AS1762" s="7"/>
      <c r="AT1762" s="7"/>
      <c r="AU1762" s="7"/>
      <c r="AV1762" s="7"/>
      <c r="AW1762" s="7"/>
      <c r="AX1762" s="7"/>
      <c r="AY1762" s="7"/>
      <c r="AZ1762" s="7"/>
      <c r="BA1762" s="7"/>
      <c r="BB1762" s="7"/>
      <c r="BC1762" s="7"/>
      <c r="BD1762" s="7"/>
      <c r="BE1762" s="7"/>
      <c r="BF1762" s="7"/>
      <c r="BG1762" s="7"/>
      <c r="BH1762" s="7"/>
      <c r="BI1762" s="7"/>
      <c r="BJ1762" s="7"/>
      <c r="BK1762" s="7"/>
      <c r="BL1762" s="7"/>
      <c r="BM1762" s="7"/>
      <c r="BN1762" s="7"/>
      <c r="BO1762" s="7"/>
      <c r="BP1762" s="7"/>
      <c r="BQ1762" s="7"/>
      <c r="BR1762" s="7"/>
      <c r="BS1762" s="7"/>
      <c r="BT1762" s="7"/>
      <c r="BU1762" s="7"/>
      <c r="BV1762" s="7"/>
      <c r="BW1762" s="7"/>
      <c r="BX1762" s="7"/>
      <c r="BY1762" s="7"/>
      <c r="BZ1762" s="7"/>
      <c r="CA1762" s="7"/>
      <c r="CB1762" s="7"/>
      <c r="CC1762" s="7"/>
      <c r="CD1762" s="7"/>
      <c r="CE1762" s="7"/>
      <c r="CF1762" s="7"/>
      <c r="CG1762" s="7"/>
    </row>
    <row r="1763" spans="3:85"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  <c r="AA1763" s="7"/>
      <c r="AB1763" s="7"/>
      <c r="AC1763" s="7"/>
      <c r="AD1763" s="7"/>
      <c r="AF1763" s="7"/>
      <c r="AG1763" s="7"/>
      <c r="AH1763" s="7"/>
      <c r="AI1763" s="7"/>
      <c r="AJ1763" s="7"/>
      <c r="AK1763" s="7"/>
      <c r="AL1763" s="7"/>
      <c r="AM1763" s="7"/>
      <c r="AN1763" s="7"/>
      <c r="AO1763" s="7"/>
      <c r="AP1763" s="7"/>
      <c r="AQ1763" s="7"/>
      <c r="AR1763" s="7"/>
      <c r="AS1763" s="7"/>
      <c r="AT1763" s="7"/>
      <c r="AU1763" s="7"/>
      <c r="AV1763" s="7"/>
      <c r="AW1763" s="7"/>
      <c r="AX1763" s="7"/>
      <c r="AY1763" s="7"/>
      <c r="AZ1763" s="7"/>
      <c r="BA1763" s="7"/>
      <c r="BB1763" s="7"/>
      <c r="BC1763" s="7"/>
      <c r="BD1763" s="7"/>
      <c r="BE1763" s="7"/>
      <c r="BF1763" s="7"/>
      <c r="BG1763" s="7"/>
      <c r="BH1763" s="7"/>
      <c r="BI1763" s="7"/>
      <c r="BJ1763" s="7"/>
      <c r="BK1763" s="7"/>
      <c r="BL1763" s="7"/>
      <c r="BM1763" s="7"/>
      <c r="BN1763" s="7"/>
      <c r="BO1763" s="7"/>
      <c r="BP1763" s="7"/>
      <c r="BQ1763" s="7"/>
      <c r="BR1763" s="7"/>
      <c r="BS1763" s="7"/>
      <c r="BT1763" s="7"/>
      <c r="BU1763" s="7"/>
      <c r="BV1763" s="7"/>
      <c r="BW1763" s="7"/>
      <c r="BX1763" s="7"/>
      <c r="BY1763" s="7"/>
      <c r="BZ1763" s="7"/>
      <c r="CA1763" s="7"/>
      <c r="CB1763" s="7"/>
      <c r="CC1763" s="7"/>
      <c r="CD1763" s="7"/>
      <c r="CE1763" s="7"/>
      <c r="CF1763" s="7"/>
      <c r="CG1763" s="7"/>
    </row>
    <row r="1764" spans="3:85"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  <c r="AA1764" s="7"/>
      <c r="AB1764" s="7"/>
      <c r="AC1764" s="7"/>
      <c r="AD1764" s="7"/>
      <c r="AF1764" s="7"/>
      <c r="AG1764" s="7"/>
      <c r="AH1764" s="7"/>
      <c r="AI1764" s="7"/>
      <c r="AJ1764" s="7"/>
      <c r="AK1764" s="7"/>
      <c r="AL1764" s="7"/>
      <c r="AM1764" s="7"/>
      <c r="AN1764" s="7"/>
      <c r="AO1764" s="7"/>
      <c r="AP1764" s="7"/>
      <c r="AQ1764" s="7"/>
      <c r="AR1764" s="7"/>
      <c r="AS1764" s="7"/>
      <c r="AT1764" s="7"/>
      <c r="AU1764" s="7"/>
      <c r="AV1764" s="7"/>
      <c r="AW1764" s="7"/>
      <c r="AX1764" s="7"/>
      <c r="AY1764" s="7"/>
      <c r="AZ1764" s="7"/>
      <c r="BA1764" s="7"/>
      <c r="BB1764" s="7"/>
      <c r="BC1764" s="7"/>
      <c r="BD1764" s="7"/>
      <c r="BE1764" s="7"/>
      <c r="BF1764" s="7"/>
      <c r="BG1764" s="7"/>
      <c r="BH1764" s="7"/>
      <c r="BI1764" s="7"/>
      <c r="BJ1764" s="7"/>
      <c r="BK1764" s="7"/>
      <c r="BL1764" s="7"/>
      <c r="BM1764" s="7"/>
      <c r="BN1764" s="7"/>
      <c r="BO1764" s="7"/>
      <c r="BP1764" s="7"/>
      <c r="BQ1764" s="7"/>
      <c r="BR1764" s="7"/>
      <c r="BS1764" s="7"/>
      <c r="BT1764" s="7"/>
      <c r="BU1764" s="7"/>
      <c r="BV1764" s="7"/>
      <c r="BW1764" s="7"/>
      <c r="BX1764" s="7"/>
      <c r="BY1764" s="7"/>
      <c r="BZ1764" s="7"/>
      <c r="CA1764" s="7"/>
      <c r="CB1764" s="7"/>
      <c r="CC1764" s="7"/>
      <c r="CD1764" s="7"/>
      <c r="CE1764" s="7"/>
      <c r="CF1764" s="7"/>
      <c r="CG1764" s="7"/>
    </row>
    <row r="1765" spans="3:85"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  <c r="AA1765" s="7"/>
      <c r="AB1765" s="7"/>
      <c r="AC1765" s="7"/>
      <c r="AD1765" s="7"/>
      <c r="AF1765" s="7"/>
      <c r="AG1765" s="7"/>
      <c r="AH1765" s="7"/>
      <c r="AI1765" s="7"/>
      <c r="AJ1765" s="7"/>
      <c r="AK1765" s="7"/>
      <c r="AL1765" s="7"/>
      <c r="AM1765" s="7"/>
      <c r="AN1765" s="7"/>
      <c r="AO1765" s="7"/>
      <c r="AP1765" s="7"/>
      <c r="AQ1765" s="7"/>
      <c r="AR1765" s="7"/>
      <c r="AS1765" s="7"/>
      <c r="AT1765" s="7"/>
      <c r="AU1765" s="7"/>
      <c r="AV1765" s="7"/>
      <c r="AW1765" s="7"/>
      <c r="AX1765" s="7"/>
      <c r="AY1765" s="7"/>
      <c r="AZ1765" s="7"/>
      <c r="BA1765" s="7"/>
      <c r="BB1765" s="7"/>
      <c r="BC1765" s="7"/>
      <c r="BD1765" s="7"/>
      <c r="BE1765" s="7"/>
      <c r="BF1765" s="7"/>
      <c r="BG1765" s="7"/>
      <c r="BH1765" s="7"/>
      <c r="BI1765" s="7"/>
      <c r="BJ1765" s="7"/>
      <c r="BK1765" s="7"/>
      <c r="BL1765" s="7"/>
      <c r="BM1765" s="7"/>
      <c r="BN1765" s="7"/>
      <c r="BO1765" s="7"/>
      <c r="BP1765" s="7"/>
      <c r="BQ1765" s="7"/>
      <c r="BR1765" s="7"/>
      <c r="BS1765" s="7"/>
      <c r="BT1765" s="7"/>
      <c r="BU1765" s="7"/>
      <c r="BV1765" s="7"/>
      <c r="BW1765" s="7"/>
      <c r="BX1765" s="7"/>
      <c r="BY1765" s="7"/>
      <c r="BZ1765" s="7"/>
      <c r="CA1765" s="7"/>
      <c r="CB1765" s="7"/>
      <c r="CC1765" s="7"/>
      <c r="CD1765" s="7"/>
      <c r="CE1765" s="7"/>
      <c r="CF1765" s="7"/>
      <c r="CG1765" s="7"/>
    </row>
    <row r="1766" spans="3:85"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  <c r="AA1766" s="7"/>
      <c r="AB1766" s="7"/>
      <c r="AC1766" s="7"/>
      <c r="AD1766" s="7"/>
      <c r="AF1766" s="7"/>
      <c r="AG1766" s="7"/>
      <c r="AH1766" s="7"/>
      <c r="AI1766" s="7"/>
      <c r="AJ1766" s="7"/>
      <c r="AK1766" s="7"/>
      <c r="AL1766" s="7"/>
      <c r="AM1766" s="7"/>
      <c r="AN1766" s="7"/>
      <c r="AO1766" s="7"/>
      <c r="AP1766" s="7"/>
      <c r="AQ1766" s="7"/>
      <c r="AR1766" s="7"/>
      <c r="AS1766" s="7"/>
      <c r="AT1766" s="7"/>
      <c r="AU1766" s="7"/>
      <c r="AV1766" s="7"/>
      <c r="AW1766" s="7"/>
      <c r="AX1766" s="7"/>
      <c r="AY1766" s="7"/>
      <c r="AZ1766" s="7"/>
      <c r="BA1766" s="7"/>
      <c r="BB1766" s="7"/>
      <c r="BC1766" s="7"/>
      <c r="BD1766" s="7"/>
      <c r="BE1766" s="7"/>
      <c r="BF1766" s="7"/>
      <c r="BG1766" s="7"/>
      <c r="BH1766" s="7"/>
      <c r="BI1766" s="7"/>
      <c r="BJ1766" s="7"/>
      <c r="BK1766" s="7"/>
      <c r="BL1766" s="7"/>
      <c r="BM1766" s="7"/>
      <c r="BN1766" s="7"/>
      <c r="BO1766" s="7"/>
      <c r="BP1766" s="7"/>
      <c r="BQ1766" s="7"/>
      <c r="BR1766" s="7"/>
      <c r="BS1766" s="7"/>
      <c r="BT1766" s="7"/>
      <c r="BU1766" s="7"/>
      <c r="BV1766" s="7"/>
      <c r="BW1766" s="7"/>
      <c r="BX1766" s="7"/>
      <c r="BY1766" s="7"/>
      <c r="BZ1766" s="7"/>
      <c r="CA1766" s="7"/>
      <c r="CB1766" s="7"/>
      <c r="CC1766" s="7"/>
      <c r="CD1766" s="7"/>
      <c r="CE1766" s="7"/>
      <c r="CF1766" s="7"/>
      <c r="CG1766" s="7"/>
    </row>
    <row r="1767" spans="3:85"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  <c r="AA1767" s="7"/>
      <c r="AB1767" s="7"/>
      <c r="AC1767" s="7"/>
      <c r="AD1767" s="7"/>
      <c r="AF1767" s="7"/>
      <c r="AG1767" s="7"/>
      <c r="AH1767" s="7"/>
      <c r="AI1767" s="7"/>
      <c r="AJ1767" s="7"/>
      <c r="AK1767" s="7"/>
      <c r="AL1767" s="7"/>
      <c r="AM1767" s="7"/>
      <c r="AN1767" s="7"/>
      <c r="AO1767" s="7"/>
      <c r="AP1767" s="7"/>
      <c r="AQ1767" s="7"/>
      <c r="AR1767" s="7"/>
      <c r="AS1767" s="7"/>
      <c r="AT1767" s="7"/>
      <c r="AU1767" s="7"/>
      <c r="AV1767" s="7"/>
      <c r="AW1767" s="7"/>
      <c r="AX1767" s="7"/>
      <c r="AY1767" s="7"/>
      <c r="AZ1767" s="7"/>
      <c r="BA1767" s="7"/>
      <c r="BB1767" s="7"/>
      <c r="BC1767" s="7"/>
      <c r="BD1767" s="7"/>
      <c r="BE1767" s="7"/>
      <c r="BF1767" s="7"/>
      <c r="BG1767" s="7"/>
      <c r="BH1767" s="7"/>
      <c r="BI1767" s="7"/>
      <c r="BJ1767" s="7"/>
      <c r="BK1767" s="7"/>
      <c r="BL1767" s="7"/>
      <c r="BM1767" s="7"/>
      <c r="BN1767" s="7"/>
      <c r="BO1767" s="7"/>
      <c r="BP1767" s="7"/>
      <c r="BQ1767" s="7"/>
      <c r="BR1767" s="7"/>
      <c r="BS1767" s="7"/>
      <c r="BT1767" s="7"/>
      <c r="BU1767" s="7"/>
      <c r="BV1767" s="7"/>
      <c r="BW1767" s="7"/>
      <c r="BX1767" s="7"/>
      <c r="BY1767" s="7"/>
      <c r="BZ1767" s="7"/>
      <c r="CA1767" s="7"/>
      <c r="CB1767" s="7"/>
      <c r="CC1767" s="7"/>
      <c r="CD1767" s="7"/>
      <c r="CE1767" s="7"/>
      <c r="CF1767" s="7"/>
      <c r="CG1767" s="7"/>
    </row>
    <row r="1768" spans="3:85"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  <c r="AA1768" s="7"/>
      <c r="AB1768" s="7"/>
      <c r="AC1768" s="7"/>
      <c r="AD1768" s="7"/>
      <c r="AF1768" s="7"/>
      <c r="AG1768" s="7"/>
      <c r="AH1768" s="7"/>
      <c r="AI1768" s="7"/>
      <c r="AJ1768" s="7"/>
      <c r="AK1768" s="7"/>
      <c r="AL1768" s="7"/>
      <c r="AM1768" s="7"/>
      <c r="AN1768" s="7"/>
      <c r="AO1768" s="7"/>
      <c r="AP1768" s="7"/>
      <c r="AQ1768" s="7"/>
      <c r="AR1768" s="7"/>
      <c r="AS1768" s="7"/>
      <c r="AT1768" s="7"/>
      <c r="AU1768" s="7"/>
      <c r="AV1768" s="7"/>
      <c r="AW1768" s="7"/>
      <c r="AX1768" s="7"/>
      <c r="AY1768" s="7"/>
      <c r="AZ1768" s="7"/>
      <c r="BA1768" s="7"/>
      <c r="BB1768" s="7"/>
      <c r="BC1768" s="7"/>
      <c r="BD1768" s="7"/>
      <c r="BE1768" s="7"/>
      <c r="BF1768" s="7"/>
      <c r="BG1768" s="7"/>
      <c r="BH1768" s="7"/>
      <c r="BI1768" s="7"/>
      <c r="BJ1768" s="7"/>
      <c r="BK1768" s="7"/>
      <c r="BL1768" s="7"/>
      <c r="BM1768" s="7"/>
      <c r="BN1768" s="7"/>
      <c r="BO1768" s="7"/>
      <c r="BP1768" s="7"/>
      <c r="BQ1768" s="7"/>
      <c r="BR1768" s="7"/>
      <c r="BS1768" s="7"/>
      <c r="BT1768" s="7"/>
      <c r="BU1768" s="7"/>
      <c r="BV1768" s="7"/>
      <c r="BW1768" s="7"/>
      <c r="BX1768" s="7"/>
      <c r="BY1768" s="7"/>
      <c r="BZ1768" s="7"/>
      <c r="CA1768" s="7"/>
      <c r="CB1768" s="7"/>
      <c r="CC1768" s="7"/>
      <c r="CD1768" s="7"/>
      <c r="CE1768" s="7"/>
      <c r="CF1768" s="7"/>
      <c r="CG1768" s="7"/>
    </row>
    <row r="1769" spans="3:85"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  <c r="AA1769" s="7"/>
      <c r="AB1769" s="7"/>
      <c r="AC1769" s="7"/>
      <c r="AD1769" s="7"/>
      <c r="AF1769" s="7"/>
      <c r="AG1769" s="7"/>
      <c r="AH1769" s="7"/>
      <c r="AI1769" s="7"/>
      <c r="AJ1769" s="7"/>
      <c r="AK1769" s="7"/>
      <c r="AL1769" s="7"/>
      <c r="AM1769" s="7"/>
      <c r="AN1769" s="7"/>
      <c r="AO1769" s="7"/>
      <c r="AP1769" s="7"/>
      <c r="AQ1769" s="7"/>
      <c r="AR1769" s="7"/>
      <c r="AS1769" s="7"/>
      <c r="AT1769" s="7"/>
      <c r="AU1769" s="7"/>
      <c r="AV1769" s="7"/>
      <c r="AW1769" s="7"/>
      <c r="AX1769" s="7"/>
      <c r="AY1769" s="7"/>
      <c r="AZ1769" s="7"/>
      <c r="BA1769" s="7"/>
      <c r="BB1769" s="7"/>
      <c r="BC1769" s="7"/>
      <c r="BD1769" s="7"/>
      <c r="BE1769" s="7"/>
      <c r="BF1769" s="7"/>
      <c r="BG1769" s="7"/>
      <c r="BH1769" s="7"/>
      <c r="BI1769" s="7"/>
      <c r="BJ1769" s="7"/>
      <c r="BK1769" s="7"/>
      <c r="BL1769" s="7"/>
      <c r="BM1769" s="7"/>
      <c r="BN1769" s="7"/>
      <c r="BO1769" s="7"/>
      <c r="BP1769" s="7"/>
      <c r="BQ1769" s="7"/>
      <c r="BR1769" s="7"/>
      <c r="BS1769" s="7"/>
      <c r="BT1769" s="7"/>
      <c r="BU1769" s="7"/>
      <c r="BV1769" s="7"/>
      <c r="BW1769" s="7"/>
      <c r="BX1769" s="7"/>
      <c r="BY1769" s="7"/>
      <c r="BZ1769" s="7"/>
      <c r="CA1769" s="7"/>
      <c r="CB1769" s="7"/>
      <c r="CC1769" s="7"/>
      <c r="CD1769" s="7"/>
      <c r="CE1769" s="7"/>
      <c r="CF1769" s="7"/>
      <c r="CG1769" s="7"/>
    </row>
    <row r="1770" spans="3:85"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  <c r="AA1770" s="7"/>
      <c r="AB1770" s="7"/>
      <c r="AC1770" s="7"/>
      <c r="AD1770" s="7"/>
      <c r="AF1770" s="7"/>
      <c r="AG1770" s="7"/>
      <c r="AH1770" s="7"/>
      <c r="AI1770" s="7"/>
      <c r="AJ1770" s="7"/>
      <c r="AK1770" s="7"/>
      <c r="AL1770" s="7"/>
      <c r="AM1770" s="7"/>
      <c r="AN1770" s="7"/>
      <c r="AO1770" s="7"/>
      <c r="AP1770" s="7"/>
      <c r="AQ1770" s="7"/>
      <c r="AR1770" s="7"/>
      <c r="AS1770" s="7"/>
      <c r="AT1770" s="7"/>
      <c r="AU1770" s="7"/>
      <c r="AV1770" s="7"/>
      <c r="AW1770" s="7"/>
      <c r="AX1770" s="7"/>
      <c r="AY1770" s="7"/>
      <c r="AZ1770" s="7"/>
      <c r="BA1770" s="7"/>
      <c r="BB1770" s="7"/>
      <c r="BC1770" s="7"/>
      <c r="BD1770" s="7"/>
      <c r="BE1770" s="7"/>
      <c r="BF1770" s="7"/>
      <c r="BG1770" s="7"/>
      <c r="BH1770" s="7"/>
      <c r="BI1770" s="7"/>
      <c r="BJ1770" s="7"/>
      <c r="BK1770" s="7"/>
      <c r="BL1770" s="7"/>
      <c r="BM1770" s="7"/>
      <c r="BN1770" s="7"/>
      <c r="BO1770" s="7"/>
      <c r="BP1770" s="7"/>
      <c r="BQ1770" s="7"/>
      <c r="BR1770" s="7"/>
      <c r="BS1770" s="7"/>
      <c r="BT1770" s="7"/>
      <c r="BU1770" s="7"/>
      <c r="BV1770" s="7"/>
      <c r="BW1770" s="7"/>
      <c r="BX1770" s="7"/>
      <c r="BY1770" s="7"/>
      <c r="BZ1770" s="7"/>
      <c r="CA1770" s="7"/>
      <c r="CB1770" s="7"/>
      <c r="CC1770" s="7"/>
      <c r="CD1770" s="7"/>
      <c r="CE1770" s="7"/>
      <c r="CF1770" s="7"/>
      <c r="CG1770" s="7"/>
    </row>
    <row r="1771" spans="3:85"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  <c r="AA1771" s="7"/>
      <c r="AB1771" s="7"/>
      <c r="AC1771" s="7"/>
      <c r="AD1771" s="7"/>
      <c r="AF1771" s="7"/>
      <c r="AG1771" s="7"/>
      <c r="AH1771" s="7"/>
      <c r="AI1771" s="7"/>
      <c r="AJ1771" s="7"/>
      <c r="AK1771" s="7"/>
      <c r="AL1771" s="7"/>
      <c r="AM1771" s="7"/>
      <c r="AN1771" s="7"/>
      <c r="AO1771" s="7"/>
      <c r="AP1771" s="7"/>
      <c r="AQ1771" s="7"/>
      <c r="AR1771" s="7"/>
      <c r="AS1771" s="7"/>
      <c r="AT1771" s="7"/>
      <c r="AU1771" s="7"/>
      <c r="AV1771" s="7"/>
      <c r="AW1771" s="7"/>
      <c r="AX1771" s="7"/>
      <c r="AY1771" s="7"/>
      <c r="AZ1771" s="7"/>
      <c r="BA1771" s="7"/>
      <c r="BB1771" s="7"/>
      <c r="BC1771" s="7"/>
      <c r="BD1771" s="7"/>
      <c r="BE1771" s="7"/>
      <c r="BF1771" s="7"/>
      <c r="BG1771" s="7"/>
      <c r="BH1771" s="7"/>
      <c r="BI1771" s="7"/>
      <c r="BJ1771" s="7"/>
      <c r="BK1771" s="7"/>
      <c r="BL1771" s="7"/>
      <c r="BM1771" s="7"/>
      <c r="BN1771" s="7"/>
      <c r="BO1771" s="7"/>
      <c r="BP1771" s="7"/>
      <c r="BQ1771" s="7"/>
      <c r="BR1771" s="7"/>
      <c r="BS1771" s="7"/>
      <c r="BT1771" s="7"/>
      <c r="BU1771" s="7"/>
      <c r="BV1771" s="7"/>
      <c r="BW1771" s="7"/>
      <c r="BX1771" s="7"/>
      <c r="BY1771" s="7"/>
      <c r="BZ1771" s="7"/>
      <c r="CA1771" s="7"/>
      <c r="CB1771" s="7"/>
      <c r="CC1771" s="7"/>
      <c r="CD1771" s="7"/>
      <c r="CE1771" s="7"/>
      <c r="CF1771" s="7"/>
      <c r="CG1771" s="7"/>
    </row>
    <row r="1772" spans="3:85"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  <c r="AA1772" s="7"/>
      <c r="AB1772" s="7"/>
      <c r="AC1772" s="7"/>
      <c r="AD1772" s="7"/>
      <c r="AF1772" s="7"/>
      <c r="AG1772" s="7"/>
      <c r="AH1772" s="7"/>
      <c r="AI1772" s="7"/>
      <c r="AJ1772" s="7"/>
      <c r="AK1772" s="7"/>
      <c r="AL1772" s="7"/>
      <c r="AM1772" s="7"/>
      <c r="AN1772" s="7"/>
      <c r="AO1772" s="7"/>
      <c r="AP1772" s="7"/>
      <c r="AQ1772" s="7"/>
      <c r="AR1772" s="7"/>
      <c r="AS1772" s="7"/>
      <c r="AT1772" s="7"/>
      <c r="AU1772" s="7"/>
      <c r="AV1772" s="7"/>
      <c r="AW1772" s="7"/>
      <c r="AX1772" s="7"/>
      <c r="AY1772" s="7"/>
      <c r="AZ1772" s="7"/>
      <c r="BA1772" s="7"/>
      <c r="BB1772" s="7"/>
      <c r="BC1772" s="7"/>
      <c r="BD1772" s="7"/>
      <c r="BE1772" s="7"/>
      <c r="BF1772" s="7"/>
      <c r="BG1772" s="7"/>
      <c r="BH1772" s="7"/>
      <c r="BI1772" s="7"/>
      <c r="BJ1772" s="7"/>
      <c r="BK1772" s="7"/>
      <c r="BL1772" s="7"/>
      <c r="BM1772" s="7"/>
      <c r="BN1772" s="7"/>
      <c r="BO1772" s="7"/>
      <c r="BP1772" s="7"/>
      <c r="BQ1772" s="7"/>
      <c r="BR1772" s="7"/>
      <c r="BS1772" s="7"/>
      <c r="BT1772" s="7"/>
      <c r="BU1772" s="7"/>
      <c r="BV1772" s="7"/>
      <c r="BW1772" s="7"/>
      <c r="BX1772" s="7"/>
      <c r="BY1772" s="7"/>
      <c r="BZ1772" s="7"/>
      <c r="CA1772" s="7"/>
      <c r="CB1772" s="7"/>
      <c r="CC1772" s="7"/>
      <c r="CD1772" s="7"/>
      <c r="CE1772" s="7"/>
      <c r="CF1772" s="7"/>
      <c r="CG1772" s="7"/>
    </row>
    <row r="1773" spans="3:85"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  <c r="AA1773" s="7"/>
      <c r="AB1773" s="7"/>
      <c r="AC1773" s="7"/>
      <c r="AD1773" s="7"/>
      <c r="AF1773" s="7"/>
      <c r="AG1773" s="7"/>
      <c r="AH1773" s="7"/>
      <c r="AI1773" s="7"/>
      <c r="AJ1773" s="7"/>
      <c r="AK1773" s="7"/>
      <c r="AL1773" s="7"/>
      <c r="AM1773" s="7"/>
      <c r="AN1773" s="7"/>
      <c r="AO1773" s="7"/>
      <c r="AP1773" s="7"/>
      <c r="AQ1773" s="7"/>
      <c r="AR1773" s="7"/>
      <c r="AS1773" s="7"/>
      <c r="AT1773" s="7"/>
      <c r="AU1773" s="7"/>
      <c r="AV1773" s="7"/>
      <c r="AW1773" s="7"/>
      <c r="AX1773" s="7"/>
      <c r="AY1773" s="7"/>
      <c r="AZ1773" s="7"/>
      <c r="BA1773" s="7"/>
      <c r="BB1773" s="7"/>
      <c r="BC1773" s="7"/>
      <c r="BD1773" s="7"/>
      <c r="BE1773" s="7"/>
      <c r="BF1773" s="7"/>
      <c r="BG1773" s="7"/>
      <c r="BH1773" s="7"/>
      <c r="BI1773" s="7"/>
      <c r="BJ1773" s="7"/>
      <c r="BK1773" s="7"/>
      <c r="BL1773" s="7"/>
      <c r="BM1773" s="7"/>
      <c r="BN1773" s="7"/>
      <c r="BO1773" s="7"/>
      <c r="BP1773" s="7"/>
      <c r="BQ1773" s="7"/>
      <c r="BR1773" s="7"/>
      <c r="BS1773" s="7"/>
      <c r="BT1773" s="7"/>
      <c r="BU1773" s="7"/>
      <c r="BV1773" s="7"/>
      <c r="BW1773" s="7"/>
      <c r="BX1773" s="7"/>
      <c r="BY1773" s="7"/>
      <c r="BZ1773" s="7"/>
      <c r="CA1773" s="7"/>
      <c r="CB1773" s="7"/>
      <c r="CC1773" s="7"/>
      <c r="CD1773" s="7"/>
      <c r="CE1773" s="7"/>
      <c r="CF1773" s="7"/>
      <c r="CG1773" s="7"/>
    </row>
    <row r="1774" spans="3:85"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  <c r="AA1774" s="7"/>
      <c r="AB1774" s="7"/>
      <c r="AC1774" s="7"/>
      <c r="AD1774" s="7"/>
      <c r="AF1774" s="7"/>
      <c r="AG1774" s="7"/>
      <c r="AH1774" s="7"/>
      <c r="AI1774" s="7"/>
      <c r="AJ1774" s="7"/>
      <c r="AK1774" s="7"/>
      <c r="AL1774" s="7"/>
      <c r="AM1774" s="7"/>
      <c r="AN1774" s="7"/>
      <c r="AO1774" s="7"/>
      <c r="AP1774" s="7"/>
      <c r="AQ1774" s="7"/>
      <c r="AR1774" s="7"/>
      <c r="AS1774" s="7"/>
      <c r="AT1774" s="7"/>
      <c r="AU1774" s="7"/>
      <c r="AV1774" s="7"/>
      <c r="AW1774" s="7"/>
      <c r="AX1774" s="7"/>
      <c r="AY1774" s="7"/>
      <c r="AZ1774" s="7"/>
      <c r="BA1774" s="7"/>
      <c r="BB1774" s="7"/>
      <c r="BC1774" s="7"/>
      <c r="BD1774" s="7"/>
      <c r="BE1774" s="7"/>
      <c r="BF1774" s="7"/>
      <c r="BG1774" s="7"/>
      <c r="BH1774" s="7"/>
      <c r="BI1774" s="7"/>
      <c r="BJ1774" s="7"/>
      <c r="BK1774" s="7"/>
      <c r="BL1774" s="7"/>
      <c r="BM1774" s="7"/>
      <c r="BN1774" s="7"/>
      <c r="BO1774" s="7"/>
      <c r="BP1774" s="7"/>
      <c r="BQ1774" s="7"/>
      <c r="BR1774" s="7"/>
      <c r="BS1774" s="7"/>
      <c r="BT1774" s="7"/>
      <c r="BU1774" s="7"/>
      <c r="BV1774" s="7"/>
      <c r="BW1774" s="7"/>
      <c r="BX1774" s="7"/>
      <c r="BY1774" s="7"/>
      <c r="BZ1774" s="7"/>
      <c r="CA1774" s="7"/>
      <c r="CB1774" s="7"/>
      <c r="CC1774" s="7"/>
      <c r="CD1774" s="7"/>
      <c r="CE1774" s="7"/>
      <c r="CF1774" s="7"/>
      <c r="CG1774" s="7"/>
    </row>
    <row r="1775" spans="3:85"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  <c r="AA1775" s="7"/>
      <c r="AB1775" s="7"/>
      <c r="AC1775" s="7"/>
      <c r="AD1775" s="7"/>
      <c r="AF1775" s="7"/>
      <c r="AG1775" s="7"/>
      <c r="AH1775" s="7"/>
      <c r="AI1775" s="7"/>
      <c r="AJ1775" s="7"/>
      <c r="AK1775" s="7"/>
      <c r="AL1775" s="7"/>
      <c r="AM1775" s="7"/>
      <c r="AN1775" s="7"/>
      <c r="AO1775" s="7"/>
      <c r="AP1775" s="7"/>
      <c r="AQ1775" s="7"/>
      <c r="AR1775" s="7"/>
      <c r="AS1775" s="7"/>
      <c r="AT1775" s="7"/>
      <c r="AU1775" s="7"/>
      <c r="AV1775" s="7"/>
      <c r="AW1775" s="7"/>
      <c r="AX1775" s="7"/>
      <c r="AY1775" s="7"/>
      <c r="AZ1775" s="7"/>
      <c r="BA1775" s="7"/>
      <c r="BB1775" s="7"/>
      <c r="BC1775" s="7"/>
      <c r="BD1775" s="7"/>
      <c r="BE1775" s="7"/>
      <c r="BF1775" s="7"/>
      <c r="BG1775" s="7"/>
      <c r="BH1775" s="7"/>
      <c r="BI1775" s="7"/>
      <c r="BJ1775" s="7"/>
      <c r="BK1775" s="7"/>
      <c r="BL1775" s="7"/>
      <c r="BM1775" s="7"/>
      <c r="BN1775" s="7"/>
      <c r="BO1775" s="7"/>
      <c r="BP1775" s="7"/>
      <c r="BQ1775" s="7"/>
      <c r="BR1775" s="7"/>
      <c r="BS1775" s="7"/>
      <c r="BT1775" s="7"/>
      <c r="BU1775" s="7"/>
      <c r="BV1775" s="7"/>
      <c r="BW1775" s="7"/>
      <c r="BX1775" s="7"/>
      <c r="BY1775" s="7"/>
      <c r="BZ1775" s="7"/>
      <c r="CA1775" s="7"/>
      <c r="CB1775" s="7"/>
      <c r="CC1775" s="7"/>
      <c r="CD1775" s="7"/>
      <c r="CE1775" s="7"/>
      <c r="CF1775" s="7"/>
      <c r="CG1775" s="7"/>
    </row>
    <row r="1776" spans="3:85"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  <c r="AA1776" s="7"/>
      <c r="AB1776" s="7"/>
      <c r="AC1776" s="7"/>
      <c r="AD1776" s="7"/>
      <c r="AF1776" s="7"/>
      <c r="AG1776" s="7"/>
      <c r="AH1776" s="7"/>
      <c r="AI1776" s="7"/>
      <c r="AJ1776" s="7"/>
      <c r="AK1776" s="7"/>
      <c r="AL1776" s="7"/>
      <c r="AM1776" s="7"/>
      <c r="AN1776" s="7"/>
      <c r="AO1776" s="7"/>
      <c r="AP1776" s="7"/>
      <c r="AQ1776" s="7"/>
      <c r="AR1776" s="7"/>
      <c r="AS1776" s="7"/>
      <c r="AT1776" s="7"/>
      <c r="AU1776" s="7"/>
      <c r="AV1776" s="7"/>
      <c r="AW1776" s="7"/>
      <c r="AX1776" s="7"/>
      <c r="AY1776" s="7"/>
      <c r="AZ1776" s="7"/>
      <c r="BA1776" s="7"/>
      <c r="BB1776" s="7"/>
      <c r="BC1776" s="7"/>
      <c r="BD1776" s="7"/>
      <c r="BE1776" s="7"/>
      <c r="BF1776" s="7"/>
      <c r="BG1776" s="7"/>
      <c r="BH1776" s="7"/>
      <c r="BI1776" s="7"/>
      <c r="BJ1776" s="7"/>
      <c r="BK1776" s="7"/>
      <c r="BL1776" s="7"/>
      <c r="BM1776" s="7"/>
      <c r="BN1776" s="7"/>
      <c r="BO1776" s="7"/>
      <c r="BP1776" s="7"/>
      <c r="BQ1776" s="7"/>
      <c r="BR1776" s="7"/>
      <c r="BS1776" s="7"/>
      <c r="BT1776" s="7"/>
      <c r="BU1776" s="7"/>
      <c r="BV1776" s="7"/>
      <c r="BW1776" s="7"/>
      <c r="BX1776" s="7"/>
      <c r="BY1776" s="7"/>
      <c r="BZ1776" s="7"/>
      <c r="CA1776" s="7"/>
      <c r="CB1776" s="7"/>
      <c r="CC1776" s="7"/>
      <c r="CD1776" s="7"/>
      <c r="CE1776" s="7"/>
      <c r="CF1776" s="7"/>
      <c r="CG1776" s="7"/>
    </row>
    <row r="1777" spans="3:85"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  <c r="AA1777" s="7"/>
      <c r="AB1777" s="7"/>
      <c r="AC1777" s="7"/>
      <c r="AD1777" s="7"/>
      <c r="AF1777" s="7"/>
      <c r="AG1777" s="7"/>
      <c r="AH1777" s="7"/>
      <c r="AI1777" s="7"/>
      <c r="AJ1777" s="7"/>
      <c r="AK1777" s="7"/>
      <c r="AL1777" s="7"/>
      <c r="AM1777" s="7"/>
      <c r="AN1777" s="7"/>
      <c r="AO1777" s="7"/>
      <c r="AP1777" s="7"/>
      <c r="AQ1777" s="7"/>
      <c r="AR1777" s="7"/>
      <c r="AS1777" s="7"/>
      <c r="AT1777" s="7"/>
      <c r="AU1777" s="7"/>
      <c r="AV1777" s="7"/>
      <c r="AW1777" s="7"/>
      <c r="AX1777" s="7"/>
      <c r="AY1777" s="7"/>
      <c r="AZ1777" s="7"/>
      <c r="BA1777" s="7"/>
      <c r="BB1777" s="7"/>
      <c r="BC1777" s="7"/>
      <c r="BD1777" s="7"/>
      <c r="BE1777" s="7"/>
      <c r="BF1777" s="7"/>
      <c r="BG1777" s="7"/>
      <c r="BH1777" s="7"/>
      <c r="BI1777" s="7"/>
      <c r="BJ1777" s="7"/>
      <c r="BK1777" s="7"/>
      <c r="BL1777" s="7"/>
      <c r="BM1777" s="7"/>
      <c r="BN1777" s="7"/>
      <c r="BO1777" s="7"/>
      <c r="BP1777" s="7"/>
      <c r="BQ1777" s="7"/>
      <c r="BR1777" s="7"/>
      <c r="BS1777" s="7"/>
      <c r="BT1777" s="7"/>
      <c r="BU1777" s="7"/>
      <c r="BV1777" s="7"/>
      <c r="BW1777" s="7"/>
      <c r="BX1777" s="7"/>
      <c r="BY1777" s="7"/>
      <c r="BZ1777" s="7"/>
      <c r="CA1777" s="7"/>
      <c r="CB1777" s="7"/>
      <c r="CC1777" s="7"/>
      <c r="CD1777" s="7"/>
      <c r="CE1777" s="7"/>
      <c r="CF1777" s="7"/>
      <c r="CG1777" s="7"/>
    </row>
    <row r="1778" spans="3:85"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  <c r="AA1778" s="7"/>
      <c r="AB1778" s="7"/>
      <c r="AC1778" s="7"/>
      <c r="AD1778" s="7"/>
      <c r="AF1778" s="7"/>
      <c r="AG1778" s="7"/>
      <c r="AH1778" s="7"/>
      <c r="AI1778" s="7"/>
      <c r="AJ1778" s="7"/>
      <c r="AK1778" s="7"/>
      <c r="AL1778" s="7"/>
      <c r="AM1778" s="7"/>
      <c r="AN1778" s="7"/>
      <c r="AO1778" s="7"/>
      <c r="AP1778" s="7"/>
      <c r="AQ1778" s="7"/>
      <c r="AR1778" s="7"/>
      <c r="AS1778" s="7"/>
      <c r="AT1778" s="7"/>
      <c r="AU1778" s="7"/>
      <c r="AV1778" s="7"/>
      <c r="AW1778" s="7"/>
      <c r="AX1778" s="7"/>
      <c r="AY1778" s="7"/>
      <c r="AZ1778" s="7"/>
      <c r="BA1778" s="7"/>
      <c r="BB1778" s="7"/>
      <c r="BC1778" s="7"/>
      <c r="BD1778" s="7"/>
      <c r="BE1778" s="7"/>
      <c r="BF1778" s="7"/>
      <c r="BG1778" s="7"/>
      <c r="BH1778" s="7"/>
      <c r="BI1778" s="7"/>
      <c r="BJ1778" s="7"/>
      <c r="BK1778" s="7"/>
      <c r="BL1778" s="7"/>
      <c r="BM1778" s="7"/>
      <c r="BN1778" s="7"/>
      <c r="BO1778" s="7"/>
      <c r="BP1778" s="7"/>
      <c r="BQ1778" s="7"/>
      <c r="BR1778" s="7"/>
      <c r="BS1778" s="7"/>
      <c r="BT1778" s="7"/>
      <c r="BU1778" s="7"/>
      <c r="BV1778" s="7"/>
      <c r="BW1778" s="7"/>
      <c r="BX1778" s="7"/>
      <c r="BY1778" s="7"/>
      <c r="BZ1778" s="7"/>
      <c r="CA1778" s="7"/>
      <c r="CB1778" s="7"/>
      <c r="CC1778" s="7"/>
      <c r="CD1778" s="7"/>
      <c r="CE1778" s="7"/>
      <c r="CF1778" s="7"/>
      <c r="CG1778" s="7"/>
    </row>
    <row r="1779" spans="3:85"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  <c r="AA1779" s="7"/>
      <c r="AB1779" s="7"/>
      <c r="AC1779" s="7"/>
      <c r="AD1779" s="7"/>
      <c r="AF1779" s="7"/>
      <c r="AG1779" s="7"/>
      <c r="AH1779" s="7"/>
      <c r="AI1779" s="7"/>
      <c r="AJ1779" s="7"/>
      <c r="AK1779" s="7"/>
      <c r="AL1779" s="7"/>
      <c r="AM1779" s="7"/>
      <c r="AN1779" s="7"/>
      <c r="AO1779" s="7"/>
      <c r="AP1779" s="7"/>
      <c r="AQ1779" s="7"/>
      <c r="AR1779" s="7"/>
      <c r="AS1779" s="7"/>
      <c r="AT1779" s="7"/>
      <c r="AU1779" s="7"/>
      <c r="AV1779" s="7"/>
      <c r="AW1779" s="7"/>
      <c r="AX1779" s="7"/>
      <c r="AY1779" s="7"/>
      <c r="AZ1779" s="7"/>
      <c r="BA1779" s="7"/>
      <c r="BB1779" s="7"/>
      <c r="BC1779" s="7"/>
      <c r="BD1779" s="7"/>
      <c r="BE1779" s="7"/>
      <c r="BF1779" s="7"/>
      <c r="BG1779" s="7"/>
      <c r="BH1779" s="7"/>
      <c r="BI1779" s="7"/>
      <c r="BJ1779" s="7"/>
      <c r="BK1779" s="7"/>
      <c r="BL1779" s="7"/>
      <c r="BM1779" s="7"/>
      <c r="BN1779" s="7"/>
      <c r="BO1779" s="7"/>
      <c r="BP1779" s="7"/>
      <c r="BQ1779" s="7"/>
      <c r="BR1779" s="7"/>
      <c r="BS1779" s="7"/>
      <c r="BT1779" s="7"/>
      <c r="BU1779" s="7"/>
      <c r="BV1779" s="7"/>
      <c r="BW1779" s="7"/>
      <c r="BX1779" s="7"/>
      <c r="BY1779" s="7"/>
      <c r="BZ1779" s="7"/>
      <c r="CA1779" s="7"/>
      <c r="CB1779" s="7"/>
      <c r="CC1779" s="7"/>
      <c r="CD1779" s="7"/>
      <c r="CE1779" s="7"/>
      <c r="CF1779" s="7"/>
      <c r="CG1779" s="7"/>
    </row>
    <row r="1780" spans="3:85"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  <c r="AA1780" s="7"/>
      <c r="AB1780" s="7"/>
      <c r="AC1780" s="7"/>
      <c r="AD1780" s="7"/>
      <c r="AF1780" s="7"/>
      <c r="AG1780" s="7"/>
      <c r="AH1780" s="7"/>
      <c r="AI1780" s="7"/>
      <c r="AJ1780" s="7"/>
      <c r="AK1780" s="7"/>
      <c r="AL1780" s="7"/>
      <c r="AM1780" s="7"/>
      <c r="AN1780" s="7"/>
      <c r="AO1780" s="7"/>
      <c r="AP1780" s="7"/>
      <c r="AQ1780" s="7"/>
      <c r="AR1780" s="7"/>
      <c r="AS1780" s="7"/>
      <c r="AT1780" s="7"/>
      <c r="AU1780" s="7"/>
      <c r="AV1780" s="7"/>
      <c r="AW1780" s="7"/>
      <c r="AX1780" s="7"/>
      <c r="AY1780" s="7"/>
      <c r="AZ1780" s="7"/>
      <c r="BA1780" s="7"/>
      <c r="BB1780" s="7"/>
      <c r="BC1780" s="7"/>
      <c r="BD1780" s="7"/>
      <c r="BE1780" s="7"/>
      <c r="BF1780" s="7"/>
      <c r="BG1780" s="7"/>
      <c r="BH1780" s="7"/>
      <c r="BI1780" s="7"/>
      <c r="BJ1780" s="7"/>
      <c r="BK1780" s="7"/>
      <c r="BL1780" s="7"/>
      <c r="BM1780" s="7"/>
      <c r="BN1780" s="7"/>
      <c r="BO1780" s="7"/>
      <c r="BP1780" s="7"/>
      <c r="BQ1780" s="7"/>
      <c r="BR1780" s="7"/>
      <c r="BS1780" s="7"/>
      <c r="BT1780" s="7"/>
      <c r="BU1780" s="7"/>
      <c r="BV1780" s="7"/>
      <c r="BW1780" s="7"/>
      <c r="BX1780" s="7"/>
      <c r="BY1780" s="7"/>
      <c r="BZ1780" s="7"/>
      <c r="CA1780" s="7"/>
      <c r="CB1780" s="7"/>
      <c r="CC1780" s="7"/>
      <c r="CD1780" s="7"/>
      <c r="CE1780" s="7"/>
      <c r="CF1780" s="7"/>
      <c r="CG1780" s="7"/>
    </row>
    <row r="1781" spans="3:85"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  <c r="AA1781" s="7"/>
      <c r="AB1781" s="7"/>
      <c r="AC1781" s="7"/>
      <c r="AD1781" s="7"/>
      <c r="AF1781" s="7"/>
      <c r="AG1781" s="7"/>
      <c r="AH1781" s="7"/>
      <c r="AI1781" s="7"/>
      <c r="AJ1781" s="7"/>
      <c r="AK1781" s="7"/>
      <c r="AL1781" s="7"/>
      <c r="AM1781" s="7"/>
      <c r="AN1781" s="7"/>
      <c r="AO1781" s="7"/>
      <c r="AP1781" s="7"/>
      <c r="AQ1781" s="7"/>
      <c r="AR1781" s="7"/>
      <c r="AS1781" s="7"/>
      <c r="AT1781" s="7"/>
      <c r="AU1781" s="7"/>
      <c r="AV1781" s="7"/>
      <c r="AW1781" s="7"/>
      <c r="AX1781" s="7"/>
      <c r="AY1781" s="7"/>
      <c r="AZ1781" s="7"/>
      <c r="BA1781" s="7"/>
      <c r="BB1781" s="7"/>
      <c r="BC1781" s="7"/>
      <c r="BD1781" s="7"/>
      <c r="BE1781" s="7"/>
      <c r="BF1781" s="7"/>
      <c r="BG1781" s="7"/>
      <c r="BH1781" s="7"/>
      <c r="BI1781" s="7"/>
      <c r="BJ1781" s="7"/>
      <c r="BK1781" s="7"/>
      <c r="BL1781" s="7"/>
      <c r="BM1781" s="7"/>
      <c r="BN1781" s="7"/>
      <c r="BO1781" s="7"/>
      <c r="BP1781" s="7"/>
      <c r="BQ1781" s="7"/>
      <c r="BR1781" s="7"/>
      <c r="BS1781" s="7"/>
      <c r="BT1781" s="7"/>
      <c r="BU1781" s="7"/>
      <c r="BV1781" s="7"/>
      <c r="BW1781" s="7"/>
      <c r="BX1781" s="7"/>
      <c r="BY1781" s="7"/>
      <c r="BZ1781" s="7"/>
      <c r="CA1781" s="7"/>
      <c r="CB1781" s="7"/>
      <c r="CC1781" s="7"/>
      <c r="CD1781" s="7"/>
      <c r="CE1781" s="7"/>
      <c r="CF1781" s="7"/>
      <c r="CG1781" s="7"/>
    </row>
    <row r="1782" spans="3:85"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  <c r="AA1782" s="7"/>
      <c r="AB1782" s="7"/>
      <c r="AC1782" s="7"/>
      <c r="AD1782" s="7"/>
      <c r="AF1782" s="7"/>
      <c r="AG1782" s="7"/>
      <c r="AH1782" s="7"/>
      <c r="AI1782" s="7"/>
      <c r="AJ1782" s="7"/>
      <c r="AK1782" s="7"/>
      <c r="AL1782" s="7"/>
      <c r="AM1782" s="7"/>
      <c r="AN1782" s="7"/>
      <c r="AO1782" s="7"/>
      <c r="AP1782" s="7"/>
      <c r="AQ1782" s="7"/>
      <c r="AR1782" s="7"/>
      <c r="AS1782" s="7"/>
      <c r="AT1782" s="7"/>
      <c r="AU1782" s="7"/>
      <c r="AV1782" s="7"/>
      <c r="AW1782" s="7"/>
      <c r="AX1782" s="7"/>
      <c r="AY1782" s="7"/>
      <c r="AZ1782" s="7"/>
      <c r="BA1782" s="7"/>
      <c r="BB1782" s="7"/>
      <c r="BC1782" s="7"/>
      <c r="BD1782" s="7"/>
      <c r="BE1782" s="7"/>
      <c r="BF1782" s="7"/>
      <c r="BG1782" s="7"/>
      <c r="BH1782" s="7"/>
      <c r="BI1782" s="7"/>
      <c r="BJ1782" s="7"/>
      <c r="BK1782" s="7"/>
      <c r="BL1782" s="7"/>
      <c r="BM1782" s="7"/>
      <c r="BN1782" s="7"/>
      <c r="BO1782" s="7"/>
      <c r="BP1782" s="7"/>
      <c r="BQ1782" s="7"/>
      <c r="BR1782" s="7"/>
      <c r="BS1782" s="7"/>
      <c r="BT1782" s="7"/>
      <c r="BU1782" s="7"/>
      <c r="BV1782" s="7"/>
      <c r="BW1782" s="7"/>
      <c r="BX1782" s="7"/>
      <c r="BY1782" s="7"/>
      <c r="BZ1782" s="7"/>
      <c r="CA1782" s="7"/>
      <c r="CB1782" s="7"/>
      <c r="CC1782" s="7"/>
      <c r="CD1782" s="7"/>
      <c r="CE1782" s="7"/>
      <c r="CF1782" s="7"/>
      <c r="CG1782" s="7"/>
    </row>
    <row r="1783" spans="3:85"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  <c r="AA1783" s="7"/>
      <c r="AB1783" s="7"/>
      <c r="AC1783" s="7"/>
      <c r="AD1783" s="7"/>
      <c r="AF1783" s="7"/>
      <c r="AG1783" s="7"/>
      <c r="AH1783" s="7"/>
      <c r="AI1783" s="7"/>
      <c r="AJ1783" s="7"/>
      <c r="AK1783" s="7"/>
      <c r="AL1783" s="7"/>
      <c r="AM1783" s="7"/>
      <c r="AN1783" s="7"/>
      <c r="AO1783" s="7"/>
      <c r="AP1783" s="7"/>
      <c r="AQ1783" s="7"/>
      <c r="AR1783" s="7"/>
      <c r="AS1783" s="7"/>
      <c r="AT1783" s="7"/>
      <c r="AU1783" s="7"/>
      <c r="AV1783" s="7"/>
      <c r="AW1783" s="7"/>
      <c r="AX1783" s="7"/>
      <c r="AY1783" s="7"/>
      <c r="AZ1783" s="7"/>
      <c r="BA1783" s="7"/>
      <c r="BB1783" s="7"/>
      <c r="BC1783" s="7"/>
      <c r="BD1783" s="7"/>
      <c r="BE1783" s="7"/>
      <c r="BF1783" s="7"/>
      <c r="BG1783" s="7"/>
      <c r="BH1783" s="7"/>
      <c r="BI1783" s="7"/>
      <c r="BJ1783" s="7"/>
      <c r="BK1783" s="7"/>
      <c r="BL1783" s="7"/>
      <c r="BM1783" s="7"/>
      <c r="BN1783" s="7"/>
      <c r="BO1783" s="7"/>
      <c r="BP1783" s="7"/>
      <c r="BQ1783" s="7"/>
      <c r="BR1783" s="7"/>
      <c r="BS1783" s="7"/>
      <c r="BT1783" s="7"/>
      <c r="BU1783" s="7"/>
      <c r="BV1783" s="7"/>
      <c r="BW1783" s="7"/>
      <c r="BX1783" s="7"/>
      <c r="BY1783" s="7"/>
      <c r="BZ1783" s="7"/>
      <c r="CA1783" s="7"/>
      <c r="CB1783" s="7"/>
      <c r="CC1783" s="7"/>
      <c r="CD1783" s="7"/>
      <c r="CE1783" s="7"/>
      <c r="CF1783" s="7"/>
      <c r="CG1783" s="7"/>
    </row>
    <row r="1784" spans="3:85"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  <c r="AA1784" s="7"/>
      <c r="AB1784" s="7"/>
      <c r="AC1784" s="7"/>
      <c r="AD1784" s="7"/>
      <c r="AF1784" s="7"/>
      <c r="AG1784" s="7"/>
      <c r="AH1784" s="7"/>
      <c r="AI1784" s="7"/>
      <c r="AJ1784" s="7"/>
      <c r="AK1784" s="7"/>
      <c r="AL1784" s="7"/>
      <c r="AM1784" s="7"/>
      <c r="AN1784" s="7"/>
      <c r="AO1784" s="7"/>
      <c r="AP1784" s="7"/>
      <c r="AQ1784" s="7"/>
      <c r="AR1784" s="7"/>
      <c r="AS1784" s="7"/>
      <c r="AT1784" s="7"/>
      <c r="AU1784" s="7"/>
      <c r="AV1784" s="7"/>
      <c r="AW1784" s="7"/>
      <c r="AX1784" s="7"/>
      <c r="AY1784" s="7"/>
      <c r="AZ1784" s="7"/>
      <c r="BA1784" s="7"/>
      <c r="BB1784" s="7"/>
      <c r="BC1784" s="7"/>
      <c r="BD1784" s="7"/>
      <c r="BE1784" s="7"/>
      <c r="BF1784" s="7"/>
      <c r="BG1784" s="7"/>
      <c r="BH1784" s="7"/>
      <c r="BI1784" s="7"/>
      <c r="BJ1784" s="7"/>
      <c r="BK1784" s="7"/>
      <c r="BL1784" s="7"/>
      <c r="BM1784" s="7"/>
      <c r="BN1784" s="7"/>
      <c r="BO1784" s="7"/>
      <c r="BP1784" s="7"/>
      <c r="BQ1784" s="7"/>
      <c r="BR1784" s="7"/>
      <c r="BS1784" s="7"/>
      <c r="BT1784" s="7"/>
      <c r="BU1784" s="7"/>
      <c r="BV1784" s="7"/>
      <c r="BW1784" s="7"/>
      <c r="BX1784" s="7"/>
      <c r="BY1784" s="7"/>
      <c r="BZ1784" s="7"/>
      <c r="CA1784" s="7"/>
      <c r="CB1784" s="7"/>
      <c r="CC1784" s="7"/>
      <c r="CD1784" s="7"/>
      <c r="CE1784" s="7"/>
      <c r="CF1784" s="7"/>
      <c r="CG1784" s="7"/>
    </row>
    <row r="1785" spans="3:85"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  <c r="AA1785" s="7"/>
      <c r="AB1785" s="7"/>
      <c r="AC1785" s="7"/>
      <c r="AD1785" s="7"/>
      <c r="AF1785" s="7"/>
      <c r="AG1785" s="7"/>
      <c r="AH1785" s="7"/>
      <c r="AI1785" s="7"/>
      <c r="AJ1785" s="7"/>
      <c r="AK1785" s="7"/>
      <c r="AL1785" s="7"/>
      <c r="AM1785" s="7"/>
      <c r="AN1785" s="7"/>
      <c r="AO1785" s="7"/>
      <c r="AP1785" s="7"/>
      <c r="AQ1785" s="7"/>
      <c r="AR1785" s="7"/>
      <c r="AS1785" s="7"/>
      <c r="AT1785" s="7"/>
      <c r="AU1785" s="7"/>
      <c r="AV1785" s="7"/>
      <c r="AW1785" s="7"/>
      <c r="AX1785" s="7"/>
      <c r="AY1785" s="7"/>
      <c r="AZ1785" s="7"/>
      <c r="BA1785" s="7"/>
      <c r="BB1785" s="7"/>
      <c r="BC1785" s="7"/>
      <c r="BD1785" s="7"/>
      <c r="BE1785" s="7"/>
      <c r="BF1785" s="7"/>
      <c r="BG1785" s="7"/>
      <c r="BH1785" s="7"/>
      <c r="BI1785" s="7"/>
      <c r="BJ1785" s="7"/>
      <c r="BK1785" s="7"/>
      <c r="BL1785" s="7"/>
      <c r="BM1785" s="7"/>
      <c r="BN1785" s="7"/>
      <c r="BO1785" s="7"/>
      <c r="BP1785" s="7"/>
      <c r="BQ1785" s="7"/>
      <c r="BR1785" s="7"/>
      <c r="BS1785" s="7"/>
      <c r="BT1785" s="7"/>
      <c r="BU1785" s="7"/>
      <c r="BV1785" s="7"/>
      <c r="BW1785" s="7"/>
      <c r="BX1785" s="7"/>
      <c r="BY1785" s="7"/>
      <c r="BZ1785" s="7"/>
      <c r="CA1785" s="7"/>
      <c r="CB1785" s="7"/>
      <c r="CC1785" s="7"/>
      <c r="CD1785" s="7"/>
      <c r="CE1785" s="7"/>
      <c r="CF1785" s="7"/>
      <c r="CG1785" s="7"/>
    </row>
    <row r="1786" spans="3:85"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  <c r="AA1786" s="7"/>
      <c r="AB1786" s="7"/>
      <c r="AC1786" s="7"/>
      <c r="AD1786" s="7"/>
      <c r="AF1786" s="7"/>
      <c r="AG1786" s="7"/>
      <c r="AH1786" s="7"/>
      <c r="AI1786" s="7"/>
      <c r="AJ1786" s="7"/>
      <c r="AK1786" s="7"/>
      <c r="AL1786" s="7"/>
      <c r="AM1786" s="7"/>
      <c r="AN1786" s="7"/>
      <c r="AO1786" s="7"/>
      <c r="AP1786" s="7"/>
      <c r="AQ1786" s="7"/>
      <c r="AR1786" s="7"/>
      <c r="AS1786" s="7"/>
      <c r="AT1786" s="7"/>
      <c r="AU1786" s="7"/>
      <c r="AV1786" s="7"/>
      <c r="AW1786" s="7"/>
      <c r="AX1786" s="7"/>
      <c r="AY1786" s="7"/>
      <c r="AZ1786" s="7"/>
      <c r="BA1786" s="7"/>
      <c r="BB1786" s="7"/>
      <c r="BC1786" s="7"/>
      <c r="BD1786" s="7"/>
      <c r="BE1786" s="7"/>
      <c r="BF1786" s="7"/>
      <c r="BG1786" s="7"/>
      <c r="BH1786" s="7"/>
      <c r="BI1786" s="7"/>
      <c r="BJ1786" s="7"/>
      <c r="BK1786" s="7"/>
      <c r="BL1786" s="7"/>
      <c r="BM1786" s="7"/>
      <c r="BN1786" s="7"/>
      <c r="BO1786" s="7"/>
      <c r="BP1786" s="7"/>
      <c r="BQ1786" s="7"/>
      <c r="BR1786" s="7"/>
      <c r="BS1786" s="7"/>
      <c r="BT1786" s="7"/>
      <c r="BU1786" s="7"/>
      <c r="BV1786" s="7"/>
      <c r="BW1786" s="7"/>
      <c r="BX1786" s="7"/>
      <c r="BY1786" s="7"/>
      <c r="BZ1786" s="7"/>
      <c r="CA1786" s="7"/>
      <c r="CB1786" s="7"/>
      <c r="CC1786" s="7"/>
      <c r="CD1786" s="7"/>
      <c r="CE1786" s="7"/>
      <c r="CF1786" s="7"/>
      <c r="CG1786" s="7"/>
    </row>
    <row r="1787" spans="3:85"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  <c r="AA1787" s="7"/>
      <c r="AB1787" s="7"/>
      <c r="AC1787" s="7"/>
      <c r="AD1787" s="7"/>
      <c r="AF1787" s="7"/>
      <c r="AG1787" s="7"/>
      <c r="AH1787" s="7"/>
      <c r="AI1787" s="7"/>
      <c r="AJ1787" s="7"/>
      <c r="AK1787" s="7"/>
      <c r="AL1787" s="7"/>
      <c r="AM1787" s="7"/>
      <c r="AN1787" s="7"/>
      <c r="AO1787" s="7"/>
      <c r="AP1787" s="7"/>
      <c r="AQ1787" s="7"/>
      <c r="AR1787" s="7"/>
      <c r="AS1787" s="7"/>
      <c r="AT1787" s="7"/>
      <c r="AU1787" s="7"/>
      <c r="AV1787" s="7"/>
      <c r="AW1787" s="7"/>
      <c r="AX1787" s="7"/>
      <c r="AY1787" s="7"/>
      <c r="AZ1787" s="7"/>
      <c r="BA1787" s="7"/>
      <c r="BB1787" s="7"/>
      <c r="BC1787" s="7"/>
      <c r="BD1787" s="7"/>
      <c r="BE1787" s="7"/>
      <c r="BF1787" s="7"/>
      <c r="BG1787" s="7"/>
      <c r="BH1787" s="7"/>
      <c r="BI1787" s="7"/>
      <c r="BJ1787" s="7"/>
      <c r="BK1787" s="7"/>
      <c r="BL1787" s="7"/>
      <c r="BM1787" s="7"/>
      <c r="BN1787" s="7"/>
      <c r="BO1787" s="7"/>
      <c r="BP1787" s="7"/>
      <c r="BQ1787" s="7"/>
      <c r="BR1787" s="7"/>
      <c r="BS1787" s="7"/>
      <c r="BT1787" s="7"/>
      <c r="BU1787" s="7"/>
      <c r="BV1787" s="7"/>
      <c r="BW1787" s="7"/>
      <c r="BX1787" s="7"/>
      <c r="BY1787" s="7"/>
      <c r="BZ1787" s="7"/>
      <c r="CA1787" s="7"/>
      <c r="CB1787" s="7"/>
      <c r="CC1787" s="7"/>
      <c r="CD1787" s="7"/>
      <c r="CE1787" s="7"/>
      <c r="CF1787" s="7"/>
      <c r="CG1787" s="7"/>
    </row>
    <row r="1788" spans="3:85"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  <c r="AA1788" s="7"/>
      <c r="AB1788" s="7"/>
      <c r="AC1788" s="7"/>
      <c r="AD1788" s="7"/>
      <c r="AF1788" s="7"/>
      <c r="AG1788" s="7"/>
      <c r="AH1788" s="7"/>
      <c r="AI1788" s="7"/>
      <c r="AJ1788" s="7"/>
      <c r="AK1788" s="7"/>
      <c r="AL1788" s="7"/>
      <c r="AM1788" s="7"/>
      <c r="AN1788" s="7"/>
      <c r="AO1788" s="7"/>
      <c r="AP1788" s="7"/>
      <c r="AQ1788" s="7"/>
      <c r="AR1788" s="7"/>
      <c r="AS1788" s="7"/>
      <c r="AT1788" s="7"/>
      <c r="AU1788" s="7"/>
      <c r="AV1788" s="7"/>
      <c r="AW1788" s="7"/>
      <c r="AX1788" s="7"/>
      <c r="AY1788" s="7"/>
      <c r="AZ1788" s="7"/>
      <c r="BA1788" s="7"/>
      <c r="BB1788" s="7"/>
      <c r="BC1788" s="7"/>
      <c r="BD1788" s="7"/>
      <c r="BE1788" s="7"/>
      <c r="BF1788" s="7"/>
      <c r="BG1788" s="7"/>
      <c r="BH1788" s="7"/>
      <c r="BI1788" s="7"/>
      <c r="BJ1788" s="7"/>
      <c r="BK1788" s="7"/>
      <c r="BL1788" s="7"/>
      <c r="BM1788" s="7"/>
      <c r="BN1788" s="7"/>
      <c r="BO1788" s="7"/>
      <c r="BP1788" s="7"/>
      <c r="BQ1788" s="7"/>
      <c r="BR1788" s="7"/>
      <c r="BS1788" s="7"/>
      <c r="BT1788" s="7"/>
      <c r="BU1788" s="7"/>
      <c r="BV1788" s="7"/>
      <c r="BW1788" s="7"/>
      <c r="BX1788" s="7"/>
      <c r="BY1788" s="7"/>
      <c r="BZ1788" s="7"/>
      <c r="CA1788" s="7"/>
      <c r="CB1788" s="7"/>
      <c r="CC1788" s="7"/>
      <c r="CD1788" s="7"/>
      <c r="CE1788" s="7"/>
      <c r="CF1788" s="7"/>
      <c r="CG1788" s="7"/>
    </row>
    <row r="1789" spans="3:85"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  <c r="AA1789" s="7"/>
      <c r="AB1789" s="7"/>
      <c r="AC1789" s="7"/>
      <c r="AD1789" s="7"/>
      <c r="AF1789" s="7"/>
      <c r="AG1789" s="7"/>
      <c r="AH1789" s="7"/>
      <c r="AI1789" s="7"/>
      <c r="AJ1789" s="7"/>
      <c r="AK1789" s="7"/>
      <c r="AL1789" s="7"/>
      <c r="AM1789" s="7"/>
      <c r="AN1789" s="7"/>
      <c r="AO1789" s="7"/>
      <c r="AP1789" s="7"/>
      <c r="AQ1789" s="7"/>
      <c r="AR1789" s="7"/>
      <c r="AS1789" s="7"/>
      <c r="AT1789" s="7"/>
      <c r="AU1789" s="7"/>
      <c r="AV1789" s="7"/>
      <c r="AW1789" s="7"/>
      <c r="AX1789" s="7"/>
      <c r="AY1789" s="7"/>
      <c r="AZ1789" s="7"/>
      <c r="BA1789" s="7"/>
      <c r="BB1789" s="7"/>
      <c r="BC1789" s="7"/>
      <c r="BD1789" s="7"/>
      <c r="BE1789" s="7"/>
      <c r="BF1789" s="7"/>
      <c r="BG1789" s="7"/>
      <c r="BH1789" s="7"/>
      <c r="BI1789" s="7"/>
      <c r="BJ1789" s="7"/>
      <c r="BK1789" s="7"/>
      <c r="BL1789" s="7"/>
      <c r="BM1789" s="7"/>
      <c r="BN1789" s="7"/>
      <c r="BO1789" s="7"/>
      <c r="BP1789" s="7"/>
      <c r="BQ1789" s="7"/>
      <c r="BR1789" s="7"/>
      <c r="BS1789" s="7"/>
      <c r="BT1789" s="7"/>
      <c r="BU1789" s="7"/>
      <c r="BV1789" s="7"/>
      <c r="BW1789" s="7"/>
      <c r="BX1789" s="7"/>
      <c r="BY1789" s="7"/>
      <c r="BZ1789" s="7"/>
      <c r="CA1789" s="7"/>
      <c r="CB1789" s="7"/>
      <c r="CC1789" s="7"/>
      <c r="CD1789" s="7"/>
      <c r="CE1789" s="7"/>
      <c r="CF1789" s="7"/>
      <c r="CG1789" s="7"/>
    </row>
    <row r="1790" spans="3:85"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  <c r="AA1790" s="7"/>
      <c r="AB1790" s="7"/>
      <c r="AC1790" s="7"/>
      <c r="AD1790" s="7"/>
      <c r="AF1790" s="7"/>
      <c r="AG1790" s="7"/>
      <c r="AH1790" s="7"/>
      <c r="AI1790" s="7"/>
      <c r="AJ1790" s="7"/>
      <c r="AK1790" s="7"/>
      <c r="AL1790" s="7"/>
      <c r="AM1790" s="7"/>
      <c r="AN1790" s="7"/>
      <c r="AO1790" s="7"/>
      <c r="AP1790" s="7"/>
      <c r="AQ1790" s="7"/>
      <c r="AR1790" s="7"/>
      <c r="AS1790" s="7"/>
      <c r="AT1790" s="7"/>
      <c r="AU1790" s="7"/>
      <c r="AV1790" s="7"/>
      <c r="AW1790" s="7"/>
      <c r="AX1790" s="7"/>
      <c r="AY1790" s="7"/>
      <c r="AZ1790" s="7"/>
      <c r="BA1790" s="7"/>
      <c r="BB1790" s="7"/>
      <c r="BC1790" s="7"/>
      <c r="BD1790" s="7"/>
      <c r="BE1790" s="7"/>
      <c r="BF1790" s="7"/>
      <c r="BG1790" s="7"/>
      <c r="BH1790" s="7"/>
      <c r="BI1790" s="7"/>
      <c r="BJ1790" s="7"/>
      <c r="BK1790" s="7"/>
      <c r="BL1790" s="7"/>
      <c r="BM1790" s="7"/>
      <c r="BN1790" s="7"/>
      <c r="BO1790" s="7"/>
      <c r="BP1790" s="7"/>
      <c r="BQ1790" s="7"/>
      <c r="BR1790" s="7"/>
      <c r="BS1790" s="7"/>
      <c r="BT1790" s="7"/>
      <c r="BU1790" s="7"/>
      <c r="BV1790" s="7"/>
      <c r="BW1790" s="7"/>
      <c r="BX1790" s="7"/>
      <c r="BY1790" s="7"/>
      <c r="BZ1790" s="7"/>
      <c r="CA1790" s="7"/>
      <c r="CB1790" s="7"/>
      <c r="CC1790" s="7"/>
      <c r="CD1790" s="7"/>
      <c r="CE1790" s="7"/>
      <c r="CF1790" s="7"/>
      <c r="CG1790" s="7"/>
    </row>
    <row r="1791" spans="3:85"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  <c r="AA1791" s="7"/>
      <c r="AB1791" s="7"/>
      <c r="AC1791" s="7"/>
      <c r="AD1791" s="7"/>
      <c r="AF1791" s="7"/>
      <c r="AG1791" s="7"/>
      <c r="AH1791" s="7"/>
      <c r="AI1791" s="7"/>
      <c r="AJ1791" s="7"/>
      <c r="AK1791" s="7"/>
      <c r="AL1791" s="7"/>
      <c r="AM1791" s="7"/>
      <c r="AN1791" s="7"/>
      <c r="AO1791" s="7"/>
      <c r="AP1791" s="7"/>
      <c r="AQ1791" s="7"/>
      <c r="AR1791" s="7"/>
      <c r="AS1791" s="7"/>
      <c r="AT1791" s="7"/>
      <c r="AU1791" s="7"/>
      <c r="AV1791" s="7"/>
      <c r="AW1791" s="7"/>
      <c r="AX1791" s="7"/>
      <c r="AY1791" s="7"/>
      <c r="AZ1791" s="7"/>
      <c r="BA1791" s="7"/>
      <c r="BB1791" s="7"/>
      <c r="BC1791" s="7"/>
      <c r="BD1791" s="7"/>
      <c r="BE1791" s="7"/>
      <c r="BF1791" s="7"/>
      <c r="BG1791" s="7"/>
      <c r="BH1791" s="7"/>
      <c r="BI1791" s="7"/>
      <c r="BJ1791" s="7"/>
      <c r="BK1791" s="7"/>
      <c r="BL1791" s="7"/>
      <c r="BM1791" s="7"/>
      <c r="BN1791" s="7"/>
      <c r="BO1791" s="7"/>
      <c r="BP1791" s="7"/>
      <c r="BQ1791" s="7"/>
      <c r="BR1791" s="7"/>
      <c r="BS1791" s="7"/>
      <c r="BT1791" s="7"/>
      <c r="BU1791" s="7"/>
      <c r="BV1791" s="7"/>
      <c r="BW1791" s="7"/>
      <c r="BX1791" s="7"/>
      <c r="BY1791" s="7"/>
      <c r="BZ1791" s="7"/>
      <c r="CA1791" s="7"/>
      <c r="CB1791" s="7"/>
      <c r="CC1791" s="7"/>
      <c r="CD1791" s="7"/>
      <c r="CE1791" s="7"/>
      <c r="CF1791" s="7"/>
      <c r="CG1791" s="7"/>
    </row>
    <row r="1792" spans="3:85"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  <c r="AA1792" s="7"/>
      <c r="AB1792" s="7"/>
      <c r="AC1792" s="7"/>
      <c r="AD1792" s="7"/>
      <c r="AF1792" s="7"/>
      <c r="AG1792" s="7"/>
      <c r="AH1792" s="7"/>
      <c r="AI1792" s="7"/>
      <c r="AJ1792" s="7"/>
      <c r="AK1792" s="7"/>
      <c r="AL1792" s="7"/>
      <c r="AM1792" s="7"/>
      <c r="AN1792" s="7"/>
      <c r="AO1792" s="7"/>
      <c r="AP1792" s="7"/>
      <c r="AQ1792" s="7"/>
      <c r="AR1792" s="7"/>
      <c r="AS1792" s="7"/>
      <c r="AT1792" s="7"/>
      <c r="AU1792" s="7"/>
      <c r="AV1792" s="7"/>
      <c r="AW1792" s="7"/>
      <c r="AX1792" s="7"/>
      <c r="AY1792" s="7"/>
      <c r="AZ1792" s="7"/>
      <c r="BA1792" s="7"/>
      <c r="BB1792" s="7"/>
      <c r="BC1792" s="7"/>
      <c r="BD1792" s="7"/>
      <c r="BE1792" s="7"/>
      <c r="BF1792" s="7"/>
      <c r="BG1792" s="7"/>
      <c r="BH1792" s="7"/>
      <c r="BI1792" s="7"/>
      <c r="BJ1792" s="7"/>
      <c r="BK1792" s="7"/>
      <c r="BL1792" s="7"/>
      <c r="BM1792" s="7"/>
      <c r="BN1792" s="7"/>
      <c r="BO1792" s="7"/>
      <c r="BP1792" s="7"/>
      <c r="BQ1792" s="7"/>
      <c r="BR1792" s="7"/>
      <c r="BS1792" s="7"/>
      <c r="BT1792" s="7"/>
      <c r="BU1792" s="7"/>
      <c r="BV1792" s="7"/>
      <c r="BW1792" s="7"/>
      <c r="BX1792" s="7"/>
      <c r="BY1792" s="7"/>
      <c r="BZ1792" s="7"/>
      <c r="CA1792" s="7"/>
      <c r="CB1792" s="7"/>
      <c r="CC1792" s="7"/>
      <c r="CD1792" s="7"/>
      <c r="CE1792" s="7"/>
      <c r="CF1792" s="7"/>
      <c r="CG1792" s="7"/>
    </row>
    <row r="1793" spans="3:85"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  <c r="AA1793" s="7"/>
      <c r="AB1793" s="7"/>
      <c r="AC1793" s="7"/>
      <c r="AD1793" s="7"/>
      <c r="AF1793" s="7"/>
      <c r="AG1793" s="7"/>
      <c r="AH1793" s="7"/>
      <c r="AI1793" s="7"/>
      <c r="AJ1793" s="7"/>
      <c r="AK1793" s="7"/>
      <c r="AL1793" s="7"/>
      <c r="AM1793" s="7"/>
      <c r="AN1793" s="7"/>
      <c r="AO1793" s="7"/>
      <c r="AP1793" s="7"/>
      <c r="AQ1793" s="7"/>
      <c r="AR1793" s="7"/>
      <c r="AS1793" s="7"/>
      <c r="AT1793" s="7"/>
      <c r="AU1793" s="7"/>
      <c r="AV1793" s="7"/>
      <c r="AW1793" s="7"/>
      <c r="AX1793" s="7"/>
      <c r="AY1793" s="7"/>
      <c r="AZ1793" s="7"/>
      <c r="BA1793" s="7"/>
      <c r="BB1793" s="7"/>
      <c r="BC1793" s="7"/>
      <c r="BD1793" s="7"/>
      <c r="BE1793" s="7"/>
      <c r="BF1793" s="7"/>
      <c r="BG1793" s="7"/>
      <c r="BH1793" s="7"/>
      <c r="BI1793" s="7"/>
      <c r="BJ1793" s="7"/>
      <c r="BK1793" s="7"/>
      <c r="BL1793" s="7"/>
      <c r="BM1793" s="7"/>
      <c r="BN1793" s="7"/>
      <c r="BO1793" s="7"/>
      <c r="BP1793" s="7"/>
      <c r="BQ1793" s="7"/>
      <c r="BR1793" s="7"/>
      <c r="BS1793" s="7"/>
      <c r="BT1793" s="7"/>
      <c r="BU1793" s="7"/>
      <c r="BV1793" s="7"/>
      <c r="BW1793" s="7"/>
      <c r="BX1793" s="7"/>
      <c r="BY1793" s="7"/>
      <c r="BZ1793" s="7"/>
      <c r="CA1793" s="7"/>
      <c r="CB1793" s="7"/>
      <c r="CC1793" s="7"/>
      <c r="CD1793" s="7"/>
      <c r="CE1793" s="7"/>
      <c r="CF1793" s="7"/>
      <c r="CG1793" s="7"/>
    </row>
    <row r="1794" spans="3:85"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  <c r="AA1794" s="7"/>
      <c r="AB1794" s="7"/>
      <c r="AC1794" s="7"/>
      <c r="AD1794" s="7"/>
      <c r="AF1794" s="7"/>
      <c r="AG1794" s="7"/>
      <c r="AH1794" s="7"/>
      <c r="AI1794" s="7"/>
      <c r="AJ1794" s="7"/>
      <c r="AK1794" s="7"/>
      <c r="AL1794" s="7"/>
      <c r="AM1794" s="7"/>
      <c r="AN1794" s="7"/>
      <c r="AO1794" s="7"/>
      <c r="AP1794" s="7"/>
      <c r="AQ1794" s="7"/>
      <c r="AR1794" s="7"/>
      <c r="AS1794" s="7"/>
      <c r="AT1794" s="7"/>
      <c r="AU1794" s="7"/>
      <c r="AV1794" s="7"/>
      <c r="AW1794" s="7"/>
      <c r="AX1794" s="7"/>
      <c r="AY1794" s="7"/>
      <c r="AZ1794" s="7"/>
      <c r="BA1794" s="7"/>
      <c r="BB1794" s="7"/>
      <c r="BC1794" s="7"/>
      <c r="BD1794" s="7"/>
      <c r="BE1794" s="7"/>
      <c r="BF1794" s="7"/>
      <c r="BG1794" s="7"/>
      <c r="BH1794" s="7"/>
      <c r="BI1794" s="7"/>
      <c r="BJ1794" s="7"/>
      <c r="BK1794" s="7"/>
      <c r="BL1794" s="7"/>
      <c r="BM1794" s="7"/>
      <c r="BN1794" s="7"/>
      <c r="BO1794" s="7"/>
      <c r="BP1794" s="7"/>
      <c r="BQ1794" s="7"/>
      <c r="BR1794" s="7"/>
      <c r="BS1794" s="7"/>
      <c r="BT1794" s="7"/>
      <c r="BU1794" s="7"/>
      <c r="BV1794" s="7"/>
      <c r="BW1794" s="7"/>
      <c r="BX1794" s="7"/>
      <c r="BY1794" s="7"/>
      <c r="BZ1794" s="7"/>
      <c r="CA1794" s="7"/>
      <c r="CB1794" s="7"/>
      <c r="CC1794" s="7"/>
      <c r="CD1794" s="7"/>
      <c r="CE1794" s="7"/>
      <c r="CF1794" s="7"/>
      <c r="CG1794" s="7"/>
    </row>
    <row r="1795" spans="3:85"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  <c r="AA1795" s="7"/>
      <c r="AB1795" s="7"/>
      <c r="AC1795" s="7"/>
      <c r="AD1795" s="7"/>
      <c r="AF1795" s="7"/>
      <c r="AG1795" s="7"/>
      <c r="AH1795" s="7"/>
      <c r="AI1795" s="7"/>
      <c r="AJ1795" s="7"/>
      <c r="AK1795" s="7"/>
      <c r="AL1795" s="7"/>
      <c r="AM1795" s="7"/>
      <c r="AN1795" s="7"/>
      <c r="AO1795" s="7"/>
      <c r="AP1795" s="7"/>
      <c r="AQ1795" s="7"/>
      <c r="AR1795" s="7"/>
      <c r="AS1795" s="7"/>
      <c r="AT1795" s="7"/>
      <c r="AU1795" s="7"/>
      <c r="AV1795" s="7"/>
      <c r="AW1795" s="7"/>
      <c r="AX1795" s="7"/>
      <c r="AY1795" s="7"/>
      <c r="AZ1795" s="7"/>
      <c r="BA1795" s="7"/>
      <c r="BB1795" s="7"/>
      <c r="BC1795" s="7"/>
      <c r="BD1795" s="7"/>
      <c r="BE1795" s="7"/>
      <c r="BF1795" s="7"/>
      <c r="BG1795" s="7"/>
      <c r="BH1795" s="7"/>
      <c r="BI1795" s="7"/>
      <c r="BJ1795" s="7"/>
      <c r="BK1795" s="7"/>
      <c r="BL1795" s="7"/>
      <c r="BM1795" s="7"/>
      <c r="BN1795" s="7"/>
      <c r="BO1795" s="7"/>
      <c r="BP1795" s="7"/>
      <c r="BQ1795" s="7"/>
      <c r="BR1795" s="7"/>
      <c r="BS1795" s="7"/>
      <c r="BT1795" s="7"/>
      <c r="BU1795" s="7"/>
      <c r="BV1795" s="7"/>
      <c r="BW1795" s="7"/>
      <c r="BX1795" s="7"/>
      <c r="BY1795" s="7"/>
      <c r="BZ1795" s="7"/>
      <c r="CA1795" s="7"/>
      <c r="CB1795" s="7"/>
      <c r="CC1795" s="7"/>
      <c r="CD1795" s="7"/>
      <c r="CE1795" s="7"/>
      <c r="CF1795" s="7"/>
      <c r="CG1795" s="7"/>
    </row>
    <row r="1796" spans="3:85"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  <c r="AA1796" s="7"/>
      <c r="AB1796" s="7"/>
      <c r="AC1796" s="7"/>
      <c r="AD1796" s="7"/>
      <c r="AF1796" s="7"/>
      <c r="AG1796" s="7"/>
      <c r="AH1796" s="7"/>
      <c r="AI1796" s="7"/>
      <c r="AJ1796" s="7"/>
      <c r="AK1796" s="7"/>
      <c r="AL1796" s="7"/>
      <c r="AM1796" s="7"/>
      <c r="AN1796" s="7"/>
      <c r="AO1796" s="7"/>
      <c r="AP1796" s="7"/>
      <c r="AQ1796" s="7"/>
      <c r="AR1796" s="7"/>
      <c r="AS1796" s="7"/>
      <c r="AT1796" s="7"/>
      <c r="AU1796" s="7"/>
      <c r="AV1796" s="7"/>
      <c r="AW1796" s="7"/>
      <c r="AX1796" s="7"/>
      <c r="AY1796" s="7"/>
      <c r="AZ1796" s="7"/>
      <c r="BA1796" s="7"/>
      <c r="BB1796" s="7"/>
      <c r="BC1796" s="7"/>
      <c r="BD1796" s="7"/>
      <c r="BE1796" s="7"/>
      <c r="BF1796" s="7"/>
      <c r="BG1796" s="7"/>
      <c r="BH1796" s="7"/>
      <c r="BI1796" s="7"/>
      <c r="BJ1796" s="7"/>
      <c r="BK1796" s="7"/>
      <c r="BL1796" s="7"/>
      <c r="BM1796" s="7"/>
      <c r="BN1796" s="7"/>
      <c r="BO1796" s="7"/>
      <c r="BP1796" s="7"/>
      <c r="BQ1796" s="7"/>
      <c r="BR1796" s="7"/>
      <c r="BS1796" s="7"/>
      <c r="BT1796" s="7"/>
      <c r="BU1796" s="7"/>
      <c r="BV1796" s="7"/>
      <c r="BW1796" s="7"/>
      <c r="BX1796" s="7"/>
      <c r="BY1796" s="7"/>
      <c r="BZ1796" s="7"/>
      <c r="CA1796" s="7"/>
      <c r="CB1796" s="7"/>
      <c r="CC1796" s="7"/>
      <c r="CD1796" s="7"/>
      <c r="CE1796" s="7"/>
      <c r="CF1796" s="7"/>
      <c r="CG1796" s="7"/>
    </row>
    <row r="1797" spans="3:85"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  <c r="AA1797" s="7"/>
      <c r="AB1797" s="7"/>
      <c r="AC1797" s="7"/>
      <c r="AD1797" s="7"/>
      <c r="AF1797" s="7"/>
      <c r="AG1797" s="7"/>
      <c r="AH1797" s="7"/>
      <c r="AI1797" s="7"/>
      <c r="AJ1797" s="7"/>
      <c r="AK1797" s="7"/>
      <c r="AL1797" s="7"/>
      <c r="AM1797" s="7"/>
      <c r="AN1797" s="7"/>
      <c r="AO1797" s="7"/>
      <c r="AP1797" s="7"/>
      <c r="AQ1797" s="7"/>
      <c r="AR1797" s="7"/>
      <c r="AS1797" s="7"/>
      <c r="AT1797" s="7"/>
      <c r="AU1797" s="7"/>
      <c r="AV1797" s="7"/>
      <c r="AW1797" s="7"/>
      <c r="AX1797" s="7"/>
      <c r="AY1797" s="7"/>
      <c r="AZ1797" s="7"/>
      <c r="BA1797" s="7"/>
      <c r="BB1797" s="7"/>
      <c r="BC1797" s="7"/>
      <c r="BD1797" s="7"/>
      <c r="BE1797" s="7"/>
      <c r="BF1797" s="7"/>
      <c r="BG1797" s="7"/>
      <c r="BH1797" s="7"/>
      <c r="BI1797" s="7"/>
      <c r="BJ1797" s="7"/>
      <c r="BK1797" s="7"/>
      <c r="BL1797" s="7"/>
      <c r="BM1797" s="7"/>
      <c r="BN1797" s="7"/>
      <c r="BO1797" s="7"/>
      <c r="BP1797" s="7"/>
      <c r="BQ1797" s="7"/>
      <c r="BR1797" s="7"/>
      <c r="BS1797" s="7"/>
      <c r="BT1797" s="7"/>
      <c r="BU1797" s="7"/>
      <c r="BV1797" s="7"/>
      <c r="BW1797" s="7"/>
      <c r="BX1797" s="7"/>
      <c r="BY1797" s="7"/>
      <c r="BZ1797" s="7"/>
      <c r="CA1797" s="7"/>
      <c r="CB1797" s="7"/>
      <c r="CC1797" s="7"/>
      <c r="CD1797" s="7"/>
      <c r="CE1797" s="7"/>
      <c r="CF1797" s="7"/>
      <c r="CG1797" s="7"/>
    </row>
    <row r="1798" spans="3:85"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  <c r="AA1798" s="7"/>
      <c r="AB1798" s="7"/>
      <c r="AC1798" s="7"/>
      <c r="AD1798" s="7"/>
      <c r="AF1798" s="7"/>
      <c r="AG1798" s="7"/>
      <c r="AH1798" s="7"/>
      <c r="AI1798" s="7"/>
      <c r="AJ1798" s="7"/>
      <c r="AK1798" s="7"/>
      <c r="AL1798" s="7"/>
      <c r="AM1798" s="7"/>
      <c r="AN1798" s="7"/>
      <c r="AO1798" s="7"/>
      <c r="AP1798" s="7"/>
      <c r="AQ1798" s="7"/>
      <c r="AR1798" s="7"/>
      <c r="AS1798" s="7"/>
      <c r="AT1798" s="7"/>
      <c r="AU1798" s="7"/>
      <c r="AV1798" s="7"/>
      <c r="AW1798" s="7"/>
      <c r="AX1798" s="7"/>
      <c r="AY1798" s="7"/>
      <c r="AZ1798" s="7"/>
      <c r="BA1798" s="7"/>
      <c r="BB1798" s="7"/>
      <c r="BC1798" s="7"/>
      <c r="BD1798" s="7"/>
      <c r="BE1798" s="7"/>
      <c r="BF1798" s="7"/>
      <c r="BG1798" s="7"/>
      <c r="BH1798" s="7"/>
      <c r="BI1798" s="7"/>
      <c r="BJ1798" s="7"/>
      <c r="BK1798" s="7"/>
      <c r="BL1798" s="7"/>
      <c r="BM1798" s="7"/>
      <c r="BN1798" s="7"/>
      <c r="BO1798" s="7"/>
      <c r="BP1798" s="7"/>
      <c r="BQ1798" s="7"/>
      <c r="BR1798" s="7"/>
      <c r="BS1798" s="7"/>
      <c r="BT1798" s="7"/>
      <c r="BU1798" s="7"/>
      <c r="BV1798" s="7"/>
      <c r="BW1798" s="7"/>
      <c r="BX1798" s="7"/>
      <c r="BY1798" s="7"/>
      <c r="BZ1798" s="7"/>
      <c r="CA1798" s="7"/>
      <c r="CB1798" s="7"/>
      <c r="CC1798" s="7"/>
      <c r="CD1798" s="7"/>
      <c r="CE1798" s="7"/>
      <c r="CF1798" s="7"/>
      <c r="CG1798" s="7"/>
    </row>
    <row r="1799" spans="3:85"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  <c r="AA1799" s="7"/>
      <c r="AB1799" s="7"/>
      <c r="AC1799" s="7"/>
      <c r="AD1799" s="7"/>
      <c r="AF1799" s="7"/>
      <c r="AG1799" s="7"/>
      <c r="AH1799" s="7"/>
      <c r="AI1799" s="7"/>
      <c r="AJ1799" s="7"/>
      <c r="AK1799" s="7"/>
      <c r="AL1799" s="7"/>
      <c r="AM1799" s="7"/>
      <c r="AN1799" s="7"/>
      <c r="AO1799" s="7"/>
      <c r="AP1799" s="7"/>
      <c r="AQ1799" s="7"/>
      <c r="AR1799" s="7"/>
      <c r="AS1799" s="7"/>
      <c r="AT1799" s="7"/>
      <c r="AU1799" s="7"/>
      <c r="AV1799" s="7"/>
      <c r="AW1799" s="7"/>
      <c r="AX1799" s="7"/>
      <c r="AY1799" s="7"/>
      <c r="AZ1799" s="7"/>
      <c r="BA1799" s="7"/>
      <c r="BB1799" s="7"/>
      <c r="BC1799" s="7"/>
      <c r="BD1799" s="7"/>
      <c r="BE1799" s="7"/>
      <c r="BF1799" s="7"/>
      <c r="BG1799" s="7"/>
      <c r="BH1799" s="7"/>
      <c r="BI1799" s="7"/>
      <c r="BJ1799" s="7"/>
      <c r="BK1799" s="7"/>
      <c r="BL1799" s="7"/>
      <c r="BM1799" s="7"/>
      <c r="BN1799" s="7"/>
      <c r="BO1799" s="7"/>
      <c r="BP1799" s="7"/>
      <c r="BQ1799" s="7"/>
      <c r="BR1799" s="7"/>
      <c r="BS1799" s="7"/>
      <c r="BT1799" s="7"/>
      <c r="BU1799" s="7"/>
      <c r="BV1799" s="7"/>
      <c r="BW1799" s="7"/>
      <c r="BX1799" s="7"/>
      <c r="BY1799" s="7"/>
      <c r="BZ1799" s="7"/>
      <c r="CA1799" s="7"/>
      <c r="CB1799" s="7"/>
      <c r="CC1799" s="7"/>
      <c r="CD1799" s="7"/>
      <c r="CE1799" s="7"/>
      <c r="CF1799" s="7"/>
      <c r="CG1799" s="7"/>
    </row>
    <row r="1800" spans="3:85"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  <c r="AA1800" s="7"/>
      <c r="AB1800" s="7"/>
      <c r="AC1800" s="7"/>
      <c r="AD1800" s="7"/>
      <c r="AF1800" s="7"/>
      <c r="AG1800" s="7"/>
      <c r="AH1800" s="7"/>
      <c r="AI1800" s="7"/>
      <c r="AJ1800" s="7"/>
      <c r="AK1800" s="7"/>
      <c r="AL1800" s="7"/>
      <c r="AM1800" s="7"/>
      <c r="AN1800" s="7"/>
      <c r="AO1800" s="7"/>
      <c r="AP1800" s="7"/>
      <c r="AQ1800" s="7"/>
      <c r="AR1800" s="7"/>
      <c r="AS1800" s="7"/>
      <c r="AT1800" s="7"/>
      <c r="AU1800" s="7"/>
      <c r="AV1800" s="7"/>
      <c r="AW1800" s="7"/>
      <c r="AX1800" s="7"/>
      <c r="AY1800" s="7"/>
      <c r="AZ1800" s="7"/>
      <c r="BA1800" s="7"/>
      <c r="BB1800" s="7"/>
      <c r="BC1800" s="7"/>
      <c r="BD1800" s="7"/>
      <c r="BE1800" s="7"/>
      <c r="BF1800" s="7"/>
      <c r="BG1800" s="7"/>
      <c r="BH1800" s="7"/>
      <c r="BI1800" s="7"/>
      <c r="BJ1800" s="7"/>
      <c r="BK1800" s="7"/>
      <c r="BL1800" s="7"/>
      <c r="BM1800" s="7"/>
      <c r="BN1800" s="7"/>
      <c r="BO1800" s="7"/>
      <c r="BP1800" s="7"/>
      <c r="BQ1800" s="7"/>
      <c r="BR1800" s="7"/>
      <c r="BS1800" s="7"/>
      <c r="BT1800" s="7"/>
      <c r="BU1800" s="7"/>
      <c r="BV1800" s="7"/>
      <c r="BW1800" s="7"/>
      <c r="BX1800" s="7"/>
      <c r="BY1800" s="7"/>
      <c r="BZ1800" s="7"/>
      <c r="CA1800" s="7"/>
      <c r="CB1800" s="7"/>
      <c r="CC1800" s="7"/>
      <c r="CD1800" s="7"/>
      <c r="CE1800" s="7"/>
      <c r="CF1800" s="7"/>
      <c r="CG1800" s="7"/>
    </row>
    <row r="1801" spans="3:85"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  <c r="AA1801" s="7"/>
      <c r="AB1801" s="7"/>
      <c r="AC1801" s="7"/>
      <c r="AD1801" s="7"/>
      <c r="AF1801" s="7"/>
      <c r="AG1801" s="7"/>
      <c r="AH1801" s="7"/>
      <c r="AI1801" s="7"/>
      <c r="AJ1801" s="7"/>
      <c r="AK1801" s="7"/>
      <c r="AL1801" s="7"/>
      <c r="AM1801" s="7"/>
      <c r="AN1801" s="7"/>
      <c r="AO1801" s="7"/>
      <c r="AP1801" s="7"/>
      <c r="AQ1801" s="7"/>
      <c r="AR1801" s="7"/>
      <c r="AS1801" s="7"/>
      <c r="AT1801" s="7"/>
      <c r="AU1801" s="7"/>
      <c r="AV1801" s="7"/>
      <c r="AW1801" s="7"/>
      <c r="AX1801" s="7"/>
      <c r="AY1801" s="7"/>
      <c r="AZ1801" s="7"/>
      <c r="BA1801" s="7"/>
      <c r="BB1801" s="7"/>
      <c r="BC1801" s="7"/>
      <c r="BD1801" s="7"/>
      <c r="BE1801" s="7"/>
      <c r="BF1801" s="7"/>
      <c r="BG1801" s="7"/>
      <c r="BH1801" s="7"/>
      <c r="BI1801" s="7"/>
      <c r="BJ1801" s="7"/>
      <c r="BK1801" s="7"/>
      <c r="BL1801" s="7"/>
      <c r="BM1801" s="7"/>
      <c r="BN1801" s="7"/>
      <c r="BO1801" s="7"/>
      <c r="BP1801" s="7"/>
      <c r="BQ1801" s="7"/>
      <c r="BR1801" s="7"/>
      <c r="BS1801" s="7"/>
      <c r="BT1801" s="7"/>
      <c r="BU1801" s="7"/>
      <c r="BV1801" s="7"/>
      <c r="BW1801" s="7"/>
      <c r="BX1801" s="7"/>
      <c r="BY1801" s="7"/>
      <c r="BZ1801" s="7"/>
      <c r="CA1801" s="7"/>
      <c r="CB1801" s="7"/>
      <c r="CC1801" s="7"/>
      <c r="CD1801" s="7"/>
      <c r="CE1801" s="7"/>
      <c r="CF1801" s="7"/>
      <c r="CG1801" s="7"/>
    </row>
    <row r="1802" spans="3:85"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  <c r="AA1802" s="7"/>
      <c r="AB1802" s="7"/>
      <c r="AC1802" s="7"/>
      <c r="AD1802" s="7"/>
      <c r="AF1802" s="7"/>
      <c r="AG1802" s="7"/>
      <c r="AH1802" s="7"/>
      <c r="AI1802" s="7"/>
      <c r="AJ1802" s="7"/>
      <c r="AK1802" s="7"/>
      <c r="AL1802" s="7"/>
      <c r="AM1802" s="7"/>
      <c r="AN1802" s="7"/>
      <c r="AO1802" s="7"/>
      <c r="AP1802" s="7"/>
      <c r="AQ1802" s="7"/>
      <c r="AR1802" s="7"/>
      <c r="AS1802" s="7"/>
      <c r="AT1802" s="7"/>
      <c r="AU1802" s="7"/>
      <c r="AV1802" s="7"/>
      <c r="AW1802" s="7"/>
      <c r="AX1802" s="7"/>
      <c r="AY1802" s="7"/>
      <c r="AZ1802" s="7"/>
      <c r="BA1802" s="7"/>
      <c r="BB1802" s="7"/>
      <c r="BC1802" s="7"/>
      <c r="BD1802" s="7"/>
      <c r="BE1802" s="7"/>
      <c r="BF1802" s="7"/>
      <c r="BG1802" s="7"/>
      <c r="BH1802" s="7"/>
      <c r="BI1802" s="7"/>
      <c r="BJ1802" s="7"/>
      <c r="BK1802" s="7"/>
      <c r="BL1802" s="7"/>
      <c r="BM1802" s="7"/>
      <c r="BN1802" s="7"/>
      <c r="BO1802" s="7"/>
      <c r="BP1802" s="7"/>
      <c r="BQ1802" s="7"/>
      <c r="BR1802" s="7"/>
      <c r="BS1802" s="7"/>
      <c r="BT1802" s="7"/>
      <c r="BU1802" s="7"/>
      <c r="BV1802" s="7"/>
      <c r="BW1802" s="7"/>
      <c r="BX1802" s="7"/>
      <c r="BY1802" s="7"/>
      <c r="BZ1802" s="7"/>
      <c r="CA1802" s="7"/>
      <c r="CB1802" s="7"/>
      <c r="CC1802" s="7"/>
      <c r="CD1802" s="7"/>
      <c r="CE1802" s="7"/>
      <c r="CF1802" s="7"/>
      <c r="CG1802" s="7"/>
    </row>
    <row r="1803" spans="3:85"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  <c r="AA1803" s="7"/>
      <c r="AB1803" s="7"/>
      <c r="AC1803" s="7"/>
      <c r="AD1803" s="7"/>
      <c r="AF1803" s="7"/>
      <c r="AG1803" s="7"/>
      <c r="AH1803" s="7"/>
      <c r="AI1803" s="7"/>
      <c r="AJ1803" s="7"/>
      <c r="AK1803" s="7"/>
      <c r="AL1803" s="7"/>
      <c r="AM1803" s="7"/>
      <c r="AN1803" s="7"/>
      <c r="AO1803" s="7"/>
      <c r="AP1803" s="7"/>
      <c r="AQ1803" s="7"/>
      <c r="AR1803" s="7"/>
      <c r="AS1803" s="7"/>
      <c r="AT1803" s="7"/>
      <c r="AU1803" s="7"/>
      <c r="AV1803" s="7"/>
      <c r="AW1803" s="7"/>
      <c r="AX1803" s="7"/>
      <c r="AY1803" s="7"/>
      <c r="AZ1803" s="7"/>
      <c r="BA1803" s="7"/>
      <c r="BB1803" s="7"/>
      <c r="BC1803" s="7"/>
      <c r="BD1803" s="7"/>
      <c r="BE1803" s="7"/>
      <c r="BF1803" s="7"/>
      <c r="BG1803" s="7"/>
      <c r="BH1803" s="7"/>
      <c r="BI1803" s="7"/>
      <c r="BJ1803" s="7"/>
      <c r="BK1803" s="7"/>
      <c r="BL1803" s="7"/>
      <c r="BM1803" s="7"/>
      <c r="BN1803" s="7"/>
      <c r="BO1803" s="7"/>
      <c r="BP1803" s="7"/>
      <c r="BQ1803" s="7"/>
      <c r="BR1803" s="7"/>
      <c r="BS1803" s="7"/>
      <c r="BT1803" s="7"/>
      <c r="BU1803" s="7"/>
      <c r="BV1803" s="7"/>
      <c r="BW1803" s="7"/>
      <c r="BX1803" s="7"/>
      <c r="BY1803" s="7"/>
      <c r="BZ1803" s="7"/>
      <c r="CA1803" s="7"/>
      <c r="CB1803" s="7"/>
      <c r="CC1803" s="7"/>
      <c r="CD1803" s="7"/>
      <c r="CE1803" s="7"/>
      <c r="CF1803" s="7"/>
      <c r="CG1803" s="7"/>
    </row>
    <row r="1804" spans="3:85"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  <c r="AA1804" s="7"/>
      <c r="AB1804" s="7"/>
      <c r="AC1804" s="7"/>
      <c r="AD1804" s="7"/>
      <c r="AF1804" s="7"/>
      <c r="AG1804" s="7"/>
      <c r="AH1804" s="7"/>
      <c r="AI1804" s="7"/>
      <c r="AJ1804" s="7"/>
      <c r="AK1804" s="7"/>
      <c r="AL1804" s="7"/>
      <c r="AM1804" s="7"/>
      <c r="AN1804" s="7"/>
      <c r="AO1804" s="7"/>
      <c r="AP1804" s="7"/>
      <c r="AQ1804" s="7"/>
      <c r="AR1804" s="7"/>
      <c r="AS1804" s="7"/>
      <c r="AT1804" s="7"/>
      <c r="AU1804" s="7"/>
      <c r="AV1804" s="7"/>
      <c r="AW1804" s="7"/>
      <c r="AX1804" s="7"/>
      <c r="AY1804" s="7"/>
      <c r="AZ1804" s="7"/>
      <c r="BA1804" s="7"/>
      <c r="BB1804" s="7"/>
      <c r="BC1804" s="7"/>
      <c r="BD1804" s="7"/>
      <c r="BE1804" s="7"/>
      <c r="BF1804" s="7"/>
      <c r="BG1804" s="7"/>
      <c r="BH1804" s="7"/>
      <c r="BI1804" s="7"/>
      <c r="BJ1804" s="7"/>
      <c r="BK1804" s="7"/>
      <c r="BL1804" s="7"/>
      <c r="BM1804" s="7"/>
      <c r="BN1804" s="7"/>
      <c r="BO1804" s="7"/>
      <c r="BP1804" s="7"/>
      <c r="BQ1804" s="7"/>
      <c r="BR1804" s="7"/>
      <c r="BS1804" s="7"/>
      <c r="BT1804" s="7"/>
      <c r="BU1804" s="7"/>
      <c r="BV1804" s="7"/>
      <c r="BW1804" s="7"/>
      <c r="BX1804" s="7"/>
      <c r="BY1804" s="7"/>
      <c r="BZ1804" s="7"/>
      <c r="CA1804" s="7"/>
      <c r="CB1804" s="7"/>
      <c r="CC1804" s="7"/>
      <c r="CD1804" s="7"/>
      <c r="CE1804" s="7"/>
      <c r="CF1804" s="7"/>
      <c r="CG1804" s="7"/>
    </row>
    <row r="1805" spans="3:85"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  <c r="AA1805" s="7"/>
      <c r="AB1805" s="7"/>
      <c r="AC1805" s="7"/>
      <c r="AD1805" s="7"/>
      <c r="AF1805" s="7"/>
      <c r="AG1805" s="7"/>
      <c r="AH1805" s="7"/>
      <c r="AI1805" s="7"/>
      <c r="AJ1805" s="7"/>
      <c r="AK1805" s="7"/>
      <c r="AL1805" s="7"/>
      <c r="AM1805" s="7"/>
      <c r="AN1805" s="7"/>
      <c r="AO1805" s="7"/>
      <c r="AP1805" s="7"/>
      <c r="AQ1805" s="7"/>
      <c r="AR1805" s="7"/>
      <c r="AS1805" s="7"/>
      <c r="AT1805" s="7"/>
      <c r="AU1805" s="7"/>
      <c r="AV1805" s="7"/>
      <c r="AW1805" s="7"/>
      <c r="AX1805" s="7"/>
      <c r="AY1805" s="7"/>
      <c r="AZ1805" s="7"/>
      <c r="BA1805" s="7"/>
      <c r="BB1805" s="7"/>
      <c r="BC1805" s="7"/>
      <c r="BD1805" s="7"/>
      <c r="BE1805" s="7"/>
      <c r="BF1805" s="7"/>
      <c r="BG1805" s="7"/>
      <c r="BH1805" s="7"/>
      <c r="BI1805" s="7"/>
      <c r="BJ1805" s="7"/>
      <c r="BK1805" s="7"/>
      <c r="BL1805" s="7"/>
      <c r="BM1805" s="7"/>
      <c r="BN1805" s="7"/>
      <c r="BO1805" s="7"/>
      <c r="BP1805" s="7"/>
      <c r="BQ1805" s="7"/>
      <c r="BR1805" s="7"/>
      <c r="BS1805" s="7"/>
      <c r="BT1805" s="7"/>
      <c r="BU1805" s="7"/>
      <c r="BV1805" s="7"/>
      <c r="BW1805" s="7"/>
      <c r="BX1805" s="7"/>
      <c r="BY1805" s="7"/>
      <c r="BZ1805" s="7"/>
      <c r="CA1805" s="7"/>
      <c r="CB1805" s="7"/>
      <c r="CC1805" s="7"/>
      <c r="CD1805" s="7"/>
      <c r="CE1805" s="7"/>
      <c r="CF1805" s="7"/>
      <c r="CG1805" s="7"/>
    </row>
    <row r="1806" spans="3:85"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  <c r="AA1806" s="7"/>
      <c r="AB1806" s="7"/>
      <c r="AC1806" s="7"/>
      <c r="AD1806" s="7"/>
      <c r="AF1806" s="7"/>
      <c r="AG1806" s="7"/>
      <c r="AH1806" s="7"/>
      <c r="AI1806" s="7"/>
      <c r="AJ1806" s="7"/>
      <c r="AK1806" s="7"/>
      <c r="AL1806" s="7"/>
      <c r="AM1806" s="7"/>
      <c r="AN1806" s="7"/>
      <c r="AO1806" s="7"/>
      <c r="AP1806" s="7"/>
      <c r="AQ1806" s="7"/>
      <c r="AR1806" s="7"/>
      <c r="AS1806" s="7"/>
      <c r="AT1806" s="7"/>
      <c r="AU1806" s="7"/>
      <c r="AV1806" s="7"/>
      <c r="AW1806" s="7"/>
      <c r="AX1806" s="7"/>
      <c r="AY1806" s="7"/>
      <c r="AZ1806" s="7"/>
      <c r="BA1806" s="7"/>
      <c r="BB1806" s="7"/>
      <c r="BC1806" s="7"/>
      <c r="BD1806" s="7"/>
      <c r="BE1806" s="7"/>
      <c r="BF1806" s="7"/>
      <c r="BG1806" s="7"/>
      <c r="BH1806" s="7"/>
      <c r="BI1806" s="7"/>
      <c r="BJ1806" s="7"/>
      <c r="BK1806" s="7"/>
      <c r="BL1806" s="7"/>
      <c r="BM1806" s="7"/>
      <c r="BN1806" s="7"/>
      <c r="BO1806" s="7"/>
      <c r="BP1806" s="7"/>
      <c r="BQ1806" s="7"/>
      <c r="BR1806" s="7"/>
      <c r="BS1806" s="7"/>
      <c r="BT1806" s="7"/>
      <c r="BU1806" s="7"/>
      <c r="BV1806" s="7"/>
      <c r="BW1806" s="7"/>
      <c r="BX1806" s="7"/>
      <c r="BY1806" s="7"/>
      <c r="BZ1806" s="7"/>
      <c r="CA1806" s="7"/>
      <c r="CB1806" s="7"/>
      <c r="CC1806" s="7"/>
      <c r="CD1806" s="7"/>
      <c r="CE1806" s="7"/>
      <c r="CF1806" s="7"/>
      <c r="CG1806" s="7"/>
    </row>
    <row r="1807" spans="3:85"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  <c r="AA1807" s="7"/>
      <c r="AB1807" s="7"/>
      <c r="AC1807" s="7"/>
      <c r="AD1807" s="7"/>
      <c r="AF1807" s="7"/>
      <c r="AG1807" s="7"/>
      <c r="AH1807" s="7"/>
      <c r="AI1807" s="7"/>
      <c r="AJ1807" s="7"/>
      <c r="AK1807" s="7"/>
      <c r="AL1807" s="7"/>
      <c r="AM1807" s="7"/>
      <c r="AN1807" s="7"/>
      <c r="AO1807" s="7"/>
      <c r="AP1807" s="7"/>
      <c r="AQ1807" s="7"/>
      <c r="AR1807" s="7"/>
      <c r="AS1807" s="7"/>
      <c r="AT1807" s="7"/>
      <c r="AU1807" s="7"/>
      <c r="AV1807" s="7"/>
      <c r="AW1807" s="7"/>
      <c r="AX1807" s="7"/>
      <c r="AY1807" s="7"/>
      <c r="AZ1807" s="7"/>
      <c r="BA1807" s="7"/>
      <c r="BB1807" s="7"/>
      <c r="BC1807" s="7"/>
      <c r="BD1807" s="7"/>
      <c r="BE1807" s="7"/>
      <c r="BF1807" s="7"/>
      <c r="BG1807" s="7"/>
      <c r="BH1807" s="7"/>
      <c r="BI1807" s="7"/>
      <c r="BJ1807" s="7"/>
      <c r="BK1807" s="7"/>
      <c r="BL1807" s="7"/>
      <c r="BM1807" s="7"/>
      <c r="BN1807" s="7"/>
      <c r="BO1807" s="7"/>
      <c r="BP1807" s="7"/>
      <c r="BQ1807" s="7"/>
      <c r="BR1807" s="7"/>
      <c r="BS1807" s="7"/>
      <c r="BT1807" s="7"/>
      <c r="BU1807" s="7"/>
      <c r="BV1807" s="7"/>
      <c r="BW1807" s="7"/>
      <c r="BX1807" s="7"/>
      <c r="BY1807" s="7"/>
      <c r="BZ1807" s="7"/>
      <c r="CA1807" s="7"/>
      <c r="CB1807" s="7"/>
      <c r="CC1807" s="7"/>
      <c r="CD1807" s="7"/>
      <c r="CE1807" s="7"/>
      <c r="CF1807" s="7"/>
      <c r="CG1807" s="7"/>
    </row>
    <row r="1808" spans="3:85"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  <c r="AA1808" s="7"/>
      <c r="AB1808" s="7"/>
      <c r="AC1808" s="7"/>
      <c r="AD1808" s="7"/>
      <c r="AF1808" s="7"/>
      <c r="AG1808" s="7"/>
      <c r="AH1808" s="7"/>
      <c r="AI1808" s="7"/>
      <c r="AJ1808" s="7"/>
      <c r="AK1808" s="7"/>
      <c r="AL1808" s="7"/>
      <c r="AM1808" s="7"/>
      <c r="AN1808" s="7"/>
      <c r="AO1808" s="7"/>
      <c r="AP1808" s="7"/>
      <c r="AQ1808" s="7"/>
      <c r="AR1808" s="7"/>
      <c r="AS1808" s="7"/>
      <c r="AT1808" s="7"/>
      <c r="AU1808" s="7"/>
      <c r="AV1808" s="7"/>
      <c r="AW1808" s="7"/>
      <c r="AX1808" s="7"/>
      <c r="AY1808" s="7"/>
      <c r="AZ1808" s="7"/>
      <c r="BA1808" s="7"/>
      <c r="BB1808" s="7"/>
      <c r="BC1808" s="7"/>
      <c r="BD1808" s="7"/>
      <c r="BE1808" s="7"/>
      <c r="BF1808" s="7"/>
      <c r="BG1808" s="7"/>
      <c r="BH1808" s="7"/>
      <c r="BI1808" s="7"/>
      <c r="BJ1808" s="7"/>
      <c r="BK1808" s="7"/>
      <c r="BL1808" s="7"/>
      <c r="BM1808" s="7"/>
      <c r="BN1808" s="7"/>
      <c r="BO1808" s="7"/>
      <c r="BP1808" s="7"/>
      <c r="BQ1808" s="7"/>
      <c r="BR1808" s="7"/>
      <c r="BS1808" s="7"/>
      <c r="BT1808" s="7"/>
      <c r="BU1808" s="7"/>
      <c r="BV1808" s="7"/>
      <c r="BW1808" s="7"/>
      <c r="BX1808" s="7"/>
      <c r="BY1808" s="7"/>
      <c r="BZ1808" s="7"/>
      <c r="CA1808" s="7"/>
      <c r="CB1808" s="7"/>
      <c r="CC1808" s="7"/>
      <c r="CD1808" s="7"/>
      <c r="CE1808" s="7"/>
      <c r="CF1808" s="7"/>
      <c r="CG1808" s="7"/>
    </row>
    <row r="1809" spans="3:85"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  <c r="AA1809" s="7"/>
      <c r="AB1809" s="7"/>
      <c r="AC1809" s="7"/>
      <c r="AD1809" s="7"/>
      <c r="AF1809" s="7"/>
      <c r="AG1809" s="7"/>
      <c r="AH1809" s="7"/>
      <c r="AI1809" s="7"/>
      <c r="AJ1809" s="7"/>
      <c r="AK1809" s="7"/>
      <c r="AL1809" s="7"/>
      <c r="AM1809" s="7"/>
      <c r="AN1809" s="7"/>
      <c r="AO1809" s="7"/>
      <c r="AP1809" s="7"/>
      <c r="AQ1809" s="7"/>
      <c r="AR1809" s="7"/>
      <c r="AS1809" s="7"/>
      <c r="AT1809" s="7"/>
      <c r="AU1809" s="7"/>
      <c r="AV1809" s="7"/>
      <c r="AW1809" s="7"/>
      <c r="AX1809" s="7"/>
      <c r="AY1809" s="7"/>
      <c r="AZ1809" s="7"/>
      <c r="BA1809" s="7"/>
      <c r="BB1809" s="7"/>
      <c r="BC1809" s="7"/>
      <c r="BD1809" s="7"/>
      <c r="BE1809" s="7"/>
      <c r="BF1809" s="7"/>
      <c r="BG1809" s="7"/>
      <c r="BH1809" s="7"/>
      <c r="BI1809" s="7"/>
      <c r="BJ1809" s="7"/>
      <c r="BK1809" s="7"/>
      <c r="BL1809" s="7"/>
      <c r="BM1809" s="7"/>
      <c r="BN1809" s="7"/>
      <c r="BO1809" s="7"/>
      <c r="BP1809" s="7"/>
      <c r="BQ1809" s="7"/>
      <c r="BR1809" s="7"/>
      <c r="BS1809" s="7"/>
      <c r="BT1809" s="7"/>
      <c r="BU1809" s="7"/>
      <c r="BV1809" s="7"/>
      <c r="BW1809" s="7"/>
      <c r="BX1809" s="7"/>
      <c r="BY1809" s="7"/>
      <c r="BZ1809" s="7"/>
      <c r="CA1809" s="7"/>
      <c r="CB1809" s="7"/>
      <c r="CC1809" s="7"/>
      <c r="CD1809" s="7"/>
      <c r="CE1809" s="7"/>
      <c r="CF1809" s="7"/>
      <c r="CG1809" s="7"/>
    </row>
    <row r="1810" spans="3:85"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  <c r="AA1810" s="7"/>
      <c r="AB1810" s="7"/>
      <c r="AC1810" s="7"/>
      <c r="AD1810" s="7"/>
      <c r="AF1810" s="7"/>
      <c r="AG1810" s="7"/>
      <c r="AH1810" s="7"/>
      <c r="AI1810" s="7"/>
      <c r="AJ1810" s="7"/>
      <c r="AK1810" s="7"/>
      <c r="AL1810" s="7"/>
      <c r="AM1810" s="7"/>
      <c r="AN1810" s="7"/>
      <c r="AO1810" s="7"/>
      <c r="AP1810" s="7"/>
      <c r="AQ1810" s="7"/>
      <c r="AR1810" s="7"/>
      <c r="AS1810" s="7"/>
      <c r="AT1810" s="7"/>
      <c r="AU1810" s="7"/>
      <c r="AV1810" s="7"/>
      <c r="AW1810" s="7"/>
      <c r="AX1810" s="7"/>
      <c r="AY1810" s="7"/>
      <c r="AZ1810" s="7"/>
      <c r="BA1810" s="7"/>
      <c r="BB1810" s="7"/>
      <c r="BC1810" s="7"/>
      <c r="BD1810" s="7"/>
      <c r="BE1810" s="7"/>
      <c r="BF1810" s="7"/>
      <c r="BG1810" s="7"/>
      <c r="BH1810" s="7"/>
      <c r="BI1810" s="7"/>
      <c r="BJ1810" s="7"/>
      <c r="BK1810" s="7"/>
      <c r="BL1810" s="7"/>
      <c r="BM1810" s="7"/>
      <c r="BN1810" s="7"/>
      <c r="BO1810" s="7"/>
      <c r="BP1810" s="7"/>
      <c r="BQ1810" s="7"/>
      <c r="BR1810" s="7"/>
      <c r="BS1810" s="7"/>
      <c r="BT1810" s="7"/>
      <c r="BU1810" s="7"/>
      <c r="BV1810" s="7"/>
      <c r="BW1810" s="7"/>
      <c r="BX1810" s="7"/>
      <c r="BY1810" s="7"/>
      <c r="BZ1810" s="7"/>
      <c r="CA1810" s="7"/>
      <c r="CB1810" s="7"/>
      <c r="CC1810" s="7"/>
      <c r="CD1810" s="7"/>
      <c r="CE1810" s="7"/>
      <c r="CF1810" s="7"/>
      <c r="CG1810" s="7"/>
    </row>
  </sheetData>
  <protectedRanges>
    <protectedRange sqref="AN2 AD1 AJ2:AL2 AH2 AF2 AA2:AC2 Y2 AQ2:CG2 AR1:CD1" name="範圍1"/>
  </protectedRanges>
  <autoFilter ref="A1:ANK1"/>
  <phoneticPr fontId="2" type="noConversion"/>
  <conditionalFormatting sqref="AQ3:CD1048576 AQ1:CD1">
    <cfRule type="cellIs" dxfId="12" priority="1" operator="equal">
      <formula>"NS"</formula>
    </cfRule>
    <cfRule type="cellIs" dxfId="11" priority="2" operator="equal">
      <formula>"NA"</formula>
    </cfRule>
    <cfRule type="cellIs" dxfId="10" priority="3" operator="equal">
      <formula>"X"</formula>
    </cfRule>
    <cfRule type="cellIs" dxfId="9" priority="4" operator="equal">
      <formula>"V"</formula>
    </cfRule>
  </conditionalFormatting>
  <conditionalFormatting sqref="AQ2:CD2">
    <cfRule type="cellIs" dxfId="8" priority="1008" operator="equal">
      <formula>"NA"</formula>
    </cfRule>
    <cfRule type="cellIs" dxfId="7" priority="1009" operator="equal">
      <formula>"NS"</formula>
    </cfRule>
    <cfRule type="cellIs" dxfId="6" priority="1010" operator="equal">
      <formula>"S"</formula>
    </cfRule>
    <cfRule type="cellIs" dxfId="5" priority="1011" operator="equal">
      <formula>"A"</formula>
    </cfRule>
    <cfRule type="cellIs" dxfId="4" priority="1012" operator="equal">
      <formula>"X"</formula>
    </cfRule>
    <cfRule type="cellIs" dxfId="3" priority="1013" operator="equal">
      <formula>"L"</formula>
    </cfRule>
    <cfRule type="cellIs" dxfId="2" priority="1014" operator="equal">
      <formula>"V"</formula>
    </cfRule>
  </conditionalFormatting>
  <conditionalFormatting sqref="P2:V2">
    <cfRule type="cellIs" dxfId="1" priority="945" operator="equal">
      <formula>"X"</formula>
    </cfRule>
    <cfRule type="cellIs" dxfId="0" priority="946" operator="equal">
      <formula>"V"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Raw</vt:lpstr>
      <vt:lpstr>Main page</vt:lpstr>
      <vt:lpstr>Category</vt:lpstr>
      <vt:lpstr>Cal1</vt:lpstr>
      <vt:lpstr>Backup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2022-06-28T00:47:35Z</dcterms:modified>
</cp:coreProperties>
</file>