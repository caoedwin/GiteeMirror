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0560" windowHeight="6972"/>
  </bookViews>
  <sheets>
    <sheet name="Raw" sheetId="2" r:id="rId1"/>
    <sheet name="Main page" sheetId="3" r:id="rId2"/>
    <sheet name="Cal1" sheetId="4" r:id="rId3"/>
    <sheet name="Backup" sheetId="1" r:id="rId4"/>
  </sheets>
  <externalReferences>
    <externalReference r:id="rId5"/>
  </externalReferences>
  <definedNames>
    <definedName name="_xlnm._FilterDatabase" localSheetId="3" hidden="1">Backup!$A$1:$AMJ$2</definedName>
  </definedNames>
  <calcPr calcId="145621"/>
</workbook>
</file>

<file path=xl/calcChain.xml><?xml version="1.0" encoding="utf-8"?>
<calcChain xmlns="http://schemas.openxmlformats.org/spreadsheetml/2006/main">
  <c r="AJ950" i="2" l="1"/>
  <c r="AH950" i="2"/>
  <c r="AG950" i="2"/>
  <c r="AF950" i="2"/>
  <c r="AE950" i="2"/>
  <c r="AD950" i="2"/>
  <c r="AC950" i="2"/>
  <c r="AB950" i="2"/>
  <c r="AK950" i="2" s="1"/>
  <c r="AA950" i="2"/>
  <c r="X950" i="2"/>
  <c r="J950" i="2"/>
  <c r="AJ949" i="2"/>
  <c r="AH949" i="2"/>
  <c r="AG949" i="2"/>
  <c r="AF949" i="2"/>
  <c r="AE949" i="2"/>
  <c r="AD949" i="2"/>
  <c r="AC949" i="2"/>
  <c r="AB949" i="2"/>
  <c r="AK949" i="2" s="1"/>
  <c r="AA949" i="2"/>
  <c r="X949" i="2"/>
  <c r="J949" i="2"/>
  <c r="AJ948" i="2"/>
  <c r="AH948" i="2"/>
  <c r="AG948" i="2"/>
  <c r="AF948" i="2"/>
  <c r="AE948" i="2"/>
  <c r="AD948" i="2"/>
  <c r="AC948" i="2"/>
  <c r="AB948" i="2"/>
  <c r="AK948" i="2" s="1"/>
  <c r="AA948" i="2"/>
  <c r="X948" i="2"/>
  <c r="J948" i="2"/>
  <c r="AJ947" i="2"/>
  <c r="AH947" i="2"/>
  <c r="AG947" i="2"/>
  <c r="AF947" i="2"/>
  <c r="AE947" i="2"/>
  <c r="AD947" i="2"/>
  <c r="AC947" i="2"/>
  <c r="AB947" i="2"/>
  <c r="AK947" i="2" s="1"/>
  <c r="AA947" i="2"/>
  <c r="X947" i="2"/>
  <c r="J947" i="2"/>
  <c r="AJ946" i="2"/>
  <c r="AH946" i="2"/>
  <c r="AG946" i="2"/>
  <c r="AF946" i="2"/>
  <c r="AE946" i="2"/>
  <c r="AD946" i="2"/>
  <c r="AC946" i="2"/>
  <c r="AB946" i="2"/>
  <c r="AK946" i="2" s="1"/>
  <c r="AA946" i="2"/>
  <c r="X946" i="2"/>
  <c r="J946" i="2"/>
  <c r="AJ945" i="2"/>
  <c r="AH945" i="2"/>
  <c r="AG945" i="2"/>
  <c r="AF945" i="2"/>
  <c r="AE945" i="2"/>
  <c r="AD945" i="2"/>
  <c r="AC945" i="2"/>
  <c r="AB945" i="2"/>
  <c r="AK945" i="2" s="1"/>
  <c r="AA945" i="2"/>
  <c r="X945" i="2"/>
  <c r="J945" i="2"/>
  <c r="AJ944" i="2"/>
  <c r="AH944" i="2"/>
  <c r="AG944" i="2"/>
  <c r="AF944" i="2"/>
  <c r="AE944" i="2"/>
  <c r="AD944" i="2"/>
  <c r="AC944" i="2"/>
  <c r="AB944" i="2"/>
  <c r="AK944" i="2" s="1"/>
  <c r="AA944" i="2"/>
  <c r="X944" i="2"/>
  <c r="J944" i="2"/>
  <c r="AJ943" i="2"/>
  <c r="AH943" i="2"/>
  <c r="AG943" i="2"/>
  <c r="AF943" i="2"/>
  <c r="AE943" i="2"/>
  <c r="AD943" i="2"/>
  <c r="AC943" i="2"/>
  <c r="AB943" i="2"/>
  <c r="AK943" i="2" s="1"/>
  <c r="AA943" i="2"/>
  <c r="X943" i="2"/>
  <c r="J943" i="2"/>
  <c r="AJ942" i="2"/>
  <c r="AH942" i="2"/>
  <c r="AG942" i="2"/>
  <c r="AF942" i="2"/>
  <c r="AE942" i="2"/>
  <c r="AD942" i="2"/>
  <c r="AC942" i="2"/>
  <c r="AB942" i="2"/>
  <c r="AK942" i="2" s="1"/>
  <c r="AA942" i="2"/>
  <c r="X942" i="2"/>
  <c r="J942" i="2"/>
  <c r="AJ941" i="2"/>
  <c r="N940" i="2" s="1"/>
  <c r="N939" i="2" s="1"/>
  <c r="AH941" i="2"/>
  <c r="AG941" i="2"/>
  <c r="AF941" i="2"/>
  <c r="AF940" i="2" s="1"/>
  <c r="AF939" i="2" s="1"/>
  <c r="AE941" i="2"/>
  <c r="AD941" i="2"/>
  <c r="AC941" i="2"/>
  <c r="AB941" i="2"/>
  <c r="AK941" i="2" s="1"/>
  <c r="AK940" i="2" s="1"/>
  <c r="AK939" i="2" s="1"/>
  <c r="AA941" i="2"/>
  <c r="X941" i="2"/>
  <c r="X940" i="2" s="1"/>
  <c r="X939" i="2" s="1"/>
  <c r="J941" i="2"/>
  <c r="AX940" i="2"/>
  <c r="AH940" i="2"/>
  <c r="AH939" i="2" s="1"/>
  <c r="AD940" i="2"/>
  <c r="AX939" i="2"/>
  <c r="AD939" i="2"/>
  <c r="AJ938" i="2"/>
  <c r="AH938" i="2"/>
  <c r="AG938" i="2"/>
  <c r="AF938" i="2"/>
  <c r="AE938" i="2"/>
  <c r="AD938" i="2"/>
  <c r="AC938" i="2"/>
  <c r="AB938" i="2"/>
  <c r="AK938" i="2" s="1"/>
  <c r="AA938" i="2"/>
  <c r="X938" i="2"/>
  <c r="J938" i="2"/>
  <c r="AJ937" i="2"/>
  <c r="AH937" i="2"/>
  <c r="AG937" i="2"/>
  <c r="AF937" i="2"/>
  <c r="AE937" i="2"/>
  <c r="AD937" i="2"/>
  <c r="AC937" i="2"/>
  <c r="AB937" i="2"/>
  <c r="AK937" i="2" s="1"/>
  <c r="AA937" i="2"/>
  <c r="X937" i="2"/>
  <c r="J937" i="2"/>
  <c r="AJ936" i="2"/>
  <c r="AH936" i="2"/>
  <c r="AG936" i="2"/>
  <c r="AF936" i="2"/>
  <c r="AE936" i="2"/>
  <c r="AD936" i="2"/>
  <c r="AC936" i="2"/>
  <c r="AB936" i="2"/>
  <c r="AK936" i="2" s="1"/>
  <c r="AA936" i="2"/>
  <c r="X936" i="2"/>
  <c r="J936" i="2"/>
  <c r="AJ935" i="2"/>
  <c r="AH935" i="2"/>
  <c r="AG935" i="2"/>
  <c r="AF935" i="2"/>
  <c r="AE935" i="2"/>
  <c r="AD935" i="2"/>
  <c r="AC935" i="2"/>
  <c r="AB935" i="2"/>
  <c r="AK935" i="2" s="1"/>
  <c r="AA935" i="2"/>
  <c r="X935" i="2"/>
  <c r="J935" i="2"/>
  <c r="AJ934" i="2"/>
  <c r="AH934" i="2"/>
  <c r="AG934" i="2"/>
  <c r="AF934" i="2"/>
  <c r="AE934" i="2"/>
  <c r="AD934" i="2"/>
  <c r="AC934" i="2"/>
  <c r="AB934" i="2"/>
  <c r="AK934" i="2" s="1"/>
  <c r="AA934" i="2"/>
  <c r="X934" i="2"/>
  <c r="J934" i="2"/>
  <c r="AJ933" i="2"/>
  <c r="AH933" i="2"/>
  <c r="AG933" i="2"/>
  <c r="AF933" i="2"/>
  <c r="AE933" i="2"/>
  <c r="AD933" i="2"/>
  <c r="AC933" i="2"/>
  <c r="AB933" i="2"/>
  <c r="AK933" i="2" s="1"/>
  <c r="AA933" i="2"/>
  <c r="X933" i="2"/>
  <c r="J933" i="2"/>
  <c r="AJ932" i="2"/>
  <c r="AH932" i="2"/>
  <c r="AG932" i="2"/>
  <c r="AF932" i="2"/>
  <c r="AE932" i="2"/>
  <c r="AD932" i="2"/>
  <c r="AC932" i="2"/>
  <c r="AB932" i="2"/>
  <c r="AK932" i="2" s="1"/>
  <c r="AA932" i="2"/>
  <c r="X932" i="2"/>
  <c r="J932" i="2"/>
  <c r="AJ931" i="2"/>
  <c r="AH931" i="2"/>
  <c r="AG931" i="2"/>
  <c r="AF931" i="2"/>
  <c r="AE931" i="2"/>
  <c r="AD931" i="2"/>
  <c r="AC931" i="2"/>
  <c r="AB931" i="2"/>
  <c r="AK931" i="2" s="1"/>
  <c r="AA931" i="2"/>
  <c r="X931" i="2"/>
  <c r="J931" i="2"/>
  <c r="AJ930" i="2"/>
  <c r="AH930" i="2"/>
  <c r="AG930" i="2"/>
  <c r="AF930" i="2"/>
  <c r="AE930" i="2"/>
  <c r="AD930" i="2"/>
  <c r="AC930" i="2"/>
  <c r="AB930" i="2"/>
  <c r="AK930" i="2" s="1"/>
  <c r="AA930" i="2"/>
  <c r="X930" i="2"/>
  <c r="J930" i="2"/>
  <c r="AJ929" i="2"/>
  <c r="AH929" i="2"/>
  <c r="AG929" i="2"/>
  <c r="AF929" i="2"/>
  <c r="AE929" i="2"/>
  <c r="AD929" i="2"/>
  <c r="AC929" i="2"/>
  <c r="AB929" i="2"/>
  <c r="AK929" i="2" s="1"/>
  <c r="AA929" i="2"/>
  <c r="X929" i="2"/>
  <c r="J929" i="2"/>
  <c r="AJ928" i="2"/>
  <c r="AH928" i="2"/>
  <c r="AG928" i="2"/>
  <c r="AF928" i="2"/>
  <c r="AE928" i="2"/>
  <c r="AD928" i="2"/>
  <c r="AD927" i="2" s="1"/>
  <c r="AD926" i="2" s="1"/>
  <c r="AC928" i="2"/>
  <c r="AB928" i="2"/>
  <c r="AK928" i="2" s="1"/>
  <c r="AK927" i="2" s="1"/>
  <c r="AK926" i="2" s="1"/>
  <c r="AA928" i="2"/>
  <c r="X928" i="2"/>
  <c r="J928" i="2"/>
  <c r="AX927" i="2"/>
  <c r="AH927" i="2"/>
  <c r="AH926" i="2" s="1"/>
  <c r="AF927" i="2"/>
  <c r="AF926" i="2" s="1"/>
  <c r="X927" i="2"/>
  <c r="X926" i="2" s="1"/>
  <c r="O927" i="2"/>
  <c r="N927" i="2"/>
  <c r="N926" i="2" s="1"/>
  <c r="M927" i="2"/>
  <c r="L927" i="2"/>
  <c r="K927" i="2"/>
  <c r="J927" i="2" s="1"/>
  <c r="AX926" i="2"/>
  <c r="O926" i="2"/>
  <c r="M926" i="2"/>
  <c r="L926" i="2"/>
  <c r="AJ925" i="2"/>
  <c r="AH925" i="2"/>
  <c r="AG925" i="2"/>
  <c r="AF925" i="2"/>
  <c r="AE925" i="2"/>
  <c r="AD925" i="2"/>
  <c r="AK925" i="2" s="1"/>
  <c r="AC925" i="2"/>
  <c r="AB925" i="2"/>
  <c r="AA925" i="2"/>
  <c r="X925" i="2"/>
  <c r="J925" i="2"/>
  <c r="AJ924" i="2"/>
  <c r="AH924" i="2"/>
  <c r="AG924" i="2"/>
  <c r="AF924" i="2"/>
  <c r="AE924" i="2"/>
  <c r="AD924" i="2"/>
  <c r="AK924" i="2" s="1"/>
  <c r="AC924" i="2"/>
  <c r="AB924" i="2"/>
  <c r="AA924" i="2"/>
  <c r="X924" i="2"/>
  <c r="J924" i="2"/>
  <c r="AJ923" i="2"/>
  <c r="AH923" i="2"/>
  <c r="AG923" i="2"/>
  <c r="AF923" i="2"/>
  <c r="AE923" i="2"/>
  <c r="AD923" i="2"/>
  <c r="AK923" i="2" s="1"/>
  <c r="AC923" i="2"/>
  <c r="AB923" i="2"/>
  <c r="AA923" i="2"/>
  <c r="X923" i="2"/>
  <c r="J923" i="2"/>
  <c r="AJ922" i="2"/>
  <c r="AH922" i="2"/>
  <c r="AG922" i="2"/>
  <c r="AF922" i="2"/>
  <c r="AE922" i="2"/>
  <c r="AD922" i="2"/>
  <c r="AK922" i="2" s="1"/>
  <c r="AC922" i="2"/>
  <c r="AB922" i="2"/>
  <c r="AA922" i="2"/>
  <c r="X922" i="2"/>
  <c r="J922" i="2"/>
  <c r="AJ921" i="2"/>
  <c r="AH921" i="2"/>
  <c r="AG921" i="2"/>
  <c r="AF921" i="2"/>
  <c r="AE921" i="2"/>
  <c r="AD921" i="2"/>
  <c r="AC921" i="2"/>
  <c r="AB921" i="2"/>
  <c r="AA921" i="2"/>
  <c r="X921" i="2"/>
  <c r="J921" i="2"/>
  <c r="AJ920" i="2"/>
  <c r="AH920" i="2"/>
  <c r="AG920" i="2"/>
  <c r="AF920" i="2"/>
  <c r="AE920" i="2"/>
  <c r="AD920" i="2"/>
  <c r="AK920" i="2" s="1"/>
  <c r="AC920" i="2"/>
  <c r="AB920" i="2"/>
  <c r="AA920" i="2"/>
  <c r="X920" i="2"/>
  <c r="J920" i="2"/>
  <c r="AJ919" i="2"/>
  <c r="AH919" i="2"/>
  <c r="AG919" i="2"/>
  <c r="AF919" i="2"/>
  <c r="AE919" i="2"/>
  <c r="AD919" i="2"/>
  <c r="AK919" i="2" s="1"/>
  <c r="AC919" i="2"/>
  <c r="AB919" i="2"/>
  <c r="AA919" i="2"/>
  <c r="X919" i="2"/>
  <c r="J919" i="2"/>
  <c r="AJ918" i="2"/>
  <c r="AH918" i="2"/>
  <c r="AG918" i="2"/>
  <c r="AF918" i="2"/>
  <c r="AE918" i="2"/>
  <c r="AD918" i="2"/>
  <c r="AC918" i="2"/>
  <c r="AB918" i="2"/>
  <c r="AA918" i="2"/>
  <c r="X918" i="2"/>
  <c r="J918" i="2"/>
  <c r="AJ917" i="2"/>
  <c r="AH917" i="2"/>
  <c r="AG917" i="2"/>
  <c r="AF917" i="2"/>
  <c r="AE917" i="2"/>
  <c r="AD917" i="2"/>
  <c r="AC917" i="2"/>
  <c r="AB917" i="2"/>
  <c r="AA917" i="2"/>
  <c r="X917" i="2"/>
  <c r="J917" i="2"/>
  <c r="AJ916" i="2"/>
  <c r="AH916" i="2"/>
  <c r="AG916" i="2"/>
  <c r="AF916" i="2"/>
  <c r="AE916" i="2"/>
  <c r="AD916" i="2"/>
  <c r="AC916" i="2"/>
  <c r="AB916" i="2"/>
  <c r="AA916" i="2"/>
  <c r="X916" i="2"/>
  <c r="J916" i="2"/>
  <c r="AJ915" i="2"/>
  <c r="AH915" i="2"/>
  <c r="AG915" i="2"/>
  <c r="AF915" i="2"/>
  <c r="AE915" i="2"/>
  <c r="AD915" i="2"/>
  <c r="AK915" i="2" s="1"/>
  <c r="AC915" i="2"/>
  <c r="AB915" i="2"/>
  <c r="AA915" i="2"/>
  <c r="X915" i="2"/>
  <c r="J915" i="2"/>
  <c r="AJ914" i="2"/>
  <c r="AH914" i="2"/>
  <c r="AG914" i="2"/>
  <c r="AF914" i="2"/>
  <c r="AE914" i="2"/>
  <c r="AD914" i="2"/>
  <c r="AK914" i="2" s="1"/>
  <c r="AC914" i="2"/>
  <c r="AB914" i="2"/>
  <c r="AA914" i="2"/>
  <c r="X914" i="2"/>
  <c r="J914" i="2"/>
  <c r="AJ913" i="2"/>
  <c r="AH913" i="2"/>
  <c r="AG913" i="2"/>
  <c r="AF913" i="2"/>
  <c r="AE913" i="2"/>
  <c r="AD913" i="2"/>
  <c r="AK913" i="2" s="1"/>
  <c r="AC913" i="2"/>
  <c r="AB913" i="2"/>
  <c r="AA913" i="2"/>
  <c r="X913" i="2"/>
  <c r="J913" i="2"/>
  <c r="AJ912" i="2"/>
  <c r="AH912" i="2"/>
  <c r="AG912" i="2"/>
  <c r="AF912" i="2"/>
  <c r="AE912" i="2"/>
  <c r="AD912" i="2"/>
  <c r="AK912" i="2" s="1"/>
  <c r="AC912" i="2"/>
  <c r="AB912" i="2"/>
  <c r="AA912" i="2"/>
  <c r="X912" i="2"/>
  <c r="J912" i="2"/>
  <c r="AJ911" i="2"/>
  <c r="AH911" i="2"/>
  <c r="AG911" i="2"/>
  <c r="AF911" i="2"/>
  <c r="AE911" i="2"/>
  <c r="AD911" i="2"/>
  <c r="AC911" i="2"/>
  <c r="AB911" i="2"/>
  <c r="AA911" i="2"/>
  <c r="X911" i="2"/>
  <c r="J911" i="2"/>
  <c r="AJ910" i="2"/>
  <c r="AH910" i="2"/>
  <c r="AG910" i="2"/>
  <c r="AF910" i="2"/>
  <c r="AE910" i="2"/>
  <c r="AD910" i="2"/>
  <c r="AC910" i="2"/>
  <c r="AB910" i="2"/>
  <c r="AA910" i="2"/>
  <c r="X910" i="2"/>
  <c r="J910" i="2"/>
  <c r="AJ909" i="2"/>
  <c r="AH909" i="2"/>
  <c r="AG909" i="2"/>
  <c r="AF909" i="2"/>
  <c r="AE909" i="2"/>
  <c r="AD909" i="2"/>
  <c r="AK909" i="2" s="1"/>
  <c r="AC909" i="2"/>
  <c r="AB909" i="2"/>
  <c r="AA909" i="2"/>
  <c r="X909" i="2"/>
  <c r="J909" i="2"/>
  <c r="AJ908" i="2"/>
  <c r="AH908" i="2"/>
  <c r="AG908" i="2"/>
  <c r="AF908" i="2"/>
  <c r="AE908" i="2"/>
  <c r="AD908" i="2"/>
  <c r="AK908" i="2" s="1"/>
  <c r="AC908" i="2"/>
  <c r="AB908" i="2"/>
  <c r="AA908" i="2"/>
  <c r="X908" i="2"/>
  <c r="J908" i="2"/>
  <c r="AJ907" i="2"/>
  <c r="AH907" i="2"/>
  <c r="AG907" i="2"/>
  <c r="AF907" i="2"/>
  <c r="AE907" i="2"/>
  <c r="AD907" i="2"/>
  <c r="AK907" i="2" s="1"/>
  <c r="AC907" i="2"/>
  <c r="AB907" i="2"/>
  <c r="AA907" i="2"/>
  <c r="X907" i="2"/>
  <c r="J907" i="2"/>
  <c r="AJ906" i="2"/>
  <c r="AH906" i="2"/>
  <c r="AG906" i="2"/>
  <c r="AF906" i="2"/>
  <c r="AE906" i="2"/>
  <c r="AD906" i="2"/>
  <c r="AC906" i="2"/>
  <c r="AB906" i="2"/>
  <c r="AA906" i="2"/>
  <c r="X906" i="2"/>
  <c r="J906" i="2"/>
  <c r="AJ905" i="2"/>
  <c r="AH905" i="2"/>
  <c r="AG905" i="2"/>
  <c r="AF905" i="2"/>
  <c r="AE905" i="2"/>
  <c r="AD905" i="2"/>
  <c r="AC905" i="2"/>
  <c r="AB905" i="2"/>
  <c r="AA905" i="2"/>
  <c r="X905" i="2"/>
  <c r="J905" i="2"/>
  <c r="AJ904" i="2"/>
  <c r="AH904" i="2"/>
  <c r="AG904" i="2"/>
  <c r="AF904" i="2"/>
  <c r="AE904" i="2"/>
  <c r="AD904" i="2"/>
  <c r="AC904" i="2"/>
  <c r="AB904" i="2"/>
  <c r="AA904" i="2"/>
  <c r="X904" i="2"/>
  <c r="J904" i="2"/>
  <c r="AJ903" i="2"/>
  <c r="AH903" i="2"/>
  <c r="AG903" i="2"/>
  <c r="AF903" i="2"/>
  <c r="AE903" i="2"/>
  <c r="AD903" i="2"/>
  <c r="AK903" i="2" s="1"/>
  <c r="AC903" i="2"/>
  <c r="AB903" i="2"/>
  <c r="AA903" i="2"/>
  <c r="X903" i="2"/>
  <c r="J903" i="2"/>
  <c r="AJ902" i="2"/>
  <c r="AH902" i="2"/>
  <c r="AG902" i="2"/>
  <c r="AF902" i="2"/>
  <c r="AE902" i="2"/>
  <c r="AD902" i="2"/>
  <c r="AK902" i="2" s="1"/>
  <c r="AC902" i="2"/>
  <c r="AB902" i="2"/>
  <c r="AA902" i="2"/>
  <c r="X902" i="2"/>
  <c r="J902" i="2"/>
  <c r="AJ901" i="2"/>
  <c r="AH901" i="2"/>
  <c r="AG901" i="2"/>
  <c r="AF901" i="2"/>
  <c r="AE901" i="2"/>
  <c r="AD901" i="2"/>
  <c r="AK901" i="2" s="1"/>
  <c r="AC901" i="2"/>
  <c r="AB901" i="2"/>
  <c r="AA901" i="2"/>
  <c r="X901" i="2"/>
  <c r="J901" i="2"/>
  <c r="AJ900" i="2"/>
  <c r="AH900" i="2"/>
  <c r="AG900" i="2"/>
  <c r="AF900" i="2"/>
  <c r="AE900" i="2"/>
  <c r="AD900" i="2"/>
  <c r="AK900" i="2" s="1"/>
  <c r="AC900" i="2"/>
  <c r="AB900" i="2"/>
  <c r="AA900" i="2"/>
  <c r="X900" i="2"/>
  <c r="J900" i="2"/>
  <c r="AJ899" i="2"/>
  <c r="AH899" i="2"/>
  <c r="AG899" i="2"/>
  <c r="AF899" i="2"/>
  <c r="AE899" i="2"/>
  <c r="AD899" i="2"/>
  <c r="AC899" i="2"/>
  <c r="AB899" i="2"/>
  <c r="AA899" i="2"/>
  <c r="X899" i="2"/>
  <c r="J899" i="2"/>
  <c r="AJ898" i="2"/>
  <c r="AH898" i="2"/>
  <c r="AG898" i="2"/>
  <c r="AF898" i="2"/>
  <c r="AE898" i="2"/>
  <c r="AD898" i="2"/>
  <c r="AC898" i="2"/>
  <c r="AB898" i="2"/>
  <c r="AA898" i="2"/>
  <c r="X898" i="2"/>
  <c r="J898" i="2"/>
  <c r="AJ897" i="2"/>
  <c r="AH897" i="2"/>
  <c r="AG897" i="2"/>
  <c r="AF897" i="2"/>
  <c r="AE897" i="2"/>
  <c r="AD897" i="2"/>
  <c r="AK897" i="2" s="1"/>
  <c r="AC897" i="2"/>
  <c r="AB897" i="2"/>
  <c r="AA897" i="2"/>
  <c r="X897" i="2"/>
  <c r="J897" i="2"/>
  <c r="AJ896" i="2"/>
  <c r="AH896" i="2"/>
  <c r="AG896" i="2"/>
  <c r="AF896" i="2"/>
  <c r="AE896" i="2"/>
  <c r="AD896" i="2"/>
  <c r="AK896" i="2" s="1"/>
  <c r="AC896" i="2"/>
  <c r="AB896" i="2"/>
  <c r="AA896" i="2"/>
  <c r="X896" i="2"/>
  <c r="J896" i="2"/>
  <c r="AJ895" i="2"/>
  <c r="AH895" i="2"/>
  <c r="AG895" i="2"/>
  <c r="AF895" i="2"/>
  <c r="AE895" i="2"/>
  <c r="AD895" i="2"/>
  <c r="AK895" i="2" s="1"/>
  <c r="AC895" i="2"/>
  <c r="AB895" i="2"/>
  <c r="AA895" i="2"/>
  <c r="X895" i="2"/>
  <c r="J895" i="2"/>
  <c r="AJ894" i="2"/>
  <c r="AH894" i="2"/>
  <c r="AG894" i="2"/>
  <c r="AF894" i="2"/>
  <c r="AE894" i="2"/>
  <c r="AD894" i="2"/>
  <c r="AC894" i="2"/>
  <c r="AB894" i="2"/>
  <c r="AA894" i="2"/>
  <c r="X894" i="2"/>
  <c r="J894" i="2"/>
  <c r="AJ893" i="2"/>
  <c r="AH893" i="2"/>
  <c r="AG893" i="2"/>
  <c r="AF893" i="2"/>
  <c r="AE893" i="2"/>
  <c r="AD893" i="2"/>
  <c r="AC893" i="2"/>
  <c r="AB893" i="2"/>
  <c r="AA893" i="2"/>
  <c r="X893" i="2"/>
  <c r="J893" i="2"/>
  <c r="AJ892" i="2"/>
  <c r="AH892" i="2"/>
  <c r="AG892" i="2"/>
  <c r="AF892" i="2"/>
  <c r="AE892" i="2"/>
  <c r="AD892" i="2"/>
  <c r="AC892" i="2"/>
  <c r="AB892" i="2"/>
  <c r="AA892" i="2"/>
  <c r="X892" i="2"/>
  <c r="J892" i="2"/>
  <c r="AJ891" i="2"/>
  <c r="AH891" i="2"/>
  <c r="AG891" i="2"/>
  <c r="AF891" i="2"/>
  <c r="AE891" i="2"/>
  <c r="AD891" i="2"/>
  <c r="AK891" i="2" s="1"/>
  <c r="AC891" i="2"/>
  <c r="AB891" i="2"/>
  <c r="AA891" i="2"/>
  <c r="X891" i="2"/>
  <c r="J891" i="2"/>
  <c r="AJ890" i="2"/>
  <c r="AH890" i="2"/>
  <c r="AG890" i="2"/>
  <c r="AF890" i="2"/>
  <c r="AE890" i="2"/>
  <c r="AD890" i="2"/>
  <c r="AK890" i="2" s="1"/>
  <c r="AC890" i="2"/>
  <c r="AB890" i="2"/>
  <c r="AA890" i="2"/>
  <c r="X890" i="2"/>
  <c r="J890" i="2"/>
  <c r="AJ889" i="2"/>
  <c r="AH889" i="2"/>
  <c r="AG889" i="2"/>
  <c r="AF889" i="2"/>
  <c r="AE889" i="2"/>
  <c r="AD889" i="2"/>
  <c r="AK889" i="2" s="1"/>
  <c r="AC889" i="2"/>
  <c r="AB889" i="2"/>
  <c r="AA889" i="2"/>
  <c r="X889" i="2"/>
  <c r="J889" i="2"/>
  <c r="AJ888" i="2"/>
  <c r="AH888" i="2"/>
  <c r="AG888" i="2"/>
  <c r="AF888" i="2"/>
  <c r="AE888" i="2"/>
  <c r="AD888" i="2"/>
  <c r="AK888" i="2" s="1"/>
  <c r="AC888" i="2"/>
  <c r="AB888" i="2"/>
  <c r="AA888" i="2"/>
  <c r="X888" i="2"/>
  <c r="J888" i="2"/>
  <c r="AJ887" i="2"/>
  <c r="AH887" i="2"/>
  <c r="AG887" i="2"/>
  <c r="AF887" i="2"/>
  <c r="AE887" i="2"/>
  <c r="AD887" i="2"/>
  <c r="AC887" i="2"/>
  <c r="AB887" i="2"/>
  <c r="AA887" i="2"/>
  <c r="X887" i="2"/>
  <c r="J887" i="2"/>
  <c r="AJ886" i="2"/>
  <c r="AH886" i="2"/>
  <c r="AG886" i="2"/>
  <c r="AF886" i="2"/>
  <c r="AE886" i="2"/>
  <c r="AD886" i="2"/>
  <c r="AC886" i="2"/>
  <c r="AB886" i="2"/>
  <c r="AK886" i="2" s="1"/>
  <c r="AA886" i="2"/>
  <c r="X886" i="2"/>
  <c r="J886" i="2"/>
  <c r="AJ885" i="2"/>
  <c r="AH885" i="2"/>
  <c r="AG885" i="2"/>
  <c r="AF885" i="2"/>
  <c r="AE885" i="2"/>
  <c r="AD885" i="2"/>
  <c r="AC885" i="2"/>
  <c r="AB885" i="2"/>
  <c r="AA885" i="2"/>
  <c r="X885" i="2"/>
  <c r="J885" i="2"/>
  <c r="AJ884" i="2"/>
  <c r="AH884" i="2"/>
  <c r="AG884" i="2"/>
  <c r="AF884" i="2"/>
  <c r="AE884" i="2"/>
  <c r="AD884" i="2"/>
  <c r="AC884" i="2"/>
  <c r="AB884" i="2"/>
  <c r="AA884" i="2"/>
  <c r="X884" i="2"/>
  <c r="J884" i="2"/>
  <c r="AJ883" i="2"/>
  <c r="AH883" i="2"/>
  <c r="AG883" i="2"/>
  <c r="AF883" i="2"/>
  <c r="AE883" i="2"/>
  <c r="AD883" i="2"/>
  <c r="AC883" i="2"/>
  <c r="AB883" i="2"/>
  <c r="AK883" i="2" s="1"/>
  <c r="AA883" i="2"/>
  <c r="X883" i="2"/>
  <c r="J883" i="2"/>
  <c r="AJ882" i="2"/>
  <c r="AH882" i="2"/>
  <c r="AG882" i="2"/>
  <c r="AF882" i="2"/>
  <c r="AE882" i="2"/>
  <c r="AD882" i="2"/>
  <c r="AC882" i="2"/>
  <c r="AB882" i="2"/>
  <c r="AA882" i="2"/>
  <c r="X882" i="2"/>
  <c r="J882" i="2"/>
  <c r="AJ881" i="2"/>
  <c r="AH881" i="2"/>
  <c r="AG881" i="2"/>
  <c r="AF881" i="2"/>
  <c r="AE881" i="2"/>
  <c r="AD881" i="2"/>
  <c r="AC881" i="2"/>
  <c r="AB881" i="2"/>
  <c r="AA881" i="2"/>
  <c r="X881" i="2"/>
  <c r="J881" i="2"/>
  <c r="AJ880" i="2"/>
  <c r="AH880" i="2"/>
  <c r="AG880" i="2"/>
  <c r="AF880" i="2"/>
  <c r="AE880" i="2"/>
  <c r="AD880" i="2"/>
  <c r="AC880" i="2"/>
  <c r="AB880" i="2"/>
  <c r="AA880" i="2"/>
  <c r="X880" i="2"/>
  <c r="J880" i="2"/>
  <c r="AJ879" i="2"/>
  <c r="AH879" i="2"/>
  <c r="AG879" i="2"/>
  <c r="AF879" i="2"/>
  <c r="AE879" i="2"/>
  <c r="AD879" i="2"/>
  <c r="AC879" i="2"/>
  <c r="AB879" i="2"/>
  <c r="AA879" i="2"/>
  <c r="X879" i="2"/>
  <c r="J879" i="2"/>
  <c r="AJ878" i="2"/>
  <c r="AH878" i="2"/>
  <c r="AG878" i="2"/>
  <c r="AF878" i="2"/>
  <c r="AE878" i="2"/>
  <c r="AD878" i="2"/>
  <c r="AC878" i="2"/>
  <c r="AB878" i="2"/>
  <c r="AA878" i="2"/>
  <c r="X878" i="2"/>
  <c r="J878" i="2"/>
  <c r="AJ877" i="2"/>
  <c r="AH877" i="2"/>
  <c r="AG877" i="2"/>
  <c r="AF877" i="2"/>
  <c r="AE877" i="2"/>
  <c r="AD877" i="2"/>
  <c r="AC877" i="2"/>
  <c r="AB877" i="2"/>
  <c r="AA877" i="2"/>
  <c r="X877" i="2"/>
  <c r="J877" i="2"/>
  <c r="AJ876" i="2"/>
  <c r="AH876" i="2"/>
  <c r="AG876" i="2"/>
  <c r="AF876" i="2"/>
  <c r="AE876" i="2"/>
  <c r="AD876" i="2"/>
  <c r="AC876" i="2"/>
  <c r="AB876" i="2"/>
  <c r="AK876" i="2" s="1"/>
  <c r="AA876" i="2"/>
  <c r="X876" i="2"/>
  <c r="J876" i="2"/>
  <c r="AJ875" i="2"/>
  <c r="AH875" i="2"/>
  <c r="AG875" i="2"/>
  <c r="AF875" i="2"/>
  <c r="AE875" i="2"/>
  <c r="AD875" i="2"/>
  <c r="AC875" i="2"/>
  <c r="AB875" i="2"/>
  <c r="AK875" i="2" s="1"/>
  <c r="AA875" i="2"/>
  <c r="X875" i="2"/>
  <c r="J875" i="2"/>
  <c r="AJ874" i="2"/>
  <c r="AH874" i="2"/>
  <c r="AG874" i="2"/>
  <c r="AF874" i="2"/>
  <c r="AE874" i="2"/>
  <c r="AD874" i="2"/>
  <c r="AC874" i="2"/>
  <c r="AB874" i="2"/>
  <c r="AK874" i="2" s="1"/>
  <c r="AA874" i="2"/>
  <c r="X874" i="2"/>
  <c r="J874" i="2"/>
  <c r="AJ873" i="2"/>
  <c r="AH873" i="2"/>
  <c r="AG873" i="2"/>
  <c r="AF873" i="2"/>
  <c r="AE873" i="2"/>
  <c r="AD873" i="2"/>
  <c r="AC873" i="2"/>
  <c r="AB873" i="2"/>
  <c r="AA873" i="2"/>
  <c r="X873" i="2"/>
  <c r="J873" i="2"/>
  <c r="AJ872" i="2"/>
  <c r="AH872" i="2"/>
  <c r="AG872" i="2"/>
  <c r="AF872" i="2"/>
  <c r="AE872" i="2"/>
  <c r="AD872" i="2"/>
  <c r="AC872" i="2"/>
  <c r="AB872" i="2"/>
  <c r="AA872" i="2"/>
  <c r="X872" i="2"/>
  <c r="J872" i="2"/>
  <c r="AJ871" i="2"/>
  <c r="AH871" i="2"/>
  <c r="AG871" i="2"/>
  <c r="AF871" i="2"/>
  <c r="AE871" i="2"/>
  <c r="AD871" i="2"/>
  <c r="AC871" i="2"/>
  <c r="AB871" i="2"/>
  <c r="AK871" i="2" s="1"/>
  <c r="AA871" i="2"/>
  <c r="X871" i="2"/>
  <c r="J871" i="2"/>
  <c r="AJ870" i="2"/>
  <c r="AH870" i="2"/>
  <c r="AG870" i="2"/>
  <c r="AF870" i="2"/>
  <c r="AE870" i="2"/>
  <c r="AD870" i="2"/>
  <c r="AC870" i="2"/>
  <c r="AB870" i="2"/>
  <c r="AA870" i="2"/>
  <c r="X870" i="2"/>
  <c r="J870" i="2"/>
  <c r="AJ869" i="2"/>
  <c r="AH869" i="2"/>
  <c r="AG869" i="2"/>
  <c r="AF869" i="2"/>
  <c r="AE869" i="2"/>
  <c r="AD869" i="2"/>
  <c r="AC869" i="2"/>
  <c r="AB869" i="2"/>
  <c r="AA869" i="2"/>
  <c r="X869" i="2"/>
  <c r="J869" i="2"/>
  <c r="AJ868" i="2"/>
  <c r="AH868" i="2"/>
  <c r="AG868" i="2"/>
  <c r="AF868" i="2"/>
  <c r="AE868" i="2"/>
  <c r="AD868" i="2"/>
  <c r="AC868" i="2"/>
  <c r="AB868" i="2"/>
  <c r="AA868" i="2"/>
  <c r="X868" i="2"/>
  <c r="J868" i="2"/>
  <c r="AJ867" i="2"/>
  <c r="AH867" i="2"/>
  <c r="AG867" i="2"/>
  <c r="AF867" i="2"/>
  <c r="AE867" i="2"/>
  <c r="AD867" i="2"/>
  <c r="AC867" i="2"/>
  <c r="AB867" i="2"/>
  <c r="AA867" i="2"/>
  <c r="X867" i="2"/>
  <c r="J867" i="2"/>
  <c r="AJ866" i="2"/>
  <c r="AH866" i="2"/>
  <c r="AG866" i="2"/>
  <c r="AF866" i="2"/>
  <c r="AE866" i="2"/>
  <c r="AD866" i="2"/>
  <c r="AC866" i="2"/>
  <c r="AB866" i="2"/>
  <c r="AA866" i="2"/>
  <c r="X866" i="2"/>
  <c r="J866" i="2"/>
  <c r="AJ865" i="2"/>
  <c r="AH865" i="2"/>
  <c r="AG865" i="2"/>
  <c r="AF865" i="2"/>
  <c r="AE865" i="2"/>
  <c r="AD865" i="2"/>
  <c r="AC865" i="2"/>
  <c r="AB865" i="2"/>
  <c r="AA865" i="2"/>
  <c r="X865" i="2"/>
  <c r="J865" i="2"/>
  <c r="AJ864" i="2"/>
  <c r="AH864" i="2"/>
  <c r="AG864" i="2"/>
  <c r="AF864" i="2"/>
  <c r="AE864" i="2"/>
  <c r="AD864" i="2"/>
  <c r="AC864" i="2"/>
  <c r="AB864" i="2"/>
  <c r="AK864" i="2" s="1"/>
  <c r="AA864" i="2"/>
  <c r="X864" i="2"/>
  <c r="J864" i="2"/>
  <c r="AJ863" i="2"/>
  <c r="AH863" i="2"/>
  <c r="AG863" i="2"/>
  <c r="AF863" i="2"/>
  <c r="AE863" i="2"/>
  <c r="AD863" i="2"/>
  <c r="AC863" i="2"/>
  <c r="AB863" i="2"/>
  <c r="AK863" i="2" s="1"/>
  <c r="AA863" i="2"/>
  <c r="X863" i="2"/>
  <c r="J863" i="2"/>
  <c r="AJ862" i="2"/>
  <c r="AH862" i="2"/>
  <c r="AG862" i="2"/>
  <c r="AF862" i="2"/>
  <c r="AE862" i="2"/>
  <c r="AD862" i="2"/>
  <c r="AC862" i="2"/>
  <c r="AB862" i="2"/>
  <c r="AK862" i="2" s="1"/>
  <c r="AA862" i="2"/>
  <c r="X862" i="2"/>
  <c r="X853" i="2" s="1"/>
  <c r="X852" i="2" s="1"/>
  <c r="J862" i="2"/>
  <c r="AJ861" i="2"/>
  <c r="AH861" i="2"/>
  <c r="AG861" i="2"/>
  <c r="AF861" i="2"/>
  <c r="AE861" i="2"/>
  <c r="AD861" i="2"/>
  <c r="AC861" i="2"/>
  <c r="AB861" i="2"/>
  <c r="AA861" i="2"/>
  <c r="X861" i="2"/>
  <c r="J861" i="2"/>
  <c r="AJ860" i="2"/>
  <c r="AH860" i="2"/>
  <c r="AG860" i="2"/>
  <c r="AF860" i="2"/>
  <c r="AE860" i="2"/>
  <c r="AD860" i="2"/>
  <c r="AC860" i="2"/>
  <c r="AB860" i="2"/>
  <c r="AA860" i="2"/>
  <c r="X860" i="2"/>
  <c r="J860" i="2"/>
  <c r="AJ859" i="2"/>
  <c r="AH859" i="2"/>
  <c r="AG859" i="2"/>
  <c r="AF859" i="2"/>
  <c r="AE859" i="2"/>
  <c r="AD859" i="2"/>
  <c r="AC859" i="2"/>
  <c r="AB859" i="2"/>
  <c r="AK859" i="2" s="1"/>
  <c r="AA859" i="2"/>
  <c r="X859" i="2"/>
  <c r="J859" i="2"/>
  <c r="AJ858" i="2"/>
  <c r="AH858" i="2"/>
  <c r="AG858" i="2"/>
  <c r="AF858" i="2"/>
  <c r="AE858" i="2"/>
  <c r="AD858" i="2"/>
  <c r="AC858" i="2"/>
  <c r="AB858" i="2"/>
  <c r="AA858" i="2"/>
  <c r="X858" i="2"/>
  <c r="J858" i="2"/>
  <c r="AJ857" i="2"/>
  <c r="AH857" i="2"/>
  <c r="AG857" i="2"/>
  <c r="AF857" i="2"/>
  <c r="AE857" i="2"/>
  <c r="AD857" i="2"/>
  <c r="AC857" i="2"/>
  <c r="AB857" i="2"/>
  <c r="AA857" i="2"/>
  <c r="X857" i="2"/>
  <c r="J857" i="2"/>
  <c r="AJ856" i="2"/>
  <c r="AH856" i="2"/>
  <c r="AG856" i="2"/>
  <c r="AF856" i="2"/>
  <c r="AE856" i="2"/>
  <c r="AD856" i="2"/>
  <c r="AC856" i="2"/>
  <c r="AB856" i="2"/>
  <c r="AA856" i="2"/>
  <c r="X856" i="2"/>
  <c r="J856" i="2"/>
  <c r="AJ855" i="2"/>
  <c r="AH855" i="2"/>
  <c r="AG855" i="2"/>
  <c r="AF855" i="2"/>
  <c r="AE855" i="2"/>
  <c r="AD855" i="2"/>
  <c r="AC855" i="2"/>
  <c r="AB855" i="2"/>
  <c r="AA855" i="2"/>
  <c r="X855" i="2"/>
  <c r="J855" i="2"/>
  <c r="AJ854" i="2"/>
  <c r="AH854" i="2"/>
  <c r="AG854" i="2"/>
  <c r="AF854" i="2"/>
  <c r="AE854" i="2"/>
  <c r="AD854" i="2"/>
  <c r="AD853" i="2" s="1"/>
  <c r="AD852" i="2" s="1"/>
  <c r="AC854" i="2"/>
  <c r="AB854" i="2"/>
  <c r="AA854" i="2"/>
  <c r="X854" i="2"/>
  <c r="J854" i="2"/>
  <c r="AX853" i="2"/>
  <c r="AH853" i="2"/>
  <c r="AH852" i="2" s="1"/>
  <c r="O853" i="2"/>
  <c r="N853" i="2"/>
  <c r="N852" i="2" s="1"/>
  <c r="M853" i="2"/>
  <c r="M852" i="2" s="1"/>
  <c r="L853" i="2"/>
  <c r="L852" i="2" s="1"/>
  <c r="K853" i="2"/>
  <c r="AX852" i="2"/>
  <c r="O852" i="2"/>
  <c r="AJ851" i="2"/>
  <c r="AH851" i="2"/>
  <c r="AG851" i="2"/>
  <c r="AF851" i="2"/>
  <c r="AE851" i="2"/>
  <c r="AD851" i="2"/>
  <c r="AC851" i="2"/>
  <c r="AB851" i="2"/>
  <c r="AA851" i="2"/>
  <c r="X851" i="2"/>
  <c r="J851" i="2"/>
  <c r="AJ850" i="2"/>
  <c r="AH850" i="2"/>
  <c r="AG850" i="2"/>
  <c r="AF850" i="2"/>
  <c r="AE850" i="2"/>
  <c r="AD850" i="2"/>
  <c r="AC850" i="2"/>
  <c r="AB850" i="2"/>
  <c r="AA850" i="2"/>
  <c r="X850" i="2"/>
  <c r="J850" i="2"/>
  <c r="AJ849" i="2"/>
  <c r="AH849" i="2"/>
  <c r="AG849" i="2"/>
  <c r="AF849" i="2"/>
  <c r="AE849" i="2"/>
  <c r="AD849" i="2"/>
  <c r="AC849" i="2"/>
  <c r="AB849" i="2"/>
  <c r="AA849" i="2"/>
  <c r="X849" i="2"/>
  <c r="J849" i="2"/>
  <c r="AJ848" i="2"/>
  <c r="AH848" i="2"/>
  <c r="AG848" i="2"/>
  <c r="AF848" i="2"/>
  <c r="AE848" i="2"/>
  <c r="AD848" i="2"/>
  <c r="AC848" i="2"/>
  <c r="AB848" i="2"/>
  <c r="AA848" i="2"/>
  <c r="X848" i="2"/>
  <c r="J848" i="2"/>
  <c r="AJ847" i="2"/>
  <c r="AH847" i="2"/>
  <c r="AG847" i="2"/>
  <c r="AF847" i="2"/>
  <c r="AE847" i="2"/>
  <c r="AD847" i="2"/>
  <c r="AC847" i="2"/>
  <c r="AB847" i="2"/>
  <c r="AA847" i="2"/>
  <c r="X847" i="2"/>
  <c r="J847" i="2"/>
  <c r="AJ846" i="2"/>
  <c r="AH846" i="2"/>
  <c r="AG846" i="2"/>
  <c r="AF846" i="2"/>
  <c r="AE846" i="2"/>
  <c r="AD846" i="2"/>
  <c r="AC846" i="2"/>
  <c r="AB846" i="2"/>
  <c r="AA846" i="2"/>
  <c r="X846" i="2"/>
  <c r="J846" i="2"/>
  <c r="AJ845" i="2"/>
  <c r="AH845" i="2"/>
  <c r="AG845" i="2"/>
  <c r="AF845" i="2"/>
  <c r="AE845" i="2"/>
  <c r="AD845" i="2"/>
  <c r="AC845" i="2"/>
  <c r="AB845" i="2"/>
  <c r="AA845" i="2"/>
  <c r="X845" i="2"/>
  <c r="J845" i="2"/>
  <c r="AJ844" i="2"/>
  <c r="AH844" i="2"/>
  <c r="AG844" i="2"/>
  <c r="AF844" i="2"/>
  <c r="AE844" i="2"/>
  <c r="AD844" i="2"/>
  <c r="AC844" i="2"/>
  <c r="AB844" i="2"/>
  <c r="AK844" i="2" s="1"/>
  <c r="AA844" i="2"/>
  <c r="X844" i="2"/>
  <c r="J844" i="2"/>
  <c r="AJ843" i="2"/>
  <c r="AH843" i="2"/>
  <c r="AG843" i="2"/>
  <c r="AF843" i="2"/>
  <c r="AE843" i="2"/>
  <c r="AD843" i="2"/>
  <c r="AC843" i="2"/>
  <c r="AB843" i="2"/>
  <c r="AK843" i="2" s="1"/>
  <c r="AA843" i="2"/>
  <c r="X843" i="2"/>
  <c r="J843" i="2"/>
  <c r="AJ842" i="2"/>
  <c r="AH842" i="2"/>
  <c r="AG842" i="2"/>
  <c r="AF842" i="2"/>
  <c r="AE842" i="2"/>
  <c r="AD842" i="2"/>
  <c r="AC842" i="2"/>
  <c r="AB842" i="2"/>
  <c r="AK842" i="2" s="1"/>
  <c r="AA842" i="2"/>
  <c r="X842" i="2"/>
  <c r="J842" i="2"/>
  <c r="AJ841" i="2"/>
  <c r="AH841" i="2"/>
  <c r="AG841" i="2"/>
  <c r="AF841" i="2"/>
  <c r="AE841" i="2"/>
  <c r="AD841" i="2"/>
  <c r="AC841" i="2"/>
  <c r="AB841" i="2"/>
  <c r="AK841" i="2" s="1"/>
  <c r="AA841" i="2"/>
  <c r="X841" i="2"/>
  <c r="J841" i="2"/>
  <c r="AJ840" i="2"/>
  <c r="AH840" i="2"/>
  <c r="AG840" i="2"/>
  <c r="AF840" i="2"/>
  <c r="AE840" i="2"/>
  <c r="AD840" i="2"/>
  <c r="AC840" i="2"/>
  <c r="AB840" i="2"/>
  <c r="AA840" i="2"/>
  <c r="X840" i="2"/>
  <c r="J840" i="2"/>
  <c r="AJ839" i="2"/>
  <c r="AH839" i="2"/>
  <c r="AG839" i="2"/>
  <c r="AF839" i="2"/>
  <c r="AE839" i="2"/>
  <c r="AD839" i="2"/>
  <c r="AC839" i="2"/>
  <c r="AB839" i="2"/>
  <c r="AA839" i="2"/>
  <c r="X839" i="2"/>
  <c r="J839" i="2"/>
  <c r="AJ838" i="2"/>
  <c r="AH838" i="2"/>
  <c r="AG838" i="2"/>
  <c r="AF838" i="2"/>
  <c r="AE838" i="2"/>
  <c r="AD838" i="2"/>
  <c r="AC838" i="2"/>
  <c r="AB838" i="2"/>
  <c r="AA838" i="2"/>
  <c r="X838" i="2"/>
  <c r="J838" i="2"/>
  <c r="AJ837" i="2"/>
  <c r="AH837" i="2"/>
  <c r="AG837" i="2"/>
  <c r="AF837" i="2"/>
  <c r="AE837" i="2"/>
  <c r="AD837" i="2"/>
  <c r="AC837" i="2"/>
  <c r="AB837" i="2"/>
  <c r="AA837" i="2"/>
  <c r="X837" i="2"/>
  <c r="J837" i="2"/>
  <c r="AJ836" i="2"/>
  <c r="AH836" i="2"/>
  <c r="AG836" i="2"/>
  <c r="AF836" i="2"/>
  <c r="AE836" i="2"/>
  <c r="AD836" i="2"/>
  <c r="AC836" i="2"/>
  <c r="AB836" i="2"/>
  <c r="AA836" i="2"/>
  <c r="X836" i="2"/>
  <c r="J836" i="2"/>
  <c r="AJ835" i="2"/>
  <c r="AH835" i="2"/>
  <c r="AG835" i="2"/>
  <c r="AF835" i="2"/>
  <c r="AE835" i="2"/>
  <c r="AD835" i="2"/>
  <c r="AC835" i="2"/>
  <c r="AB835" i="2"/>
  <c r="AA835" i="2"/>
  <c r="X835" i="2"/>
  <c r="J835" i="2"/>
  <c r="AJ834" i="2"/>
  <c r="AH834" i="2"/>
  <c r="AH833" i="2" s="1"/>
  <c r="AH832" i="2" s="1"/>
  <c r="AG834" i="2"/>
  <c r="AF834" i="2"/>
  <c r="AF833" i="2" s="1"/>
  <c r="AF832" i="2" s="1"/>
  <c r="AE834" i="2"/>
  <c r="AD834" i="2"/>
  <c r="AD833" i="2" s="1"/>
  <c r="AD832" i="2" s="1"/>
  <c r="AC834" i="2"/>
  <c r="AB834" i="2"/>
  <c r="AA834" i="2"/>
  <c r="X834" i="2"/>
  <c r="J834" i="2"/>
  <c r="AX833" i="2"/>
  <c r="AB833" i="2"/>
  <c r="AB832" i="2" s="1"/>
  <c r="X833" i="2"/>
  <c r="X832" i="2" s="1"/>
  <c r="V833" i="2"/>
  <c r="U833" i="2"/>
  <c r="R833" i="2"/>
  <c r="M833" i="2"/>
  <c r="L833" i="2"/>
  <c r="J833" i="2" s="1"/>
  <c r="K833" i="2"/>
  <c r="AX832" i="2"/>
  <c r="V832" i="2"/>
  <c r="U832" i="2"/>
  <c r="T832" i="2"/>
  <c r="T833" i="2" s="1"/>
  <c r="S832" i="2"/>
  <c r="S833" i="2" s="1"/>
  <c r="R832" i="2"/>
  <c r="O832" i="2"/>
  <c r="O833" i="2" s="1"/>
  <c r="N832" i="2"/>
  <c r="N833" i="2" s="1"/>
  <c r="M832" i="2"/>
  <c r="L832" i="2"/>
  <c r="J832" i="2" s="1"/>
  <c r="K832" i="2"/>
  <c r="AJ831" i="2"/>
  <c r="AH831" i="2"/>
  <c r="AG831" i="2"/>
  <c r="AF831" i="2"/>
  <c r="AE831" i="2"/>
  <c r="AD831" i="2"/>
  <c r="AC831" i="2"/>
  <c r="AB831" i="2"/>
  <c r="AA831" i="2"/>
  <c r="X831" i="2"/>
  <c r="J831" i="2"/>
  <c r="AJ830" i="2"/>
  <c r="AH830" i="2"/>
  <c r="AG830" i="2"/>
  <c r="AF830" i="2"/>
  <c r="AE830" i="2"/>
  <c r="AD830" i="2"/>
  <c r="AC830" i="2"/>
  <c r="AB830" i="2"/>
  <c r="AA830" i="2"/>
  <c r="X830" i="2"/>
  <c r="J830" i="2"/>
  <c r="AJ829" i="2"/>
  <c r="AH829" i="2"/>
  <c r="AG829" i="2"/>
  <c r="AF829" i="2"/>
  <c r="AE829" i="2"/>
  <c r="AD829" i="2"/>
  <c r="AC829" i="2"/>
  <c r="AB829" i="2"/>
  <c r="AA829" i="2"/>
  <c r="X829" i="2"/>
  <c r="J829" i="2"/>
  <c r="AJ828" i="2"/>
  <c r="AH828" i="2"/>
  <c r="AG828" i="2"/>
  <c r="AF828" i="2"/>
  <c r="AE828" i="2"/>
  <c r="AD828" i="2"/>
  <c r="AC828" i="2"/>
  <c r="AB828" i="2"/>
  <c r="AK828" i="2" s="1"/>
  <c r="AA828" i="2"/>
  <c r="X828" i="2"/>
  <c r="J828" i="2"/>
  <c r="AJ827" i="2"/>
  <c r="AG827" i="2"/>
  <c r="AF827" i="2"/>
  <c r="AE827" i="2"/>
  <c r="AD827" i="2"/>
  <c r="AC827" i="2"/>
  <c r="AB827" i="2"/>
  <c r="AA827" i="2"/>
  <c r="AH827" i="2" s="1"/>
  <c r="X827" i="2"/>
  <c r="J827" i="2"/>
  <c r="AJ826" i="2"/>
  <c r="AG826" i="2"/>
  <c r="AF826" i="2"/>
  <c r="AE826" i="2"/>
  <c r="AD826" i="2"/>
  <c r="AC826" i="2"/>
  <c r="AB826" i="2"/>
  <c r="AA826" i="2"/>
  <c r="AH826" i="2" s="1"/>
  <c r="X826" i="2"/>
  <c r="J826" i="2"/>
  <c r="AJ825" i="2"/>
  <c r="AG825" i="2"/>
  <c r="AF825" i="2"/>
  <c r="AE825" i="2"/>
  <c r="AD825" i="2"/>
  <c r="AC825" i="2"/>
  <c r="AB825" i="2"/>
  <c r="AA825" i="2"/>
  <c r="AH825" i="2" s="1"/>
  <c r="X825" i="2"/>
  <c r="J825" i="2"/>
  <c r="AJ824" i="2"/>
  <c r="AH824" i="2"/>
  <c r="AG824" i="2"/>
  <c r="AF824" i="2"/>
  <c r="AE824" i="2"/>
  <c r="AD824" i="2"/>
  <c r="AC824" i="2"/>
  <c r="AB824" i="2"/>
  <c r="AA824" i="2"/>
  <c r="X824" i="2"/>
  <c r="J824" i="2"/>
  <c r="AJ823" i="2"/>
  <c r="AG823" i="2"/>
  <c r="AF823" i="2"/>
  <c r="AE823" i="2"/>
  <c r="AD823" i="2"/>
  <c r="AC823" i="2"/>
  <c r="AB823" i="2"/>
  <c r="AA823" i="2"/>
  <c r="AH823" i="2" s="1"/>
  <c r="X823" i="2"/>
  <c r="J823" i="2"/>
  <c r="AJ822" i="2"/>
  <c r="AG822" i="2"/>
  <c r="AF822" i="2"/>
  <c r="AE822" i="2"/>
  <c r="AD822" i="2"/>
  <c r="AC822" i="2"/>
  <c r="AB822" i="2"/>
  <c r="AA822" i="2"/>
  <c r="AH822" i="2" s="1"/>
  <c r="X822" i="2"/>
  <c r="J822" i="2"/>
  <c r="AJ821" i="2"/>
  <c r="AH821" i="2"/>
  <c r="AG821" i="2"/>
  <c r="AF821" i="2"/>
  <c r="AE821" i="2"/>
  <c r="AD821" i="2"/>
  <c r="AC821" i="2"/>
  <c r="AB821" i="2"/>
  <c r="AK821" i="2" s="1"/>
  <c r="AA821" i="2"/>
  <c r="X821" i="2"/>
  <c r="J821" i="2"/>
  <c r="AJ820" i="2"/>
  <c r="AH820" i="2"/>
  <c r="AG820" i="2"/>
  <c r="AF820" i="2"/>
  <c r="AE820" i="2"/>
  <c r="AD820" i="2"/>
  <c r="AC820" i="2"/>
  <c r="AB820" i="2"/>
  <c r="AA820" i="2"/>
  <c r="X820" i="2"/>
  <c r="J820" i="2"/>
  <c r="AJ819" i="2"/>
  <c r="AH819" i="2"/>
  <c r="AG819" i="2"/>
  <c r="AF819" i="2"/>
  <c r="AE819" i="2"/>
  <c r="AD819" i="2"/>
  <c r="AC819" i="2"/>
  <c r="AB819" i="2"/>
  <c r="AA819" i="2"/>
  <c r="X819" i="2"/>
  <c r="J819" i="2"/>
  <c r="AJ818" i="2"/>
  <c r="AH818" i="2"/>
  <c r="AG818" i="2"/>
  <c r="AF818" i="2"/>
  <c r="AE818" i="2"/>
  <c r="AD818" i="2"/>
  <c r="AC818" i="2"/>
  <c r="AB818" i="2"/>
  <c r="AA818" i="2"/>
  <c r="X818" i="2"/>
  <c r="J818" i="2"/>
  <c r="AJ817" i="2"/>
  <c r="AH817" i="2"/>
  <c r="AG817" i="2"/>
  <c r="AF817" i="2"/>
  <c r="AE817" i="2"/>
  <c r="AD817" i="2"/>
  <c r="AC817" i="2"/>
  <c r="AB817" i="2"/>
  <c r="AA817" i="2"/>
  <c r="X817" i="2"/>
  <c r="J817" i="2"/>
  <c r="AJ816" i="2"/>
  <c r="AH816" i="2"/>
  <c r="AG816" i="2"/>
  <c r="AF816" i="2"/>
  <c r="AE816" i="2"/>
  <c r="AD816" i="2"/>
  <c r="AC816" i="2"/>
  <c r="AB816" i="2"/>
  <c r="AK816" i="2" s="1"/>
  <c r="AA816" i="2"/>
  <c r="X816" i="2"/>
  <c r="J816" i="2"/>
  <c r="AJ815" i="2"/>
  <c r="AH815" i="2"/>
  <c r="AG815" i="2"/>
  <c r="AF815" i="2"/>
  <c r="AE815" i="2"/>
  <c r="AD815" i="2"/>
  <c r="AC815" i="2"/>
  <c r="AB815" i="2"/>
  <c r="AA815" i="2"/>
  <c r="X815" i="2"/>
  <c r="J815" i="2"/>
  <c r="AJ814" i="2"/>
  <c r="AH814" i="2"/>
  <c r="AG814" i="2"/>
  <c r="AF814" i="2"/>
  <c r="AE814" i="2"/>
  <c r="AD814" i="2"/>
  <c r="AC814" i="2"/>
  <c r="AB814" i="2"/>
  <c r="AA814" i="2"/>
  <c r="X814" i="2"/>
  <c r="J814" i="2"/>
  <c r="AJ813" i="2"/>
  <c r="AH813" i="2"/>
  <c r="AG813" i="2"/>
  <c r="AF813" i="2"/>
  <c r="AE813" i="2"/>
  <c r="AD813" i="2"/>
  <c r="AC813" i="2"/>
  <c r="AB813" i="2"/>
  <c r="AA813" i="2"/>
  <c r="X813" i="2"/>
  <c r="J813" i="2"/>
  <c r="AJ812" i="2"/>
  <c r="AH812" i="2"/>
  <c r="AG812" i="2"/>
  <c r="AF812" i="2"/>
  <c r="AE812" i="2"/>
  <c r="AD812" i="2"/>
  <c r="AC812" i="2"/>
  <c r="AB812" i="2"/>
  <c r="AA812" i="2"/>
  <c r="X812" i="2"/>
  <c r="J812" i="2"/>
  <c r="AJ811" i="2"/>
  <c r="AH811" i="2"/>
  <c r="AG811" i="2"/>
  <c r="AF811" i="2"/>
  <c r="AE811" i="2"/>
  <c r="AD811" i="2"/>
  <c r="AC811" i="2"/>
  <c r="AB811" i="2"/>
  <c r="AA811" i="2"/>
  <c r="X811" i="2"/>
  <c r="J811" i="2"/>
  <c r="AJ810" i="2"/>
  <c r="AH810" i="2"/>
  <c r="AG810" i="2"/>
  <c r="AF810" i="2"/>
  <c r="AE810" i="2"/>
  <c r="AD810" i="2"/>
  <c r="AC810" i="2"/>
  <c r="AB810" i="2"/>
  <c r="AA810" i="2"/>
  <c r="X810" i="2"/>
  <c r="J810" i="2"/>
  <c r="AJ809" i="2"/>
  <c r="AH809" i="2"/>
  <c r="AG809" i="2"/>
  <c r="AF809" i="2"/>
  <c r="AE809" i="2"/>
  <c r="AD809" i="2"/>
  <c r="AC809" i="2"/>
  <c r="AB809" i="2"/>
  <c r="AK809" i="2" s="1"/>
  <c r="AA809" i="2"/>
  <c r="X809" i="2"/>
  <c r="J809" i="2"/>
  <c r="AJ808" i="2"/>
  <c r="AH808" i="2"/>
  <c r="AG808" i="2"/>
  <c r="AF808" i="2"/>
  <c r="AE808" i="2"/>
  <c r="AD808" i="2"/>
  <c r="AC808" i="2"/>
  <c r="AB808" i="2"/>
  <c r="AA808" i="2"/>
  <c r="X808" i="2"/>
  <c r="J808" i="2"/>
  <c r="AJ807" i="2"/>
  <c r="AH807" i="2"/>
  <c r="AG807" i="2"/>
  <c r="AF807" i="2"/>
  <c r="AE807" i="2"/>
  <c r="AD807" i="2"/>
  <c r="AC807" i="2"/>
  <c r="AB807" i="2"/>
  <c r="AA807" i="2"/>
  <c r="X807" i="2"/>
  <c r="J807" i="2"/>
  <c r="AJ806" i="2"/>
  <c r="AH806" i="2"/>
  <c r="AG806" i="2"/>
  <c r="AF806" i="2"/>
  <c r="AE806" i="2"/>
  <c r="AD806" i="2"/>
  <c r="AC806" i="2"/>
  <c r="AB806" i="2"/>
  <c r="AA806" i="2"/>
  <c r="X806" i="2"/>
  <c r="J806" i="2"/>
  <c r="AJ805" i="2"/>
  <c r="AH805" i="2"/>
  <c r="AG805" i="2"/>
  <c r="AF805" i="2"/>
  <c r="AE805" i="2"/>
  <c r="AD805" i="2"/>
  <c r="AC805" i="2"/>
  <c r="AB805" i="2"/>
  <c r="AA805" i="2"/>
  <c r="X805" i="2"/>
  <c r="J805" i="2"/>
  <c r="AJ804" i="2"/>
  <c r="AH804" i="2"/>
  <c r="AG804" i="2"/>
  <c r="AF804" i="2"/>
  <c r="AE804" i="2"/>
  <c r="AD804" i="2"/>
  <c r="AC804" i="2"/>
  <c r="AB804" i="2"/>
  <c r="AK804" i="2" s="1"/>
  <c r="AA804" i="2"/>
  <c r="X804" i="2"/>
  <c r="J804" i="2"/>
  <c r="AJ803" i="2"/>
  <c r="AH803" i="2"/>
  <c r="AG803" i="2"/>
  <c r="AF803" i="2"/>
  <c r="AE803" i="2"/>
  <c r="AD803" i="2"/>
  <c r="AC803" i="2"/>
  <c r="AB803" i="2"/>
  <c r="AA803" i="2"/>
  <c r="X803" i="2"/>
  <c r="J803" i="2"/>
  <c r="AJ802" i="2"/>
  <c r="AH802" i="2"/>
  <c r="AG802" i="2"/>
  <c r="AF802" i="2"/>
  <c r="AE802" i="2"/>
  <c r="AD802" i="2"/>
  <c r="AC802" i="2"/>
  <c r="AB802" i="2"/>
  <c r="AA802" i="2"/>
  <c r="X802" i="2"/>
  <c r="J802" i="2"/>
  <c r="AJ801" i="2"/>
  <c r="AH801" i="2"/>
  <c r="AG801" i="2"/>
  <c r="AF801" i="2"/>
  <c r="AF800" i="2" s="1"/>
  <c r="AF799" i="2" s="1"/>
  <c r="AE801" i="2"/>
  <c r="AD801" i="2"/>
  <c r="AC801" i="2"/>
  <c r="AB801" i="2"/>
  <c r="AA801" i="2"/>
  <c r="X801" i="2"/>
  <c r="X800" i="2" s="1"/>
  <c r="X799" i="2" s="1"/>
  <c r="J801" i="2"/>
  <c r="AX800" i="2"/>
  <c r="AD800" i="2"/>
  <c r="AD799" i="2" s="1"/>
  <c r="T800" i="2"/>
  <c r="S800" i="2"/>
  <c r="R800" i="2"/>
  <c r="M800" i="2"/>
  <c r="L800" i="2"/>
  <c r="L799" i="2" s="1"/>
  <c r="K800" i="2"/>
  <c r="K799" i="2" s="1"/>
  <c r="J799" i="2" s="1"/>
  <c r="J800" i="2"/>
  <c r="AX799" i="2"/>
  <c r="V799" i="2"/>
  <c r="V800" i="2" s="1"/>
  <c r="U799" i="2"/>
  <c r="U800" i="2" s="1"/>
  <c r="T799" i="2"/>
  <c r="S799" i="2"/>
  <c r="R799" i="2"/>
  <c r="O799" i="2"/>
  <c r="O800" i="2" s="1"/>
  <c r="N799" i="2"/>
  <c r="N800" i="2" s="1"/>
  <c r="M799" i="2"/>
  <c r="AJ798" i="2"/>
  <c r="AH798" i="2"/>
  <c r="AG798" i="2"/>
  <c r="AF798" i="2"/>
  <c r="AE798" i="2"/>
  <c r="AD798" i="2"/>
  <c r="AC798" i="2"/>
  <c r="AB798" i="2"/>
  <c r="AA798" i="2"/>
  <c r="X798" i="2"/>
  <c r="J798" i="2"/>
  <c r="AJ797" i="2"/>
  <c r="AH797" i="2"/>
  <c r="AG797" i="2"/>
  <c r="AF797" i="2"/>
  <c r="AE797" i="2"/>
  <c r="AD797" i="2"/>
  <c r="AC797" i="2"/>
  <c r="AB797" i="2"/>
  <c r="AK797" i="2" s="1"/>
  <c r="AA797" i="2"/>
  <c r="X797" i="2"/>
  <c r="J797" i="2"/>
  <c r="AJ796" i="2"/>
  <c r="AH796" i="2"/>
  <c r="AG796" i="2"/>
  <c r="AF796" i="2"/>
  <c r="AE796" i="2"/>
  <c r="AD796" i="2"/>
  <c r="AC796" i="2"/>
  <c r="AB796" i="2"/>
  <c r="AA796" i="2"/>
  <c r="X796" i="2"/>
  <c r="J796" i="2"/>
  <c r="AJ795" i="2"/>
  <c r="AH795" i="2"/>
  <c r="AG795" i="2"/>
  <c r="AF795" i="2"/>
  <c r="AE795" i="2"/>
  <c r="AD795" i="2"/>
  <c r="AC795" i="2"/>
  <c r="AB795" i="2"/>
  <c r="AA795" i="2"/>
  <c r="X795" i="2"/>
  <c r="J795" i="2"/>
  <c r="AJ794" i="2"/>
  <c r="AH794" i="2"/>
  <c r="AG794" i="2"/>
  <c r="AF794" i="2"/>
  <c r="AE794" i="2"/>
  <c r="AD794" i="2"/>
  <c r="AC794" i="2"/>
  <c r="AB794" i="2"/>
  <c r="AA794" i="2"/>
  <c r="X794" i="2"/>
  <c r="J794" i="2"/>
  <c r="AJ793" i="2"/>
  <c r="AH793" i="2"/>
  <c r="AG793" i="2"/>
  <c r="AF793" i="2"/>
  <c r="AE793" i="2"/>
  <c r="AD793" i="2"/>
  <c r="AC793" i="2"/>
  <c r="AB793" i="2"/>
  <c r="AA793" i="2"/>
  <c r="X793" i="2"/>
  <c r="J793" i="2"/>
  <c r="AJ792" i="2"/>
  <c r="AH792" i="2"/>
  <c r="AG792" i="2"/>
  <c r="AF792" i="2"/>
  <c r="AE792" i="2"/>
  <c r="AD792" i="2"/>
  <c r="AC792" i="2"/>
  <c r="AB792" i="2"/>
  <c r="AK792" i="2" s="1"/>
  <c r="AA792" i="2"/>
  <c r="X792" i="2"/>
  <c r="J792" i="2"/>
  <c r="AJ791" i="2"/>
  <c r="AH791" i="2"/>
  <c r="AG791" i="2"/>
  <c r="AF791" i="2"/>
  <c r="AE791" i="2"/>
  <c r="AD791" i="2"/>
  <c r="AC791" i="2"/>
  <c r="AB791" i="2"/>
  <c r="AA791" i="2"/>
  <c r="X791" i="2"/>
  <c r="J791" i="2"/>
  <c r="AJ790" i="2"/>
  <c r="AH790" i="2"/>
  <c r="AG790" i="2"/>
  <c r="AF790" i="2"/>
  <c r="AE790" i="2"/>
  <c r="AD790" i="2"/>
  <c r="AC790" i="2"/>
  <c r="AB790" i="2"/>
  <c r="AA790" i="2"/>
  <c r="X790" i="2"/>
  <c r="J790" i="2"/>
  <c r="AJ789" i="2"/>
  <c r="AH789" i="2"/>
  <c r="AG789" i="2"/>
  <c r="AF789" i="2"/>
  <c r="AE789" i="2"/>
  <c r="AD789" i="2"/>
  <c r="AC789" i="2"/>
  <c r="AB789" i="2"/>
  <c r="AA789" i="2"/>
  <c r="X789" i="2"/>
  <c r="J789" i="2"/>
  <c r="AJ788" i="2"/>
  <c r="AH788" i="2"/>
  <c r="AG788" i="2"/>
  <c r="AF788" i="2"/>
  <c r="AE788" i="2"/>
  <c r="AD788" i="2"/>
  <c r="AC788" i="2"/>
  <c r="AB788" i="2"/>
  <c r="AA788" i="2"/>
  <c r="X788" i="2"/>
  <c r="J788" i="2"/>
  <c r="AJ787" i="2"/>
  <c r="AH787" i="2"/>
  <c r="AG787" i="2"/>
  <c r="AF787" i="2"/>
  <c r="AE787" i="2"/>
  <c r="AD787" i="2"/>
  <c r="AC787" i="2"/>
  <c r="AB787" i="2"/>
  <c r="AA787" i="2"/>
  <c r="X787" i="2"/>
  <c r="J787" i="2"/>
  <c r="AJ786" i="2"/>
  <c r="AH786" i="2"/>
  <c r="AG786" i="2"/>
  <c r="AF786" i="2"/>
  <c r="AE786" i="2"/>
  <c r="AD786" i="2"/>
  <c r="AC786" i="2"/>
  <c r="AB786" i="2"/>
  <c r="AA786" i="2"/>
  <c r="X786" i="2"/>
  <c r="J786" i="2"/>
  <c r="AJ785" i="2"/>
  <c r="AH785" i="2"/>
  <c r="AG785" i="2"/>
  <c r="AF785" i="2"/>
  <c r="AE785" i="2"/>
  <c r="AD785" i="2"/>
  <c r="AC785" i="2"/>
  <c r="AB785" i="2"/>
  <c r="AA785" i="2"/>
  <c r="X785" i="2"/>
  <c r="J785" i="2"/>
  <c r="AJ784" i="2"/>
  <c r="AH784" i="2"/>
  <c r="AG784" i="2"/>
  <c r="AF784" i="2"/>
  <c r="AE784" i="2"/>
  <c r="AD784" i="2"/>
  <c r="AC784" i="2"/>
  <c r="AB784" i="2"/>
  <c r="AA784" i="2"/>
  <c r="X784" i="2"/>
  <c r="J784" i="2"/>
  <c r="AJ783" i="2"/>
  <c r="AH783" i="2"/>
  <c r="AG783" i="2"/>
  <c r="AF783" i="2"/>
  <c r="AE783" i="2"/>
  <c r="AD783" i="2"/>
  <c r="AC783" i="2"/>
  <c r="AB783" i="2"/>
  <c r="AK783" i="2" s="1"/>
  <c r="AA783" i="2"/>
  <c r="X783" i="2"/>
  <c r="J783" i="2"/>
  <c r="AJ782" i="2"/>
  <c r="AH782" i="2"/>
  <c r="AG782" i="2"/>
  <c r="AF782" i="2"/>
  <c r="AE782" i="2"/>
  <c r="AD782" i="2"/>
  <c r="AC782" i="2"/>
  <c r="AB782" i="2"/>
  <c r="AA782" i="2"/>
  <c r="X782" i="2"/>
  <c r="J782" i="2"/>
  <c r="AJ781" i="2"/>
  <c r="AH781" i="2"/>
  <c r="AG781" i="2"/>
  <c r="AF781" i="2"/>
  <c r="AE781" i="2"/>
  <c r="AD781" i="2"/>
  <c r="AC781" i="2"/>
  <c r="AB781" i="2"/>
  <c r="AA781" i="2"/>
  <c r="X781" i="2"/>
  <c r="J781" i="2"/>
  <c r="AJ780" i="2"/>
  <c r="AH780" i="2"/>
  <c r="AG780" i="2"/>
  <c r="AF780" i="2"/>
  <c r="AE780" i="2"/>
  <c r="AD780" i="2"/>
  <c r="AC780" i="2"/>
  <c r="AB780" i="2"/>
  <c r="AK780" i="2" s="1"/>
  <c r="AA780" i="2"/>
  <c r="X780" i="2"/>
  <c r="J780" i="2"/>
  <c r="AJ779" i="2"/>
  <c r="AH779" i="2"/>
  <c r="AG779" i="2"/>
  <c r="AF779" i="2"/>
  <c r="AE779" i="2"/>
  <c r="AD779" i="2"/>
  <c r="AC779" i="2"/>
  <c r="AB779" i="2"/>
  <c r="AA779" i="2"/>
  <c r="X779" i="2"/>
  <c r="J779" i="2"/>
  <c r="AJ778" i="2"/>
  <c r="AH778" i="2"/>
  <c r="AG778" i="2"/>
  <c r="AF778" i="2"/>
  <c r="AE778" i="2"/>
  <c r="AD778" i="2"/>
  <c r="AC778" i="2"/>
  <c r="AB778" i="2"/>
  <c r="AK778" i="2" s="1"/>
  <c r="AA778" i="2"/>
  <c r="X778" i="2"/>
  <c r="J778" i="2"/>
  <c r="AJ777" i="2"/>
  <c r="AH777" i="2"/>
  <c r="AH767" i="2" s="1"/>
  <c r="AH766" i="2" s="1"/>
  <c r="AG777" i="2"/>
  <c r="AF777" i="2"/>
  <c r="AE777" i="2"/>
  <c r="AD777" i="2"/>
  <c r="AC777" i="2"/>
  <c r="AB777" i="2"/>
  <c r="AA777" i="2"/>
  <c r="X777" i="2"/>
  <c r="J777" i="2"/>
  <c r="AJ776" i="2"/>
  <c r="AH776" i="2"/>
  <c r="AG776" i="2"/>
  <c r="AF776" i="2"/>
  <c r="AE776" i="2"/>
  <c r="AD776" i="2"/>
  <c r="AC776" i="2"/>
  <c r="AB776" i="2"/>
  <c r="AA776" i="2"/>
  <c r="X776" i="2"/>
  <c r="J776" i="2"/>
  <c r="AJ775" i="2"/>
  <c r="AH775" i="2"/>
  <c r="AG775" i="2"/>
  <c r="AF775" i="2"/>
  <c r="AE775" i="2"/>
  <c r="AD775" i="2"/>
  <c r="AC775" i="2"/>
  <c r="AB775" i="2"/>
  <c r="AA775" i="2"/>
  <c r="X775" i="2"/>
  <c r="J775" i="2"/>
  <c r="AJ774" i="2"/>
  <c r="AH774" i="2"/>
  <c r="AG774" i="2"/>
  <c r="AF774" i="2"/>
  <c r="AE774" i="2"/>
  <c r="AD774" i="2"/>
  <c r="AC774" i="2"/>
  <c r="AB774" i="2"/>
  <c r="AA774" i="2"/>
  <c r="X774" i="2"/>
  <c r="J774" i="2"/>
  <c r="AJ773" i="2"/>
  <c r="AH773" i="2"/>
  <c r="AG773" i="2"/>
  <c r="AF773" i="2"/>
  <c r="AE773" i="2"/>
  <c r="AD773" i="2"/>
  <c r="AD767" i="2" s="1"/>
  <c r="AD766" i="2" s="1"/>
  <c r="AC773" i="2"/>
  <c r="AB773" i="2"/>
  <c r="AA773" i="2"/>
  <c r="X773" i="2"/>
  <c r="J773" i="2"/>
  <c r="AJ772" i="2"/>
  <c r="AH772" i="2"/>
  <c r="AG772" i="2"/>
  <c r="AF772" i="2"/>
  <c r="AE772" i="2"/>
  <c r="AD772" i="2"/>
  <c r="AC772" i="2"/>
  <c r="AB772" i="2"/>
  <c r="AA772" i="2"/>
  <c r="X772" i="2"/>
  <c r="J772" i="2"/>
  <c r="AJ771" i="2"/>
  <c r="AH771" i="2"/>
  <c r="AG771" i="2"/>
  <c r="AF771" i="2"/>
  <c r="AE771" i="2"/>
  <c r="AD771" i="2"/>
  <c r="AC771" i="2"/>
  <c r="AB771" i="2"/>
  <c r="AK771" i="2" s="1"/>
  <c r="AA771" i="2"/>
  <c r="X771" i="2"/>
  <c r="J771" i="2"/>
  <c r="AJ770" i="2"/>
  <c r="AH770" i="2"/>
  <c r="AG770" i="2"/>
  <c r="AF770" i="2"/>
  <c r="AE770" i="2"/>
  <c r="AD770" i="2"/>
  <c r="AC770" i="2"/>
  <c r="AB770" i="2"/>
  <c r="AK770" i="2" s="1"/>
  <c r="AA770" i="2"/>
  <c r="X770" i="2"/>
  <c r="J770" i="2"/>
  <c r="AJ769" i="2"/>
  <c r="AH769" i="2"/>
  <c r="AG769" i="2"/>
  <c r="AF769" i="2"/>
  <c r="AE769" i="2"/>
  <c r="AD769" i="2"/>
  <c r="AC769" i="2"/>
  <c r="AB769" i="2"/>
  <c r="AK769" i="2" s="1"/>
  <c r="AA769" i="2"/>
  <c r="X769" i="2"/>
  <c r="J769" i="2"/>
  <c r="AJ768" i="2"/>
  <c r="AH768" i="2"/>
  <c r="AG768" i="2"/>
  <c r="AF768" i="2"/>
  <c r="AE768" i="2"/>
  <c r="AD768" i="2"/>
  <c r="AC768" i="2"/>
  <c r="AB768" i="2"/>
  <c r="AK768" i="2" s="1"/>
  <c r="AA768" i="2"/>
  <c r="X768" i="2"/>
  <c r="X767" i="2" s="1"/>
  <c r="X766" i="2" s="1"/>
  <c r="J768" i="2"/>
  <c r="AX767" i="2"/>
  <c r="V767" i="2"/>
  <c r="T767" i="2"/>
  <c r="R767" i="2"/>
  <c r="M767" i="2"/>
  <c r="M766" i="2" s="1"/>
  <c r="L767" i="2"/>
  <c r="K767" i="2"/>
  <c r="K766" i="2" s="1"/>
  <c r="J766" i="2" s="1"/>
  <c r="AX766" i="2"/>
  <c r="V766" i="2"/>
  <c r="U766" i="2"/>
  <c r="U767" i="2" s="1"/>
  <c r="T766" i="2"/>
  <c r="S766" i="2"/>
  <c r="S767" i="2" s="1"/>
  <c r="R766" i="2"/>
  <c r="O766" i="2"/>
  <c r="O767" i="2" s="1"/>
  <c r="N766" i="2"/>
  <c r="N767" i="2" s="1"/>
  <c r="L766" i="2"/>
  <c r="AJ765" i="2"/>
  <c r="AH765" i="2"/>
  <c r="AG765" i="2"/>
  <c r="AF765" i="2"/>
  <c r="AE765" i="2"/>
  <c r="AD765" i="2"/>
  <c r="AC765" i="2"/>
  <c r="AB765" i="2"/>
  <c r="AK765" i="2" s="1"/>
  <c r="AA765" i="2"/>
  <c r="X765" i="2"/>
  <c r="J765" i="2"/>
  <c r="AJ764" i="2"/>
  <c r="AH764" i="2"/>
  <c r="AG764" i="2"/>
  <c r="AF764" i="2"/>
  <c r="AE764" i="2"/>
  <c r="AD764" i="2"/>
  <c r="AC764" i="2"/>
  <c r="AB764" i="2"/>
  <c r="AK764" i="2" s="1"/>
  <c r="AA764" i="2"/>
  <c r="X764" i="2"/>
  <c r="J764" i="2"/>
  <c r="AJ763" i="2"/>
  <c r="AH763" i="2"/>
  <c r="AG763" i="2"/>
  <c r="AF763" i="2"/>
  <c r="AE763" i="2"/>
  <c r="AD763" i="2"/>
  <c r="AC763" i="2"/>
  <c r="AB763" i="2"/>
  <c r="AK763" i="2" s="1"/>
  <c r="AA763" i="2"/>
  <c r="X763" i="2"/>
  <c r="J763" i="2"/>
  <c r="AJ762" i="2"/>
  <c r="AH762" i="2"/>
  <c r="AG762" i="2"/>
  <c r="AF762" i="2"/>
  <c r="AE762" i="2"/>
  <c r="AD762" i="2"/>
  <c r="AC762" i="2"/>
  <c r="AB762" i="2"/>
  <c r="AK762" i="2" s="1"/>
  <c r="AA762" i="2"/>
  <c r="X762" i="2"/>
  <c r="J762" i="2"/>
  <c r="AJ761" i="2"/>
  <c r="AH761" i="2"/>
  <c r="AG761" i="2"/>
  <c r="AF761" i="2"/>
  <c r="AE761" i="2"/>
  <c r="AD761" i="2"/>
  <c r="AC761" i="2"/>
  <c r="AB761" i="2"/>
  <c r="AK761" i="2" s="1"/>
  <c r="AA761" i="2"/>
  <c r="X761" i="2"/>
  <c r="J761" i="2"/>
  <c r="AJ760" i="2"/>
  <c r="AH760" i="2"/>
  <c r="AG760" i="2"/>
  <c r="AF760" i="2"/>
  <c r="AE760" i="2"/>
  <c r="AD760" i="2"/>
  <c r="AC760" i="2"/>
  <c r="AB760" i="2"/>
  <c r="AK760" i="2" s="1"/>
  <c r="AA760" i="2"/>
  <c r="X760" i="2"/>
  <c r="J760" i="2"/>
  <c r="AJ759" i="2"/>
  <c r="AH759" i="2"/>
  <c r="AG759" i="2"/>
  <c r="AF759" i="2"/>
  <c r="AE759" i="2"/>
  <c r="AD759" i="2"/>
  <c r="AC759" i="2"/>
  <c r="AB759" i="2"/>
  <c r="AK759" i="2" s="1"/>
  <c r="AA759" i="2"/>
  <c r="X759" i="2"/>
  <c r="J759" i="2"/>
  <c r="AJ758" i="2"/>
  <c r="AH758" i="2"/>
  <c r="AG758" i="2"/>
  <c r="AF758" i="2"/>
  <c r="AE758" i="2"/>
  <c r="AD758" i="2"/>
  <c r="AC758" i="2"/>
  <c r="AB758" i="2"/>
  <c r="AK758" i="2" s="1"/>
  <c r="AA758" i="2"/>
  <c r="X758" i="2"/>
  <c r="J758" i="2"/>
  <c r="AJ757" i="2"/>
  <c r="AH757" i="2"/>
  <c r="AG757" i="2"/>
  <c r="AF757" i="2"/>
  <c r="AE757" i="2"/>
  <c r="AD757" i="2"/>
  <c r="AC757" i="2"/>
  <c r="AB757" i="2"/>
  <c r="AK757" i="2" s="1"/>
  <c r="AA757" i="2"/>
  <c r="X757" i="2"/>
  <c r="J757" i="2"/>
  <c r="AJ756" i="2"/>
  <c r="AH756" i="2"/>
  <c r="AG756" i="2"/>
  <c r="AF756" i="2"/>
  <c r="AE756" i="2"/>
  <c r="AD756" i="2"/>
  <c r="AC756" i="2"/>
  <c r="AB756" i="2"/>
  <c r="AA756" i="2"/>
  <c r="X756" i="2"/>
  <c r="J756" i="2"/>
  <c r="AJ755" i="2"/>
  <c r="AH755" i="2"/>
  <c r="AG755" i="2"/>
  <c r="AF755" i="2"/>
  <c r="AE755" i="2"/>
  <c r="AD755" i="2"/>
  <c r="AC755" i="2"/>
  <c r="AB755" i="2"/>
  <c r="AA755" i="2"/>
  <c r="X755" i="2"/>
  <c r="J755" i="2"/>
  <c r="AJ754" i="2"/>
  <c r="AH754" i="2"/>
  <c r="AG754" i="2"/>
  <c r="AF754" i="2"/>
  <c r="AE754" i="2"/>
  <c r="AD754" i="2"/>
  <c r="AC754" i="2"/>
  <c r="AB754" i="2"/>
  <c r="AA754" i="2"/>
  <c r="X754" i="2"/>
  <c r="J754" i="2"/>
  <c r="AJ753" i="2"/>
  <c r="AH753" i="2"/>
  <c r="AG753" i="2"/>
  <c r="AF753" i="2"/>
  <c r="AE753" i="2"/>
  <c r="AD753" i="2"/>
  <c r="AC753" i="2"/>
  <c r="AB753" i="2"/>
  <c r="AA753" i="2"/>
  <c r="X753" i="2"/>
  <c r="J753" i="2"/>
  <c r="AJ752" i="2"/>
  <c r="AH752" i="2"/>
  <c r="AG752" i="2"/>
  <c r="AF752" i="2"/>
  <c r="AE752" i="2"/>
  <c r="AD752" i="2"/>
  <c r="AC752" i="2"/>
  <c r="AB752" i="2"/>
  <c r="AK752" i="2" s="1"/>
  <c r="AA752" i="2"/>
  <c r="X752" i="2"/>
  <c r="J752" i="2"/>
  <c r="AJ751" i="2"/>
  <c r="AH751" i="2"/>
  <c r="AG751" i="2"/>
  <c r="AF751" i="2"/>
  <c r="AE751" i="2"/>
  <c r="AD751" i="2"/>
  <c r="AC751" i="2"/>
  <c r="AB751" i="2"/>
  <c r="AK751" i="2" s="1"/>
  <c r="AA751" i="2"/>
  <c r="X751" i="2"/>
  <c r="J751" i="2"/>
  <c r="AJ750" i="2"/>
  <c r="AH750" i="2"/>
  <c r="AG750" i="2"/>
  <c r="AF750" i="2"/>
  <c r="AE750" i="2"/>
  <c r="AD750" i="2"/>
  <c r="AC750" i="2"/>
  <c r="AB750" i="2"/>
  <c r="AA750" i="2"/>
  <c r="X750" i="2"/>
  <c r="J750" i="2"/>
  <c r="AJ749" i="2"/>
  <c r="AH749" i="2"/>
  <c r="AG749" i="2"/>
  <c r="AF749" i="2"/>
  <c r="AE749" i="2"/>
  <c r="AD749" i="2"/>
  <c r="AC749" i="2"/>
  <c r="AB749" i="2"/>
  <c r="AK749" i="2" s="1"/>
  <c r="AA749" i="2"/>
  <c r="X749" i="2"/>
  <c r="J749" i="2"/>
  <c r="AJ748" i="2"/>
  <c r="AH748" i="2"/>
  <c r="AG748" i="2"/>
  <c r="AF748" i="2"/>
  <c r="AE748" i="2"/>
  <c r="AD748" i="2"/>
  <c r="AC748" i="2"/>
  <c r="AB748" i="2"/>
  <c r="AA748" i="2"/>
  <c r="X748" i="2"/>
  <c r="J748" i="2"/>
  <c r="AJ747" i="2"/>
  <c r="AH747" i="2"/>
  <c r="AG747" i="2"/>
  <c r="AF747" i="2"/>
  <c r="AE747" i="2"/>
  <c r="AD747" i="2"/>
  <c r="AC747" i="2"/>
  <c r="AB747" i="2"/>
  <c r="AA747" i="2"/>
  <c r="X747" i="2"/>
  <c r="J747" i="2"/>
  <c r="AJ746" i="2"/>
  <c r="AH746" i="2"/>
  <c r="AG746" i="2"/>
  <c r="AF746" i="2"/>
  <c r="AE746" i="2"/>
  <c r="AD746" i="2"/>
  <c r="AC746" i="2"/>
  <c r="AB746" i="2"/>
  <c r="AA746" i="2"/>
  <c r="X746" i="2"/>
  <c r="J746" i="2"/>
  <c r="AJ745" i="2"/>
  <c r="AH745" i="2"/>
  <c r="AG745" i="2"/>
  <c r="AF745" i="2"/>
  <c r="AE745" i="2"/>
  <c r="AD745" i="2"/>
  <c r="AC745" i="2"/>
  <c r="AB745" i="2"/>
  <c r="AA745" i="2"/>
  <c r="X745" i="2"/>
  <c r="J745" i="2"/>
  <c r="AJ744" i="2"/>
  <c r="AH744" i="2"/>
  <c r="AG744" i="2"/>
  <c r="AF744" i="2"/>
  <c r="AE744" i="2"/>
  <c r="AD744" i="2"/>
  <c r="AC744" i="2"/>
  <c r="AB744" i="2"/>
  <c r="AK744" i="2" s="1"/>
  <c r="AA744" i="2"/>
  <c r="X744" i="2"/>
  <c r="J744" i="2"/>
  <c r="AJ743" i="2"/>
  <c r="AH743" i="2"/>
  <c r="AG743" i="2"/>
  <c r="AF743" i="2"/>
  <c r="AE743" i="2"/>
  <c r="AD743" i="2"/>
  <c r="AC743" i="2"/>
  <c r="AB743" i="2"/>
  <c r="AA743" i="2"/>
  <c r="X743" i="2"/>
  <c r="J743" i="2"/>
  <c r="AJ742" i="2"/>
  <c r="AH742" i="2"/>
  <c r="AG742" i="2"/>
  <c r="AF742" i="2"/>
  <c r="AE742" i="2"/>
  <c r="AD742" i="2"/>
  <c r="AC742" i="2"/>
  <c r="AB742" i="2"/>
  <c r="AA742" i="2"/>
  <c r="X742" i="2"/>
  <c r="J742" i="2"/>
  <c r="AJ741" i="2"/>
  <c r="AH741" i="2"/>
  <c r="AG741" i="2"/>
  <c r="AF741" i="2"/>
  <c r="AE741" i="2"/>
  <c r="AD741" i="2"/>
  <c r="AC741" i="2"/>
  <c r="AB741" i="2"/>
  <c r="AA741" i="2"/>
  <c r="X741" i="2"/>
  <c r="J741" i="2"/>
  <c r="AJ740" i="2"/>
  <c r="AH740" i="2"/>
  <c r="AG740" i="2"/>
  <c r="AF740" i="2"/>
  <c r="AE740" i="2"/>
  <c r="AD740" i="2"/>
  <c r="AC740" i="2"/>
  <c r="AB740" i="2"/>
  <c r="AK740" i="2" s="1"/>
  <c r="AA740" i="2"/>
  <c r="X740" i="2"/>
  <c r="J740" i="2"/>
  <c r="AJ739" i="2"/>
  <c r="AH739" i="2"/>
  <c r="AG739" i="2"/>
  <c r="AF739" i="2"/>
  <c r="AE739" i="2"/>
  <c r="AD739" i="2"/>
  <c r="AC739" i="2"/>
  <c r="AB739" i="2"/>
  <c r="AK739" i="2" s="1"/>
  <c r="AA739" i="2"/>
  <c r="X739" i="2"/>
  <c r="J739" i="2"/>
  <c r="AJ738" i="2"/>
  <c r="AH738" i="2"/>
  <c r="AG738" i="2"/>
  <c r="AF738" i="2"/>
  <c r="AE738" i="2"/>
  <c r="AD738" i="2"/>
  <c r="AC738" i="2"/>
  <c r="AB738" i="2"/>
  <c r="AA738" i="2"/>
  <c r="X738" i="2"/>
  <c r="J738" i="2"/>
  <c r="AJ737" i="2"/>
  <c r="AH737" i="2"/>
  <c r="AG737" i="2"/>
  <c r="AF737" i="2"/>
  <c r="AE737" i="2"/>
  <c r="AD737" i="2"/>
  <c r="AC737" i="2"/>
  <c r="AB737" i="2"/>
  <c r="AK737" i="2" s="1"/>
  <c r="AA737" i="2"/>
  <c r="X737" i="2"/>
  <c r="J737" i="2"/>
  <c r="AJ736" i="2"/>
  <c r="AH736" i="2"/>
  <c r="AG736" i="2"/>
  <c r="AF736" i="2"/>
  <c r="AE736" i="2"/>
  <c r="AD736" i="2"/>
  <c r="AC736" i="2"/>
  <c r="AB736" i="2"/>
  <c r="AA736" i="2"/>
  <c r="X736" i="2"/>
  <c r="J736" i="2"/>
  <c r="AJ735" i="2"/>
  <c r="AH735" i="2"/>
  <c r="AG735" i="2"/>
  <c r="AF735" i="2"/>
  <c r="AE735" i="2"/>
  <c r="AD735" i="2"/>
  <c r="AC735" i="2"/>
  <c r="AB735" i="2"/>
  <c r="AA735" i="2"/>
  <c r="X735" i="2"/>
  <c r="J735" i="2"/>
  <c r="AJ734" i="2"/>
  <c r="AH734" i="2"/>
  <c r="AG734" i="2"/>
  <c r="AF734" i="2"/>
  <c r="AE734" i="2"/>
  <c r="AD734" i="2"/>
  <c r="AC734" i="2"/>
  <c r="AB734" i="2"/>
  <c r="AA734" i="2"/>
  <c r="X734" i="2"/>
  <c r="J734" i="2"/>
  <c r="AJ733" i="2"/>
  <c r="AH733" i="2"/>
  <c r="AG733" i="2"/>
  <c r="AF733" i="2"/>
  <c r="AE733" i="2"/>
  <c r="AD733" i="2"/>
  <c r="AC733" i="2"/>
  <c r="AB733" i="2"/>
  <c r="AA733" i="2"/>
  <c r="X733" i="2"/>
  <c r="J733" i="2"/>
  <c r="AJ732" i="2"/>
  <c r="AH732" i="2"/>
  <c r="AG732" i="2"/>
  <c r="AF732" i="2"/>
  <c r="AE732" i="2"/>
  <c r="AD732" i="2"/>
  <c r="AC732" i="2"/>
  <c r="AB732" i="2"/>
  <c r="AK732" i="2" s="1"/>
  <c r="AA732" i="2"/>
  <c r="X732" i="2"/>
  <c r="J732" i="2"/>
  <c r="AJ731" i="2"/>
  <c r="AH731" i="2"/>
  <c r="AG731" i="2"/>
  <c r="AF731" i="2"/>
  <c r="AE731" i="2"/>
  <c r="AD731" i="2"/>
  <c r="AC731" i="2"/>
  <c r="AB731" i="2"/>
  <c r="AA731" i="2"/>
  <c r="X731" i="2"/>
  <c r="J731" i="2"/>
  <c r="AJ730" i="2"/>
  <c r="AH730" i="2"/>
  <c r="AG730" i="2"/>
  <c r="AF730" i="2"/>
  <c r="AE730" i="2"/>
  <c r="AD730" i="2"/>
  <c r="AC730" i="2"/>
  <c r="AB730" i="2"/>
  <c r="AA730" i="2"/>
  <c r="X730" i="2"/>
  <c r="J730" i="2"/>
  <c r="AJ729" i="2"/>
  <c r="AH729" i="2"/>
  <c r="AG729" i="2"/>
  <c r="AF729" i="2"/>
  <c r="AE729" i="2"/>
  <c r="AD729" i="2"/>
  <c r="AC729" i="2"/>
  <c r="AB729" i="2"/>
  <c r="AA729" i="2"/>
  <c r="X729" i="2"/>
  <c r="J729" i="2"/>
  <c r="AJ728" i="2"/>
  <c r="AH728" i="2"/>
  <c r="AG728" i="2"/>
  <c r="AF728" i="2"/>
  <c r="AE728" i="2"/>
  <c r="AD728" i="2"/>
  <c r="AC728" i="2"/>
  <c r="AB728" i="2"/>
  <c r="AK728" i="2" s="1"/>
  <c r="AA728" i="2"/>
  <c r="X728" i="2"/>
  <c r="J728" i="2"/>
  <c r="AJ727" i="2"/>
  <c r="AH727" i="2"/>
  <c r="AG727" i="2"/>
  <c r="AF727" i="2"/>
  <c r="AE727" i="2"/>
  <c r="AD727" i="2"/>
  <c r="AC727" i="2"/>
  <c r="AB727" i="2"/>
  <c r="AK727" i="2" s="1"/>
  <c r="AA727" i="2"/>
  <c r="X727" i="2"/>
  <c r="J727" i="2"/>
  <c r="AJ726" i="2"/>
  <c r="AH726" i="2"/>
  <c r="AG726" i="2"/>
  <c r="AF726" i="2"/>
  <c r="AE726" i="2"/>
  <c r="AD726" i="2"/>
  <c r="AC726" i="2"/>
  <c r="AB726" i="2"/>
  <c r="AA726" i="2"/>
  <c r="X726" i="2"/>
  <c r="J726" i="2"/>
  <c r="AJ725" i="2"/>
  <c r="AH725" i="2"/>
  <c r="AG725" i="2"/>
  <c r="AF725" i="2"/>
  <c r="AE725" i="2"/>
  <c r="AD725" i="2"/>
  <c r="AC725" i="2"/>
  <c r="AB725" i="2"/>
  <c r="AK725" i="2" s="1"/>
  <c r="AA725" i="2"/>
  <c r="X725" i="2"/>
  <c r="J725" i="2"/>
  <c r="AJ724" i="2"/>
  <c r="AH724" i="2"/>
  <c r="AG724" i="2"/>
  <c r="AF724" i="2"/>
  <c r="AE724" i="2"/>
  <c r="AD724" i="2"/>
  <c r="AC724" i="2"/>
  <c r="AB724" i="2"/>
  <c r="AA724" i="2"/>
  <c r="X724" i="2"/>
  <c r="J724" i="2"/>
  <c r="AJ723" i="2"/>
  <c r="AH723" i="2"/>
  <c r="AG723" i="2"/>
  <c r="AF723" i="2"/>
  <c r="AE723" i="2"/>
  <c r="AD723" i="2"/>
  <c r="AC723" i="2"/>
  <c r="AB723" i="2"/>
  <c r="AA723" i="2"/>
  <c r="X723" i="2"/>
  <c r="J723" i="2"/>
  <c r="AJ722" i="2"/>
  <c r="AH722" i="2"/>
  <c r="AG722" i="2"/>
  <c r="AF722" i="2"/>
  <c r="AE722" i="2"/>
  <c r="AD722" i="2"/>
  <c r="AC722" i="2"/>
  <c r="AB722" i="2"/>
  <c r="AA722" i="2"/>
  <c r="X722" i="2"/>
  <c r="J722" i="2"/>
  <c r="AJ721" i="2"/>
  <c r="AH721" i="2"/>
  <c r="AG721" i="2"/>
  <c r="AF721" i="2"/>
  <c r="AE721" i="2"/>
  <c r="AD721" i="2"/>
  <c r="AC721" i="2"/>
  <c r="AB721" i="2"/>
  <c r="AA721" i="2"/>
  <c r="X721" i="2"/>
  <c r="J721" i="2"/>
  <c r="AJ720" i="2"/>
  <c r="AH720" i="2"/>
  <c r="AG720" i="2"/>
  <c r="AF720" i="2"/>
  <c r="AE720" i="2"/>
  <c r="AD720" i="2"/>
  <c r="AC720" i="2"/>
  <c r="AB720" i="2"/>
  <c r="AA720" i="2"/>
  <c r="X720" i="2"/>
  <c r="J720" i="2"/>
  <c r="AJ719" i="2"/>
  <c r="AH719" i="2"/>
  <c r="AG719" i="2"/>
  <c r="AF719" i="2"/>
  <c r="AE719" i="2"/>
  <c r="AD719" i="2"/>
  <c r="AC719" i="2"/>
  <c r="AB719" i="2"/>
  <c r="AA719" i="2"/>
  <c r="X719" i="2"/>
  <c r="J719" i="2"/>
  <c r="AJ718" i="2"/>
  <c r="AH718" i="2"/>
  <c r="AG718" i="2"/>
  <c r="AF718" i="2"/>
  <c r="AE718" i="2"/>
  <c r="AD718" i="2"/>
  <c r="AC718" i="2"/>
  <c r="AB718" i="2"/>
  <c r="AA718" i="2"/>
  <c r="X718" i="2"/>
  <c r="J718" i="2"/>
  <c r="AJ717" i="2"/>
  <c r="AH717" i="2"/>
  <c r="AG717" i="2"/>
  <c r="AF717" i="2"/>
  <c r="AE717" i="2"/>
  <c r="AD717" i="2"/>
  <c r="AC717" i="2"/>
  <c r="AB717" i="2"/>
  <c r="AA717" i="2"/>
  <c r="X717" i="2"/>
  <c r="J717" i="2"/>
  <c r="AJ716" i="2"/>
  <c r="AH716" i="2"/>
  <c r="AG716" i="2"/>
  <c r="AF716" i="2"/>
  <c r="AE716" i="2"/>
  <c r="AD716" i="2"/>
  <c r="AC716" i="2"/>
  <c r="AB716" i="2"/>
  <c r="AK716" i="2" s="1"/>
  <c r="AA716" i="2"/>
  <c r="X716" i="2"/>
  <c r="J716" i="2"/>
  <c r="AJ715" i="2"/>
  <c r="AH715" i="2"/>
  <c r="AG715" i="2"/>
  <c r="AF715" i="2"/>
  <c r="AE715" i="2"/>
  <c r="AD715" i="2"/>
  <c r="AC715" i="2"/>
  <c r="AB715" i="2"/>
  <c r="AK715" i="2" s="1"/>
  <c r="AA715" i="2"/>
  <c r="X715" i="2"/>
  <c r="J715" i="2"/>
  <c r="AJ714" i="2"/>
  <c r="AH714" i="2"/>
  <c r="AG714" i="2"/>
  <c r="AF714" i="2"/>
  <c r="AE714" i="2"/>
  <c r="AD714" i="2"/>
  <c r="AC714" i="2"/>
  <c r="AB714" i="2"/>
  <c r="AA714" i="2"/>
  <c r="X714" i="2"/>
  <c r="J714" i="2"/>
  <c r="AJ713" i="2"/>
  <c r="AH713" i="2"/>
  <c r="AG713" i="2"/>
  <c r="AF713" i="2"/>
  <c r="AE713" i="2"/>
  <c r="AD713" i="2"/>
  <c r="AC713" i="2"/>
  <c r="AB713" i="2"/>
  <c r="AK713" i="2" s="1"/>
  <c r="AA713" i="2"/>
  <c r="X713" i="2"/>
  <c r="J713" i="2"/>
  <c r="AJ712" i="2"/>
  <c r="AH712" i="2"/>
  <c r="AG712" i="2"/>
  <c r="AF712" i="2"/>
  <c r="AE712" i="2"/>
  <c r="AD712" i="2"/>
  <c r="AC712" i="2"/>
  <c r="AB712" i="2"/>
  <c r="AA712" i="2"/>
  <c r="X712" i="2"/>
  <c r="J712" i="2"/>
  <c r="AJ711" i="2"/>
  <c r="AG711" i="2"/>
  <c r="AF711" i="2"/>
  <c r="AE711" i="2"/>
  <c r="AD711" i="2"/>
  <c r="AC711" i="2"/>
  <c r="AB711" i="2"/>
  <c r="AA711" i="2"/>
  <c r="AH711" i="2" s="1"/>
  <c r="X711" i="2"/>
  <c r="J711" i="2"/>
  <c r="AJ710" i="2"/>
  <c r="AH710" i="2"/>
  <c r="AG710" i="2"/>
  <c r="AF710" i="2"/>
  <c r="AE710" i="2"/>
  <c r="AD710" i="2"/>
  <c r="AC710" i="2"/>
  <c r="AB710" i="2"/>
  <c r="AA710" i="2"/>
  <c r="X710" i="2"/>
  <c r="J710" i="2"/>
  <c r="AJ709" i="2"/>
  <c r="AH709" i="2"/>
  <c r="AG709" i="2"/>
  <c r="AF709" i="2"/>
  <c r="AE709" i="2"/>
  <c r="AD709" i="2"/>
  <c r="AC709" i="2"/>
  <c r="AB709" i="2"/>
  <c r="AA709" i="2"/>
  <c r="X709" i="2"/>
  <c r="J709" i="2"/>
  <c r="AJ708" i="2"/>
  <c r="AH708" i="2"/>
  <c r="AG708" i="2"/>
  <c r="AF708" i="2"/>
  <c r="AE708" i="2"/>
  <c r="AD708" i="2"/>
  <c r="AC708" i="2"/>
  <c r="AB708" i="2"/>
  <c r="AK708" i="2" s="1"/>
  <c r="AA708" i="2"/>
  <c r="X708" i="2"/>
  <c r="J708" i="2"/>
  <c r="AJ707" i="2"/>
  <c r="AH707" i="2"/>
  <c r="AG707" i="2"/>
  <c r="AF707" i="2"/>
  <c r="AE707" i="2"/>
  <c r="AD707" i="2"/>
  <c r="AC707" i="2"/>
  <c r="AB707" i="2"/>
  <c r="AA707" i="2"/>
  <c r="X707" i="2"/>
  <c r="J707" i="2"/>
  <c r="AJ706" i="2"/>
  <c r="AH706" i="2"/>
  <c r="AG706" i="2"/>
  <c r="AF706" i="2"/>
  <c r="AE706" i="2"/>
  <c r="AD706" i="2"/>
  <c r="AC706" i="2"/>
  <c r="AB706" i="2"/>
  <c r="AA706" i="2"/>
  <c r="X706" i="2"/>
  <c r="J706" i="2"/>
  <c r="AJ705" i="2"/>
  <c r="AH705" i="2"/>
  <c r="AG705" i="2"/>
  <c r="AF705" i="2"/>
  <c r="AE705" i="2"/>
  <c r="AD705" i="2"/>
  <c r="AC705" i="2"/>
  <c r="AB705" i="2"/>
  <c r="AA705" i="2"/>
  <c r="X705" i="2"/>
  <c r="J705" i="2"/>
  <c r="AJ704" i="2"/>
  <c r="AH704" i="2"/>
  <c r="AG704" i="2"/>
  <c r="AF704" i="2"/>
  <c r="AE704" i="2"/>
  <c r="AD704" i="2"/>
  <c r="AC704" i="2"/>
  <c r="AB704" i="2"/>
  <c r="AK704" i="2" s="1"/>
  <c r="AA704" i="2"/>
  <c r="X704" i="2"/>
  <c r="J704" i="2"/>
  <c r="AJ703" i="2"/>
  <c r="AH703" i="2"/>
  <c r="AG703" i="2"/>
  <c r="AF703" i="2"/>
  <c r="AE703" i="2"/>
  <c r="AD703" i="2"/>
  <c r="AC703" i="2"/>
  <c r="AB703" i="2"/>
  <c r="AA703" i="2"/>
  <c r="X703" i="2"/>
  <c r="J703" i="2"/>
  <c r="AJ702" i="2"/>
  <c r="AH702" i="2"/>
  <c r="AG702" i="2"/>
  <c r="AF702" i="2"/>
  <c r="AE702" i="2"/>
  <c r="AD702" i="2"/>
  <c r="AC702" i="2"/>
  <c r="AB702" i="2"/>
  <c r="AA702" i="2"/>
  <c r="X702" i="2"/>
  <c r="J702" i="2"/>
  <c r="AJ701" i="2"/>
  <c r="AH701" i="2"/>
  <c r="AG701" i="2"/>
  <c r="AF701" i="2"/>
  <c r="AE701" i="2"/>
  <c r="AD701" i="2"/>
  <c r="AC701" i="2"/>
  <c r="AB701" i="2"/>
  <c r="AK701" i="2" s="1"/>
  <c r="AA701" i="2"/>
  <c r="X701" i="2"/>
  <c r="J701" i="2"/>
  <c r="AJ700" i="2"/>
  <c r="AH700" i="2"/>
  <c r="AG700" i="2"/>
  <c r="AF700" i="2"/>
  <c r="AE700" i="2"/>
  <c r="AD700" i="2"/>
  <c r="AC700" i="2"/>
  <c r="AB700" i="2"/>
  <c r="AA700" i="2"/>
  <c r="X700" i="2"/>
  <c r="J700" i="2"/>
  <c r="AJ699" i="2"/>
  <c r="AH699" i="2"/>
  <c r="AG699" i="2"/>
  <c r="AF699" i="2"/>
  <c r="AE699" i="2"/>
  <c r="AD699" i="2"/>
  <c r="AC699" i="2"/>
  <c r="AB699" i="2"/>
  <c r="AA699" i="2"/>
  <c r="X699" i="2"/>
  <c r="J699" i="2"/>
  <c r="AJ698" i="2"/>
  <c r="AH698" i="2"/>
  <c r="AG698" i="2"/>
  <c r="AF698" i="2"/>
  <c r="AE698" i="2"/>
  <c r="AD698" i="2"/>
  <c r="AC698" i="2"/>
  <c r="AB698" i="2"/>
  <c r="AA698" i="2"/>
  <c r="X698" i="2"/>
  <c r="J698" i="2"/>
  <c r="AJ697" i="2"/>
  <c r="AH697" i="2"/>
  <c r="AG697" i="2"/>
  <c r="AF697" i="2"/>
  <c r="AE697" i="2"/>
  <c r="AD697" i="2"/>
  <c r="AC697" i="2"/>
  <c r="AB697" i="2"/>
  <c r="AA697" i="2"/>
  <c r="X697" i="2"/>
  <c r="J697" i="2"/>
  <c r="AJ696" i="2"/>
  <c r="AH696" i="2"/>
  <c r="AG696" i="2"/>
  <c r="AF696" i="2"/>
  <c r="AE696" i="2"/>
  <c r="AD696" i="2"/>
  <c r="AC696" i="2"/>
  <c r="AB696" i="2"/>
  <c r="AK696" i="2" s="1"/>
  <c r="AA696" i="2"/>
  <c r="X696" i="2"/>
  <c r="J696" i="2"/>
  <c r="AJ695" i="2"/>
  <c r="AH695" i="2"/>
  <c r="AG695" i="2"/>
  <c r="AF695" i="2"/>
  <c r="AE695" i="2"/>
  <c r="AD695" i="2"/>
  <c r="AC695" i="2"/>
  <c r="AB695" i="2"/>
  <c r="AA695" i="2"/>
  <c r="X695" i="2"/>
  <c r="J695" i="2"/>
  <c r="AJ694" i="2"/>
  <c r="AH694" i="2"/>
  <c r="AG694" i="2"/>
  <c r="AF694" i="2"/>
  <c r="AE694" i="2"/>
  <c r="AD694" i="2"/>
  <c r="AC694" i="2"/>
  <c r="AB694" i="2"/>
  <c r="AA694" i="2"/>
  <c r="X694" i="2"/>
  <c r="J694" i="2"/>
  <c r="AJ693" i="2"/>
  <c r="AH693" i="2"/>
  <c r="AG693" i="2"/>
  <c r="AF693" i="2"/>
  <c r="AE693" i="2"/>
  <c r="AD693" i="2"/>
  <c r="AC693" i="2"/>
  <c r="AB693" i="2"/>
  <c r="AA693" i="2"/>
  <c r="X693" i="2"/>
  <c r="J693" i="2"/>
  <c r="AJ692" i="2"/>
  <c r="AH692" i="2"/>
  <c r="AG692" i="2"/>
  <c r="AF692" i="2"/>
  <c r="AE692" i="2"/>
  <c r="AD692" i="2"/>
  <c r="AC692" i="2"/>
  <c r="AB692" i="2"/>
  <c r="AK692" i="2" s="1"/>
  <c r="AA692" i="2"/>
  <c r="X692" i="2"/>
  <c r="J692" i="2"/>
  <c r="AJ691" i="2"/>
  <c r="AH691" i="2"/>
  <c r="AG691" i="2"/>
  <c r="AF691" i="2"/>
  <c r="AE691" i="2"/>
  <c r="AD691" i="2"/>
  <c r="AC691" i="2"/>
  <c r="AB691" i="2"/>
  <c r="AA691" i="2"/>
  <c r="X691" i="2"/>
  <c r="J691" i="2"/>
  <c r="AJ690" i="2"/>
  <c r="AH690" i="2"/>
  <c r="AG690" i="2"/>
  <c r="AF690" i="2"/>
  <c r="AE690" i="2"/>
  <c r="AD690" i="2"/>
  <c r="AC690" i="2"/>
  <c r="AB690" i="2"/>
  <c r="AA690" i="2"/>
  <c r="X690" i="2"/>
  <c r="J690" i="2"/>
  <c r="AJ689" i="2"/>
  <c r="AH689" i="2"/>
  <c r="AG689" i="2"/>
  <c r="AF689" i="2"/>
  <c r="AE689" i="2"/>
  <c r="AD689" i="2"/>
  <c r="AC689" i="2"/>
  <c r="AB689" i="2"/>
  <c r="AK689" i="2" s="1"/>
  <c r="AA689" i="2"/>
  <c r="X689" i="2"/>
  <c r="J689" i="2"/>
  <c r="AJ688" i="2"/>
  <c r="AH688" i="2"/>
  <c r="AG688" i="2"/>
  <c r="AF688" i="2"/>
  <c r="AE688" i="2"/>
  <c r="AD688" i="2"/>
  <c r="AC688" i="2"/>
  <c r="AB688" i="2"/>
  <c r="AA688" i="2"/>
  <c r="X688" i="2"/>
  <c r="J688" i="2"/>
  <c r="AJ687" i="2"/>
  <c r="AH687" i="2"/>
  <c r="AG687" i="2"/>
  <c r="AF687" i="2"/>
  <c r="AE687" i="2"/>
  <c r="AD687" i="2"/>
  <c r="AC687" i="2"/>
  <c r="AB687" i="2"/>
  <c r="AA687" i="2"/>
  <c r="X687" i="2"/>
  <c r="J687" i="2"/>
  <c r="AJ686" i="2"/>
  <c r="AH686" i="2"/>
  <c r="AG686" i="2"/>
  <c r="AF686" i="2"/>
  <c r="AE686" i="2"/>
  <c r="AD686" i="2"/>
  <c r="AC686" i="2"/>
  <c r="AB686" i="2"/>
  <c r="AA686" i="2"/>
  <c r="X686" i="2"/>
  <c r="J686" i="2"/>
  <c r="AJ685" i="2"/>
  <c r="AH685" i="2"/>
  <c r="AG685" i="2"/>
  <c r="AF685" i="2"/>
  <c r="AE685" i="2"/>
  <c r="AD685" i="2"/>
  <c r="AC685" i="2"/>
  <c r="AB685" i="2"/>
  <c r="AA685" i="2"/>
  <c r="X685" i="2"/>
  <c r="J685" i="2"/>
  <c r="AJ684" i="2"/>
  <c r="AH684" i="2"/>
  <c r="AG684" i="2"/>
  <c r="AF684" i="2"/>
  <c r="AE684" i="2"/>
  <c r="AD684" i="2"/>
  <c r="AC684" i="2"/>
  <c r="AB684" i="2"/>
  <c r="AA684" i="2"/>
  <c r="X684" i="2"/>
  <c r="J684" i="2"/>
  <c r="AJ683" i="2"/>
  <c r="AH683" i="2"/>
  <c r="AG683" i="2"/>
  <c r="AF683" i="2"/>
  <c r="AE683" i="2"/>
  <c r="AD683" i="2"/>
  <c r="AC683" i="2"/>
  <c r="AB683" i="2"/>
  <c r="AA683" i="2"/>
  <c r="X683" i="2"/>
  <c r="J683" i="2"/>
  <c r="AJ682" i="2"/>
  <c r="AH682" i="2"/>
  <c r="AG682" i="2"/>
  <c r="AF682" i="2"/>
  <c r="AE682" i="2"/>
  <c r="AD682" i="2"/>
  <c r="AC682" i="2"/>
  <c r="AB682" i="2"/>
  <c r="AA682" i="2"/>
  <c r="X682" i="2"/>
  <c r="J682" i="2"/>
  <c r="AJ681" i="2"/>
  <c r="AH681" i="2"/>
  <c r="AG681" i="2"/>
  <c r="AF681" i="2"/>
  <c r="AE681" i="2"/>
  <c r="AD681" i="2"/>
  <c r="AC681" i="2"/>
  <c r="AB681" i="2"/>
  <c r="AA681" i="2"/>
  <c r="X681" i="2"/>
  <c r="J681" i="2"/>
  <c r="AJ680" i="2"/>
  <c r="AH680" i="2"/>
  <c r="AG680" i="2"/>
  <c r="AF680" i="2"/>
  <c r="AE680" i="2"/>
  <c r="AD680" i="2"/>
  <c r="AC680" i="2"/>
  <c r="AB680" i="2"/>
  <c r="AK680" i="2" s="1"/>
  <c r="AA680" i="2"/>
  <c r="X680" i="2"/>
  <c r="J680" i="2"/>
  <c r="AJ679" i="2"/>
  <c r="AH679" i="2"/>
  <c r="AG679" i="2"/>
  <c r="AF679" i="2"/>
  <c r="AE679" i="2"/>
  <c r="AD679" i="2"/>
  <c r="AC679" i="2"/>
  <c r="AB679" i="2"/>
  <c r="AA679" i="2"/>
  <c r="X679" i="2"/>
  <c r="J679" i="2"/>
  <c r="AJ678" i="2"/>
  <c r="AH678" i="2"/>
  <c r="AG678" i="2"/>
  <c r="AF678" i="2"/>
  <c r="AE678" i="2"/>
  <c r="AD678" i="2"/>
  <c r="AC678" i="2"/>
  <c r="AB678" i="2"/>
  <c r="AA678" i="2"/>
  <c r="X678" i="2"/>
  <c r="J678" i="2"/>
  <c r="AJ677" i="2"/>
  <c r="AH677" i="2"/>
  <c r="AG677" i="2"/>
  <c r="AF677" i="2"/>
  <c r="AE677" i="2"/>
  <c r="AD677" i="2"/>
  <c r="AC677" i="2"/>
  <c r="AB677" i="2"/>
  <c r="AK677" i="2" s="1"/>
  <c r="AA677" i="2"/>
  <c r="X677" i="2"/>
  <c r="J677" i="2"/>
  <c r="AJ676" i="2"/>
  <c r="AH676" i="2"/>
  <c r="AG676" i="2"/>
  <c r="AF676" i="2"/>
  <c r="AE676" i="2"/>
  <c r="AD676" i="2"/>
  <c r="AC676" i="2"/>
  <c r="AB676" i="2"/>
  <c r="AA676" i="2"/>
  <c r="X676" i="2"/>
  <c r="J676" i="2"/>
  <c r="AJ675" i="2"/>
  <c r="AH675" i="2"/>
  <c r="AG675" i="2"/>
  <c r="AF675" i="2"/>
  <c r="AE675" i="2"/>
  <c r="AD675" i="2"/>
  <c r="AC675" i="2"/>
  <c r="AB675" i="2"/>
  <c r="AA675" i="2"/>
  <c r="X675" i="2"/>
  <c r="J675" i="2"/>
  <c r="AJ674" i="2"/>
  <c r="AH674" i="2"/>
  <c r="AG674" i="2"/>
  <c r="AF674" i="2"/>
  <c r="AE674" i="2"/>
  <c r="AD674" i="2"/>
  <c r="AC674" i="2"/>
  <c r="AB674" i="2"/>
  <c r="AA674" i="2"/>
  <c r="X674" i="2"/>
  <c r="J674" i="2"/>
  <c r="AJ673" i="2"/>
  <c r="AH673" i="2"/>
  <c r="AG673" i="2"/>
  <c r="AF673" i="2"/>
  <c r="AE673" i="2"/>
  <c r="AD673" i="2"/>
  <c r="AC673" i="2"/>
  <c r="AB673" i="2"/>
  <c r="AA673" i="2"/>
  <c r="X673" i="2"/>
  <c r="J673" i="2"/>
  <c r="AJ672" i="2"/>
  <c r="AH672" i="2"/>
  <c r="AG672" i="2"/>
  <c r="AF672" i="2"/>
  <c r="AE672" i="2"/>
  <c r="AD672" i="2"/>
  <c r="AC672" i="2"/>
  <c r="AB672" i="2"/>
  <c r="AA672" i="2"/>
  <c r="X672" i="2"/>
  <c r="J672" i="2"/>
  <c r="AJ671" i="2"/>
  <c r="AH671" i="2"/>
  <c r="AG671" i="2"/>
  <c r="AF671" i="2"/>
  <c r="AE671" i="2"/>
  <c r="AD671" i="2"/>
  <c r="AC671" i="2"/>
  <c r="AB671" i="2"/>
  <c r="AA671" i="2"/>
  <c r="X671" i="2"/>
  <c r="J671" i="2"/>
  <c r="AJ670" i="2"/>
  <c r="AH670" i="2"/>
  <c r="AG670" i="2"/>
  <c r="AF670" i="2"/>
  <c r="AE670" i="2"/>
  <c r="AD670" i="2"/>
  <c r="AC670" i="2"/>
  <c r="AB670" i="2"/>
  <c r="AA670" i="2"/>
  <c r="X670" i="2"/>
  <c r="J670" i="2"/>
  <c r="AJ669" i="2"/>
  <c r="AH669" i="2"/>
  <c r="AG669" i="2"/>
  <c r="AF669" i="2"/>
  <c r="AE669" i="2"/>
  <c r="AD669" i="2"/>
  <c r="AC669" i="2"/>
  <c r="AB669" i="2"/>
  <c r="AA669" i="2"/>
  <c r="X669" i="2"/>
  <c r="J669" i="2"/>
  <c r="AJ668" i="2"/>
  <c r="AH668" i="2"/>
  <c r="AG668" i="2"/>
  <c r="AF668" i="2"/>
  <c r="AE668" i="2"/>
  <c r="AD668" i="2"/>
  <c r="AC668" i="2"/>
  <c r="AB668" i="2"/>
  <c r="AK668" i="2" s="1"/>
  <c r="AA668" i="2"/>
  <c r="X668" i="2"/>
  <c r="J668" i="2"/>
  <c r="AJ667" i="2"/>
  <c r="AH667" i="2"/>
  <c r="AG667" i="2"/>
  <c r="AF667" i="2"/>
  <c r="AE667" i="2"/>
  <c r="AD667" i="2"/>
  <c r="AC667" i="2"/>
  <c r="AB667" i="2"/>
  <c r="AA667" i="2"/>
  <c r="X667" i="2"/>
  <c r="J667" i="2"/>
  <c r="AJ666" i="2"/>
  <c r="AH666" i="2"/>
  <c r="AG666" i="2"/>
  <c r="AF666" i="2"/>
  <c r="AE666" i="2"/>
  <c r="AD666" i="2"/>
  <c r="AC666" i="2"/>
  <c r="AB666" i="2"/>
  <c r="AA666" i="2"/>
  <c r="X666" i="2"/>
  <c r="J666" i="2"/>
  <c r="AJ665" i="2"/>
  <c r="AH665" i="2"/>
  <c r="AG665" i="2"/>
  <c r="AF665" i="2"/>
  <c r="AE665" i="2"/>
  <c r="AD665" i="2"/>
  <c r="AC665" i="2"/>
  <c r="AB665" i="2"/>
  <c r="AK665" i="2" s="1"/>
  <c r="AA665" i="2"/>
  <c r="X665" i="2"/>
  <c r="J665" i="2"/>
  <c r="AJ664" i="2"/>
  <c r="AH664" i="2"/>
  <c r="AG664" i="2"/>
  <c r="AF664" i="2"/>
  <c r="AE664" i="2"/>
  <c r="AD664" i="2"/>
  <c r="AC664" i="2"/>
  <c r="AB664" i="2"/>
  <c r="AA664" i="2"/>
  <c r="X664" i="2"/>
  <c r="J664" i="2"/>
  <c r="AJ663" i="2"/>
  <c r="AH663" i="2"/>
  <c r="AG663" i="2"/>
  <c r="AF663" i="2"/>
  <c r="AE663" i="2"/>
  <c r="AD663" i="2"/>
  <c r="AC663" i="2"/>
  <c r="AB663" i="2"/>
  <c r="AA663" i="2"/>
  <c r="X663" i="2"/>
  <c r="J663" i="2"/>
  <c r="AJ662" i="2"/>
  <c r="AH662" i="2"/>
  <c r="AG662" i="2"/>
  <c r="AF662" i="2"/>
  <c r="AE662" i="2"/>
  <c r="AD662" i="2"/>
  <c r="AC662" i="2"/>
  <c r="AB662" i="2"/>
  <c r="AA662" i="2"/>
  <c r="X662" i="2"/>
  <c r="J662" i="2"/>
  <c r="AJ661" i="2"/>
  <c r="AH661" i="2"/>
  <c r="AG661" i="2"/>
  <c r="AF661" i="2"/>
  <c r="AE661" i="2"/>
  <c r="AD661" i="2"/>
  <c r="AC661" i="2"/>
  <c r="AB661" i="2"/>
  <c r="AA661" i="2"/>
  <c r="X661" i="2"/>
  <c r="J661" i="2"/>
  <c r="AJ660" i="2"/>
  <c r="AH660" i="2"/>
  <c r="AG660" i="2"/>
  <c r="AF660" i="2"/>
  <c r="AE660" i="2"/>
  <c r="AD660" i="2"/>
  <c r="AC660" i="2"/>
  <c r="AB660" i="2"/>
  <c r="AA660" i="2"/>
  <c r="X660" i="2"/>
  <c r="J660" i="2"/>
  <c r="AJ659" i="2"/>
  <c r="AH659" i="2"/>
  <c r="AG659" i="2"/>
  <c r="AF659" i="2"/>
  <c r="AE659" i="2"/>
  <c r="AD659" i="2"/>
  <c r="AC659" i="2"/>
  <c r="AB659" i="2"/>
  <c r="AA659" i="2"/>
  <c r="X659" i="2"/>
  <c r="J659" i="2"/>
  <c r="AJ658" i="2"/>
  <c r="AH658" i="2"/>
  <c r="AG658" i="2"/>
  <c r="AF658" i="2"/>
  <c r="AE658" i="2"/>
  <c r="AD658" i="2"/>
  <c r="AC658" i="2"/>
  <c r="AB658" i="2"/>
  <c r="AA658" i="2"/>
  <c r="X658" i="2"/>
  <c r="J658" i="2"/>
  <c r="AJ657" i="2"/>
  <c r="AH657" i="2"/>
  <c r="AG657" i="2"/>
  <c r="AF657" i="2"/>
  <c r="AE657" i="2"/>
  <c r="AD657" i="2"/>
  <c r="AC657" i="2"/>
  <c r="AB657" i="2"/>
  <c r="AA657" i="2"/>
  <c r="X657" i="2"/>
  <c r="J657" i="2"/>
  <c r="AJ656" i="2"/>
  <c r="AH656" i="2"/>
  <c r="AG656" i="2"/>
  <c r="AF656" i="2"/>
  <c r="AE656" i="2"/>
  <c r="AD656" i="2"/>
  <c r="AC656" i="2"/>
  <c r="AB656" i="2"/>
  <c r="AK656" i="2" s="1"/>
  <c r="AA656" i="2"/>
  <c r="X656" i="2"/>
  <c r="J656" i="2"/>
  <c r="AJ655" i="2"/>
  <c r="AH655" i="2"/>
  <c r="AG655" i="2"/>
  <c r="AF655" i="2"/>
  <c r="AE655" i="2"/>
  <c r="AD655" i="2"/>
  <c r="AC655" i="2"/>
  <c r="AB655" i="2"/>
  <c r="AA655" i="2"/>
  <c r="X655" i="2"/>
  <c r="J655" i="2"/>
  <c r="AJ654" i="2"/>
  <c r="AH654" i="2"/>
  <c r="AG654" i="2"/>
  <c r="AF654" i="2"/>
  <c r="AE654" i="2"/>
  <c r="AD654" i="2"/>
  <c r="AC654" i="2"/>
  <c r="AB654" i="2"/>
  <c r="AA654" i="2"/>
  <c r="X654" i="2"/>
  <c r="J654" i="2"/>
  <c r="AJ653" i="2"/>
  <c r="AH653" i="2"/>
  <c r="AG653" i="2"/>
  <c r="AF653" i="2"/>
  <c r="AE653" i="2"/>
  <c r="AD653" i="2"/>
  <c r="AC653" i="2"/>
  <c r="AB653" i="2"/>
  <c r="AK653" i="2" s="1"/>
  <c r="AA653" i="2"/>
  <c r="X653" i="2"/>
  <c r="J653" i="2"/>
  <c r="AJ652" i="2"/>
  <c r="AH652" i="2"/>
  <c r="AG652" i="2"/>
  <c r="AF652" i="2"/>
  <c r="AE652" i="2"/>
  <c r="AD652" i="2"/>
  <c r="AC652" i="2"/>
  <c r="AB652" i="2"/>
  <c r="AA652" i="2"/>
  <c r="X652" i="2"/>
  <c r="J652" i="2"/>
  <c r="AJ651" i="2"/>
  <c r="AH651" i="2"/>
  <c r="AG651" i="2"/>
  <c r="AF651" i="2"/>
  <c r="AE651" i="2"/>
  <c r="AD651" i="2"/>
  <c r="AC651" i="2"/>
  <c r="AB651" i="2"/>
  <c r="AA651" i="2"/>
  <c r="X651" i="2"/>
  <c r="J651" i="2"/>
  <c r="AJ650" i="2"/>
  <c r="AH650" i="2"/>
  <c r="AG650" i="2"/>
  <c r="AF650" i="2"/>
  <c r="AE650" i="2"/>
  <c r="AD650" i="2"/>
  <c r="AC650" i="2"/>
  <c r="AB650" i="2"/>
  <c r="AA650" i="2"/>
  <c r="X650" i="2"/>
  <c r="J650" i="2"/>
  <c r="AJ649" i="2"/>
  <c r="AH649" i="2"/>
  <c r="AG649" i="2"/>
  <c r="AF649" i="2"/>
  <c r="AE649" i="2"/>
  <c r="AD649" i="2"/>
  <c r="AC649" i="2"/>
  <c r="AB649" i="2"/>
  <c r="AA649" i="2"/>
  <c r="X649" i="2"/>
  <c r="J649" i="2"/>
  <c r="AJ648" i="2"/>
  <c r="AH648" i="2"/>
  <c r="AG648" i="2"/>
  <c r="AF648" i="2"/>
  <c r="AE648" i="2"/>
  <c r="AD648" i="2"/>
  <c r="AC648" i="2"/>
  <c r="AB648" i="2"/>
  <c r="AA648" i="2"/>
  <c r="X648" i="2"/>
  <c r="J648" i="2"/>
  <c r="AJ647" i="2"/>
  <c r="AH647" i="2"/>
  <c r="AG647" i="2"/>
  <c r="AF647" i="2"/>
  <c r="AE647" i="2"/>
  <c r="AD647" i="2"/>
  <c r="AC647" i="2"/>
  <c r="AB647" i="2"/>
  <c r="AA647" i="2"/>
  <c r="X647" i="2"/>
  <c r="J647" i="2"/>
  <c r="AJ646" i="2"/>
  <c r="AH646" i="2"/>
  <c r="AG646" i="2"/>
  <c r="AF646" i="2"/>
  <c r="AE646" i="2"/>
  <c r="AD646" i="2"/>
  <c r="AC646" i="2"/>
  <c r="AB646" i="2"/>
  <c r="AA646" i="2"/>
  <c r="X646" i="2"/>
  <c r="J646" i="2"/>
  <c r="AJ645" i="2"/>
  <c r="AH645" i="2"/>
  <c r="AG645" i="2"/>
  <c r="AF645" i="2"/>
  <c r="AE645" i="2"/>
  <c r="AD645" i="2"/>
  <c r="AC645" i="2"/>
  <c r="AB645" i="2"/>
  <c r="AA645" i="2"/>
  <c r="X645" i="2"/>
  <c r="J645" i="2"/>
  <c r="AJ644" i="2"/>
  <c r="AH644" i="2"/>
  <c r="AG644" i="2"/>
  <c r="AF644" i="2"/>
  <c r="AE644" i="2"/>
  <c r="AD644" i="2"/>
  <c r="AC644" i="2"/>
  <c r="AB644" i="2"/>
  <c r="AK644" i="2" s="1"/>
  <c r="AA644" i="2"/>
  <c r="X644" i="2"/>
  <c r="J644" i="2"/>
  <c r="AJ643" i="2"/>
  <c r="AH643" i="2"/>
  <c r="AG643" i="2"/>
  <c r="AF643" i="2"/>
  <c r="AE643" i="2"/>
  <c r="AD643" i="2"/>
  <c r="AC643" i="2"/>
  <c r="AB643" i="2"/>
  <c r="AA643" i="2"/>
  <c r="X643" i="2"/>
  <c r="J643" i="2"/>
  <c r="AJ642" i="2"/>
  <c r="AH642" i="2"/>
  <c r="AG642" i="2"/>
  <c r="AF642" i="2"/>
  <c r="AE642" i="2"/>
  <c r="AD642" i="2"/>
  <c r="AC642" i="2"/>
  <c r="AB642" i="2"/>
  <c r="AA642" i="2"/>
  <c r="X642" i="2"/>
  <c r="J642" i="2"/>
  <c r="AJ641" i="2"/>
  <c r="AH641" i="2"/>
  <c r="AG641" i="2"/>
  <c r="AF641" i="2"/>
  <c r="AE641" i="2"/>
  <c r="AD641" i="2"/>
  <c r="AC641" i="2"/>
  <c r="AB641" i="2"/>
  <c r="AK641" i="2" s="1"/>
  <c r="AA641" i="2"/>
  <c r="X641" i="2"/>
  <c r="J641" i="2"/>
  <c r="AJ640" i="2"/>
  <c r="AH640" i="2"/>
  <c r="AG640" i="2"/>
  <c r="AF640" i="2"/>
  <c r="AE640" i="2"/>
  <c r="AD640" i="2"/>
  <c r="AC640" i="2"/>
  <c r="AB640" i="2"/>
  <c r="AA640" i="2"/>
  <c r="X640" i="2"/>
  <c r="J640" i="2"/>
  <c r="AJ639" i="2"/>
  <c r="AH639" i="2"/>
  <c r="AG639" i="2"/>
  <c r="AF639" i="2"/>
  <c r="AE639" i="2"/>
  <c r="AD639" i="2"/>
  <c r="AC639" i="2"/>
  <c r="AB639" i="2"/>
  <c r="AA639" i="2"/>
  <c r="X639" i="2"/>
  <c r="J639" i="2"/>
  <c r="AJ638" i="2"/>
  <c r="AH638" i="2"/>
  <c r="AG638" i="2"/>
  <c r="AF638" i="2"/>
  <c r="AE638" i="2"/>
  <c r="AD638" i="2"/>
  <c r="AC638" i="2"/>
  <c r="AB638" i="2"/>
  <c r="AA638" i="2"/>
  <c r="X638" i="2"/>
  <c r="J638" i="2"/>
  <c r="AJ637" i="2"/>
  <c r="AH637" i="2"/>
  <c r="AG637" i="2"/>
  <c r="AF637" i="2"/>
  <c r="AE637" i="2"/>
  <c r="AD637" i="2"/>
  <c r="AC637" i="2"/>
  <c r="AB637" i="2"/>
  <c r="AA637" i="2"/>
  <c r="X637" i="2"/>
  <c r="J637" i="2"/>
  <c r="AJ636" i="2"/>
  <c r="AH636" i="2"/>
  <c r="AG636" i="2"/>
  <c r="AF636" i="2"/>
  <c r="AE636" i="2"/>
  <c r="AD636" i="2"/>
  <c r="AC636" i="2"/>
  <c r="AB636" i="2"/>
  <c r="AA636" i="2"/>
  <c r="X636" i="2"/>
  <c r="J636" i="2"/>
  <c r="AJ635" i="2"/>
  <c r="AH635" i="2"/>
  <c r="AG635" i="2"/>
  <c r="AF635" i="2"/>
  <c r="AE635" i="2"/>
  <c r="AD635" i="2"/>
  <c r="AC635" i="2"/>
  <c r="AB635" i="2"/>
  <c r="AA635" i="2"/>
  <c r="X635" i="2"/>
  <c r="J635" i="2"/>
  <c r="AJ634" i="2"/>
  <c r="AH634" i="2"/>
  <c r="AG634" i="2"/>
  <c r="AF634" i="2"/>
  <c r="AE634" i="2"/>
  <c r="AD634" i="2"/>
  <c r="AC634" i="2"/>
  <c r="AB634" i="2"/>
  <c r="AA634" i="2"/>
  <c r="X634" i="2"/>
  <c r="X630" i="2" s="1"/>
  <c r="X629" i="2" s="1"/>
  <c r="J634" i="2"/>
  <c r="AJ633" i="2"/>
  <c r="AH633" i="2"/>
  <c r="AG633" i="2"/>
  <c r="AF633" i="2"/>
  <c r="AE633" i="2"/>
  <c r="AD633" i="2"/>
  <c r="AC633" i="2"/>
  <c r="AB633" i="2"/>
  <c r="AA633" i="2"/>
  <c r="X633" i="2"/>
  <c r="J633" i="2"/>
  <c r="AJ632" i="2"/>
  <c r="AH632" i="2"/>
  <c r="AG632" i="2"/>
  <c r="AF632" i="2"/>
  <c r="AE632" i="2"/>
  <c r="AD632" i="2"/>
  <c r="AC632" i="2"/>
  <c r="AB632" i="2"/>
  <c r="AK632" i="2" s="1"/>
  <c r="AA632" i="2"/>
  <c r="X632" i="2"/>
  <c r="J632" i="2"/>
  <c r="AJ631" i="2"/>
  <c r="AH631" i="2"/>
  <c r="AG631" i="2"/>
  <c r="AF631" i="2"/>
  <c r="AE631" i="2"/>
  <c r="AD631" i="2"/>
  <c r="AC631" i="2"/>
  <c r="AB631" i="2"/>
  <c r="AA631" i="2"/>
  <c r="X631" i="2"/>
  <c r="J631" i="2"/>
  <c r="AX630" i="2"/>
  <c r="V630" i="2"/>
  <c r="U630" i="2"/>
  <c r="T630" i="2"/>
  <c r="M630" i="2"/>
  <c r="M629" i="2" s="1"/>
  <c r="L630" i="2"/>
  <c r="K630" i="2"/>
  <c r="J630" i="2" s="1"/>
  <c r="AX629" i="2"/>
  <c r="V629" i="2"/>
  <c r="U629" i="2"/>
  <c r="T629" i="2"/>
  <c r="S629" i="2"/>
  <c r="S630" i="2" s="1"/>
  <c r="R629" i="2"/>
  <c r="R630" i="2" s="1"/>
  <c r="O629" i="2"/>
  <c r="O630" i="2" s="1"/>
  <c r="N629" i="2"/>
  <c r="N630" i="2" s="1"/>
  <c r="L629" i="2"/>
  <c r="K629" i="2"/>
  <c r="J629" i="2" s="1"/>
  <c r="AJ628" i="2"/>
  <c r="AH628" i="2"/>
  <c r="AG628" i="2"/>
  <c r="AF628" i="2"/>
  <c r="AE628" i="2"/>
  <c r="AD628" i="2"/>
  <c r="AC628" i="2"/>
  <c r="AB628" i="2"/>
  <c r="AA628" i="2"/>
  <c r="X628" i="2"/>
  <c r="J628" i="2"/>
  <c r="AJ627" i="2"/>
  <c r="AH627" i="2"/>
  <c r="AG627" i="2"/>
  <c r="AF627" i="2"/>
  <c r="AE627" i="2"/>
  <c r="AD627" i="2"/>
  <c r="AC627" i="2"/>
  <c r="AB627" i="2"/>
  <c r="AA627" i="2"/>
  <c r="X627" i="2"/>
  <c r="J627" i="2"/>
  <c r="AJ626" i="2"/>
  <c r="AH626" i="2"/>
  <c r="AG626" i="2"/>
  <c r="AF626" i="2"/>
  <c r="AE626" i="2"/>
  <c r="AD626" i="2"/>
  <c r="AC626" i="2"/>
  <c r="AB626" i="2"/>
  <c r="AK626" i="2" s="1"/>
  <c r="AA626" i="2"/>
  <c r="X626" i="2"/>
  <c r="J626" i="2"/>
  <c r="AJ625" i="2"/>
  <c r="AH625" i="2"/>
  <c r="AG625" i="2"/>
  <c r="AF625" i="2"/>
  <c r="AE625" i="2"/>
  <c r="AD625" i="2"/>
  <c r="AC625" i="2"/>
  <c r="AB625" i="2"/>
  <c r="AA625" i="2"/>
  <c r="X625" i="2"/>
  <c r="J625" i="2"/>
  <c r="AJ624" i="2"/>
  <c r="AH624" i="2"/>
  <c r="AG624" i="2"/>
  <c r="AF624" i="2"/>
  <c r="AE624" i="2"/>
  <c r="AD624" i="2"/>
  <c r="AC624" i="2"/>
  <c r="AB624" i="2"/>
  <c r="AA624" i="2"/>
  <c r="X624" i="2"/>
  <c r="J624" i="2"/>
  <c r="AJ623" i="2"/>
  <c r="AH623" i="2"/>
  <c r="AG623" i="2"/>
  <c r="AF623" i="2"/>
  <c r="AE623" i="2"/>
  <c r="AD623" i="2"/>
  <c r="AC623" i="2"/>
  <c r="AB623" i="2"/>
  <c r="AA623" i="2"/>
  <c r="X623" i="2"/>
  <c r="J623" i="2"/>
  <c r="AJ622" i="2"/>
  <c r="AH622" i="2"/>
  <c r="AG622" i="2"/>
  <c r="AF622" i="2"/>
  <c r="AE622" i="2"/>
  <c r="AD622" i="2"/>
  <c r="AC622" i="2"/>
  <c r="AB622" i="2"/>
  <c r="AA622" i="2"/>
  <c r="X622" i="2"/>
  <c r="J622" i="2"/>
  <c r="AJ621" i="2"/>
  <c r="AH621" i="2"/>
  <c r="AG621" i="2"/>
  <c r="AF621" i="2"/>
  <c r="AE621" i="2"/>
  <c r="AD621" i="2"/>
  <c r="AC621" i="2"/>
  <c r="AB621" i="2"/>
  <c r="AA621" i="2"/>
  <c r="X621" i="2"/>
  <c r="J621" i="2"/>
  <c r="AJ620" i="2"/>
  <c r="AH620" i="2"/>
  <c r="AG620" i="2"/>
  <c r="AF620" i="2"/>
  <c r="AE620" i="2"/>
  <c r="AD620" i="2"/>
  <c r="AC620" i="2"/>
  <c r="AB620" i="2"/>
  <c r="AA620" i="2"/>
  <c r="X620" i="2"/>
  <c r="J620" i="2"/>
  <c r="AJ619" i="2"/>
  <c r="AH619" i="2"/>
  <c r="AG619" i="2"/>
  <c r="AF619" i="2"/>
  <c r="AE619" i="2"/>
  <c r="AD619" i="2"/>
  <c r="AC619" i="2"/>
  <c r="AB619" i="2"/>
  <c r="AA619" i="2"/>
  <c r="X619" i="2"/>
  <c r="J619" i="2"/>
  <c r="AJ618" i="2"/>
  <c r="AH618" i="2"/>
  <c r="AG618" i="2"/>
  <c r="AF618" i="2"/>
  <c r="AE618" i="2"/>
  <c r="AD618" i="2"/>
  <c r="AC618" i="2"/>
  <c r="AB618" i="2"/>
  <c r="AA618" i="2"/>
  <c r="X618" i="2"/>
  <c r="J618" i="2"/>
  <c r="AJ617" i="2"/>
  <c r="AH617" i="2"/>
  <c r="AG617" i="2"/>
  <c r="AF617" i="2"/>
  <c r="AE617" i="2"/>
  <c r="AD617" i="2"/>
  <c r="AC617" i="2"/>
  <c r="AB617" i="2"/>
  <c r="AK617" i="2" s="1"/>
  <c r="AA617" i="2"/>
  <c r="X617" i="2"/>
  <c r="J617" i="2"/>
  <c r="AJ616" i="2"/>
  <c r="AH616" i="2"/>
  <c r="AG616" i="2"/>
  <c r="AF616" i="2"/>
  <c r="AE616" i="2"/>
  <c r="AD616" i="2"/>
  <c r="AC616" i="2"/>
  <c r="AB616" i="2"/>
  <c r="AA616" i="2"/>
  <c r="X616" i="2"/>
  <c r="J616" i="2"/>
  <c r="AJ615" i="2"/>
  <c r="AH615" i="2"/>
  <c r="AG615" i="2"/>
  <c r="AF615" i="2"/>
  <c r="AE615" i="2"/>
  <c r="AD615" i="2"/>
  <c r="AC615" i="2"/>
  <c r="AB615" i="2"/>
  <c r="AA615" i="2"/>
  <c r="X615" i="2"/>
  <c r="J615" i="2"/>
  <c r="AJ614" i="2"/>
  <c r="AH614" i="2"/>
  <c r="AG614" i="2"/>
  <c r="AF614" i="2"/>
  <c r="AE614" i="2"/>
  <c r="AD614" i="2"/>
  <c r="AC614" i="2"/>
  <c r="AB614" i="2"/>
  <c r="AK614" i="2" s="1"/>
  <c r="AA614" i="2"/>
  <c r="X614" i="2"/>
  <c r="J614" i="2"/>
  <c r="AJ613" i="2"/>
  <c r="AH613" i="2"/>
  <c r="AG613" i="2"/>
  <c r="AF613" i="2"/>
  <c r="AE613" i="2"/>
  <c r="AD613" i="2"/>
  <c r="AC613" i="2"/>
  <c r="AB613" i="2"/>
  <c r="AK613" i="2" s="1"/>
  <c r="AA613" i="2"/>
  <c r="X613" i="2"/>
  <c r="J613" i="2"/>
  <c r="AJ612" i="2"/>
  <c r="AH612" i="2"/>
  <c r="AG612" i="2"/>
  <c r="AF612" i="2"/>
  <c r="AE612" i="2"/>
  <c r="AD612" i="2"/>
  <c r="AC612" i="2"/>
  <c r="AB612" i="2"/>
  <c r="AA612" i="2"/>
  <c r="X612" i="2"/>
  <c r="J612" i="2"/>
  <c r="AJ611" i="2"/>
  <c r="AH611" i="2"/>
  <c r="AG611" i="2"/>
  <c r="AF611" i="2"/>
  <c r="AE611" i="2"/>
  <c r="AD611" i="2"/>
  <c r="AC611" i="2"/>
  <c r="AB611" i="2"/>
  <c r="AA611" i="2"/>
  <c r="X611" i="2"/>
  <c r="J611" i="2"/>
  <c r="AJ610" i="2"/>
  <c r="AH610" i="2"/>
  <c r="AG610" i="2"/>
  <c r="AF610" i="2"/>
  <c r="AE610" i="2"/>
  <c r="AD610" i="2"/>
  <c r="AC610" i="2"/>
  <c r="AB610" i="2"/>
  <c r="AK610" i="2" s="1"/>
  <c r="AA610" i="2"/>
  <c r="X610" i="2"/>
  <c r="J610" i="2"/>
  <c r="AJ609" i="2"/>
  <c r="AH609" i="2"/>
  <c r="AG609" i="2"/>
  <c r="AF609" i="2"/>
  <c r="AE609" i="2"/>
  <c r="AD609" i="2"/>
  <c r="AC609" i="2"/>
  <c r="AB609" i="2"/>
  <c r="AA609" i="2"/>
  <c r="X609" i="2"/>
  <c r="J609" i="2"/>
  <c r="AJ608" i="2"/>
  <c r="AH608" i="2"/>
  <c r="AG608" i="2"/>
  <c r="AF608" i="2"/>
  <c r="AE608" i="2"/>
  <c r="AD608" i="2"/>
  <c r="AC608" i="2"/>
  <c r="AB608" i="2"/>
  <c r="AA608" i="2"/>
  <c r="X608" i="2"/>
  <c r="J608" i="2"/>
  <c r="AJ607" i="2"/>
  <c r="AH607" i="2"/>
  <c r="AG607" i="2"/>
  <c r="AF607" i="2"/>
  <c r="AE607" i="2"/>
  <c r="AD607" i="2"/>
  <c r="AC607" i="2"/>
  <c r="AB607" i="2"/>
  <c r="AA607" i="2"/>
  <c r="X607" i="2"/>
  <c r="J607" i="2"/>
  <c r="AJ606" i="2"/>
  <c r="AH606" i="2"/>
  <c r="AG606" i="2"/>
  <c r="AF606" i="2"/>
  <c r="AE606" i="2"/>
  <c r="AD606" i="2"/>
  <c r="AC606" i="2"/>
  <c r="AB606" i="2"/>
  <c r="AA606" i="2"/>
  <c r="X606" i="2"/>
  <c r="J606" i="2"/>
  <c r="AJ605" i="2"/>
  <c r="AH605" i="2"/>
  <c r="AG605" i="2"/>
  <c r="AF605" i="2"/>
  <c r="AE605" i="2"/>
  <c r="AD605" i="2"/>
  <c r="AC605" i="2"/>
  <c r="AB605" i="2"/>
  <c r="AK605" i="2" s="1"/>
  <c r="AA605" i="2"/>
  <c r="X605" i="2"/>
  <c r="J605" i="2"/>
  <c r="AJ604" i="2"/>
  <c r="AH604" i="2"/>
  <c r="AG604" i="2"/>
  <c r="AF604" i="2"/>
  <c r="AE604" i="2"/>
  <c r="AD604" i="2"/>
  <c r="AC604" i="2"/>
  <c r="AB604" i="2"/>
  <c r="AA604" i="2"/>
  <c r="X604" i="2"/>
  <c r="J604" i="2"/>
  <c r="AJ603" i="2"/>
  <c r="AH603" i="2"/>
  <c r="AG603" i="2"/>
  <c r="AF603" i="2"/>
  <c r="AE603" i="2"/>
  <c r="AD603" i="2"/>
  <c r="AC603" i="2"/>
  <c r="AB603" i="2"/>
  <c r="AA603" i="2"/>
  <c r="X603" i="2"/>
  <c r="J603" i="2"/>
  <c r="AJ602" i="2"/>
  <c r="AH602" i="2"/>
  <c r="AG602" i="2"/>
  <c r="AF602" i="2"/>
  <c r="AE602" i="2"/>
  <c r="AD602" i="2"/>
  <c r="AC602" i="2"/>
  <c r="AB602" i="2"/>
  <c r="AK602" i="2" s="1"/>
  <c r="AA602" i="2"/>
  <c r="X602" i="2"/>
  <c r="J602" i="2"/>
  <c r="AJ601" i="2"/>
  <c r="AH601" i="2"/>
  <c r="AG601" i="2"/>
  <c r="AF601" i="2"/>
  <c r="AE601" i="2"/>
  <c r="AD601" i="2"/>
  <c r="AC601" i="2"/>
  <c r="AB601" i="2"/>
  <c r="AK601" i="2" s="1"/>
  <c r="AA601" i="2"/>
  <c r="X601" i="2"/>
  <c r="J601" i="2"/>
  <c r="AJ600" i="2"/>
  <c r="AH600" i="2"/>
  <c r="AG600" i="2"/>
  <c r="AF600" i="2"/>
  <c r="AE600" i="2"/>
  <c r="AD600" i="2"/>
  <c r="AC600" i="2"/>
  <c r="AB600" i="2"/>
  <c r="AA600" i="2"/>
  <c r="X600" i="2"/>
  <c r="J600" i="2"/>
  <c r="AJ599" i="2"/>
  <c r="AH599" i="2"/>
  <c r="AG599" i="2"/>
  <c r="AF599" i="2"/>
  <c r="AE599" i="2"/>
  <c r="AD599" i="2"/>
  <c r="AC599" i="2"/>
  <c r="AB599" i="2"/>
  <c r="AA599" i="2"/>
  <c r="X599" i="2"/>
  <c r="J599" i="2"/>
  <c r="AJ598" i="2"/>
  <c r="AH598" i="2"/>
  <c r="AG598" i="2"/>
  <c r="AF598" i="2"/>
  <c r="AE598" i="2"/>
  <c r="AD598" i="2"/>
  <c r="AC598" i="2"/>
  <c r="AB598" i="2"/>
  <c r="AK598" i="2" s="1"/>
  <c r="AA598" i="2"/>
  <c r="X598" i="2"/>
  <c r="J598" i="2"/>
  <c r="AJ597" i="2"/>
  <c r="AH597" i="2"/>
  <c r="AG597" i="2"/>
  <c r="AF597" i="2"/>
  <c r="AE597" i="2"/>
  <c r="AD597" i="2"/>
  <c r="AC597" i="2"/>
  <c r="AB597" i="2"/>
  <c r="AA597" i="2"/>
  <c r="X597" i="2"/>
  <c r="J597" i="2"/>
  <c r="AJ596" i="2"/>
  <c r="AH596" i="2"/>
  <c r="AG596" i="2"/>
  <c r="AF596" i="2"/>
  <c r="AE596" i="2"/>
  <c r="AD596" i="2"/>
  <c r="AC596" i="2"/>
  <c r="AB596" i="2"/>
  <c r="AA596" i="2"/>
  <c r="X596" i="2"/>
  <c r="J596" i="2"/>
  <c r="AJ595" i="2"/>
  <c r="AH595" i="2"/>
  <c r="AG595" i="2"/>
  <c r="AF595" i="2"/>
  <c r="AE595" i="2"/>
  <c r="AD595" i="2"/>
  <c r="AC595" i="2"/>
  <c r="AB595" i="2"/>
  <c r="AA595" i="2"/>
  <c r="X595" i="2"/>
  <c r="J595" i="2"/>
  <c r="AJ594" i="2"/>
  <c r="AH594" i="2"/>
  <c r="AG594" i="2"/>
  <c r="AF594" i="2"/>
  <c r="AE594" i="2"/>
  <c r="AD594" i="2"/>
  <c r="AC594" i="2"/>
  <c r="AB594" i="2"/>
  <c r="AA594" i="2"/>
  <c r="X594" i="2"/>
  <c r="J594" i="2"/>
  <c r="AJ593" i="2"/>
  <c r="AH593" i="2"/>
  <c r="AG593" i="2"/>
  <c r="AF593" i="2"/>
  <c r="AE593" i="2"/>
  <c r="AD593" i="2"/>
  <c r="AC593" i="2"/>
  <c r="AB593" i="2"/>
  <c r="AK593" i="2" s="1"/>
  <c r="AA593" i="2"/>
  <c r="X593" i="2"/>
  <c r="J593" i="2"/>
  <c r="AJ592" i="2"/>
  <c r="AH592" i="2"/>
  <c r="AG592" i="2"/>
  <c r="AF592" i="2"/>
  <c r="AE592" i="2"/>
  <c r="AD592" i="2"/>
  <c r="AC592" i="2"/>
  <c r="AB592" i="2"/>
  <c r="AA592" i="2"/>
  <c r="X592" i="2"/>
  <c r="J592" i="2"/>
  <c r="AJ591" i="2"/>
  <c r="AH591" i="2"/>
  <c r="AG591" i="2"/>
  <c r="AF591" i="2"/>
  <c r="AE591" i="2"/>
  <c r="AD591" i="2"/>
  <c r="AC591" i="2"/>
  <c r="AB591" i="2"/>
  <c r="AA591" i="2"/>
  <c r="X591" i="2"/>
  <c r="J591" i="2"/>
  <c r="AJ590" i="2"/>
  <c r="AH590" i="2"/>
  <c r="AG590" i="2"/>
  <c r="AF590" i="2"/>
  <c r="AE590" i="2"/>
  <c r="AD590" i="2"/>
  <c r="AC590" i="2"/>
  <c r="AB590" i="2"/>
  <c r="AK590" i="2" s="1"/>
  <c r="AA590" i="2"/>
  <c r="X590" i="2"/>
  <c r="J590" i="2"/>
  <c r="AJ589" i="2"/>
  <c r="AH589" i="2"/>
  <c r="AG589" i="2"/>
  <c r="AF589" i="2"/>
  <c r="AE589" i="2"/>
  <c r="AD589" i="2"/>
  <c r="AC589" i="2"/>
  <c r="AB589" i="2"/>
  <c r="AA589" i="2"/>
  <c r="X589" i="2"/>
  <c r="J589" i="2"/>
  <c r="AJ588" i="2"/>
  <c r="AG588" i="2"/>
  <c r="AF588" i="2"/>
  <c r="AE588" i="2"/>
  <c r="AD588" i="2"/>
  <c r="AC588" i="2"/>
  <c r="AB588" i="2"/>
  <c r="AA588" i="2"/>
  <c r="AH588" i="2" s="1"/>
  <c r="X588" i="2"/>
  <c r="J588" i="2"/>
  <c r="AJ587" i="2"/>
  <c r="AH587" i="2"/>
  <c r="AG587" i="2"/>
  <c r="AF587" i="2"/>
  <c r="AE587" i="2"/>
  <c r="AD587" i="2"/>
  <c r="AC587" i="2"/>
  <c r="AB587" i="2"/>
  <c r="AA587" i="2"/>
  <c r="X587" i="2"/>
  <c r="J587" i="2"/>
  <c r="AJ586" i="2"/>
  <c r="AH586" i="2"/>
  <c r="AG586" i="2"/>
  <c r="AF586" i="2"/>
  <c r="AE586" i="2"/>
  <c r="AD586" i="2"/>
  <c r="AC586" i="2"/>
  <c r="AB586" i="2"/>
  <c r="AA586" i="2"/>
  <c r="X586" i="2"/>
  <c r="J586" i="2"/>
  <c r="AJ585" i="2"/>
  <c r="AH585" i="2"/>
  <c r="AG585" i="2"/>
  <c r="AF585" i="2"/>
  <c r="AE585" i="2"/>
  <c r="AD585" i="2"/>
  <c r="AC585" i="2"/>
  <c r="AB585" i="2"/>
  <c r="AA585" i="2"/>
  <c r="X585" i="2"/>
  <c r="J585" i="2"/>
  <c r="AJ584" i="2"/>
  <c r="AH584" i="2"/>
  <c r="AG584" i="2"/>
  <c r="AF584" i="2"/>
  <c r="AE584" i="2"/>
  <c r="AD584" i="2"/>
  <c r="AC584" i="2"/>
  <c r="AB584" i="2"/>
  <c r="AA584" i="2"/>
  <c r="X584" i="2"/>
  <c r="J584" i="2"/>
  <c r="AJ583" i="2"/>
  <c r="AH583" i="2"/>
  <c r="AG583" i="2"/>
  <c r="AF583" i="2"/>
  <c r="AE583" i="2"/>
  <c r="AD583" i="2"/>
  <c r="AC583" i="2"/>
  <c r="AB583" i="2"/>
  <c r="AA583" i="2"/>
  <c r="X583" i="2"/>
  <c r="J583" i="2"/>
  <c r="AJ582" i="2"/>
  <c r="AH582" i="2"/>
  <c r="AG582" i="2"/>
  <c r="AF582" i="2"/>
  <c r="AE582" i="2"/>
  <c r="AD582" i="2"/>
  <c r="AC582" i="2"/>
  <c r="AB582" i="2"/>
  <c r="AK582" i="2" s="1"/>
  <c r="AA582" i="2"/>
  <c r="X582" i="2"/>
  <c r="J582" i="2"/>
  <c r="AJ581" i="2"/>
  <c r="AH581" i="2"/>
  <c r="AG581" i="2"/>
  <c r="AF581" i="2"/>
  <c r="AE581" i="2"/>
  <c r="AD581" i="2"/>
  <c r="AC581" i="2"/>
  <c r="AB581" i="2"/>
  <c r="AA581" i="2"/>
  <c r="X581" i="2"/>
  <c r="J581" i="2"/>
  <c r="AJ580" i="2"/>
  <c r="AH580" i="2"/>
  <c r="AG580" i="2"/>
  <c r="AF580" i="2"/>
  <c r="AE580" i="2"/>
  <c r="AD580" i="2"/>
  <c r="AC580" i="2"/>
  <c r="AB580" i="2"/>
  <c r="AA580" i="2"/>
  <c r="X580" i="2"/>
  <c r="J580" i="2"/>
  <c r="AJ579" i="2"/>
  <c r="AH579" i="2"/>
  <c r="AG579" i="2"/>
  <c r="AF579" i="2"/>
  <c r="AE579" i="2"/>
  <c r="AD579" i="2"/>
  <c r="AC579" i="2"/>
  <c r="AB579" i="2"/>
  <c r="AK579" i="2" s="1"/>
  <c r="AA579" i="2"/>
  <c r="X579" i="2"/>
  <c r="J579" i="2"/>
  <c r="AJ578" i="2"/>
  <c r="AH578" i="2"/>
  <c r="AG578" i="2"/>
  <c r="AF578" i="2"/>
  <c r="AE578" i="2"/>
  <c r="AD578" i="2"/>
  <c r="AC578" i="2"/>
  <c r="AB578" i="2"/>
  <c r="AA578" i="2"/>
  <c r="X578" i="2"/>
  <c r="J578" i="2"/>
  <c r="AJ577" i="2"/>
  <c r="AH577" i="2"/>
  <c r="AG577" i="2"/>
  <c r="AF577" i="2"/>
  <c r="AE577" i="2"/>
  <c r="AD577" i="2"/>
  <c r="AC577" i="2"/>
  <c r="AB577" i="2"/>
  <c r="AA577" i="2"/>
  <c r="X577" i="2"/>
  <c r="J577" i="2"/>
  <c r="AJ576" i="2"/>
  <c r="AH576" i="2"/>
  <c r="AG576" i="2"/>
  <c r="AF576" i="2"/>
  <c r="AE576" i="2"/>
  <c r="AD576" i="2"/>
  <c r="AC576" i="2"/>
  <c r="AB576" i="2"/>
  <c r="AA576" i="2"/>
  <c r="X576" i="2"/>
  <c r="J576" i="2"/>
  <c r="AJ575" i="2"/>
  <c r="AH575" i="2"/>
  <c r="AG575" i="2"/>
  <c r="AF575" i="2"/>
  <c r="AE575" i="2"/>
  <c r="AD575" i="2"/>
  <c r="AC575" i="2"/>
  <c r="AB575" i="2"/>
  <c r="AA575" i="2"/>
  <c r="X575" i="2"/>
  <c r="J575" i="2"/>
  <c r="AJ574" i="2"/>
  <c r="AG574" i="2"/>
  <c r="AF574" i="2"/>
  <c r="AE574" i="2"/>
  <c r="AD574" i="2"/>
  <c r="AC574" i="2"/>
  <c r="AB574" i="2"/>
  <c r="AA574" i="2"/>
  <c r="AH574" i="2" s="1"/>
  <c r="X574" i="2"/>
  <c r="J574" i="2"/>
  <c r="AJ573" i="2"/>
  <c r="AH573" i="2"/>
  <c r="AG573" i="2"/>
  <c r="AF573" i="2"/>
  <c r="AE573" i="2"/>
  <c r="AD573" i="2"/>
  <c r="AC573" i="2"/>
  <c r="AB573" i="2"/>
  <c r="AA573" i="2"/>
  <c r="X573" i="2"/>
  <c r="J573" i="2"/>
  <c r="AJ572" i="2"/>
  <c r="AH572" i="2"/>
  <c r="AG572" i="2"/>
  <c r="AF572" i="2"/>
  <c r="AE572" i="2"/>
  <c r="AD572" i="2"/>
  <c r="AC572" i="2"/>
  <c r="AB572" i="2"/>
  <c r="AA572" i="2"/>
  <c r="X572" i="2"/>
  <c r="J572" i="2"/>
  <c r="AJ571" i="2"/>
  <c r="AG571" i="2"/>
  <c r="AF571" i="2"/>
  <c r="AE571" i="2"/>
  <c r="AD571" i="2"/>
  <c r="AC571" i="2"/>
  <c r="AB571" i="2"/>
  <c r="AA571" i="2"/>
  <c r="AH571" i="2" s="1"/>
  <c r="X571" i="2"/>
  <c r="J571" i="2"/>
  <c r="AJ570" i="2"/>
  <c r="AG570" i="2"/>
  <c r="AF570" i="2"/>
  <c r="AE570" i="2"/>
  <c r="AD570" i="2"/>
  <c r="AC570" i="2"/>
  <c r="AB570" i="2"/>
  <c r="AA570" i="2"/>
  <c r="AH570" i="2" s="1"/>
  <c r="X570" i="2"/>
  <c r="J570" i="2"/>
  <c r="AJ569" i="2"/>
  <c r="AG569" i="2"/>
  <c r="AF569" i="2"/>
  <c r="AE569" i="2"/>
  <c r="AD569" i="2"/>
  <c r="AC569" i="2"/>
  <c r="AB569" i="2"/>
  <c r="AA569" i="2"/>
  <c r="AH569" i="2" s="1"/>
  <c r="X569" i="2"/>
  <c r="J569" i="2"/>
  <c r="AJ568" i="2"/>
  <c r="AG568" i="2"/>
  <c r="AF568" i="2"/>
  <c r="AE568" i="2"/>
  <c r="AD568" i="2"/>
  <c r="AC568" i="2"/>
  <c r="AB568" i="2"/>
  <c r="AA568" i="2"/>
  <c r="AH568" i="2" s="1"/>
  <c r="X568" i="2"/>
  <c r="J568" i="2"/>
  <c r="AJ567" i="2"/>
  <c r="AG567" i="2"/>
  <c r="AF567" i="2"/>
  <c r="AE567" i="2"/>
  <c r="AD567" i="2"/>
  <c r="AC567" i="2"/>
  <c r="AB567" i="2"/>
  <c r="AA567" i="2"/>
  <c r="AH567" i="2" s="1"/>
  <c r="X567" i="2"/>
  <c r="J567" i="2"/>
  <c r="AJ566" i="2"/>
  <c r="AG566" i="2"/>
  <c r="AF566" i="2"/>
  <c r="AE566" i="2"/>
  <c r="AD566" i="2"/>
  <c r="AC566" i="2"/>
  <c r="AB566" i="2"/>
  <c r="AA566" i="2"/>
  <c r="AH566" i="2" s="1"/>
  <c r="X566" i="2"/>
  <c r="J566" i="2"/>
  <c r="AJ565" i="2"/>
  <c r="AH565" i="2"/>
  <c r="AG565" i="2"/>
  <c r="AF565" i="2"/>
  <c r="AE565" i="2"/>
  <c r="AD565" i="2"/>
  <c r="AC565" i="2"/>
  <c r="AB565" i="2"/>
  <c r="AA565" i="2"/>
  <c r="X565" i="2"/>
  <c r="J565" i="2"/>
  <c r="AJ564" i="2"/>
  <c r="AH564" i="2"/>
  <c r="AG564" i="2"/>
  <c r="AF564" i="2"/>
  <c r="AE564" i="2"/>
  <c r="AD564" i="2"/>
  <c r="AC564" i="2"/>
  <c r="AB564" i="2"/>
  <c r="AA564" i="2"/>
  <c r="X564" i="2"/>
  <c r="J564" i="2"/>
  <c r="AJ563" i="2"/>
  <c r="AH563" i="2"/>
  <c r="AG563" i="2"/>
  <c r="AF563" i="2"/>
  <c r="AE563" i="2"/>
  <c r="AD563" i="2"/>
  <c r="AC563" i="2"/>
  <c r="AB563" i="2"/>
  <c r="AA563" i="2"/>
  <c r="X563" i="2"/>
  <c r="J563" i="2"/>
  <c r="AJ562" i="2"/>
  <c r="AH562" i="2"/>
  <c r="AG562" i="2"/>
  <c r="AF562" i="2"/>
  <c r="AE562" i="2"/>
  <c r="AD562" i="2"/>
  <c r="AC562" i="2"/>
  <c r="AB562" i="2"/>
  <c r="AA562" i="2"/>
  <c r="X562" i="2"/>
  <c r="J562" i="2"/>
  <c r="AJ561" i="2"/>
  <c r="AH561" i="2"/>
  <c r="AG561" i="2"/>
  <c r="AF561" i="2"/>
  <c r="AE561" i="2"/>
  <c r="AD561" i="2"/>
  <c r="AC561" i="2"/>
  <c r="AB561" i="2"/>
  <c r="AA561" i="2"/>
  <c r="X561" i="2"/>
  <c r="J561" i="2"/>
  <c r="AJ560" i="2"/>
  <c r="AH560" i="2"/>
  <c r="AG560" i="2"/>
  <c r="AF560" i="2"/>
  <c r="AE560" i="2"/>
  <c r="AD560" i="2"/>
  <c r="AC560" i="2"/>
  <c r="AB560" i="2"/>
  <c r="AA560" i="2"/>
  <c r="X560" i="2"/>
  <c r="J560" i="2"/>
  <c r="AJ559" i="2"/>
  <c r="AG559" i="2"/>
  <c r="AF559" i="2"/>
  <c r="AE559" i="2"/>
  <c r="AD559" i="2"/>
  <c r="AC559" i="2"/>
  <c r="AB559" i="2"/>
  <c r="AA559" i="2"/>
  <c r="AH559" i="2" s="1"/>
  <c r="X559" i="2"/>
  <c r="J559" i="2"/>
  <c r="AJ558" i="2"/>
  <c r="AG558" i="2"/>
  <c r="AF558" i="2"/>
  <c r="AE558" i="2"/>
  <c r="AD558" i="2"/>
  <c r="AC558" i="2"/>
  <c r="AB558" i="2"/>
  <c r="AA558" i="2"/>
  <c r="AH558" i="2" s="1"/>
  <c r="X558" i="2"/>
  <c r="J558" i="2"/>
  <c r="AJ557" i="2"/>
  <c r="AH557" i="2"/>
  <c r="AG557" i="2"/>
  <c r="AF557" i="2"/>
  <c r="AE557" i="2"/>
  <c r="AD557" i="2"/>
  <c r="AC557" i="2"/>
  <c r="AB557" i="2"/>
  <c r="AA557" i="2"/>
  <c r="X557" i="2"/>
  <c r="J557" i="2"/>
  <c r="AJ556" i="2"/>
  <c r="AG556" i="2"/>
  <c r="AF556" i="2"/>
  <c r="AE556" i="2"/>
  <c r="AD556" i="2"/>
  <c r="AC556" i="2"/>
  <c r="AB556" i="2"/>
  <c r="AA556" i="2"/>
  <c r="AH556" i="2" s="1"/>
  <c r="X556" i="2"/>
  <c r="J556" i="2"/>
  <c r="AJ555" i="2"/>
  <c r="AG555" i="2"/>
  <c r="AF555" i="2"/>
  <c r="AE555" i="2"/>
  <c r="AD555" i="2"/>
  <c r="AC555" i="2"/>
  <c r="AB555" i="2"/>
  <c r="AA555" i="2"/>
  <c r="AH555" i="2" s="1"/>
  <c r="X555" i="2"/>
  <c r="J555" i="2"/>
  <c r="AJ554" i="2"/>
  <c r="AG554" i="2"/>
  <c r="AF554" i="2"/>
  <c r="AE554" i="2"/>
  <c r="AD554" i="2"/>
  <c r="AC554" i="2"/>
  <c r="AB554" i="2"/>
  <c r="AA554" i="2"/>
  <c r="AH554" i="2" s="1"/>
  <c r="X554" i="2"/>
  <c r="J554" i="2"/>
  <c r="AJ553" i="2"/>
  <c r="AH553" i="2"/>
  <c r="AG553" i="2"/>
  <c r="AF553" i="2"/>
  <c r="AE553" i="2"/>
  <c r="AD553" i="2"/>
  <c r="AC553" i="2"/>
  <c r="AB553" i="2"/>
  <c r="AA553" i="2"/>
  <c r="X553" i="2"/>
  <c r="J553" i="2"/>
  <c r="AJ552" i="2"/>
  <c r="AH552" i="2"/>
  <c r="AG552" i="2"/>
  <c r="AF552" i="2"/>
  <c r="AE552" i="2"/>
  <c r="AD552" i="2"/>
  <c r="AC552" i="2"/>
  <c r="AB552" i="2"/>
  <c r="AA552" i="2"/>
  <c r="X552" i="2"/>
  <c r="J552" i="2"/>
  <c r="AJ551" i="2"/>
  <c r="AH551" i="2"/>
  <c r="AG551" i="2"/>
  <c r="AF551" i="2"/>
  <c r="AE551" i="2"/>
  <c r="AD551" i="2"/>
  <c r="AC551" i="2"/>
  <c r="AB551" i="2"/>
  <c r="AA551" i="2"/>
  <c r="X551" i="2"/>
  <c r="J551" i="2"/>
  <c r="AJ550" i="2"/>
  <c r="AH550" i="2"/>
  <c r="AG550" i="2"/>
  <c r="AF550" i="2"/>
  <c r="AE550" i="2"/>
  <c r="AD550" i="2"/>
  <c r="AC550" i="2"/>
  <c r="AB550" i="2"/>
  <c r="AA550" i="2"/>
  <c r="X550" i="2"/>
  <c r="J550" i="2"/>
  <c r="AJ549" i="2"/>
  <c r="AH549" i="2"/>
  <c r="AH487" i="2" s="1"/>
  <c r="AG549" i="2"/>
  <c r="AF549" i="2"/>
  <c r="AE549" i="2"/>
  <c r="AD549" i="2"/>
  <c r="AC549" i="2"/>
  <c r="AB549" i="2"/>
  <c r="AA549" i="2"/>
  <c r="X549" i="2"/>
  <c r="J549" i="2"/>
  <c r="AJ548" i="2"/>
  <c r="AH548" i="2"/>
  <c r="AG548" i="2"/>
  <c r="AF548" i="2"/>
  <c r="AE548" i="2"/>
  <c r="AD548" i="2"/>
  <c r="AC548" i="2"/>
  <c r="AB548" i="2"/>
  <c r="AA548" i="2"/>
  <c r="X548" i="2"/>
  <c r="J548" i="2"/>
  <c r="AJ547" i="2"/>
  <c r="AH547" i="2"/>
  <c r="AG547" i="2"/>
  <c r="AF547" i="2"/>
  <c r="AE547" i="2"/>
  <c r="AD547" i="2"/>
  <c r="AC547" i="2"/>
  <c r="AB547" i="2"/>
  <c r="AA547" i="2"/>
  <c r="X547" i="2"/>
  <c r="J547" i="2"/>
  <c r="AJ546" i="2"/>
  <c r="AH546" i="2"/>
  <c r="AG546" i="2"/>
  <c r="AF546" i="2"/>
  <c r="AE546" i="2"/>
  <c r="AD546" i="2"/>
  <c r="AC546" i="2"/>
  <c r="AB546" i="2"/>
  <c r="AK546" i="2" s="1"/>
  <c r="AA546" i="2"/>
  <c r="X546" i="2"/>
  <c r="J546" i="2"/>
  <c r="AJ545" i="2"/>
  <c r="AH545" i="2"/>
  <c r="AG545" i="2"/>
  <c r="AF545" i="2"/>
  <c r="AE545" i="2"/>
  <c r="AD545" i="2"/>
  <c r="AC545" i="2"/>
  <c r="AB545" i="2"/>
  <c r="AK545" i="2" s="1"/>
  <c r="AA545" i="2"/>
  <c r="X545" i="2"/>
  <c r="J545" i="2"/>
  <c r="AJ544" i="2"/>
  <c r="AH544" i="2"/>
  <c r="AG544" i="2"/>
  <c r="AF544" i="2"/>
  <c r="AE544" i="2"/>
  <c r="AD544" i="2"/>
  <c r="AC544" i="2"/>
  <c r="AB544" i="2"/>
  <c r="AK544" i="2" s="1"/>
  <c r="AA544" i="2"/>
  <c r="X544" i="2"/>
  <c r="J544" i="2"/>
  <c r="AJ543" i="2"/>
  <c r="AH543" i="2"/>
  <c r="AG543" i="2"/>
  <c r="AF543" i="2"/>
  <c r="AE543" i="2"/>
  <c r="AD543" i="2"/>
  <c r="AC543" i="2"/>
  <c r="AB543" i="2"/>
  <c r="AK543" i="2" s="1"/>
  <c r="AA543" i="2"/>
  <c r="X543" i="2"/>
  <c r="J543" i="2"/>
  <c r="AJ542" i="2"/>
  <c r="AH542" i="2"/>
  <c r="AG542" i="2"/>
  <c r="AF542" i="2"/>
  <c r="AE542" i="2"/>
  <c r="AD542" i="2"/>
  <c r="AC542" i="2"/>
  <c r="AB542" i="2"/>
  <c r="AK542" i="2" s="1"/>
  <c r="AA542" i="2"/>
  <c r="X542" i="2"/>
  <c r="J542" i="2"/>
  <c r="AJ541" i="2"/>
  <c r="AH541" i="2"/>
  <c r="AG541" i="2"/>
  <c r="AF541" i="2"/>
  <c r="AE541" i="2"/>
  <c r="AD541" i="2"/>
  <c r="AC541" i="2"/>
  <c r="AB541" i="2"/>
  <c r="AK541" i="2" s="1"/>
  <c r="AA541" i="2"/>
  <c r="X541" i="2"/>
  <c r="J541" i="2"/>
  <c r="AJ540" i="2"/>
  <c r="AH540" i="2"/>
  <c r="AG540" i="2"/>
  <c r="AF540" i="2"/>
  <c r="AE540" i="2"/>
  <c r="AD540" i="2"/>
  <c r="AC540" i="2"/>
  <c r="AB540" i="2"/>
  <c r="AK540" i="2" s="1"/>
  <c r="AA540" i="2"/>
  <c r="X540" i="2"/>
  <c r="J540" i="2"/>
  <c r="AJ539" i="2"/>
  <c r="AH539" i="2"/>
  <c r="AG539" i="2"/>
  <c r="AF539" i="2"/>
  <c r="AE539" i="2"/>
  <c r="AD539" i="2"/>
  <c r="AC539" i="2"/>
  <c r="AB539" i="2"/>
  <c r="AK539" i="2" s="1"/>
  <c r="AA539" i="2"/>
  <c r="X539" i="2"/>
  <c r="J539" i="2"/>
  <c r="AJ538" i="2"/>
  <c r="AH538" i="2"/>
  <c r="AG538" i="2"/>
  <c r="AF538" i="2"/>
  <c r="AE538" i="2"/>
  <c r="AD538" i="2"/>
  <c r="AC538" i="2"/>
  <c r="AB538" i="2"/>
  <c r="AK538" i="2" s="1"/>
  <c r="AA538" i="2"/>
  <c r="X538" i="2"/>
  <c r="J538" i="2"/>
  <c r="AJ537" i="2"/>
  <c r="AH537" i="2"/>
  <c r="AG537" i="2"/>
  <c r="AF537" i="2"/>
  <c r="AE537" i="2"/>
  <c r="AD537" i="2"/>
  <c r="AC537" i="2"/>
  <c r="AB537" i="2"/>
  <c r="AK537" i="2" s="1"/>
  <c r="AA537" i="2"/>
  <c r="X537" i="2"/>
  <c r="J537" i="2"/>
  <c r="AJ536" i="2"/>
  <c r="AH536" i="2"/>
  <c r="AG536" i="2"/>
  <c r="AF536" i="2"/>
  <c r="AE536" i="2"/>
  <c r="AD536" i="2"/>
  <c r="AC536" i="2"/>
  <c r="AB536" i="2"/>
  <c r="AK536" i="2" s="1"/>
  <c r="AA536" i="2"/>
  <c r="X536" i="2"/>
  <c r="J536" i="2"/>
  <c r="AJ535" i="2"/>
  <c r="AH535" i="2"/>
  <c r="AG535" i="2"/>
  <c r="AF535" i="2"/>
  <c r="AE535" i="2"/>
  <c r="AD535" i="2"/>
  <c r="AC535" i="2"/>
  <c r="AB535" i="2"/>
  <c r="AK535" i="2" s="1"/>
  <c r="AA535" i="2"/>
  <c r="X535" i="2"/>
  <c r="J535" i="2"/>
  <c r="AJ534" i="2"/>
  <c r="AH534" i="2"/>
  <c r="AG534" i="2"/>
  <c r="AF534" i="2"/>
  <c r="AE534" i="2"/>
  <c r="AD534" i="2"/>
  <c r="AC534" i="2"/>
  <c r="AB534" i="2"/>
  <c r="AK534" i="2" s="1"/>
  <c r="AA534" i="2"/>
  <c r="X534" i="2"/>
  <c r="J534" i="2"/>
  <c r="AJ533" i="2"/>
  <c r="AH533" i="2"/>
  <c r="AG533" i="2"/>
  <c r="AF533" i="2"/>
  <c r="AE533" i="2"/>
  <c r="AD533" i="2"/>
  <c r="AC533" i="2"/>
  <c r="AB533" i="2"/>
  <c r="AK533" i="2" s="1"/>
  <c r="AA533" i="2"/>
  <c r="X533" i="2"/>
  <c r="J533" i="2"/>
  <c r="AJ532" i="2"/>
  <c r="AH532" i="2"/>
  <c r="AG532" i="2"/>
  <c r="AF532" i="2"/>
  <c r="AE532" i="2"/>
  <c r="AD532" i="2"/>
  <c r="AC532" i="2"/>
  <c r="AB532" i="2"/>
  <c r="AK532" i="2" s="1"/>
  <c r="AA532" i="2"/>
  <c r="X532" i="2"/>
  <c r="J532" i="2"/>
  <c r="AJ531" i="2"/>
  <c r="AH531" i="2"/>
  <c r="AG531" i="2"/>
  <c r="AF531" i="2"/>
  <c r="AE531" i="2"/>
  <c r="AD531" i="2"/>
  <c r="AC531" i="2"/>
  <c r="AB531" i="2"/>
  <c r="AK531" i="2" s="1"/>
  <c r="AA531" i="2"/>
  <c r="X531" i="2"/>
  <c r="J531" i="2"/>
  <c r="AJ530" i="2"/>
  <c r="AH530" i="2"/>
  <c r="AG530" i="2"/>
  <c r="AF530" i="2"/>
  <c r="AE530" i="2"/>
  <c r="AD530" i="2"/>
  <c r="AC530" i="2"/>
  <c r="AB530" i="2"/>
  <c r="AK530" i="2" s="1"/>
  <c r="AA530" i="2"/>
  <c r="X530" i="2"/>
  <c r="J530" i="2"/>
  <c r="AJ529" i="2"/>
  <c r="AH529" i="2"/>
  <c r="AG529" i="2"/>
  <c r="AF529" i="2"/>
  <c r="AE529" i="2"/>
  <c r="AD529" i="2"/>
  <c r="AC529" i="2"/>
  <c r="AB529" i="2"/>
  <c r="AK529" i="2" s="1"/>
  <c r="AA529" i="2"/>
  <c r="X529" i="2"/>
  <c r="J529" i="2"/>
  <c r="AJ528" i="2"/>
  <c r="AH528" i="2"/>
  <c r="AG528" i="2"/>
  <c r="AF528" i="2"/>
  <c r="AE528" i="2"/>
  <c r="AD528" i="2"/>
  <c r="AC528" i="2"/>
  <c r="AB528" i="2"/>
  <c r="AK528" i="2" s="1"/>
  <c r="AA528" i="2"/>
  <c r="X528" i="2"/>
  <c r="J528" i="2"/>
  <c r="AJ527" i="2"/>
  <c r="AH527" i="2"/>
  <c r="AG527" i="2"/>
  <c r="AF527" i="2"/>
  <c r="AE527" i="2"/>
  <c r="AD527" i="2"/>
  <c r="AC527" i="2"/>
  <c r="AB527" i="2"/>
  <c r="AK527" i="2" s="1"/>
  <c r="AA527" i="2"/>
  <c r="X527" i="2"/>
  <c r="J527" i="2"/>
  <c r="AJ526" i="2"/>
  <c r="AH526" i="2"/>
  <c r="AG526" i="2"/>
  <c r="AF526" i="2"/>
  <c r="AE526" i="2"/>
  <c r="AD526" i="2"/>
  <c r="AC526" i="2"/>
  <c r="AB526" i="2"/>
  <c r="AK526" i="2" s="1"/>
  <c r="AA526" i="2"/>
  <c r="X526" i="2"/>
  <c r="J526" i="2"/>
  <c r="AJ525" i="2"/>
  <c r="AH525" i="2"/>
  <c r="AG525" i="2"/>
  <c r="AF525" i="2"/>
  <c r="AE525" i="2"/>
  <c r="AD525" i="2"/>
  <c r="AC525" i="2"/>
  <c r="AB525" i="2"/>
  <c r="AK525" i="2" s="1"/>
  <c r="AA525" i="2"/>
  <c r="X525" i="2"/>
  <c r="J525" i="2"/>
  <c r="AJ524" i="2"/>
  <c r="AH524" i="2"/>
  <c r="AG524" i="2"/>
  <c r="AF524" i="2"/>
  <c r="AE524" i="2"/>
  <c r="AD524" i="2"/>
  <c r="AC524" i="2"/>
  <c r="AB524" i="2"/>
  <c r="AK524" i="2" s="1"/>
  <c r="AA524" i="2"/>
  <c r="X524" i="2"/>
  <c r="J524" i="2"/>
  <c r="AJ523" i="2"/>
  <c r="AH523" i="2"/>
  <c r="AG523" i="2"/>
  <c r="AF523" i="2"/>
  <c r="AE523" i="2"/>
  <c r="AD523" i="2"/>
  <c r="AC523" i="2"/>
  <c r="AB523" i="2"/>
  <c r="AK523" i="2" s="1"/>
  <c r="AA523" i="2"/>
  <c r="X523" i="2"/>
  <c r="J523" i="2"/>
  <c r="AJ522" i="2"/>
  <c r="AH522" i="2"/>
  <c r="AG522" i="2"/>
  <c r="AF522" i="2"/>
  <c r="AE522" i="2"/>
  <c r="AD522" i="2"/>
  <c r="AC522" i="2"/>
  <c r="AB522" i="2"/>
  <c r="AK522" i="2" s="1"/>
  <c r="AA522" i="2"/>
  <c r="X522" i="2"/>
  <c r="J522" i="2"/>
  <c r="AJ521" i="2"/>
  <c r="AH521" i="2"/>
  <c r="AG521" i="2"/>
  <c r="AF521" i="2"/>
  <c r="AE521" i="2"/>
  <c r="AD521" i="2"/>
  <c r="AC521" i="2"/>
  <c r="AB521" i="2"/>
  <c r="AK521" i="2" s="1"/>
  <c r="AA521" i="2"/>
  <c r="X521" i="2"/>
  <c r="J521" i="2"/>
  <c r="AJ520" i="2"/>
  <c r="AH520" i="2"/>
  <c r="AG520" i="2"/>
  <c r="AF520" i="2"/>
  <c r="AE520" i="2"/>
  <c r="AD520" i="2"/>
  <c r="AC520" i="2"/>
  <c r="AB520" i="2"/>
  <c r="AK520" i="2" s="1"/>
  <c r="AA520" i="2"/>
  <c r="X520" i="2"/>
  <c r="J520" i="2"/>
  <c r="AJ519" i="2"/>
  <c r="AH519" i="2"/>
  <c r="AG519" i="2"/>
  <c r="AF519" i="2"/>
  <c r="AE519" i="2"/>
  <c r="AD519" i="2"/>
  <c r="AC519" i="2"/>
  <c r="AB519" i="2"/>
  <c r="AA519" i="2"/>
  <c r="X519" i="2"/>
  <c r="J519" i="2"/>
  <c r="AJ518" i="2"/>
  <c r="AH518" i="2"/>
  <c r="AG518" i="2"/>
  <c r="AF518" i="2"/>
  <c r="AE518" i="2"/>
  <c r="AD518" i="2"/>
  <c r="AC518" i="2"/>
  <c r="AB518" i="2"/>
  <c r="AA518" i="2"/>
  <c r="X518" i="2"/>
  <c r="J518" i="2"/>
  <c r="AJ517" i="2"/>
  <c r="AH517" i="2"/>
  <c r="AG517" i="2"/>
  <c r="AF517" i="2"/>
  <c r="AE517" i="2"/>
  <c r="AD517" i="2"/>
  <c r="AC517" i="2"/>
  <c r="AB517" i="2"/>
  <c r="AK517" i="2" s="1"/>
  <c r="AA517" i="2"/>
  <c r="X517" i="2"/>
  <c r="J517" i="2"/>
  <c r="AJ516" i="2"/>
  <c r="AH516" i="2"/>
  <c r="AG516" i="2"/>
  <c r="AF516" i="2"/>
  <c r="AE516" i="2"/>
  <c r="AD516" i="2"/>
  <c r="AC516" i="2"/>
  <c r="AB516" i="2"/>
  <c r="AA516" i="2"/>
  <c r="X516" i="2"/>
  <c r="J516" i="2"/>
  <c r="AJ515" i="2"/>
  <c r="AH515" i="2"/>
  <c r="AG515" i="2"/>
  <c r="AF515" i="2"/>
  <c r="AE515" i="2"/>
  <c r="AD515" i="2"/>
  <c r="AC515" i="2"/>
  <c r="AB515" i="2"/>
  <c r="AK515" i="2" s="1"/>
  <c r="AA515" i="2"/>
  <c r="X515" i="2"/>
  <c r="J515" i="2"/>
  <c r="AJ514" i="2"/>
  <c r="AH514" i="2"/>
  <c r="AG514" i="2"/>
  <c r="AF514" i="2"/>
  <c r="AE514" i="2"/>
  <c r="AD514" i="2"/>
  <c r="AC514" i="2"/>
  <c r="AB514" i="2"/>
  <c r="AK514" i="2" s="1"/>
  <c r="AA514" i="2"/>
  <c r="X514" i="2"/>
  <c r="J514" i="2"/>
  <c r="AJ513" i="2"/>
  <c r="AH513" i="2"/>
  <c r="AG513" i="2"/>
  <c r="AF513" i="2"/>
  <c r="AE513" i="2"/>
  <c r="AD513" i="2"/>
  <c r="AC513" i="2"/>
  <c r="AB513" i="2"/>
  <c r="AA513" i="2"/>
  <c r="X513" i="2"/>
  <c r="J513" i="2"/>
  <c r="AJ512" i="2"/>
  <c r="AH512" i="2"/>
  <c r="AG512" i="2"/>
  <c r="AF512" i="2"/>
  <c r="AE512" i="2"/>
  <c r="AD512" i="2"/>
  <c r="AC512" i="2"/>
  <c r="AB512" i="2"/>
  <c r="AK512" i="2" s="1"/>
  <c r="AA512" i="2"/>
  <c r="X512" i="2"/>
  <c r="J512" i="2"/>
  <c r="AJ511" i="2"/>
  <c r="AH511" i="2"/>
  <c r="AG511" i="2"/>
  <c r="AF511" i="2"/>
  <c r="AE511" i="2"/>
  <c r="AD511" i="2"/>
  <c r="AC511" i="2"/>
  <c r="AB511" i="2"/>
  <c r="AA511" i="2"/>
  <c r="X511" i="2"/>
  <c r="J511" i="2"/>
  <c r="AJ510" i="2"/>
  <c r="AH510" i="2"/>
  <c r="AG510" i="2"/>
  <c r="AF510" i="2"/>
  <c r="AE510" i="2"/>
  <c r="AD510" i="2"/>
  <c r="AC510" i="2"/>
  <c r="AB510" i="2"/>
  <c r="AK510" i="2" s="1"/>
  <c r="AA510" i="2"/>
  <c r="X510" i="2"/>
  <c r="J510" i="2"/>
  <c r="AJ509" i="2"/>
  <c r="AH509" i="2"/>
  <c r="AG509" i="2"/>
  <c r="AF509" i="2"/>
  <c r="AE509" i="2"/>
  <c r="AD509" i="2"/>
  <c r="AC509" i="2"/>
  <c r="AB509" i="2"/>
  <c r="AA509" i="2"/>
  <c r="X509" i="2"/>
  <c r="J509" i="2"/>
  <c r="AJ508" i="2"/>
  <c r="AH508" i="2"/>
  <c r="AG508" i="2"/>
  <c r="AF508" i="2"/>
  <c r="AE508" i="2"/>
  <c r="AD508" i="2"/>
  <c r="AC508" i="2"/>
  <c r="AB508" i="2"/>
  <c r="AK508" i="2" s="1"/>
  <c r="AA508" i="2"/>
  <c r="X508" i="2"/>
  <c r="J508" i="2"/>
  <c r="AJ507" i="2"/>
  <c r="AH507" i="2"/>
  <c r="AG507" i="2"/>
  <c r="AF507" i="2"/>
  <c r="AE507" i="2"/>
  <c r="AD507" i="2"/>
  <c r="AC507" i="2"/>
  <c r="AB507" i="2"/>
  <c r="AK507" i="2" s="1"/>
  <c r="AA507" i="2"/>
  <c r="X507" i="2"/>
  <c r="J507" i="2"/>
  <c r="AJ506" i="2"/>
  <c r="AH506" i="2"/>
  <c r="AG506" i="2"/>
  <c r="AF506" i="2"/>
  <c r="AE506" i="2"/>
  <c r="AD506" i="2"/>
  <c r="AC506" i="2"/>
  <c r="AB506" i="2"/>
  <c r="AK506" i="2" s="1"/>
  <c r="AA506" i="2"/>
  <c r="X506" i="2"/>
  <c r="J506" i="2"/>
  <c r="AJ505" i="2"/>
  <c r="AH505" i="2"/>
  <c r="AG505" i="2"/>
  <c r="AF505" i="2"/>
  <c r="AE505" i="2"/>
  <c r="AD505" i="2"/>
  <c r="AC505" i="2"/>
  <c r="AB505" i="2"/>
  <c r="AA505" i="2"/>
  <c r="X505" i="2"/>
  <c r="J505" i="2"/>
  <c r="AJ504" i="2"/>
  <c r="AH504" i="2"/>
  <c r="AG504" i="2"/>
  <c r="AF504" i="2"/>
  <c r="AE504" i="2"/>
  <c r="AD504" i="2"/>
  <c r="AC504" i="2"/>
  <c r="AB504" i="2"/>
  <c r="AA504" i="2"/>
  <c r="X504" i="2"/>
  <c r="J504" i="2"/>
  <c r="AJ503" i="2"/>
  <c r="AH503" i="2"/>
  <c r="AG503" i="2"/>
  <c r="AF503" i="2"/>
  <c r="AE503" i="2"/>
  <c r="AD503" i="2"/>
  <c r="AC503" i="2"/>
  <c r="AB503" i="2"/>
  <c r="AK503" i="2" s="1"/>
  <c r="AA503" i="2"/>
  <c r="X503" i="2"/>
  <c r="J503" i="2"/>
  <c r="AJ502" i="2"/>
  <c r="AH502" i="2"/>
  <c r="AG502" i="2"/>
  <c r="AF502" i="2"/>
  <c r="AE502" i="2"/>
  <c r="AD502" i="2"/>
  <c r="AC502" i="2"/>
  <c r="AB502" i="2"/>
  <c r="AK502" i="2" s="1"/>
  <c r="AA502" i="2"/>
  <c r="X502" i="2"/>
  <c r="J502" i="2"/>
  <c r="AJ501" i="2"/>
  <c r="AH501" i="2"/>
  <c r="AG501" i="2"/>
  <c r="AF501" i="2"/>
  <c r="AE501" i="2"/>
  <c r="AD501" i="2"/>
  <c r="AC501" i="2"/>
  <c r="AB501" i="2"/>
  <c r="AA501" i="2"/>
  <c r="X501" i="2"/>
  <c r="J501" i="2"/>
  <c r="AJ500" i="2"/>
  <c r="AH500" i="2"/>
  <c r="AG500" i="2"/>
  <c r="AF500" i="2"/>
  <c r="AE500" i="2"/>
  <c r="AD500" i="2"/>
  <c r="AC500" i="2"/>
  <c r="AB500" i="2"/>
  <c r="AK500" i="2" s="1"/>
  <c r="AA500" i="2"/>
  <c r="X500" i="2"/>
  <c r="J500" i="2"/>
  <c r="AJ499" i="2"/>
  <c r="AH499" i="2"/>
  <c r="AG499" i="2"/>
  <c r="AF499" i="2"/>
  <c r="AE499" i="2"/>
  <c r="AD499" i="2"/>
  <c r="AC499" i="2"/>
  <c r="AB499" i="2"/>
  <c r="AA499" i="2"/>
  <c r="X499" i="2"/>
  <c r="J499" i="2"/>
  <c r="AJ498" i="2"/>
  <c r="AH498" i="2"/>
  <c r="AG498" i="2"/>
  <c r="AF498" i="2"/>
  <c r="AE498" i="2"/>
  <c r="AD498" i="2"/>
  <c r="AC498" i="2"/>
  <c r="AB498" i="2"/>
  <c r="AK498" i="2" s="1"/>
  <c r="AA498" i="2"/>
  <c r="X498" i="2"/>
  <c r="J498" i="2"/>
  <c r="AJ497" i="2"/>
  <c r="AH497" i="2"/>
  <c r="AG497" i="2"/>
  <c r="AF497" i="2"/>
  <c r="AE497" i="2"/>
  <c r="AD497" i="2"/>
  <c r="AC497" i="2"/>
  <c r="AB497" i="2"/>
  <c r="AA497" i="2"/>
  <c r="X497" i="2"/>
  <c r="J497" i="2"/>
  <c r="AJ496" i="2"/>
  <c r="AH496" i="2"/>
  <c r="AG496" i="2"/>
  <c r="AF496" i="2"/>
  <c r="AE496" i="2"/>
  <c r="AD496" i="2"/>
  <c r="AC496" i="2"/>
  <c r="AB496" i="2"/>
  <c r="AA496" i="2"/>
  <c r="X496" i="2"/>
  <c r="J496" i="2"/>
  <c r="AJ495" i="2"/>
  <c r="AH495" i="2"/>
  <c r="AG495" i="2"/>
  <c r="AF495" i="2"/>
  <c r="AE495" i="2"/>
  <c r="AD495" i="2"/>
  <c r="AC495" i="2"/>
  <c r="AB495" i="2"/>
  <c r="AK495" i="2" s="1"/>
  <c r="AA495" i="2"/>
  <c r="X495" i="2"/>
  <c r="J495" i="2"/>
  <c r="AJ494" i="2"/>
  <c r="AH494" i="2"/>
  <c r="AG494" i="2"/>
  <c r="AF494" i="2"/>
  <c r="AE494" i="2"/>
  <c r="AD494" i="2"/>
  <c r="AC494" i="2"/>
  <c r="AB494" i="2"/>
  <c r="AA494" i="2"/>
  <c r="X494" i="2"/>
  <c r="J494" i="2"/>
  <c r="AJ493" i="2"/>
  <c r="AH493" i="2"/>
  <c r="AG493" i="2"/>
  <c r="AF493" i="2"/>
  <c r="AE493" i="2"/>
  <c r="AD493" i="2"/>
  <c r="AC493" i="2"/>
  <c r="AB493" i="2"/>
  <c r="AA493" i="2"/>
  <c r="X493" i="2"/>
  <c r="J493" i="2"/>
  <c r="AJ492" i="2"/>
  <c r="AH492" i="2"/>
  <c r="AG492" i="2"/>
  <c r="AF492" i="2"/>
  <c r="AE492" i="2"/>
  <c r="AD492" i="2"/>
  <c r="AC492" i="2"/>
  <c r="AB492" i="2"/>
  <c r="AA492" i="2"/>
  <c r="X492" i="2"/>
  <c r="J492" i="2"/>
  <c r="AJ491" i="2"/>
  <c r="AH491" i="2"/>
  <c r="AG491" i="2"/>
  <c r="AF491" i="2"/>
  <c r="AE491" i="2"/>
  <c r="AD491" i="2"/>
  <c r="AC491" i="2"/>
  <c r="AB491" i="2"/>
  <c r="AK491" i="2" s="1"/>
  <c r="AA491" i="2"/>
  <c r="X491" i="2"/>
  <c r="J491" i="2"/>
  <c r="AJ490" i="2"/>
  <c r="AH490" i="2"/>
  <c r="AG490" i="2"/>
  <c r="AF490" i="2"/>
  <c r="AE490" i="2"/>
  <c r="AD490" i="2"/>
  <c r="AC490" i="2"/>
  <c r="AB490" i="2"/>
  <c r="AK490" i="2" s="1"/>
  <c r="AA490" i="2"/>
  <c r="X490" i="2"/>
  <c r="J490" i="2"/>
  <c r="AJ489" i="2"/>
  <c r="AH489" i="2"/>
  <c r="AG489" i="2"/>
  <c r="AF489" i="2"/>
  <c r="AE489" i="2"/>
  <c r="AD489" i="2"/>
  <c r="AC489" i="2"/>
  <c r="AB489" i="2"/>
  <c r="AA489" i="2"/>
  <c r="X489" i="2"/>
  <c r="J489" i="2"/>
  <c r="AJ488" i="2"/>
  <c r="AH488" i="2"/>
  <c r="AG488" i="2"/>
  <c r="AF488" i="2"/>
  <c r="AE488" i="2"/>
  <c r="AD488" i="2"/>
  <c r="AD487" i="2" s="1"/>
  <c r="AD486" i="2" s="1"/>
  <c r="AC488" i="2"/>
  <c r="AB488" i="2"/>
  <c r="AK488" i="2" s="1"/>
  <c r="AA488" i="2"/>
  <c r="X488" i="2"/>
  <c r="J488" i="2"/>
  <c r="AX487" i="2"/>
  <c r="X487" i="2"/>
  <c r="X486" i="2" s="1"/>
  <c r="U487" i="2"/>
  <c r="T487" i="2"/>
  <c r="M487" i="2"/>
  <c r="L487" i="2"/>
  <c r="K487" i="2"/>
  <c r="K486" i="2" s="1"/>
  <c r="J486" i="2" s="1"/>
  <c r="AX486" i="2"/>
  <c r="AH486" i="2"/>
  <c r="V486" i="2"/>
  <c r="V487" i="2" s="1"/>
  <c r="U486" i="2"/>
  <c r="T486" i="2"/>
  <c r="S486" i="2"/>
  <c r="S487" i="2" s="1"/>
  <c r="R486" i="2"/>
  <c r="R487" i="2" s="1"/>
  <c r="O486" i="2"/>
  <c r="O487" i="2" s="1"/>
  <c r="N486" i="2"/>
  <c r="N487" i="2" s="1"/>
  <c r="M486" i="2"/>
  <c r="L486" i="2"/>
  <c r="AJ485" i="2"/>
  <c r="AH485" i="2"/>
  <c r="AG485" i="2"/>
  <c r="AF485" i="2"/>
  <c r="AE485" i="2"/>
  <c r="AD485" i="2"/>
  <c r="AC485" i="2"/>
  <c r="AB485" i="2"/>
  <c r="AA485" i="2"/>
  <c r="X485" i="2"/>
  <c r="J485" i="2"/>
  <c r="AJ484" i="2"/>
  <c r="AH484" i="2"/>
  <c r="AG484" i="2"/>
  <c r="AF484" i="2"/>
  <c r="AE484" i="2"/>
  <c r="AD484" i="2"/>
  <c r="AC484" i="2"/>
  <c r="AB484" i="2"/>
  <c r="AK484" i="2" s="1"/>
  <c r="AA484" i="2"/>
  <c r="X484" i="2"/>
  <c r="J484" i="2"/>
  <c r="AJ483" i="2"/>
  <c r="AH483" i="2"/>
  <c r="AG483" i="2"/>
  <c r="AF483" i="2"/>
  <c r="AE483" i="2"/>
  <c r="AD483" i="2"/>
  <c r="AC483" i="2"/>
  <c r="AB483" i="2"/>
  <c r="AA483" i="2"/>
  <c r="X483" i="2"/>
  <c r="J483" i="2"/>
  <c r="AJ482" i="2"/>
  <c r="AH482" i="2"/>
  <c r="AG482" i="2"/>
  <c r="AF482" i="2"/>
  <c r="AE482" i="2"/>
  <c r="AD482" i="2"/>
  <c r="AC482" i="2"/>
  <c r="AB482" i="2"/>
  <c r="AK482" i="2" s="1"/>
  <c r="AA482" i="2"/>
  <c r="X482" i="2"/>
  <c r="J482" i="2"/>
  <c r="AJ481" i="2"/>
  <c r="AH481" i="2"/>
  <c r="AG481" i="2"/>
  <c r="AF481" i="2"/>
  <c r="AE481" i="2"/>
  <c r="AD481" i="2"/>
  <c r="AC481" i="2"/>
  <c r="AB481" i="2"/>
  <c r="AA481" i="2"/>
  <c r="X481" i="2"/>
  <c r="J481" i="2"/>
  <c r="AJ480" i="2"/>
  <c r="AH480" i="2"/>
  <c r="AG480" i="2"/>
  <c r="AF480" i="2"/>
  <c r="AE480" i="2"/>
  <c r="AD480" i="2"/>
  <c r="AC480" i="2"/>
  <c r="AB480" i="2"/>
  <c r="AK480" i="2" s="1"/>
  <c r="AA480" i="2"/>
  <c r="X480" i="2"/>
  <c r="J480" i="2"/>
  <c r="AJ479" i="2"/>
  <c r="AH479" i="2"/>
  <c r="AG479" i="2"/>
  <c r="AF479" i="2"/>
  <c r="AE479" i="2"/>
  <c r="AD479" i="2"/>
  <c r="AC479" i="2"/>
  <c r="AB479" i="2"/>
  <c r="AA479" i="2"/>
  <c r="X479" i="2"/>
  <c r="J479" i="2"/>
  <c r="AJ478" i="2"/>
  <c r="AH478" i="2"/>
  <c r="AG478" i="2"/>
  <c r="AF478" i="2"/>
  <c r="AE478" i="2"/>
  <c r="AD478" i="2"/>
  <c r="AC478" i="2"/>
  <c r="AB478" i="2"/>
  <c r="AA478" i="2"/>
  <c r="X478" i="2"/>
  <c r="J478" i="2"/>
  <c r="AJ477" i="2"/>
  <c r="AH477" i="2"/>
  <c r="AG477" i="2"/>
  <c r="AF477" i="2"/>
  <c r="AE477" i="2"/>
  <c r="AD477" i="2"/>
  <c r="AC477" i="2"/>
  <c r="AB477" i="2"/>
  <c r="AA477" i="2"/>
  <c r="X477" i="2"/>
  <c r="J477" i="2"/>
  <c r="AJ476" i="2"/>
  <c r="AH476" i="2"/>
  <c r="AG476" i="2"/>
  <c r="AF476" i="2"/>
  <c r="AE476" i="2"/>
  <c r="AD476" i="2"/>
  <c r="AC476" i="2"/>
  <c r="AB476" i="2"/>
  <c r="AA476" i="2"/>
  <c r="X476" i="2"/>
  <c r="J476" i="2"/>
  <c r="AJ475" i="2"/>
  <c r="AH475" i="2"/>
  <c r="AG475" i="2"/>
  <c r="AF475" i="2"/>
  <c r="AE475" i="2"/>
  <c r="AD475" i="2"/>
  <c r="AC475" i="2"/>
  <c r="AB475" i="2"/>
  <c r="AK475" i="2" s="1"/>
  <c r="AA475" i="2"/>
  <c r="X475" i="2"/>
  <c r="J475" i="2"/>
  <c r="AJ474" i="2"/>
  <c r="AH474" i="2"/>
  <c r="AG474" i="2"/>
  <c r="AF474" i="2"/>
  <c r="AE474" i="2"/>
  <c r="AD474" i="2"/>
  <c r="AC474" i="2"/>
  <c r="AB474" i="2"/>
  <c r="AK474" i="2" s="1"/>
  <c r="AA474" i="2"/>
  <c r="X474" i="2"/>
  <c r="J474" i="2"/>
  <c r="AJ473" i="2"/>
  <c r="AH473" i="2"/>
  <c r="AG473" i="2"/>
  <c r="AF473" i="2"/>
  <c r="AE473" i="2"/>
  <c r="AD473" i="2"/>
  <c r="AC473" i="2"/>
  <c r="AB473" i="2"/>
  <c r="AA473" i="2"/>
  <c r="X473" i="2"/>
  <c r="J473" i="2"/>
  <c r="AJ472" i="2"/>
  <c r="AH472" i="2"/>
  <c r="AG472" i="2"/>
  <c r="AF472" i="2"/>
  <c r="AE472" i="2"/>
  <c r="AD472" i="2"/>
  <c r="AC472" i="2"/>
  <c r="AB472" i="2"/>
  <c r="AK472" i="2" s="1"/>
  <c r="AA472" i="2"/>
  <c r="X472" i="2"/>
  <c r="J472" i="2"/>
  <c r="AJ471" i="2"/>
  <c r="AH471" i="2"/>
  <c r="AG471" i="2"/>
  <c r="AF471" i="2"/>
  <c r="AE471" i="2"/>
  <c r="AD471" i="2"/>
  <c r="AC471" i="2"/>
  <c r="AB471" i="2"/>
  <c r="AA471" i="2"/>
  <c r="X471" i="2"/>
  <c r="J471" i="2"/>
  <c r="AJ470" i="2"/>
  <c r="AH470" i="2"/>
  <c r="AG470" i="2"/>
  <c r="AF470" i="2"/>
  <c r="AE470" i="2"/>
  <c r="AD470" i="2"/>
  <c r="AC470" i="2"/>
  <c r="AB470" i="2"/>
  <c r="AK470" i="2" s="1"/>
  <c r="AA470" i="2"/>
  <c r="X470" i="2"/>
  <c r="J470" i="2"/>
  <c r="AJ469" i="2"/>
  <c r="AH469" i="2"/>
  <c r="AG469" i="2"/>
  <c r="AF469" i="2"/>
  <c r="AE469" i="2"/>
  <c r="AD469" i="2"/>
  <c r="AC469" i="2"/>
  <c r="AB469" i="2"/>
  <c r="AA469" i="2"/>
  <c r="X469" i="2"/>
  <c r="J469" i="2"/>
  <c r="AJ468" i="2"/>
  <c r="AH468" i="2"/>
  <c r="AG468" i="2"/>
  <c r="AF468" i="2"/>
  <c r="AE468" i="2"/>
  <c r="AD468" i="2"/>
  <c r="AC468" i="2"/>
  <c r="AB468" i="2"/>
  <c r="AK468" i="2" s="1"/>
  <c r="AA468" i="2"/>
  <c r="X468" i="2"/>
  <c r="J468" i="2"/>
  <c r="AJ467" i="2"/>
  <c r="AH467" i="2"/>
  <c r="AG467" i="2"/>
  <c r="AF467" i="2"/>
  <c r="AE467" i="2"/>
  <c r="AD467" i="2"/>
  <c r="AC467" i="2"/>
  <c r="AB467" i="2"/>
  <c r="AA467" i="2"/>
  <c r="X467" i="2"/>
  <c r="J467" i="2"/>
  <c r="AJ466" i="2"/>
  <c r="AH466" i="2"/>
  <c r="AG466" i="2"/>
  <c r="AF466" i="2"/>
  <c r="AE466" i="2"/>
  <c r="AD466" i="2"/>
  <c r="AC466" i="2"/>
  <c r="AB466" i="2"/>
  <c r="AA466" i="2"/>
  <c r="X466" i="2"/>
  <c r="J466" i="2"/>
  <c r="AJ465" i="2"/>
  <c r="AH465" i="2"/>
  <c r="AG465" i="2"/>
  <c r="AF465" i="2"/>
  <c r="AE465" i="2"/>
  <c r="AD465" i="2"/>
  <c r="AC465" i="2"/>
  <c r="AB465" i="2"/>
  <c r="AA465" i="2"/>
  <c r="X465" i="2"/>
  <c r="J465" i="2"/>
  <c r="AJ464" i="2"/>
  <c r="AH464" i="2"/>
  <c r="AG464" i="2"/>
  <c r="AF464" i="2"/>
  <c r="AE464" i="2"/>
  <c r="AD464" i="2"/>
  <c r="AC464" i="2"/>
  <c r="AB464" i="2"/>
  <c r="AA464" i="2"/>
  <c r="X464" i="2"/>
  <c r="J464" i="2"/>
  <c r="AJ463" i="2"/>
  <c r="AH463" i="2"/>
  <c r="AG463" i="2"/>
  <c r="AF463" i="2"/>
  <c r="AE463" i="2"/>
  <c r="AD463" i="2"/>
  <c r="AC463" i="2"/>
  <c r="AB463" i="2"/>
  <c r="AK463" i="2" s="1"/>
  <c r="AA463" i="2"/>
  <c r="X463" i="2"/>
  <c r="J463" i="2"/>
  <c r="AJ462" i="2"/>
  <c r="AH462" i="2"/>
  <c r="AG462" i="2"/>
  <c r="AF462" i="2"/>
  <c r="AE462" i="2"/>
  <c r="AD462" i="2"/>
  <c r="AC462" i="2"/>
  <c r="AB462" i="2"/>
  <c r="AK462" i="2" s="1"/>
  <c r="AA462" i="2"/>
  <c r="X462" i="2"/>
  <c r="J462" i="2"/>
  <c r="AJ461" i="2"/>
  <c r="AH461" i="2"/>
  <c r="AG461" i="2"/>
  <c r="AF461" i="2"/>
  <c r="AE461" i="2"/>
  <c r="AD461" i="2"/>
  <c r="AC461" i="2"/>
  <c r="AB461" i="2"/>
  <c r="AA461" i="2"/>
  <c r="X461" i="2"/>
  <c r="J461" i="2"/>
  <c r="AJ460" i="2"/>
  <c r="AH460" i="2"/>
  <c r="AG460" i="2"/>
  <c r="AF460" i="2"/>
  <c r="AE460" i="2"/>
  <c r="AD460" i="2"/>
  <c r="AC460" i="2"/>
  <c r="AB460" i="2"/>
  <c r="AK460" i="2" s="1"/>
  <c r="AA460" i="2"/>
  <c r="X460" i="2"/>
  <c r="J460" i="2"/>
  <c r="AJ459" i="2"/>
  <c r="AH459" i="2"/>
  <c r="AG459" i="2"/>
  <c r="AF459" i="2"/>
  <c r="AE459" i="2"/>
  <c r="AD459" i="2"/>
  <c r="AC459" i="2"/>
  <c r="AB459" i="2"/>
  <c r="AA459" i="2"/>
  <c r="X459" i="2"/>
  <c r="J459" i="2"/>
  <c r="AJ458" i="2"/>
  <c r="AH458" i="2"/>
  <c r="AG458" i="2"/>
  <c r="AF458" i="2"/>
  <c r="AE458" i="2"/>
  <c r="AD458" i="2"/>
  <c r="AC458" i="2"/>
  <c r="AB458" i="2"/>
  <c r="AK458" i="2" s="1"/>
  <c r="AA458" i="2"/>
  <c r="X458" i="2"/>
  <c r="J458" i="2"/>
  <c r="AJ457" i="2"/>
  <c r="AH457" i="2"/>
  <c r="AG457" i="2"/>
  <c r="AF457" i="2"/>
  <c r="AE457" i="2"/>
  <c r="AD457" i="2"/>
  <c r="AC457" i="2"/>
  <c r="AB457" i="2"/>
  <c r="AA457" i="2"/>
  <c r="X457" i="2"/>
  <c r="J457" i="2"/>
  <c r="AJ456" i="2"/>
  <c r="AH456" i="2"/>
  <c r="AG456" i="2"/>
  <c r="AF456" i="2"/>
  <c r="AE456" i="2"/>
  <c r="AD456" i="2"/>
  <c r="AC456" i="2"/>
  <c r="AB456" i="2"/>
  <c r="AK456" i="2" s="1"/>
  <c r="AA456" i="2"/>
  <c r="X456" i="2"/>
  <c r="J456" i="2"/>
  <c r="AJ455" i="2"/>
  <c r="AH455" i="2"/>
  <c r="AG455" i="2"/>
  <c r="AF455" i="2"/>
  <c r="AE455" i="2"/>
  <c r="AD455" i="2"/>
  <c r="AC455" i="2"/>
  <c r="AB455" i="2"/>
  <c r="AA455" i="2"/>
  <c r="X455" i="2"/>
  <c r="J455" i="2"/>
  <c r="AJ454" i="2"/>
  <c r="AH454" i="2"/>
  <c r="AG454" i="2"/>
  <c r="AF454" i="2"/>
  <c r="AE454" i="2"/>
  <c r="AD454" i="2"/>
  <c r="AC454" i="2"/>
  <c r="AB454" i="2"/>
  <c r="AA454" i="2"/>
  <c r="X454" i="2"/>
  <c r="J454" i="2"/>
  <c r="AJ453" i="2"/>
  <c r="AH453" i="2"/>
  <c r="AG453" i="2"/>
  <c r="AF453" i="2"/>
  <c r="AE453" i="2"/>
  <c r="AD453" i="2"/>
  <c r="AC453" i="2"/>
  <c r="AB453" i="2"/>
  <c r="AA453" i="2"/>
  <c r="X453" i="2"/>
  <c r="J453" i="2"/>
  <c r="AJ452" i="2"/>
  <c r="AH452" i="2"/>
  <c r="AG452" i="2"/>
  <c r="AF452" i="2"/>
  <c r="AE452" i="2"/>
  <c r="AD452" i="2"/>
  <c r="AC452" i="2"/>
  <c r="AB452" i="2"/>
  <c r="AA452" i="2"/>
  <c r="X452" i="2"/>
  <c r="J452" i="2"/>
  <c r="AJ451" i="2"/>
  <c r="AH451" i="2"/>
  <c r="AG451" i="2"/>
  <c r="AF451" i="2"/>
  <c r="AE451" i="2"/>
  <c r="AD451" i="2"/>
  <c r="AC451" i="2"/>
  <c r="AB451" i="2"/>
  <c r="AK451" i="2" s="1"/>
  <c r="AA451" i="2"/>
  <c r="X451" i="2"/>
  <c r="J451" i="2"/>
  <c r="AJ450" i="2"/>
  <c r="AH450" i="2"/>
  <c r="AG450" i="2"/>
  <c r="AF450" i="2"/>
  <c r="AE450" i="2"/>
  <c r="AD450" i="2"/>
  <c r="AC450" i="2"/>
  <c r="AB450" i="2"/>
  <c r="AA450" i="2"/>
  <c r="X450" i="2"/>
  <c r="J450" i="2"/>
  <c r="AJ449" i="2"/>
  <c r="AH449" i="2"/>
  <c r="AG449" i="2"/>
  <c r="AF449" i="2"/>
  <c r="AE449" i="2"/>
  <c r="AD449" i="2"/>
  <c r="AC449" i="2"/>
  <c r="AB449" i="2"/>
  <c r="AA449" i="2"/>
  <c r="X449" i="2"/>
  <c r="J449" i="2"/>
  <c r="AJ448" i="2"/>
  <c r="AH448" i="2"/>
  <c r="AG448" i="2"/>
  <c r="AF448" i="2"/>
  <c r="AE448" i="2"/>
  <c r="AD448" i="2"/>
  <c r="AC448" i="2"/>
  <c r="AB448" i="2"/>
  <c r="AK448" i="2" s="1"/>
  <c r="AA448" i="2"/>
  <c r="X448" i="2"/>
  <c r="J448" i="2"/>
  <c r="AJ447" i="2"/>
  <c r="AH447" i="2"/>
  <c r="AG447" i="2"/>
  <c r="AF447" i="2"/>
  <c r="AE447" i="2"/>
  <c r="AD447" i="2"/>
  <c r="AC447" i="2"/>
  <c r="AB447" i="2"/>
  <c r="AA447" i="2"/>
  <c r="X447" i="2"/>
  <c r="J447" i="2"/>
  <c r="AJ446" i="2"/>
  <c r="AH446" i="2"/>
  <c r="AG446" i="2"/>
  <c r="AF446" i="2"/>
  <c r="AE446" i="2"/>
  <c r="AD446" i="2"/>
  <c r="AC446" i="2"/>
  <c r="AB446" i="2"/>
  <c r="AK446" i="2" s="1"/>
  <c r="AA446" i="2"/>
  <c r="X446" i="2"/>
  <c r="J446" i="2"/>
  <c r="AJ445" i="2"/>
  <c r="AH445" i="2"/>
  <c r="AG445" i="2"/>
  <c r="AF445" i="2"/>
  <c r="AE445" i="2"/>
  <c r="AD445" i="2"/>
  <c r="AC445" i="2"/>
  <c r="AB445" i="2"/>
  <c r="AA445" i="2"/>
  <c r="X445" i="2"/>
  <c r="J445" i="2"/>
  <c r="AJ444" i="2"/>
  <c r="AH444" i="2"/>
  <c r="AG444" i="2"/>
  <c r="AF444" i="2"/>
  <c r="AE444" i="2"/>
  <c r="AD444" i="2"/>
  <c r="AC444" i="2"/>
  <c r="AB444" i="2"/>
  <c r="AK444" i="2" s="1"/>
  <c r="AA444" i="2"/>
  <c r="X444" i="2"/>
  <c r="J444" i="2"/>
  <c r="AJ443" i="2"/>
  <c r="AH443" i="2"/>
  <c r="AG443" i="2"/>
  <c r="AF443" i="2"/>
  <c r="AE443" i="2"/>
  <c r="AD443" i="2"/>
  <c r="AC443" i="2"/>
  <c r="AB443" i="2"/>
  <c r="AA443" i="2"/>
  <c r="X443" i="2"/>
  <c r="J443" i="2"/>
  <c r="AJ442" i="2"/>
  <c r="AH442" i="2"/>
  <c r="AG442" i="2"/>
  <c r="AF442" i="2"/>
  <c r="AE442" i="2"/>
  <c r="AD442" i="2"/>
  <c r="AC442" i="2"/>
  <c r="AB442" i="2"/>
  <c r="AA442" i="2"/>
  <c r="X442" i="2"/>
  <c r="J442" i="2"/>
  <c r="AJ441" i="2"/>
  <c r="AH441" i="2"/>
  <c r="AG441" i="2"/>
  <c r="AF441" i="2"/>
  <c r="AE441" i="2"/>
  <c r="AD441" i="2"/>
  <c r="AC441" i="2"/>
  <c r="AB441" i="2"/>
  <c r="AA441" i="2"/>
  <c r="X441" i="2"/>
  <c r="J441" i="2"/>
  <c r="AJ440" i="2"/>
  <c r="AG440" i="2"/>
  <c r="AF440" i="2"/>
  <c r="AE440" i="2"/>
  <c r="AD440" i="2"/>
  <c r="AC440" i="2"/>
  <c r="AB440" i="2"/>
  <c r="AK440" i="2" s="1"/>
  <c r="AA440" i="2"/>
  <c r="AH440" i="2" s="1"/>
  <c r="X440" i="2"/>
  <c r="J440" i="2"/>
  <c r="AJ439" i="2"/>
  <c r="AH439" i="2"/>
  <c r="AG439" i="2"/>
  <c r="AF439" i="2"/>
  <c r="AE439" i="2"/>
  <c r="AD439" i="2"/>
  <c r="AC439" i="2"/>
  <c r="AB439" i="2"/>
  <c r="AA439" i="2"/>
  <c r="X439" i="2"/>
  <c r="J439" i="2"/>
  <c r="AJ438" i="2"/>
  <c r="AH438" i="2"/>
  <c r="AG438" i="2"/>
  <c r="AF438" i="2"/>
  <c r="AE438" i="2"/>
  <c r="AD438" i="2"/>
  <c r="AC438" i="2"/>
  <c r="AB438" i="2"/>
  <c r="AA438" i="2"/>
  <c r="X438" i="2"/>
  <c r="J438" i="2"/>
  <c r="AJ437" i="2"/>
  <c r="AH437" i="2"/>
  <c r="AG437" i="2"/>
  <c r="AF437" i="2"/>
  <c r="AE437" i="2"/>
  <c r="AD437" i="2"/>
  <c r="AC437" i="2"/>
  <c r="AB437" i="2"/>
  <c r="AK437" i="2" s="1"/>
  <c r="AA437" i="2"/>
  <c r="X437" i="2"/>
  <c r="J437" i="2"/>
  <c r="AJ436" i="2"/>
  <c r="AH436" i="2"/>
  <c r="AG436" i="2"/>
  <c r="AF436" i="2"/>
  <c r="AE436" i="2"/>
  <c r="AD436" i="2"/>
  <c r="AC436" i="2"/>
  <c r="AB436" i="2"/>
  <c r="AA436" i="2"/>
  <c r="X436" i="2"/>
  <c r="J436" i="2"/>
  <c r="AJ435" i="2"/>
  <c r="AH435" i="2"/>
  <c r="AG435" i="2"/>
  <c r="AF435" i="2"/>
  <c r="AE435" i="2"/>
  <c r="AD435" i="2"/>
  <c r="AC435" i="2"/>
  <c r="AB435" i="2"/>
  <c r="AK435" i="2" s="1"/>
  <c r="AA435" i="2"/>
  <c r="X435" i="2"/>
  <c r="J435" i="2"/>
  <c r="AJ434" i="2"/>
  <c r="AH434" i="2"/>
  <c r="AG434" i="2"/>
  <c r="AF434" i="2"/>
  <c r="AE434" i="2"/>
  <c r="AD434" i="2"/>
  <c r="AC434" i="2"/>
  <c r="AB434" i="2"/>
  <c r="AA434" i="2"/>
  <c r="X434" i="2"/>
  <c r="J434" i="2"/>
  <c r="AJ433" i="2"/>
  <c r="AH433" i="2"/>
  <c r="AG433" i="2"/>
  <c r="AF433" i="2"/>
  <c r="AE433" i="2"/>
  <c r="AD433" i="2"/>
  <c r="AC433" i="2"/>
  <c r="AB433" i="2"/>
  <c r="AK433" i="2" s="1"/>
  <c r="AA433" i="2"/>
  <c r="X433" i="2"/>
  <c r="J433" i="2"/>
  <c r="AJ432" i="2"/>
  <c r="AH432" i="2"/>
  <c r="AG432" i="2"/>
  <c r="AF432" i="2"/>
  <c r="AE432" i="2"/>
  <c r="AD432" i="2"/>
  <c r="AC432" i="2"/>
  <c r="AB432" i="2"/>
  <c r="AA432" i="2"/>
  <c r="X432" i="2"/>
  <c r="J432" i="2"/>
  <c r="AJ431" i="2"/>
  <c r="AH431" i="2"/>
  <c r="AG431" i="2"/>
  <c r="AF431" i="2"/>
  <c r="AE431" i="2"/>
  <c r="AD431" i="2"/>
  <c r="AC431" i="2"/>
  <c r="AB431" i="2"/>
  <c r="AA431" i="2"/>
  <c r="X431" i="2"/>
  <c r="J431" i="2"/>
  <c r="AJ430" i="2"/>
  <c r="AH430" i="2"/>
  <c r="AG430" i="2"/>
  <c r="AF430" i="2"/>
  <c r="AE430" i="2"/>
  <c r="AD430" i="2"/>
  <c r="AC430" i="2"/>
  <c r="AB430" i="2"/>
  <c r="AA430" i="2"/>
  <c r="X430" i="2"/>
  <c r="J430" i="2"/>
  <c r="AJ429" i="2"/>
  <c r="AH429" i="2"/>
  <c r="AG429" i="2"/>
  <c r="AF429" i="2"/>
  <c r="AE429" i="2"/>
  <c r="AD429" i="2"/>
  <c r="AC429" i="2"/>
  <c r="AB429" i="2"/>
  <c r="AA429" i="2"/>
  <c r="X429" i="2"/>
  <c r="J429" i="2"/>
  <c r="AJ428" i="2"/>
  <c r="AH428" i="2"/>
  <c r="AG428" i="2"/>
  <c r="AF428" i="2"/>
  <c r="AE428" i="2"/>
  <c r="AD428" i="2"/>
  <c r="AC428" i="2"/>
  <c r="AB428" i="2"/>
  <c r="AK428" i="2" s="1"/>
  <c r="AA428" i="2"/>
  <c r="X428" i="2"/>
  <c r="J428" i="2"/>
  <c r="AJ427" i="2"/>
  <c r="AH427" i="2"/>
  <c r="AG427" i="2"/>
  <c r="AF427" i="2"/>
  <c r="AE427" i="2"/>
  <c r="AD427" i="2"/>
  <c r="AC427" i="2"/>
  <c r="AB427" i="2"/>
  <c r="AA427" i="2"/>
  <c r="X427" i="2"/>
  <c r="J427" i="2"/>
  <c r="AJ426" i="2"/>
  <c r="AH426" i="2"/>
  <c r="AG426" i="2"/>
  <c r="AF426" i="2"/>
  <c r="AE426" i="2"/>
  <c r="AD426" i="2"/>
  <c r="AC426" i="2"/>
  <c r="AB426" i="2"/>
  <c r="AA426" i="2"/>
  <c r="X426" i="2"/>
  <c r="J426" i="2"/>
  <c r="AJ425" i="2"/>
  <c r="AH425" i="2"/>
  <c r="AG425" i="2"/>
  <c r="AF425" i="2"/>
  <c r="AE425" i="2"/>
  <c r="AD425" i="2"/>
  <c r="AC425" i="2"/>
  <c r="AB425" i="2"/>
  <c r="AK425" i="2" s="1"/>
  <c r="AA425" i="2"/>
  <c r="X425" i="2"/>
  <c r="J425" i="2"/>
  <c r="AJ424" i="2"/>
  <c r="AH424" i="2"/>
  <c r="AG424" i="2"/>
  <c r="AF424" i="2"/>
  <c r="AE424" i="2"/>
  <c r="AD424" i="2"/>
  <c r="AC424" i="2"/>
  <c r="AB424" i="2"/>
  <c r="AA424" i="2"/>
  <c r="X424" i="2"/>
  <c r="J424" i="2"/>
  <c r="AJ423" i="2"/>
  <c r="AG423" i="2"/>
  <c r="AF423" i="2"/>
  <c r="AE423" i="2"/>
  <c r="AD423" i="2"/>
  <c r="AC423" i="2"/>
  <c r="AB423" i="2"/>
  <c r="AA423" i="2"/>
  <c r="AH423" i="2" s="1"/>
  <c r="X423" i="2"/>
  <c r="J423" i="2"/>
  <c r="AJ422" i="2"/>
  <c r="AH422" i="2"/>
  <c r="AG422" i="2"/>
  <c r="AF422" i="2"/>
  <c r="AE422" i="2"/>
  <c r="AD422" i="2"/>
  <c r="AC422" i="2"/>
  <c r="AB422" i="2"/>
  <c r="AA422" i="2"/>
  <c r="X422" i="2"/>
  <c r="J422" i="2"/>
  <c r="AJ421" i="2"/>
  <c r="AH421" i="2"/>
  <c r="AG421" i="2"/>
  <c r="AF421" i="2"/>
  <c r="AE421" i="2"/>
  <c r="AD421" i="2"/>
  <c r="AC421" i="2"/>
  <c r="AB421" i="2"/>
  <c r="AA421" i="2"/>
  <c r="X421" i="2"/>
  <c r="J421" i="2"/>
  <c r="AJ420" i="2"/>
  <c r="AG420" i="2"/>
  <c r="AF420" i="2"/>
  <c r="AE420" i="2"/>
  <c r="AD420" i="2"/>
  <c r="AC420" i="2"/>
  <c r="AB420" i="2"/>
  <c r="AA420" i="2"/>
  <c r="AH420" i="2" s="1"/>
  <c r="X420" i="2"/>
  <c r="J420" i="2"/>
  <c r="AJ419" i="2"/>
  <c r="AH419" i="2"/>
  <c r="AG419" i="2"/>
  <c r="AF419" i="2"/>
  <c r="AE419" i="2"/>
  <c r="AD419" i="2"/>
  <c r="AC419" i="2"/>
  <c r="AB419" i="2"/>
  <c r="AA419" i="2"/>
  <c r="X419" i="2"/>
  <c r="J419" i="2"/>
  <c r="AJ418" i="2"/>
  <c r="AG418" i="2"/>
  <c r="AF418" i="2"/>
  <c r="AE418" i="2"/>
  <c r="AD418" i="2"/>
  <c r="AC418" i="2"/>
  <c r="AB418" i="2"/>
  <c r="AA418" i="2"/>
  <c r="AH418" i="2" s="1"/>
  <c r="X418" i="2"/>
  <c r="J418" i="2"/>
  <c r="AJ417" i="2"/>
  <c r="AH417" i="2"/>
  <c r="AG417" i="2"/>
  <c r="AF417" i="2"/>
  <c r="AE417" i="2"/>
  <c r="AD417" i="2"/>
  <c r="AC417" i="2"/>
  <c r="AB417" i="2"/>
  <c r="AA417" i="2"/>
  <c r="X417" i="2"/>
  <c r="J417" i="2"/>
  <c r="AJ416" i="2"/>
  <c r="AH416" i="2"/>
  <c r="AG416" i="2"/>
  <c r="AF416" i="2"/>
  <c r="AE416" i="2"/>
  <c r="AD416" i="2"/>
  <c r="AC416" i="2"/>
  <c r="AB416" i="2"/>
  <c r="AK416" i="2" s="1"/>
  <c r="AA416" i="2"/>
  <c r="X416" i="2"/>
  <c r="J416" i="2"/>
  <c r="AJ415" i="2"/>
  <c r="AH415" i="2"/>
  <c r="AG415" i="2"/>
  <c r="AF415" i="2"/>
  <c r="AE415" i="2"/>
  <c r="AD415" i="2"/>
  <c r="AC415" i="2"/>
  <c r="AB415" i="2"/>
  <c r="AA415" i="2"/>
  <c r="X415" i="2"/>
  <c r="J415" i="2"/>
  <c r="AJ414" i="2"/>
  <c r="AH414" i="2"/>
  <c r="AG414" i="2"/>
  <c r="AF414" i="2"/>
  <c r="AE414" i="2"/>
  <c r="AD414" i="2"/>
  <c r="AC414" i="2"/>
  <c r="AB414" i="2"/>
  <c r="AA414" i="2"/>
  <c r="X414" i="2"/>
  <c r="J414" i="2"/>
  <c r="AJ413" i="2"/>
  <c r="AH413" i="2"/>
  <c r="AG413" i="2"/>
  <c r="AF413" i="2"/>
  <c r="AE413" i="2"/>
  <c r="AD413" i="2"/>
  <c r="AC413" i="2"/>
  <c r="AB413" i="2"/>
  <c r="AK413" i="2" s="1"/>
  <c r="AA413" i="2"/>
  <c r="X413" i="2"/>
  <c r="J413" i="2"/>
  <c r="AJ412" i="2"/>
  <c r="AH412" i="2"/>
  <c r="AG412" i="2"/>
  <c r="AF412" i="2"/>
  <c r="AE412" i="2"/>
  <c r="AD412" i="2"/>
  <c r="AC412" i="2"/>
  <c r="AB412" i="2"/>
  <c r="AA412" i="2"/>
  <c r="X412" i="2"/>
  <c r="J412" i="2"/>
  <c r="AJ411" i="2"/>
  <c r="AH411" i="2"/>
  <c r="AG411" i="2"/>
  <c r="AF411" i="2"/>
  <c r="AE411" i="2"/>
  <c r="AD411" i="2"/>
  <c r="AC411" i="2"/>
  <c r="AB411" i="2"/>
  <c r="AK411" i="2" s="1"/>
  <c r="AA411" i="2"/>
  <c r="X411" i="2"/>
  <c r="J411" i="2"/>
  <c r="AJ410" i="2"/>
  <c r="AH410" i="2"/>
  <c r="AG410" i="2"/>
  <c r="AF410" i="2"/>
  <c r="AE410" i="2"/>
  <c r="AD410" i="2"/>
  <c r="AC410" i="2"/>
  <c r="AB410" i="2"/>
  <c r="AA410" i="2"/>
  <c r="X410" i="2"/>
  <c r="J410" i="2"/>
  <c r="AJ409" i="2"/>
  <c r="AH409" i="2"/>
  <c r="AG409" i="2"/>
  <c r="AF409" i="2"/>
  <c r="AE409" i="2"/>
  <c r="AD409" i="2"/>
  <c r="AC409" i="2"/>
  <c r="AB409" i="2"/>
  <c r="AA409" i="2"/>
  <c r="X409" i="2"/>
  <c r="J409" i="2"/>
  <c r="AJ408" i="2"/>
  <c r="AH408" i="2"/>
  <c r="AG408" i="2"/>
  <c r="AF408" i="2"/>
  <c r="AE408" i="2"/>
  <c r="AD408" i="2"/>
  <c r="AC408" i="2"/>
  <c r="AB408" i="2"/>
  <c r="AA408" i="2"/>
  <c r="X408" i="2"/>
  <c r="J408" i="2"/>
  <c r="AJ407" i="2"/>
  <c r="AH407" i="2"/>
  <c r="AG407" i="2"/>
  <c r="AF407" i="2"/>
  <c r="AE407" i="2"/>
  <c r="AD407" i="2"/>
  <c r="AC407" i="2"/>
  <c r="AB407" i="2"/>
  <c r="AA407" i="2"/>
  <c r="X407" i="2"/>
  <c r="J407" i="2"/>
  <c r="AJ406" i="2"/>
  <c r="AH406" i="2"/>
  <c r="AG406" i="2"/>
  <c r="AF406" i="2"/>
  <c r="AE406" i="2"/>
  <c r="AD406" i="2"/>
  <c r="AC406" i="2"/>
  <c r="AB406" i="2"/>
  <c r="AA406" i="2"/>
  <c r="X406" i="2"/>
  <c r="J406" i="2"/>
  <c r="AJ405" i="2"/>
  <c r="AH405" i="2"/>
  <c r="AG405" i="2"/>
  <c r="AF405" i="2"/>
  <c r="AE405" i="2"/>
  <c r="AD405" i="2"/>
  <c r="AC405" i="2"/>
  <c r="AB405" i="2"/>
  <c r="AA405" i="2"/>
  <c r="X405" i="2"/>
  <c r="J405" i="2"/>
  <c r="AJ404" i="2"/>
  <c r="AH404" i="2"/>
  <c r="AG404" i="2"/>
  <c r="AF404" i="2"/>
  <c r="AE404" i="2"/>
  <c r="AD404" i="2"/>
  <c r="AC404" i="2"/>
  <c r="AB404" i="2"/>
  <c r="AK404" i="2" s="1"/>
  <c r="AA404" i="2"/>
  <c r="X404" i="2"/>
  <c r="J404" i="2"/>
  <c r="AJ403" i="2"/>
  <c r="AH403" i="2"/>
  <c r="AG403" i="2"/>
  <c r="AF403" i="2"/>
  <c r="AE403" i="2"/>
  <c r="AD403" i="2"/>
  <c r="AC403" i="2"/>
  <c r="AB403" i="2"/>
  <c r="AA403" i="2"/>
  <c r="X403" i="2"/>
  <c r="J403" i="2"/>
  <c r="AJ402" i="2"/>
  <c r="AH402" i="2"/>
  <c r="AG402" i="2"/>
  <c r="AF402" i="2"/>
  <c r="AE402" i="2"/>
  <c r="AD402" i="2"/>
  <c r="AC402" i="2"/>
  <c r="AB402" i="2"/>
  <c r="AA402" i="2"/>
  <c r="X402" i="2"/>
  <c r="J402" i="2"/>
  <c r="AJ401" i="2"/>
  <c r="AH401" i="2"/>
  <c r="AG401" i="2"/>
  <c r="AF401" i="2"/>
  <c r="AE401" i="2"/>
  <c r="AD401" i="2"/>
  <c r="AC401" i="2"/>
  <c r="AB401" i="2"/>
  <c r="AK401" i="2" s="1"/>
  <c r="AA401" i="2"/>
  <c r="X401" i="2"/>
  <c r="J401" i="2"/>
  <c r="AJ400" i="2"/>
  <c r="AH400" i="2"/>
  <c r="AG400" i="2"/>
  <c r="AF400" i="2"/>
  <c r="AE400" i="2"/>
  <c r="AD400" i="2"/>
  <c r="AC400" i="2"/>
  <c r="AB400" i="2"/>
  <c r="AA400" i="2"/>
  <c r="X400" i="2"/>
  <c r="J400" i="2"/>
  <c r="AJ399" i="2"/>
  <c r="AH399" i="2"/>
  <c r="AG399" i="2"/>
  <c r="AF399" i="2"/>
  <c r="AE399" i="2"/>
  <c r="AD399" i="2"/>
  <c r="AC399" i="2"/>
  <c r="AB399" i="2"/>
  <c r="AK399" i="2" s="1"/>
  <c r="AA399" i="2"/>
  <c r="X399" i="2"/>
  <c r="J399" i="2"/>
  <c r="AJ398" i="2"/>
  <c r="AH398" i="2"/>
  <c r="AG398" i="2"/>
  <c r="AF398" i="2"/>
  <c r="AE398" i="2"/>
  <c r="AD398" i="2"/>
  <c r="AC398" i="2"/>
  <c r="AB398" i="2"/>
  <c r="AA398" i="2"/>
  <c r="X398" i="2"/>
  <c r="J398" i="2"/>
  <c r="AJ397" i="2"/>
  <c r="AH397" i="2"/>
  <c r="AG397" i="2"/>
  <c r="AF397" i="2"/>
  <c r="AE397" i="2"/>
  <c r="AD397" i="2"/>
  <c r="AC397" i="2"/>
  <c r="AB397" i="2"/>
  <c r="AA397" i="2"/>
  <c r="X397" i="2"/>
  <c r="J397" i="2"/>
  <c r="AJ396" i="2"/>
  <c r="AH396" i="2"/>
  <c r="AG396" i="2"/>
  <c r="AF396" i="2"/>
  <c r="AE396" i="2"/>
  <c r="AD396" i="2"/>
  <c r="AC396" i="2"/>
  <c r="AB396" i="2"/>
  <c r="AA396" i="2"/>
  <c r="X396" i="2"/>
  <c r="J396" i="2"/>
  <c r="AJ395" i="2"/>
  <c r="AH395" i="2"/>
  <c r="AG395" i="2"/>
  <c r="AF395" i="2"/>
  <c r="AE395" i="2"/>
  <c r="AD395" i="2"/>
  <c r="AC395" i="2"/>
  <c r="AB395" i="2"/>
  <c r="AA395" i="2"/>
  <c r="X395" i="2"/>
  <c r="J395" i="2"/>
  <c r="AJ394" i="2"/>
  <c r="AH394" i="2"/>
  <c r="AG394" i="2"/>
  <c r="AF394" i="2"/>
  <c r="AE394" i="2"/>
  <c r="AD394" i="2"/>
  <c r="AC394" i="2"/>
  <c r="AB394" i="2"/>
  <c r="AA394" i="2"/>
  <c r="X394" i="2"/>
  <c r="J394" i="2"/>
  <c r="AJ393" i="2"/>
  <c r="AH393" i="2"/>
  <c r="AG393" i="2"/>
  <c r="AF393" i="2"/>
  <c r="AE393" i="2"/>
  <c r="AD393" i="2"/>
  <c r="AC393" i="2"/>
  <c r="AB393" i="2"/>
  <c r="AA393" i="2"/>
  <c r="X393" i="2"/>
  <c r="J393" i="2"/>
  <c r="AJ392" i="2"/>
  <c r="AH392" i="2"/>
  <c r="AG392" i="2"/>
  <c r="AF392" i="2"/>
  <c r="AE392" i="2"/>
  <c r="AD392" i="2"/>
  <c r="AC392" i="2"/>
  <c r="AB392" i="2"/>
  <c r="AK392" i="2" s="1"/>
  <c r="AA392" i="2"/>
  <c r="X392" i="2"/>
  <c r="J392" i="2"/>
  <c r="AJ391" i="2"/>
  <c r="AH391" i="2"/>
  <c r="AG391" i="2"/>
  <c r="AF391" i="2"/>
  <c r="AE391" i="2"/>
  <c r="AD391" i="2"/>
  <c r="AC391" i="2"/>
  <c r="AB391" i="2"/>
  <c r="AA391" i="2"/>
  <c r="X391" i="2"/>
  <c r="J391" i="2"/>
  <c r="AJ390" i="2"/>
  <c r="AH390" i="2"/>
  <c r="AG390" i="2"/>
  <c r="AF390" i="2"/>
  <c r="AE390" i="2"/>
  <c r="AD390" i="2"/>
  <c r="AC390" i="2"/>
  <c r="AB390" i="2"/>
  <c r="AA390" i="2"/>
  <c r="X390" i="2"/>
  <c r="J390" i="2"/>
  <c r="AJ389" i="2"/>
  <c r="AH389" i="2"/>
  <c r="AG389" i="2"/>
  <c r="AF389" i="2"/>
  <c r="AE389" i="2"/>
  <c r="AD389" i="2"/>
  <c r="AC389" i="2"/>
  <c r="AB389" i="2"/>
  <c r="AK389" i="2" s="1"/>
  <c r="AA389" i="2"/>
  <c r="X389" i="2"/>
  <c r="J389" i="2"/>
  <c r="AJ388" i="2"/>
  <c r="AH388" i="2"/>
  <c r="AG388" i="2"/>
  <c r="AF388" i="2"/>
  <c r="AE388" i="2"/>
  <c r="AD388" i="2"/>
  <c r="AC388" i="2"/>
  <c r="AB388" i="2"/>
  <c r="AA388" i="2"/>
  <c r="X388" i="2"/>
  <c r="J388" i="2"/>
  <c r="AJ387" i="2"/>
  <c r="AH387" i="2"/>
  <c r="AG387" i="2"/>
  <c r="AF387" i="2"/>
  <c r="AE387" i="2"/>
  <c r="AD387" i="2"/>
  <c r="AC387" i="2"/>
  <c r="AB387" i="2"/>
  <c r="AK387" i="2" s="1"/>
  <c r="AA387" i="2"/>
  <c r="X387" i="2"/>
  <c r="J387" i="2"/>
  <c r="AJ386" i="2"/>
  <c r="AH386" i="2"/>
  <c r="AG386" i="2"/>
  <c r="AF386" i="2"/>
  <c r="AE386" i="2"/>
  <c r="AD386" i="2"/>
  <c r="AC386" i="2"/>
  <c r="AB386" i="2"/>
  <c r="AA386" i="2"/>
  <c r="X386" i="2"/>
  <c r="J386" i="2"/>
  <c r="AJ385" i="2"/>
  <c r="AH385" i="2"/>
  <c r="AG385" i="2"/>
  <c r="AF385" i="2"/>
  <c r="AE385" i="2"/>
  <c r="AD385" i="2"/>
  <c r="AC385" i="2"/>
  <c r="AB385" i="2"/>
  <c r="AA385" i="2"/>
  <c r="X385" i="2"/>
  <c r="J385" i="2"/>
  <c r="AJ384" i="2"/>
  <c r="AH384" i="2"/>
  <c r="AG384" i="2"/>
  <c r="AF384" i="2"/>
  <c r="AE384" i="2"/>
  <c r="AD384" i="2"/>
  <c r="AC384" i="2"/>
  <c r="AB384" i="2"/>
  <c r="AA384" i="2"/>
  <c r="X384" i="2"/>
  <c r="J384" i="2"/>
  <c r="AJ383" i="2"/>
  <c r="AH383" i="2"/>
  <c r="AG383" i="2"/>
  <c r="AF383" i="2"/>
  <c r="AE383" i="2"/>
  <c r="AD383" i="2"/>
  <c r="AC383" i="2"/>
  <c r="AB383" i="2"/>
  <c r="AK383" i="2" s="1"/>
  <c r="AA383" i="2"/>
  <c r="X383" i="2"/>
  <c r="J383" i="2"/>
  <c r="AJ382" i="2"/>
  <c r="AH382" i="2"/>
  <c r="AG382" i="2"/>
  <c r="AF382" i="2"/>
  <c r="AE382" i="2"/>
  <c r="AD382" i="2"/>
  <c r="AC382" i="2"/>
  <c r="AB382" i="2"/>
  <c r="AK382" i="2" s="1"/>
  <c r="AA382" i="2"/>
  <c r="X382" i="2"/>
  <c r="J382" i="2"/>
  <c r="AJ381" i="2"/>
  <c r="AH381" i="2"/>
  <c r="AG381" i="2"/>
  <c r="AF381" i="2"/>
  <c r="AE381" i="2"/>
  <c r="AD381" i="2"/>
  <c r="AC381" i="2"/>
  <c r="AB381" i="2"/>
  <c r="AK381" i="2" s="1"/>
  <c r="AA381" i="2"/>
  <c r="X381" i="2"/>
  <c r="J381" i="2"/>
  <c r="AJ380" i="2"/>
  <c r="AH380" i="2"/>
  <c r="AG380" i="2"/>
  <c r="AF380" i="2"/>
  <c r="AE380" i="2"/>
  <c r="AD380" i="2"/>
  <c r="AC380" i="2"/>
  <c r="AB380" i="2"/>
  <c r="AK380" i="2" s="1"/>
  <c r="AA380" i="2"/>
  <c r="X380" i="2"/>
  <c r="J380" i="2"/>
  <c r="AJ379" i="2"/>
  <c r="AH379" i="2"/>
  <c r="AG379" i="2"/>
  <c r="AF379" i="2"/>
  <c r="AE379" i="2"/>
  <c r="AD379" i="2"/>
  <c r="AC379" i="2"/>
  <c r="AB379" i="2"/>
  <c r="AK379" i="2" s="1"/>
  <c r="AA379" i="2"/>
  <c r="X379" i="2"/>
  <c r="J379" i="2"/>
  <c r="AJ378" i="2"/>
  <c r="AH378" i="2"/>
  <c r="AG378" i="2"/>
  <c r="AF378" i="2"/>
  <c r="AE378" i="2"/>
  <c r="AD378" i="2"/>
  <c r="AC378" i="2"/>
  <c r="AB378" i="2"/>
  <c r="AK378" i="2" s="1"/>
  <c r="AA378" i="2"/>
  <c r="X378" i="2"/>
  <c r="J378" i="2"/>
  <c r="AJ377" i="2"/>
  <c r="AH377" i="2"/>
  <c r="AG377" i="2"/>
  <c r="AF377" i="2"/>
  <c r="AE377" i="2"/>
  <c r="AD377" i="2"/>
  <c r="AC377" i="2"/>
  <c r="AB377" i="2"/>
  <c r="AK377" i="2" s="1"/>
  <c r="AA377" i="2"/>
  <c r="X377" i="2"/>
  <c r="J377" i="2"/>
  <c r="AJ376" i="2"/>
  <c r="AH376" i="2"/>
  <c r="AG376" i="2"/>
  <c r="AF376" i="2"/>
  <c r="AE376" i="2"/>
  <c r="AD376" i="2"/>
  <c r="AC376" i="2"/>
  <c r="AB376" i="2"/>
  <c r="AK376" i="2" s="1"/>
  <c r="AA376" i="2"/>
  <c r="X376" i="2"/>
  <c r="J376" i="2"/>
  <c r="AJ375" i="2"/>
  <c r="AH375" i="2"/>
  <c r="AG375" i="2"/>
  <c r="AF375" i="2"/>
  <c r="AE375" i="2"/>
  <c r="AD375" i="2"/>
  <c r="AC375" i="2"/>
  <c r="AB375" i="2"/>
  <c r="AK375" i="2" s="1"/>
  <c r="AA375" i="2"/>
  <c r="X375" i="2"/>
  <c r="J375" i="2"/>
  <c r="AJ374" i="2"/>
  <c r="AH374" i="2"/>
  <c r="AG374" i="2"/>
  <c r="AF374" i="2"/>
  <c r="AE374" i="2"/>
  <c r="AD374" i="2"/>
  <c r="AC374" i="2"/>
  <c r="AB374" i="2"/>
  <c r="AK374" i="2" s="1"/>
  <c r="AA374" i="2"/>
  <c r="X374" i="2"/>
  <c r="J374" i="2"/>
  <c r="AJ373" i="2"/>
  <c r="AH373" i="2"/>
  <c r="AG373" i="2"/>
  <c r="AF373" i="2"/>
  <c r="AE373" i="2"/>
  <c r="AD373" i="2"/>
  <c r="AC373" i="2"/>
  <c r="AB373" i="2"/>
  <c r="AK373" i="2" s="1"/>
  <c r="AA373" i="2"/>
  <c r="X373" i="2"/>
  <c r="J373" i="2"/>
  <c r="AJ372" i="2"/>
  <c r="AH372" i="2"/>
  <c r="AG372" i="2"/>
  <c r="AF372" i="2"/>
  <c r="AE372" i="2"/>
  <c r="AD372" i="2"/>
  <c r="AC372" i="2"/>
  <c r="AB372" i="2"/>
  <c r="AK372" i="2" s="1"/>
  <c r="AA372" i="2"/>
  <c r="X372" i="2"/>
  <c r="J372" i="2"/>
  <c r="AJ371" i="2"/>
  <c r="AH371" i="2"/>
  <c r="AG371" i="2"/>
  <c r="AF371" i="2"/>
  <c r="AE371" i="2"/>
  <c r="AD371" i="2"/>
  <c r="AC371" i="2"/>
  <c r="AB371" i="2"/>
  <c r="AK371" i="2" s="1"/>
  <c r="AA371" i="2"/>
  <c r="X371" i="2"/>
  <c r="J371" i="2"/>
  <c r="AJ370" i="2"/>
  <c r="AH370" i="2"/>
  <c r="AG370" i="2"/>
  <c r="AF370" i="2"/>
  <c r="AE370" i="2"/>
  <c r="AD370" i="2"/>
  <c r="AC370" i="2"/>
  <c r="AB370" i="2"/>
  <c r="AK370" i="2" s="1"/>
  <c r="AA370" i="2"/>
  <c r="X370" i="2"/>
  <c r="J370" i="2"/>
  <c r="AJ369" i="2"/>
  <c r="AH369" i="2"/>
  <c r="AG369" i="2"/>
  <c r="AF369" i="2"/>
  <c r="AE369" i="2"/>
  <c r="AD369" i="2"/>
  <c r="AC369" i="2"/>
  <c r="AB369" i="2"/>
  <c r="AK369" i="2" s="1"/>
  <c r="AA369" i="2"/>
  <c r="X369" i="2"/>
  <c r="J369" i="2"/>
  <c r="AJ368" i="2"/>
  <c r="AH368" i="2"/>
  <c r="AG368" i="2"/>
  <c r="AF368" i="2"/>
  <c r="AE368" i="2"/>
  <c r="AD368" i="2"/>
  <c r="AC368" i="2"/>
  <c r="AB368" i="2"/>
  <c r="AK368" i="2" s="1"/>
  <c r="AA368" i="2"/>
  <c r="X368" i="2"/>
  <c r="J368" i="2"/>
  <c r="AJ367" i="2"/>
  <c r="AH367" i="2"/>
  <c r="AG367" i="2"/>
  <c r="AF367" i="2"/>
  <c r="AE367" i="2"/>
  <c r="AD367" i="2"/>
  <c r="AC367" i="2"/>
  <c r="AB367" i="2"/>
  <c r="AK367" i="2" s="1"/>
  <c r="AA367" i="2"/>
  <c r="X367" i="2"/>
  <c r="J367" i="2"/>
  <c r="AJ366" i="2"/>
  <c r="AH366" i="2"/>
  <c r="AG366" i="2"/>
  <c r="AF366" i="2"/>
  <c r="AE366" i="2"/>
  <c r="AD366" i="2"/>
  <c r="AC366" i="2"/>
  <c r="AB366" i="2"/>
  <c r="AK366" i="2" s="1"/>
  <c r="AA366" i="2"/>
  <c r="X366" i="2"/>
  <c r="J366" i="2"/>
  <c r="AJ365" i="2"/>
  <c r="AH365" i="2"/>
  <c r="AG365" i="2"/>
  <c r="AF365" i="2"/>
  <c r="AE365" i="2"/>
  <c r="AD365" i="2"/>
  <c r="AC365" i="2"/>
  <c r="AB365" i="2"/>
  <c r="AK365" i="2" s="1"/>
  <c r="AA365" i="2"/>
  <c r="X365" i="2"/>
  <c r="J365" i="2"/>
  <c r="AJ364" i="2"/>
  <c r="AH364" i="2"/>
  <c r="AG364" i="2"/>
  <c r="AF364" i="2"/>
  <c r="AE364" i="2"/>
  <c r="AD364" i="2"/>
  <c r="AC364" i="2"/>
  <c r="AB364" i="2"/>
  <c r="AK364" i="2" s="1"/>
  <c r="AA364" i="2"/>
  <c r="X364" i="2"/>
  <c r="J364" i="2"/>
  <c r="AJ363" i="2"/>
  <c r="AH363" i="2"/>
  <c r="AG363" i="2"/>
  <c r="AF363" i="2"/>
  <c r="AE363" i="2"/>
  <c r="AD363" i="2"/>
  <c r="AC363" i="2"/>
  <c r="AB363" i="2"/>
  <c r="AK363" i="2" s="1"/>
  <c r="AA363" i="2"/>
  <c r="X363" i="2"/>
  <c r="J363" i="2"/>
  <c r="AJ362" i="2"/>
  <c r="AH362" i="2"/>
  <c r="AG362" i="2"/>
  <c r="AF362" i="2"/>
  <c r="AE362" i="2"/>
  <c r="AD362" i="2"/>
  <c r="AC362" i="2"/>
  <c r="AB362" i="2"/>
  <c r="AK362" i="2" s="1"/>
  <c r="AA362" i="2"/>
  <c r="X362" i="2"/>
  <c r="J362" i="2"/>
  <c r="AJ361" i="2"/>
  <c r="AH361" i="2"/>
  <c r="AG361" i="2"/>
  <c r="AF361" i="2"/>
  <c r="AE361" i="2"/>
  <c r="AD361" i="2"/>
  <c r="AC361" i="2"/>
  <c r="AB361" i="2"/>
  <c r="AK361" i="2" s="1"/>
  <c r="AA361" i="2"/>
  <c r="X361" i="2"/>
  <c r="J361" i="2"/>
  <c r="AJ360" i="2"/>
  <c r="AH360" i="2"/>
  <c r="AG360" i="2"/>
  <c r="AF360" i="2"/>
  <c r="AE360" i="2"/>
  <c r="AD360" i="2"/>
  <c r="AC360" i="2"/>
  <c r="AB360" i="2"/>
  <c r="AK360" i="2" s="1"/>
  <c r="AA360" i="2"/>
  <c r="X360" i="2"/>
  <c r="J360" i="2"/>
  <c r="AJ359" i="2"/>
  <c r="AH359" i="2"/>
  <c r="AG359" i="2"/>
  <c r="AF359" i="2"/>
  <c r="AE359" i="2"/>
  <c r="AD359" i="2"/>
  <c r="AC359" i="2"/>
  <c r="AB359" i="2"/>
  <c r="AK359" i="2" s="1"/>
  <c r="AA359" i="2"/>
  <c r="X359" i="2"/>
  <c r="J359" i="2"/>
  <c r="AJ358" i="2"/>
  <c r="AH358" i="2"/>
  <c r="AG358" i="2"/>
  <c r="AF358" i="2"/>
  <c r="AE358" i="2"/>
  <c r="AD358" i="2"/>
  <c r="AC358" i="2"/>
  <c r="AB358" i="2"/>
  <c r="AK358" i="2" s="1"/>
  <c r="AA358" i="2"/>
  <c r="X358" i="2"/>
  <c r="J358" i="2"/>
  <c r="AJ357" i="2"/>
  <c r="AH357" i="2"/>
  <c r="AG357" i="2"/>
  <c r="AF357" i="2"/>
  <c r="AE357" i="2"/>
  <c r="AD357" i="2"/>
  <c r="AC357" i="2"/>
  <c r="AB357" i="2"/>
  <c r="AK357" i="2" s="1"/>
  <c r="AA357" i="2"/>
  <c r="X357" i="2"/>
  <c r="J357" i="2"/>
  <c r="AJ356" i="2"/>
  <c r="AH356" i="2"/>
  <c r="AG356" i="2"/>
  <c r="AF356" i="2"/>
  <c r="AE356" i="2"/>
  <c r="AD356" i="2"/>
  <c r="AC356" i="2"/>
  <c r="AB356" i="2"/>
  <c r="AK356" i="2" s="1"/>
  <c r="AA356" i="2"/>
  <c r="X356" i="2"/>
  <c r="J356" i="2"/>
  <c r="AJ355" i="2"/>
  <c r="AH355" i="2"/>
  <c r="AG355" i="2"/>
  <c r="AF355" i="2"/>
  <c r="AE355" i="2"/>
  <c r="AD355" i="2"/>
  <c r="AC355" i="2"/>
  <c r="AB355" i="2"/>
  <c r="AK355" i="2" s="1"/>
  <c r="AA355" i="2"/>
  <c r="X355" i="2"/>
  <c r="J355" i="2"/>
  <c r="AJ354" i="2"/>
  <c r="AH354" i="2"/>
  <c r="AG354" i="2"/>
  <c r="AF354" i="2"/>
  <c r="AE354" i="2"/>
  <c r="AD354" i="2"/>
  <c r="AC354" i="2"/>
  <c r="AB354" i="2"/>
  <c r="AK354" i="2" s="1"/>
  <c r="AA354" i="2"/>
  <c r="X354" i="2"/>
  <c r="J354" i="2"/>
  <c r="AJ353" i="2"/>
  <c r="AH353" i="2"/>
  <c r="AG353" i="2"/>
  <c r="AF353" i="2"/>
  <c r="AE353" i="2"/>
  <c r="AD353" i="2"/>
  <c r="AC353" i="2"/>
  <c r="AB353" i="2"/>
  <c r="AK353" i="2" s="1"/>
  <c r="AA353" i="2"/>
  <c r="X353" i="2"/>
  <c r="J353" i="2"/>
  <c r="AJ352" i="2"/>
  <c r="AH352" i="2"/>
  <c r="AG352" i="2"/>
  <c r="AF352" i="2"/>
  <c r="AE352" i="2"/>
  <c r="AD352" i="2"/>
  <c r="AC352" i="2"/>
  <c r="AB352" i="2"/>
  <c r="AK352" i="2" s="1"/>
  <c r="AA352" i="2"/>
  <c r="X352" i="2"/>
  <c r="J352" i="2"/>
  <c r="AJ351" i="2"/>
  <c r="AH351" i="2"/>
  <c r="AG351" i="2"/>
  <c r="AF351" i="2"/>
  <c r="AE351" i="2"/>
  <c r="AD351" i="2"/>
  <c r="AC351" i="2"/>
  <c r="AB351" i="2"/>
  <c r="AK351" i="2" s="1"/>
  <c r="AA351" i="2"/>
  <c r="X351" i="2"/>
  <c r="J351" i="2"/>
  <c r="AJ350" i="2"/>
  <c r="AH350" i="2"/>
  <c r="AG350" i="2"/>
  <c r="AF350" i="2"/>
  <c r="AE350" i="2"/>
  <c r="AD350" i="2"/>
  <c r="AC350" i="2"/>
  <c r="AB350" i="2"/>
  <c r="AK350" i="2" s="1"/>
  <c r="AA350" i="2"/>
  <c r="X350" i="2"/>
  <c r="J350" i="2"/>
  <c r="AJ349" i="2"/>
  <c r="AH349" i="2"/>
  <c r="AG349" i="2"/>
  <c r="AF349" i="2"/>
  <c r="AE349" i="2"/>
  <c r="AD349" i="2"/>
  <c r="AC349" i="2"/>
  <c r="AB349" i="2"/>
  <c r="AK349" i="2" s="1"/>
  <c r="AA349" i="2"/>
  <c r="X349" i="2"/>
  <c r="J349" i="2"/>
  <c r="AJ348" i="2"/>
  <c r="AH348" i="2"/>
  <c r="AG348" i="2"/>
  <c r="AF348" i="2"/>
  <c r="AE348" i="2"/>
  <c r="AD348" i="2"/>
  <c r="AC348" i="2"/>
  <c r="AB348" i="2"/>
  <c r="AK348" i="2" s="1"/>
  <c r="AA348" i="2"/>
  <c r="X348" i="2"/>
  <c r="J348" i="2"/>
  <c r="AJ347" i="2"/>
  <c r="AH347" i="2"/>
  <c r="AG347" i="2"/>
  <c r="AF347" i="2"/>
  <c r="AE347" i="2"/>
  <c r="AD347" i="2"/>
  <c r="AC347" i="2"/>
  <c r="AB347" i="2"/>
  <c r="AK347" i="2" s="1"/>
  <c r="AA347" i="2"/>
  <c r="X347" i="2"/>
  <c r="J347" i="2"/>
  <c r="AJ346" i="2"/>
  <c r="AH346" i="2"/>
  <c r="AG346" i="2"/>
  <c r="AF346" i="2"/>
  <c r="AE346" i="2"/>
  <c r="AD346" i="2"/>
  <c r="AC346" i="2"/>
  <c r="AB346" i="2"/>
  <c r="AK346" i="2" s="1"/>
  <c r="AA346" i="2"/>
  <c r="X346" i="2"/>
  <c r="J346" i="2"/>
  <c r="AJ345" i="2"/>
  <c r="AH345" i="2"/>
  <c r="AG345" i="2"/>
  <c r="AF345" i="2"/>
  <c r="AE345" i="2"/>
  <c r="AD345" i="2"/>
  <c r="AC345" i="2"/>
  <c r="AB345" i="2"/>
  <c r="AK345" i="2" s="1"/>
  <c r="AA345" i="2"/>
  <c r="X345" i="2"/>
  <c r="J345" i="2"/>
  <c r="AJ344" i="2"/>
  <c r="AH344" i="2"/>
  <c r="AG344" i="2"/>
  <c r="AF344" i="2"/>
  <c r="AE344" i="2"/>
  <c r="AD344" i="2"/>
  <c r="AC344" i="2"/>
  <c r="AB344" i="2"/>
  <c r="AK344" i="2" s="1"/>
  <c r="AA344" i="2"/>
  <c r="X344" i="2"/>
  <c r="J344" i="2"/>
  <c r="AJ343" i="2"/>
  <c r="AH343" i="2"/>
  <c r="AG343" i="2"/>
  <c r="AF343" i="2"/>
  <c r="AE343" i="2"/>
  <c r="AD343" i="2"/>
  <c r="AC343" i="2"/>
  <c r="AB343" i="2"/>
  <c r="AK343" i="2" s="1"/>
  <c r="AA343" i="2"/>
  <c r="X343" i="2"/>
  <c r="J343" i="2"/>
  <c r="AJ342" i="2"/>
  <c r="AH342" i="2"/>
  <c r="AG342" i="2"/>
  <c r="AF342" i="2"/>
  <c r="AE342" i="2"/>
  <c r="AD342" i="2"/>
  <c r="AC342" i="2"/>
  <c r="AB342" i="2"/>
  <c r="AK342" i="2" s="1"/>
  <c r="AA342" i="2"/>
  <c r="X342" i="2"/>
  <c r="J342" i="2"/>
  <c r="AJ341" i="2"/>
  <c r="AG341" i="2"/>
  <c r="AF341" i="2"/>
  <c r="AE341" i="2"/>
  <c r="AD341" i="2"/>
  <c r="AC341" i="2"/>
  <c r="AB341" i="2"/>
  <c r="AK341" i="2" s="1"/>
  <c r="AA341" i="2"/>
  <c r="AH341" i="2" s="1"/>
  <c r="X341" i="2"/>
  <c r="J341" i="2"/>
  <c r="AJ340" i="2"/>
  <c r="AH340" i="2"/>
  <c r="AG340" i="2"/>
  <c r="AF340" i="2"/>
  <c r="AE340" i="2"/>
  <c r="AD340" i="2"/>
  <c r="AC340" i="2"/>
  <c r="AB340" i="2"/>
  <c r="AK340" i="2" s="1"/>
  <c r="AA340" i="2"/>
  <c r="X340" i="2"/>
  <c r="J340" i="2"/>
  <c r="AJ339" i="2"/>
  <c r="AH339" i="2"/>
  <c r="AG339" i="2"/>
  <c r="AF339" i="2"/>
  <c r="AE339" i="2"/>
  <c r="AD339" i="2"/>
  <c r="AC339" i="2"/>
  <c r="AB339" i="2"/>
  <c r="AK339" i="2" s="1"/>
  <c r="AA339" i="2"/>
  <c r="X339" i="2"/>
  <c r="J339" i="2"/>
  <c r="AJ338" i="2"/>
  <c r="AH338" i="2"/>
  <c r="AG338" i="2"/>
  <c r="AF338" i="2"/>
  <c r="AE338" i="2"/>
  <c r="AD338" i="2"/>
  <c r="AC338" i="2"/>
  <c r="AB338" i="2"/>
  <c r="AK338" i="2" s="1"/>
  <c r="AA338" i="2"/>
  <c r="X338" i="2"/>
  <c r="J338" i="2"/>
  <c r="AJ337" i="2"/>
  <c r="AH337" i="2"/>
  <c r="AG337" i="2"/>
  <c r="AF337" i="2"/>
  <c r="AE337" i="2"/>
  <c r="AD337" i="2"/>
  <c r="AC337" i="2"/>
  <c r="AB337" i="2"/>
  <c r="AK337" i="2" s="1"/>
  <c r="AA337" i="2"/>
  <c r="X337" i="2"/>
  <c r="J337" i="2"/>
  <c r="AJ336" i="2"/>
  <c r="AH336" i="2"/>
  <c r="AG336" i="2"/>
  <c r="AF336" i="2"/>
  <c r="AE336" i="2"/>
  <c r="AD336" i="2"/>
  <c r="AC336" i="2"/>
  <c r="AB336" i="2"/>
  <c r="AK336" i="2" s="1"/>
  <c r="AA336" i="2"/>
  <c r="X336" i="2"/>
  <c r="J336" i="2"/>
  <c r="AJ335" i="2"/>
  <c r="AH335" i="2"/>
  <c r="AG335" i="2"/>
  <c r="AF335" i="2"/>
  <c r="AE335" i="2"/>
  <c r="AD335" i="2"/>
  <c r="AC335" i="2"/>
  <c r="AB335" i="2"/>
  <c r="AK335" i="2" s="1"/>
  <c r="AA335" i="2"/>
  <c r="X335" i="2"/>
  <c r="J335" i="2"/>
  <c r="AJ334" i="2"/>
  <c r="AG334" i="2"/>
  <c r="AF334" i="2"/>
  <c r="AF333" i="2" s="1"/>
  <c r="AF332" i="2" s="1"/>
  <c r="AE334" i="2"/>
  <c r="AD334" i="2"/>
  <c r="AC334" i="2"/>
  <c r="AB334" i="2"/>
  <c r="AB333" i="2" s="1"/>
  <c r="AB332" i="2" s="1"/>
  <c r="AA334" i="2"/>
  <c r="AH334" i="2" s="1"/>
  <c r="X334" i="2"/>
  <c r="J334" i="2"/>
  <c r="AX333" i="2"/>
  <c r="AD333" i="2"/>
  <c r="AD332" i="2" s="1"/>
  <c r="X333" i="2"/>
  <c r="X332" i="2" s="1"/>
  <c r="U333" i="2"/>
  <c r="T333" i="2"/>
  <c r="N333" i="2"/>
  <c r="M333" i="2"/>
  <c r="L333" i="2"/>
  <c r="K333" i="2"/>
  <c r="J333" i="2" s="1"/>
  <c r="AX332" i="2"/>
  <c r="V332" i="2"/>
  <c r="V333" i="2" s="1"/>
  <c r="U332" i="2"/>
  <c r="T332" i="2"/>
  <c r="S332" i="2"/>
  <c r="S333" i="2" s="1"/>
  <c r="R332" i="2"/>
  <c r="R333" i="2" s="1"/>
  <c r="O332" i="2"/>
  <c r="O333" i="2" s="1"/>
  <c r="N332" i="2"/>
  <c r="M332" i="2"/>
  <c r="L332" i="2"/>
  <c r="AJ331" i="2"/>
  <c r="AH331" i="2"/>
  <c r="AG331" i="2"/>
  <c r="AF331" i="2"/>
  <c r="AE331" i="2"/>
  <c r="AD331" i="2"/>
  <c r="AC331" i="2"/>
  <c r="AB331" i="2"/>
  <c r="AK331" i="2" s="1"/>
  <c r="AA331" i="2"/>
  <c r="X331" i="2"/>
  <c r="J331" i="2"/>
  <c r="AJ330" i="2"/>
  <c r="AH330" i="2"/>
  <c r="AG330" i="2"/>
  <c r="AF330" i="2"/>
  <c r="AE330" i="2"/>
  <c r="AD330" i="2"/>
  <c r="AC330" i="2"/>
  <c r="AB330" i="2"/>
  <c r="AK330" i="2" s="1"/>
  <c r="AA330" i="2"/>
  <c r="X330" i="2"/>
  <c r="J330" i="2"/>
  <c r="AJ329" i="2"/>
  <c r="AH329" i="2"/>
  <c r="AG329" i="2"/>
  <c r="AF329" i="2"/>
  <c r="AE329" i="2"/>
  <c r="AD329" i="2"/>
  <c r="AC329" i="2"/>
  <c r="AB329" i="2"/>
  <c r="AK329" i="2" s="1"/>
  <c r="AA329" i="2"/>
  <c r="X329" i="2"/>
  <c r="J329" i="2"/>
  <c r="AJ328" i="2"/>
  <c r="AH328" i="2"/>
  <c r="AG328" i="2"/>
  <c r="AF328" i="2"/>
  <c r="AE328" i="2"/>
  <c r="AD328" i="2"/>
  <c r="AC328" i="2"/>
  <c r="AB328" i="2"/>
  <c r="AK328" i="2" s="1"/>
  <c r="AA328" i="2"/>
  <c r="X328" i="2"/>
  <c r="J328" i="2"/>
  <c r="AJ327" i="2"/>
  <c r="AH327" i="2"/>
  <c r="AG327" i="2"/>
  <c r="AF327" i="2"/>
  <c r="AE327" i="2"/>
  <c r="AD327" i="2"/>
  <c r="AC327" i="2"/>
  <c r="AB327" i="2"/>
  <c r="AK327" i="2" s="1"/>
  <c r="AA327" i="2"/>
  <c r="X327" i="2"/>
  <c r="J327" i="2"/>
  <c r="AJ326" i="2"/>
  <c r="AH326" i="2"/>
  <c r="AG326" i="2"/>
  <c r="AF326" i="2"/>
  <c r="AE326" i="2"/>
  <c r="AD326" i="2"/>
  <c r="AC326" i="2"/>
  <c r="AB326" i="2"/>
  <c r="AK326" i="2" s="1"/>
  <c r="AA326" i="2"/>
  <c r="X326" i="2"/>
  <c r="J326" i="2"/>
  <c r="AJ325" i="2"/>
  <c r="AH325" i="2"/>
  <c r="AG325" i="2"/>
  <c r="AF325" i="2"/>
  <c r="AE325" i="2"/>
  <c r="AD325" i="2"/>
  <c r="AC325" i="2"/>
  <c r="AB325" i="2"/>
  <c r="AK325" i="2" s="1"/>
  <c r="AA325" i="2"/>
  <c r="X325" i="2"/>
  <c r="J325" i="2"/>
  <c r="AJ324" i="2"/>
  <c r="AH324" i="2"/>
  <c r="AG324" i="2"/>
  <c r="AF324" i="2"/>
  <c r="AE324" i="2"/>
  <c r="AD324" i="2"/>
  <c r="AC324" i="2"/>
  <c r="AB324" i="2"/>
  <c r="AK324" i="2" s="1"/>
  <c r="AA324" i="2"/>
  <c r="X324" i="2"/>
  <c r="J324" i="2"/>
  <c r="AJ323" i="2"/>
  <c r="AH323" i="2"/>
  <c r="AG323" i="2"/>
  <c r="AF323" i="2"/>
  <c r="AE323" i="2"/>
  <c r="AD323" i="2"/>
  <c r="AC323" i="2"/>
  <c r="AB323" i="2"/>
  <c r="AK323" i="2" s="1"/>
  <c r="AA323" i="2"/>
  <c r="X323" i="2"/>
  <c r="J323" i="2"/>
  <c r="AJ322" i="2"/>
  <c r="AH322" i="2"/>
  <c r="AG322" i="2"/>
  <c r="AF322" i="2"/>
  <c r="AE322" i="2"/>
  <c r="AD322" i="2"/>
  <c r="AC322" i="2"/>
  <c r="AB322" i="2"/>
  <c r="AK322" i="2" s="1"/>
  <c r="AA322" i="2"/>
  <c r="X322" i="2"/>
  <c r="J322" i="2"/>
  <c r="AJ321" i="2"/>
  <c r="AH321" i="2"/>
  <c r="AG321" i="2"/>
  <c r="AF321" i="2"/>
  <c r="AE321" i="2"/>
  <c r="AD321" i="2"/>
  <c r="AC321" i="2"/>
  <c r="AB321" i="2"/>
  <c r="AK321" i="2" s="1"/>
  <c r="AA321" i="2"/>
  <c r="X321" i="2"/>
  <c r="J321" i="2"/>
  <c r="AJ320" i="2"/>
  <c r="AH320" i="2"/>
  <c r="AG320" i="2"/>
  <c r="AF320" i="2"/>
  <c r="AE320" i="2"/>
  <c r="AD320" i="2"/>
  <c r="AC320" i="2"/>
  <c r="AB320" i="2"/>
  <c r="AK320" i="2" s="1"/>
  <c r="AA320" i="2"/>
  <c r="X320" i="2"/>
  <c r="J320" i="2"/>
  <c r="AJ319" i="2"/>
  <c r="AH319" i="2"/>
  <c r="AG319" i="2"/>
  <c r="AF319" i="2"/>
  <c r="AE319" i="2"/>
  <c r="AD319" i="2"/>
  <c r="AC319" i="2"/>
  <c r="AB319" i="2"/>
  <c r="AK319" i="2" s="1"/>
  <c r="AA319" i="2"/>
  <c r="X319" i="2"/>
  <c r="J319" i="2"/>
  <c r="AJ318" i="2"/>
  <c r="AH318" i="2"/>
  <c r="AG318" i="2"/>
  <c r="AF318" i="2"/>
  <c r="AE318" i="2"/>
  <c r="AD318" i="2"/>
  <c r="AC318" i="2"/>
  <c r="AB318" i="2"/>
  <c r="AK318" i="2" s="1"/>
  <c r="AA318" i="2"/>
  <c r="X318" i="2"/>
  <c r="J318" i="2"/>
  <c r="AJ317" i="2"/>
  <c r="AH317" i="2"/>
  <c r="AG317" i="2"/>
  <c r="AF317" i="2"/>
  <c r="AE317" i="2"/>
  <c r="AD317" i="2"/>
  <c r="AC317" i="2"/>
  <c r="AB317" i="2"/>
  <c r="AK317" i="2" s="1"/>
  <c r="AA317" i="2"/>
  <c r="X317" i="2"/>
  <c r="J317" i="2"/>
  <c r="AJ316" i="2"/>
  <c r="AH316" i="2"/>
  <c r="AG316" i="2"/>
  <c r="AF316" i="2"/>
  <c r="AE316" i="2"/>
  <c r="AD316" i="2"/>
  <c r="AC316" i="2"/>
  <c r="AB316" i="2"/>
  <c r="AK316" i="2" s="1"/>
  <c r="AA316" i="2"/>
  <c r="X316" i="2"/>
  <c r="J316" i="2"/>
  <c r="AJ315" i="2"/>
  <c r="AH315" i="2"/>
  <c r="AG315" i="2"/>
  <c r="AF315" i="2"/>
  <c r="AE315" i="2"/>
  <c r="AD315" i="2"/>
  <c r="AC315" i="2"/>
  <c r="AB315" i="2"/>
  <c r="AK315" i="2" s="1"/>
  <c r="AA315" i="2"/>
  <c r="X315" i="2"/>
  <c r="J315" i="2"/>
  <c r="AJ314" i="2"/>
  <c r="AH314" i="2"/>
  <c r="AG314" i="2"/>
  <c r="AF314" i="2"/>
  <c r="AE314" i="2"/>
  <c r="AD314" i="2"/>
  <c r="AC314" i="2"/>
  <c r="AB314" i="2"/>
  <c r="AK314" i="2" s="1"/>
  <c r="AA314" i="2"/>
  <c r="X314" i="2"/>
  <c r="J314" i="2"/>
  <c r="AJ313" i="2"/>
  <c r="AH313" i="2"/>
  <c r="AG313" i="2"/>
  <c r="AF313" i="2"/>
  <c r="AE313" i="2"/>
  <c r="AD313" i="2"/>
  <c r="AC313" i="2"/>
  <c r="AB313" i="2"/>
  <c r="AK313" i="2" s="1"/>
  <c r="AA313" i="2"/>
  <c r="X313" i="2"/>
  <c r="J313" i="2"/>
  <c r="AJ312" i="2"/>
  <c r="AH312" i="2"/>
  <c r="AG312" i="2"/>
  <c r="AF312" i="2"/>
  <c r="AE312" i="2"/>
  <c r="AD312" i="2"/>
  <c r="AC312" i="2"/>
  <c r="AB312" i="2"/>
  <c r="AK312" i="2" s="1"/>
  <c r="AA312" i="2"/>
  <c r="X312" i="2"/>
  <c r="J312" i="2"/>
  <c r="AJ311" i="2"/>
  <c r="AH311" i="2"/>
  <c r="AG311" i="2"/>
  <c r="AF311" i="2"/>
  <c r="AE311" i="2"/>
  <c r="AD311" i="2"/>
  <c r="AC311" i="2"/>
  <c r="AB311" i="2"/>
  <c r="AK311" i="2" s="1"/>
  <c r="AA311" i="2"/>
  <c r="X311" i="2"/>
  <c r="J311" i="2"/>
  <c r="AJ310" i="2"/>
  <c r="AH310" i="2"/>
  <c r="AG310" i="2"/>
  <c r="AF310" i="2"/>
  <c r="AE310" i="2"/>
  <c r="AD310" i="2"/>
  <c r="AC310" i="2"/>
  <c r="AB310" i="2"/>
  <c r="AK310" i="2" s="1"/>
  <c r="AA310" i="2"/>
  <c r="X310" i="2"/>
  <c r="J310" i="2"/>
  <c r="AJ309" i="2"/>
  <c r="AH309" i="2"/>
  <c r="AG309" i="2"/>
  <c r="AF309" i="2"/>
  <c r="AE309" i="2"/>
  <c r="AD309" i="2"/>
  <c r="AC309" i="2"/>
  <c r="AB309" i="2"/>
  <c r="AK309" i="2" s="1"/>
  <c r="AA309" i="2"/>
  <c r="X309" i="2"/>
  <c r="J309" i="2"/>
  <c r="AJ308" i="2"/>
  <c r="AH308" i="2"/>
  <c r="AG308" i="2"/>
  <c r="AF308" i="2"/>
  <c r="AE308" i="2"/>
  <c r="AD308" i="2"/>
  <c r="AC308" i="2"/>
  <c r="AB308" i="2"/>
  <c r="AK308" i="2" s="1"/>
  <c r="AA308" i="2"/>
  <c r="X308" i="2"/>
  <c r="J308" i="2"/>
  <c r="AJ307" i="2"/>
  <c r="AH307" i="2"/>
  <c r="AG307" i="2"/>
  <c r="AF307" i="2"/>
  <c r="AE307" i="2"/>
  <c r="AD307" i="2"/>
  <c r="AC307" i="2"/>
  <c r="AB307" i="2"/>
  <c r="AK307" i="2" s="1"/>
  <c r="AA307" i="2"/>
  <c r="X307" i="2"/>
  <c r="J307" i="2"/>
  <c r="AJ306" i="2"/>
  <c r="AH306" i="2"/>
  <c r="AG306" i="2"/>
  <c r="AF306" i="2"/>
  <c r="AE306" i="2"/>
  <c r="AD306" i="2"/>
  <c r="AC306" i="2"/>
  <c r="AB306" i="2"/>
  <c r="AK306" i="2" s="1"/>
  <c r="AA306" i="2"/>
  <c r="X306" i="2"/>
  <c r="J306" i="2"/>
  <c r="AJ305" i="2"/>
  <c r="AH305" i="2"/>
  <c r="AG305" i="2"/>
  <c r="AF305" i="2"/>
  <c r="AE305" i="2"/>
  <c r="AD305" i="2"/>
  <c r="AC305" i="2"/>
  <c r="AB305" i="2"/>
  <c r="AK305" i="2" s="1"/>
  <c r="AA305" i="2"/>
  <c r="X305" i="2"/>
  <c r="J305" i="2"/>
  <c r="AJ304" i="2"/>
  <c r="AH304" i="2"/>
  <c r="AG304" i="2"/>
  <c r="AF304" i="2"/>
  <c r="AE304" i="2"/>
  <c r="AD304" i="2"/>
  <c r="AC304" i="2"/>
  <c r="AB304" i="2"/>
  <c r="AK304" i="2" s="1"/>
  <c r="AA304" i="2"/>
  <c r="X304" i="2"/>
  <c r="J304" i="2"/>
  <c r="AJ303" i="2"/>
  <c r="AH303" i="2"/>
  <c r="AG303" i="2"/>
  <c r="AF303" i="2"/>
  <c r="AE303" i="2"/>
  <c r="AD303" i="2"/>
  <c r="AC303" i="2"/>
  <c r="AB303" i="2"/>
  <c r="AK303" i="2" s="1"/>
  <c r="AA303" i="2"/>
  <c r="X303" i="2"/>
  <c r="J303" i="2"/>
  <c r="AJ302" i="2"/>
  <c r="AH302" i="2"/>
  <c r="AG302" i="2"/>
  <c r="AF302" i="2"/>
  <c r="AE302" i="2"/>
  <c r="AD302" i="2"/>
  <c r="AC302" i="2"/>
  <c r="AB302" i="2"/>
  <c r="AK302" i="2" s="1"/>
  <c r="AA302" i="2"/>
  <c r="X302" i="2"/>
  <c r="J302" i="2"/>
  <c r="AJ301" i="2"/>
  <c r="AH301" i="2"/>
  <c r="AG301" i="2"/>
  <c r="AF301" i="2"/>
  <c r="AE301" i="2"/>
  <c r="AD301" i="2"/>
  <c r="AC301" i="2"/>
  <c r="AB301" i="2"/>
  <c r="AA301" i="2"/>
  <c r="X301" i="2"/>
  <c r="J301" i="2"/>
  <c r="AJ300" i="2"/>
  <c r="AH300" i="2"/>
  <c r="AG300" i="2"/>
  <c r="AF300" i="2"/>
  <c r="AE300" i="2"/>
  <c r="AD300" i="2"/>
  <c r="AC300" i="2"/>
  <c r="AB300" i="2"/>
  <c r="AA300" i="2"/>
  <c r="X300" i="2"/>
  <c r="J300" i="2"/>
  <c r="AJ299" i="2"/>
  <c r="AH299" i="2"/>
  <c r="AG299" i="2"/>
  <c r="AF299" i="2"/>
  <c r="AE299" i="2"/>
  <c r="AD299" i="2"/>
  <c r="AC299" i="2"/>
  <c r="AB299" i="2"/>
  <c r="AA299" i="2"/>
  <c r="X299" i="2"/>
  <c r="J299" i="2"/>
  <c r="AJ298" i="2"/>
  <c r="AH298" i="2"/>
  <c r="AG298" i="2"/>
  <c r="AF298" i="2"/>
  <c r="AE298" i="2"/>
  <c r="AD298" i="2"/>
  <c r="AC298" i="2"/>
  <c r="AB298" i="2"/>
  <c r="AK298" i="2" s="1"/>
  <c r="AA298" i="2"/>
  <c r="X298" i="2"/>
  <c r="J298" i="2"/>
  <c r="AJ297" i="2"/>
  <c r="AH297" i="2"/>
  <c r="AG297" i="2"/>
  <c r="AF297" i="2"/>
  <c r="AE297" i="2"/>
  <c r="AD297" i="2"/>
  <c r="AC297" i="2"/>
  <c r="AB297" i="2"/>
  <c r="AA297" i="2"/>
  <c r="X297" i="2"/>
  <c r="J297" i="2"/>
  <c r="AJ296" i="2"/>
  <c r="AH296" i="2"/>
  <c r="AG296" i="2"/>
  <c r="AF296" i="2"/>
  <c r="AE296" i="2"/>
  <c r="AD296" i="2"/>
  <c r="AC296" i="2"/>
  <c r="AB296" i="2"/>
  <c r="AA296" i="2"/>
  <c r="X296" i="2"/>
  <c r="J296" i="2"/>
  <c r="AJ295" i="2"/>
  <c r="AH295" i="2"/>
  <c r="AG295" i="2"/>
  <c r="AF295" i="2"/>
  <c r="AE295" i="2"/>
  <c r="AD295" i="2"/>
  <c r="AC295" i="2"/>
  <c r="AB295" i="2"/>
  <c r="AA295" i="2"/>
  <c r="X295" i="2"/>
  <c r="J295" i="2"/>
  <c r="AJ294" i="2"/>
  <c r="AH294" i="2"/>
  <c r="AG294" i="2"/>
  <c r="AF294" i="2"/>
  <c r="AE294" i="2"/>
  <c r="AD294" i="2"/>
  <c r="AC294" i="2"/>
  <c r="AB294" i="2"/>
  <c r="AA294" i="2"/>
  <c r="X294" i="2"/>
  <c r="J294" i="2"/>
  <c r="AJ293" i="2"/>
  <c r="AH293" i="2"/>
  <c r="AG293" i="2"/>
  <c r="AF293" i="2"/>
  <c r="AE293" i="2"/>
  <c r="AD293" i="2"/>
  <c r="AC293" i="2"/>
  <c r="AB293" i="2"/>
  <c r="AK293" i="2" s="1"/>
  <c r="AA293" i="2"/>
  <c r="X293" i="2"/>
  <c r="J293" i="2"/>
  <c r="AJ292" i="2"/>
  <c r="AH292" i="2"/>
  <c r="AG292" i="2"/>
  <c r="AF292" i="2"/>
  <c r="AE292" i="2"/>
  <c r="AD292" i="2"/>
  <c r="AC292" i="2"/>
  <c r="AB292" i="2"/>
  <c r="AK292" i="2" s="1"/>
  <c r="AA292" i="2"/>
  <c r="X292" i="2"/>
  <c r="J292" i="2"/>
  <c r="AJ291" i="2"/>
  <c r="AH291" i="2"/>
  <c r="AG291" i="2"/>
  <c r="AF291" i="2"/>
  <c r="AE291" i="2"/>
  <c r="AD291" i="2"/>
  <c r="AC291" i="2"/>
  <c r="AB291" i="2"/>
  <c r="AK291" i="2" s="1"/>
  <c r="AA291" i="2"/>
  <c r="X291" i="2"/>
  <c r="J291" i="2"/>
  <c r="AJ290" i="2"/>
  <c r="AH290" i="2"/>
  <c r="AG290" i="2"/>
  <c r="AF290" i="2"/>
  <c r="AE290" i="2"/>
  <c r="AD290" i="2"/>
  <c r="AC290" i="2"/>
  <c r="AB290" i="2"/>
  <c r="AK290" i="2" s="1"/>
  <c r="AA290" i="2"/>
  <c r="X290" i="2"/>
  <c r="J290" i="2"/>
  <c r="AJ289" i="2"/>
  <c r="AH289" i="2"/>
  <c r="AG289" i="2"/>
  <c r="AF289" i="2"/>
  <c r="AE289" i="2"/>
  <c r="AD289" i="2"/>
  <c r="AC289" i="2"/>
  <c r="AB289" i="2"/>
  <c r="AK289" i="2" s="1"/>
  <c r="AA289" i="2"/>
  <c r="X289" i="2"/>
  <c r="J289" i="2"/>
  <c r="AJ288" i="2"/>
  <c r="AH288" i="2"/>
  <c r="AG288" i="2"/>
  <c r="AF288" i="2"/>
  <c r="AE288" i="2"/>
  <c r="AD288" i="2"/>
  <c r="AC288" i="2"/>
  <c r="AB288" i="2"/>
  <c r="AK288" i="2" s="1"/>
  <c r="AA288" i="2"/>
  <c r="X288" i="2"/>
  <c r="J288" i="2"/>
  <c r="AJ287" i="2"/>
  <c r="AH287" i="2"/>
  <c r="AG287" i="2"/>
  <c r="AF287" i="2"/>
  <c r="AE287" i="2"/>
  <c r="AD287" i="2"/>
  <c r="AC287" i="2"/>
  <c r="AB287" i="2"/>
  <c r="AA287" i="2"/>
  <c r="X287" i="2"/>
  <c r="J287" i="2"/>
  <c r="AJ286" i="2"/>
  <c r="AH286" i="2"/>
  <c r="AG286" i="2"/>
  <c r="AF286" i="2"/>
  <c r="AE286" i="2"/>
  <c r="AD286" i="2"/>
  <c r="AC286" i="2"/>
  <c r="AB286" i="2"/>
  <c r="AA286" i="2"/>
  <c r="X286" i="2"/>
  <c r="J286" i="2"/>
  <c r="AJ285" i="2"/>
  <c r="AH285" i="2"/>
  <c r="AG285" i="2"/>
  <c r="AF285" i="2"/>
  <c r="AE285" i="2"/>
  <c r="AD285" i="2"/>
  <c r="AC285" i="2"/>
  <c r="AB285" i="2"/>
  <c r="AA285" i="2"/>
  <c r="X285" i="2"/>
  <c r="J285" i="2"/>
  <c r="AJ284" i="2"/>
  <c r="AH284" i="2"/>
  <c r="AG284" i="2"/>
  <c r="AF284" i="2"/>
  <c r="AE284" i="2"/>
  <c r="AD284" i="2"/>
  <c r="AC284" i="2"/>
  <c r="AB284" i="2"/>
  <c r="AA284" i="2"/>
  <c r="X284" i="2"/>
  <c r="J284" i="2"/>
  <c r="AJ283" i="2"/>
  <c r="AG283" i="2"/>
  <c r="AF283" i="2"/>
  <c r="AE283" i="2"/>
  <c r="AD283" i="2"/>
  <c r="AC283" i="2"/>
  <c r="AB283" i="2"/>
  <c r="AA283" i="2"/>
  <c r="AH283" i="2" s="1"/>
  <c r="X283" i="2"/>
  <c r="J283" i="2"/>
  <c r="AJ282" i="2"/>
  <c r="AH282" i="2"/>
  <c r="AG282" i="2"/>
  <c r="AF282" i="2"/>
  <c r="AE282" i="2"/>
  <c r="AD282" i="2"/>
  <c r="AC282" i="2"/>
  <c r="AB282" i="2"/>
  <c r="AA282" i="2"/>
  <c r="X282" i="2"/>
  <c r="J282" i="2"/>
  <c r="AJ281" i="2"/>
  <c r="AG281" i="2"/>
  <c r="AF281" i="2"/>
  <c r="AE281" i="2"/>
  <c r="AD281" i="2"/>
  <c r="AC281" i="2"/>
  <c r="AB281" i="2"/>
  <c r="AA281" i="2"/>
  <c r="AH281" i="2" s="1"/>
  <c r="X281" i="2"/>
  <c r="J281" i="2"/>
  <c r="AJ280" i="2"/>
  <c r="AG280" i="2"/>
  <c r="AF280" i="2"/>
  <c r="AE280" i="2"/>
  <c r="AD280" i="2"/>
  <c r="AC280" i="2"/>
  <c r="AB280" i="2"/>
  <c r="AK280" i="2" s="1"/>
  <c r="AA280" i="2"/>
  <c r="AH280" i="2" s="1"/>
  <c r="X280" i="2"/>
  <c r="J280" i="2"/>
  <c r="AJ279" i="2"/>
  <c r="AH279" i="2"/>
  <c r="AG279" i="2"/>
  <c r="AF279" i="2"/>
  <c r="AE279" i="2"/>
  <c r="AD279" i="2"/>
  <c r="AC279" i="2"/>
  <c r="AB279" i="2"/>
  <c r="AA279" i="2"/>
  <c r="X279" i="2"/>
  <c r="J279" i="2"/>
  <c r="AJ278" i="2"/>
  <c r="AH278" i="2"/>
  <c r="AG278" i="2"/>
  <c r="AF278" i="2"/>
  <c r="AE278" i="2"/>
  <c r="AD278" i="2"/>
  <c r="AC278" i="2"/>
  <c r="AB278" i="2"/>
  <c r="AA278" i="2"/>
  <c r="X278" i="2"/>
  <c r="J278" i="2"/>
  <c r="AJ277" i="2"/>
  <c r="AH277" i="2"/>
  <c r="AG277" i="2"/>
  <c r="AF277" i="2"/>
  <c r="AE277" i="2"/>
  <c r="AD277" i="2"/>
  <c r="AC277" i="2"/>
  <c r="AB277" i="2"/>
  <c r="AA277" i="2"/>
  <c r="X277" i="2"/>
  <c r="J277" i="2"/>
  <c r="AJ276" i="2"/>
  <c r="AH276" i="2"/>
  <c r="AG276" i="2"/>
  <c r="AF276" i="2"/>
  <c r="AE276" i="2"/>
  <c r="AD276" i="2"/>
  <c r="AC276" i="2"/>
  <c r="AB276" i="2"/>
  <c r="AA276" i="2"/>
  <c r="X276" i="2"/>
  <c r="J276" i="2"/>
  <c r="AJ275" i="2"/>
  <c r="AH275" i="2"/>
  <c r="AG275" i="2"/>
  <c r="AF275" i="2"/>
  <c r="AE275" i="2"/>
  <c r="AD275" i="2"/>
  <c r="AC275" i="2"/>
  <c r="AB275" i="2"/>
  <c r="AA275" i="2"/>
  <c r="X275" i="2"/>
  <c r="J275" i="2"/>
  <c r="AJ274" i="2"/>
  <c r="AH274" i="2"/>
  <c r="AG274" i="2"/>
  <c r="AF274" i="2"/>
  <c r="AE274" i="2"/>
  <c r="AD274" i="2"/>
  <c r="AC274" i="2"/>
  <c r="AB274" i="2"/>
  <c r="AK274" i="2" s="1"/>
  <c r="AA274" i="2"/>
  <c r="X274" i="2"/>
  <c r="J274" i="2"/>
  <c r="AJ273" i="2"/>
  <c r="AH273" i="2"/>
  <c r="AG273" i="2"/>
  <c r="AF273" i="2"/>
  <c r="AE273" i="2"/>
  <c r="AD273" i="2"/>
  <c r="AC273" i="2"/>
  <c r="AB273" i="2"/>
  <c r="AA273" i="2"/>
  <c r="X273" i="2"/>
  <c r="J273" i="2"/>
  <c r="AJ272" i="2"/>
  <c r="AH272" i="2"/>
  <c r="AG272" i="2"/>
  <c r="AF272" i="2"/>
  <c r="AE272" i="2"/>
  <c r="AD272" i="2"/>
  <c r="AC272" i="2"/>
  <c r="AB272" i="2"/>
  <c r="AA272" i="2"/>
  <c r="X272" i="2"/>
  <c r="J272" i="2"/>
  <c r="AJ271" i="2"/>
  <c r="AH271" i="2"/>
  <c r="AG271" i="2"/>
  <c r="AF271" i="2"/>
  <c r="AE271" i="2"/>
  <c r="AD271" i="2"/>
  <c r="AC271" i="2"/>
  <c r="AB271" i="2"/>
  <c r="AK271" i="2" s="1"/>
  <c r="AA271" i="2"/>
  <c r="X271" i="2"/>
  <c r="J271" i="2"/>
  <c r="AJ270" i="2"/>
  <c r="AH270" i="2"/>
  <c r="AG270" i="2"/>
  <c r="AF270" i="2"/>
  <c r="AE270" i="2"/>
  <c r="AD270" i="2"/>
  <c r="AC270" i="2"/>
  <c r="AB270" i="2"/>
  <c r="AK270" i="2" s="1"/>
  <c r="AA270" i="2"/>
  <c r="X270" i="2"/>
  <c r="J270" i="2"/>
  <c r="AJ269" i="2"/>
  <c r="AH269" i="2"/>
  <c r="AG269" i="2"/>
  <c r="AF269" i="2"/>
  <c r="AE269" i="2"/>
  <c r="AD269" i="2"/>
  <c r="AC269" i="2"/>
  <c r="AB269" i="2"/>
  <c r="AA269" i="2"/>
  <c r="X269" i="2"/>
  <c r="J269" i="2"/>
  <c r="AJ268" i="2"/>
  <c r="AH268" i="2"/>
  <c r="AG268" i="2"/>
  <c r="AF268" i="2"/>
  <c r="AE268" i="2"/>
  <c r="AD268" i="2"/>
  <c r="AC268" i="2"/>
  <c r="AB268" i="2"/>
  <c r="AK268" i="2" s="1"/>
  <c r="AA268" i="2"/>
  <c r="X268" i="2"/>
  <c r="J268" i="2"/>
  <c r="AJ267" i="2"/>
  <c r="AH267" i="2"/>
  <c r="AG267" i="2"/>
  <c r="AF267" i="2"/>
  <c r="AE267" i="2"/>
  <c r="AD267" i="2"/>
  <c r="AC267" i="2"/>
  <c r="AB267" i="2"/>
  <c r="AK267" i="2" s="1"/>
  <c r="AA267" i="2"/>
  <c r="X267" i="2"/>
  <c r="J267" i="2"/>
  <c r="AJ266" i="2"/>
  <c r="AH266" i="2"/>
  <c r="AG266" i="2"/>
  <c r="AF266" i="2"/>
  <c r="AE266" i="2"/>
  <c r="AD266" i="2"/>
  <c r="AC266" i="2"/>
  <c r="AB266" i="2"/>
  <c r="AA266" i="2"/>
  <c r="X266" i="2"/>
  <c r="J266" i="2"/>
  <c r="AJ265" i="2"/>
  <c r="AH265" i="2"/>
  <c r="AG265" i="2"/>
  <c r="AF265" i="2"/>
  <c r="AE265" i="2"/>
  <c r="AD265" i="2"/>
  <c r="AC265" i="2"/>
  <c r="AB265" i="2"/>
  <c r="AA265" i="2"/>
  <c r="X265" i="2"/>
  <c r="J265" i="2"/>
  <c r="AJ264" i="2"/>
  <c r="AH264" i="2"/>
  <c r="AG264" i="2"/>
  <c r="AF264" i="2"/>
  <c r="AE264" i="2"/>
  <c r="AD264" i="2"/>
  <c r="AC264" i="2"/>
  <c r="AB264" i="2"/>
  <c r="AA264" i="2"/>
  <c r="X264" i="2"/>
  <c r="J264" i="2"/>
  <c r="AJ263" i="2"/>
  <c r="AH263" i="2"/>
  <c r="AG263" i="2"/>
  <c r="AF263" i="2"/>
  <c r="AE263" i="2"/>
  <c r="AD263" i="2"/>
  <c r="AC263" i="2"/>
  <c r="AB263" i="2"/>
  <c r="AA263" i="2"/>
  <c r="X263" i="2"/>
  <c r="J263" i="2"/>
  <c r="AJ262" i="2"/>
  <c r="AH262" i="2"/>
  <c r="AG262" i="2"/>
  <c r="AF262" i="2"/>
  <c r="AE262" i="2"/>
  <c r="AD262" i="2"/>
  <c r="AC262" i="2"/>
  <c r="AB262" i="2"/>
  <c r="AK262" i="2" s="1"/>
  <c r="AA262" i="2"/>
  <c r="X262" i="2"/>
  <c r="J262" i="2"/>
  <c r="AJ261" i="2"/>
  <c r="AH261" i="2"/>
  <c r="AG261" i="2"/>
  <c r="AF261" i="2"/>
  <c r="AE261" i="2"/>
  <c r="AD261" i="2"/>
  <c r="AC261" i="2"/>
  <c r="AB261" i="2"/>
  <c r="AA261" i="2"/>
  <c r="X261" i="2"/>
  <c r="J261" i="2"/>
  <c r="AJ260" i="2"/>
  <c r="AH260" i="2"/>
  <c r="AG260" i="2"/>
  <c r="AF260" i="2"/>
  <c r="AE260" i="2"/>
  <c r="AD260" i="2"/>
  <c r="AC260" i="2"/>
  <c r="AB260" i="2"/>
  <c r="AA260" i="2"/>
  <c r="X260" i="2"/>
  <c r="J260" i="2"/>
  <c r="AJ259" i="2"/>
  <c r="AH259" i="2"/>
  <c r="AG259" i="2"/>
  <c r="AF259" i="2"/>
  <c r="AE259" i="2"/>
  <c r="AD259" i="2"/>
  <c r="AC259" i="2"/>
  <c r="AB259" i="2"/>
  <c r="AK259" i="2" s="1"/>
  <c r="AA259" i="2"/>
  <c r="X259" i="2"/>
  <c r="J259" i="2"/>
  <c r="AJ258" i="2"/>
  <c r="AH258" i="2"/>
  <c r="AG258" i="2"/>
  <c r="AF258" i="2"/>
  <c r="AE258" i="2"/>
  <c r="AD258" i="2"/>
  <c r="AC258" i="2"/>
  <c r="AB258" i="2"/>
  <c r="AK258" i="2" s="1"/>
  <c r="AA258" i="2"/>
  <c r="X258" i="2"/>
  <c r="J258" i="2"/>
  <c r="AJ257" i="2"/>
  <c r="AH257" i="2"/>
  <c r="AG257" i="2"/>
  <c r="AF257" i="2"/>
  <c r="AE257" i="2"/>
  <c r="AD257" i="2"/>
  <c r="AC257" i="2"/>
  <c r="AB257" i="2"/>
  <c r="AA257" i="2"/>
  <c r="X257" i="2"/>
  <c r="J257" i="2"/>
  <c r="AJ256" i="2"/>
  <c r="AH256" i="2"/>
  <c r="AG256" i="2"/>
  <c r="AF256" i="2"/>
  <c r="AE256" i="2"/>
  <c r="AD256" i="2"/>
  <c r="AC256" i="2"/>
  <c r="AB256" i="2"/>
  <c r="AK256" i="2" s="1"/>
  <c r="AA256" i="2"/>
  <c r="X256" i="2"/>
  <c r="J256" i="2"/>
  <c r="AJ255" i="2"/>
  <c r="AH255" i="2"/>
  <c r="AG255" i="2"/>
  <c r="AF255" i="2"/>
  <c r="AE255" i="2"/>
  <c r="AD255" i="2"/>
  <c r="AC255" i="2"/>
  <c r="AB255" i="2"/>
  <c r="AK255" i="2" s="1"/>
  <c r="AA255" i="2"/>
  <c r="X255" i="2"/>
  <c r="J255" i="2"/>
  <c r="AJ254" i="2"/>
  <c r="AH254" i="2"/>
  <c r="AG254" i="2"/>
  <c r="AF254" i="2"/>
  <c r="AE254" i="2"/>
  <c r="AD254" i="2"/>
  <c r="AC254" i="2"/>
  <c r="AB254" i="2"/>
  <c r="AA254" i="2"/>
  <c r="X254" i="2"/>
  <c r="J254" i="2"/>
  <c r="AJ253" i="2"/>
  <c r="AH253" i="2"/>
  <c r="AG253" i="2"/>
  <c r="AF253" i="2"/>
  <c r="AE253" i="2"/>
  <c r="AD253" i="2"/>
  <c r="AC253" i="2"/>
  <c r="AB253" i="2"/>
  <c r="AA253" i="2"/>
  <c r="X253" i="2"/>
  <c r="J253" i="2"/>
  <c r="AJ252" i="2"/>
  <c r="AH252" i="2"/>
  <c r="AG252" i="2"/>
  <c r="AF252" i="2"/>
  <c r="AE252" i="2"/>
  <c r="AD252" i="2"/>
  <c r="AC252" i="2"/>
  <c r="AB252" i="2"/>
  <c r="AA252" i="2"/>
  <c r="X252" i="2"/>
  <c r="J252" i="2"/>
  <c r="AJ251" i="2"/>
  <c r="AH251" i="2"/>
  <c r="AG251" i="2"/>
  <c r="AF251" i="2"/>
  <c r="AE251" i="2"/>
  <c r="AD251" i="2"/>
  <c r="AC251" i="2"/>
  <c r="AB251" i="2"/>
  <c r="AA251" i="2"/>
  <c r="X251" i="2"/>
  <c r="J251" i="2"/>
  <c r="AJ250" i="2"/>
  <c r="AH250" i="2"/>
  <c r="AG250" i="2"/>
  <c r="AF250" i="2"/>
  <c r="AE250" i="2"/>
  <c r="AD250" i="2"/>
  <c r="AC250" i="2"/>
  <c r="AB250" i="2"/>
  <c r="AK250" i="2" s="1"/>
  <c r="AA250" i="2"/>
  <c r="X250" i="2"/>
  <c r="J250" i="2"/>
  <c r="AJ249" i="2"/>
  <c r="AH249" i="2"/>
  <c r="AG249" i="2"/>
  <c r="AF249" i="2"/>
  <c r="AE249" i="2"/>
  <c r="AD249" i="2"/>
  <c r="AC249" i="2"/>
  <c r="AB249" i="2"/>
  <c r="AA249" i="2"/>
  <c r="X249" i="2"/>
  <c r="J249" i="2"/>
  <c r="AJ248" i="2"/>
  <c r="AH248" i="2"/>
  <c r="AG248" i="2"/>
  <c r="AF248" i="2"/>
  <c r="AE248" i="2"/>
  <c r="AD248" i="2"/>
  <c r="AC248" i="2"/>
  <c r="AB248" i="2"/>
  <c r="AA248" i="2"/>
  <c r="X248" i="2"/>
  <c r="J248" i="2"/>
  <c r="AJ247" i="2"/>
  <c r="AH247" i="2"/>
  <c r="AG247" i="2"/>
  <c r="AF247" i="2"/>
  <c r="AE247" i="2"/>
  <c r="AD247" i="2"/>
  <c r="AC247" i="2"/>
  <c r="AB247" i="2"/>
  <c r="AK247" i="2" s="1"/>
  <c r="AA247" i="2"/>
  <c r="X247" i="2"/>
  <c r="J247" i="2"/>
  <c r="AJ246" i="2"/>
  <c r="AH246" i="2"/>
  <c r="AG246" i="2"/>
  <c r="AF246" i="2"/>
  <c r="AE246" i="2"/>
  <c r="AD246" i="2"/>
  <c r="AC246" i="2"/>
  <c r="AB246" i="2"/>
  <c r="AK246" i="2" s="1"/>
  <c r="AA246" i="2"/>
  <c r="X246" i="2"/>
  <c r="J246" i="2"/>
  <c r="AJ245" i="2"/>
  <c r="AH245" i="2"/>
  <c r="AG245" i="2"/>
  <c r="AF245" i="2"/>
  <c r="AE245" i="2"/>
  <c r="AD245" i="2"/>
  <c r="AC245" i="2"/>
  <c r="AB245" i="2"/>
  <c r="AA245" i="2"/>
  <c r="X245" i="2"/>
  <c r="J245" i="2"/>
  <c r="AJ244" i="2"/>
  <c r="AH244" i="2"/>
  <c r="AG244" i="2"/>
  <c r="AF244" i="2"/>
  <c r="AE244" i="2"/>
  <c r="AD244" i="2"/>
  <c r="AC244" i="2"/>
  <c r="AB244" i="2"/>
  <c r="AK244" i="2" s="1"/>
  <c r="AA244" i="2"/>
  <c r="X244" i="2"/>
  <c r="J244" i="2"/>
  <c r="AJ243" i="2"/>
  <c r="AG243" i="2"/>
  <c r="AF243" i="2"/>
  <c r="AE243" i="2"/>
  <c r="AD243" i="2"/>
  <c r="AC243" i="2"/>
  <c r="AB243" i="2"/>
  <c r="AA243" i="2"/>
  <c r="AH243" i="2" s="1"/>
  <c r="X243" i="2"/>
  <c r="J243" i="2"/>
  <c r="AJ242" i="2"/>
  <c r="AG242" i="2"/>
  <c r="AF242" i="2"/>
  <c r="AE242" i="2"/>
  <c r="AD242" i="2"/>
  <c r="AC242" i="2"/>
  <c r="AB242" i="2"/>
  <c r="AA242" i="2"/>
  <c r="AH242" i="2" s="1"/>
  <c r="X242" i="2"/>
  <c r="J242" i="2"/>
  <c r="AJ241" i="2"/>
  <c r="AG241" i="2"/>
  <c r="AF241" i="2"/>
  <c r="AE241" i="2"/>
  <c r="AD241" i="2"/>
  <c r="AC241" i="2"/>
  <c r="AB241" i="2"/>
  <c r="AA241" i="2"/>
  <c r="AH241" i="2" s="1"/>
  <c r="X241" i="2"/>
  <c r="J241" i="2"/>
  <c r="AJ240" i="2"/>
  <c r="AH240" i="2"/>
  <c r="AG240" i="2"/>
  <c r="AF240" i="2"/>
  <c r="AE240" i="2"/>
  <c r="AD240" i="2"/>
  <c r="AC240" i="2"/>
  <c r="AB240" i="2"/>
  <c r="AA240" i="2"/>
  <c r="X240" i="2"/>
  <c r="J240" i="2"/>
  <c r="AJ239" i="2"/>
  <c r="AH239" i="2"/>
  <c r="AG239" i="2"/>
  <c r="AF239" i="2"/>
  <c r="AE239" i="2"/>
  <c r="AD239" i="2"/>
  <c r="AC239" i="2"/>
  <c r="AB239" i="2"/>
  <c r="AA239" i="2"/>
  <c r="X239" i="2"/>
  <c r="J239" i="2"/>
  <c r="AJ238" i="2"/>
  <c r="AG238" i="2"/>
  <c r="AF238" i="2"/>
  <c r="AE238" i="2"/>
  <c r="AD238" i="2"/>
  <c r="AC238" i="2"/>
  <c r="AB238" i="2"/>
  <c r="AK238" i="2" s="1"/>
  <c r="AA238" i="2"/>
  <c r="AH238" i="2" s="1"/>
  <c r="X238" i="2"/>
  <c r="J238" i="2"/>
  <c r="AJ237" i="2"/>
  <c r="AG237" i="2"/>
  <c r="AF237" i="2"/>
  <c r="AE237" i="2"/>
  <c r="AD237" i="2"/>
  <c r="AC237" i="2"/>
  <c r="AB237" i="2"/>
  <c r="AK237" i="2" s="1"/>
  <c r="AA237" i="2"/>
  <c r="AH237" i="2" s="1"/>
  <c r="X237" i="2"/>
  <c r="J237" i="2"/>
  <c r="AJ236" i="2"/>
  <c r="AG236" i="2"/>
  <c r="AF236" i="2"/>
  <c r="AE236" i="2"/>
  <c r="AD236" i="2"/>
  <c r="AC236" i="2"/>
  <c r="AB236" i="2"/>
  <c r="AA236" i="2"/>
  <c r="AH236" i="2" s="1"/>
  <c r="X236" i="2"/>
  <c r="J236" i="2"/>
  <c r="AJ235" i="2"/>
  <c r="AG235" i="2"/>
  <c r="AF235" i="2"/>
  <c r="AE235" i="2"/>
  <c r="AD235" i="2"/>
  <c r="AC235" i="2"/>
  <c r="AB235" i="2"/>
  <c r="AA235" i="2"/>
  <c r="AH235" i="2" s="1"/>
  <c r="X235" i="2"/>
  <c r="J235" i="2"/>
  <c r="AJ234" i="2"/>
  <c r="AH234" i="2"/>
  <c r="AG234" i="2"/>
  <c r="AF234" i="2"/>
  <c r="AE234" i="2"/>
  <c r="AD234" i="2"/>
  <c r="AC234" i="2"/>
  <c r="AB234" i="2"/>
  <c r="AA234" i="2"/>
  <c r="X234" i="2"/>
  <c r="J234" i="2"/>
  <c r="AJ233" i="2"/>
  <c r="AH233" i="2"/>
  <c r="AG233" i="2"/>
  <c r="AF233" i="2"/>
  <c r="AE233" i="2"/>
  <c r="AD233" i="2"/>
  <c r="AC233" i="2"/>
  <c r="AB233" i="2"/>
  <c r="AK233" i="2" s="1"/>
  <c r="AA233" i="2"/>
  <c r="X233" i="2"/>
  <c r="J233" i="2"/>
  <c r="AJ232" i="2"/>
  <c r="AH232" i="2"/>
  <c r="AG232" i="2"/>
  <c r="AF232" i="2"/>
  <c r="AE232" i="2"/>
  <c r="AD232" i="2"/>
  <c r="AC232" i="2"/>
  <c r="AB232" i="2"/>
  <c r="AA232" i="2"/>
  <c r="X232" i="2"/>
  <c r="J232" i="2"/>
  <c r="AJ231" i="2"/>
  <c r="AH231" i="2"/>
  <c r="AG231" i="2"/>
  <c r="AF231" i="2"/>
  <c r="AE231" i="2"/>
  <c r="AD231" i="2"/>
  <c r="AC231" i="2"/>
  <c r="AB231" i="2"/>
  <c r="AA231" i="2"/>
  <c r="X231" i="2"/>
  <c r="J231" i="2"/>
  <c r="AJ230" i="2"/>
  <c r="AH230" i="2"/>
  <c r="AG230" i="2"/>
  <c r="AF230" i="2"/>
  <c r="AE230" i="2"/>
  <c r="AD230" i="2"/>
  <c r="AC230" i="2"/>
  <c r="AB230" i="2"/>
  <c r="AK230" i="2" s="1"/>
  <c r="AA230" i="2"/>
  <c r="X230" i="2"/>
  <c r="J230" i="2"/>
  <c r="AJ229" i="2"/>
  <c r="AH229" i="2"/>
  <c r="AG229" i="2"/>
  <c r="AF229" i="2"/>
  <c r="AE229" i="2"/>
  <c r="AD229" i="2"/>
  <c r="AC229" i="2"/>
  <c r="AB229" i="2"/>
  <c r="AK229" i="2" s="1"/>
  <c r="AA229" i="2"/>
  <c r="X229" i="2"/>
  <c r="J229" i="2"/>
  <c r="AJ228" i="2"/>
  <c r="AH228" i="2"/>
  <c r="AG228" i="2"/>
  <c r="AF228" i="2"/>
  <c r="AE228" i="2"/>
  <c r="AD228" i="2"/>
  <c r="AC228" i="2"/>
  <c r="AB228" i="2"/>
  <c r="AA228" i="2"/>
  <c r="X228" i="2"/>
  <c r="J228" i="2"/>
  <c r="AJ227" i="2"/>
  <c r="AG227" i="2"/>
  <c r="AF227" i="2"/>
  <c r="AE227" i="2"/>
  <c r="AD227" i="2"/>
  <c r="AC227" i="2"/>
  <c r="AB227" i="2"/>
  <c r="AA227" i="2"/>
  <c r="AH227" i="2" s="1"/>
  <c r="X227" i="2"/>
  <c r="J227" i="2"/>
  <c r="AJ226" i="2"/>
  <c r="AH226" i="2"/>
  <c r="AG226" i="2"/>
  <c r="AF226" i="2"/>
  <c r="AE226" i="2"/>
  <c r="AD226" i="2"/>
  <c r="AC226" i="2"/>
  <c r="AB226" i="2"/>
  <c r="AA226" i="2"/>
  <c r="X226" i="2"/>
  <c r="J226" i="2"/>
  <c r="AJ225" i="2"/>
  <c r="AH225" i="2"/>
  <c r="AG225" i="2"/>
  <c r="AF225" i="2"/>
  <c r="AE225" i="2"/>
  <c r="AD225" i="2"/>
  <c r="AC225" i="2"/>
  <c r="AB225" i="2"/>
  <c r="AA225" i="2"/>
  <c r="X225" i="2"/>
  <c r="J225" i="2"/>
  <c r="AJ224" i="2"/>
  <c r="AH224" i="2"/>
  <c r="AG224" i="2"/>
  <c r="AF224" i="2"/>
  <c r="AE224" i="2"/>
  <c r="AD224" i="2"/>
  <c r="AC224" i="2"/>
  <c r="AB224" i="2"/>
  <c r="AA224" i="2"/>
  <c r="X224" i="2"/>
  <c r="J224" i="2"/>
  <c r="AJ223" i="2"/>
  <c r="AH223" i="2"/>
  <c r="AG223" i="2"/>
  <c r="AF223" i="2"/>
  <c r="AE223" i="2"/>
  <c r="AD223" i="2"/>
  <c r="AC223" i="2"/>
  <c r="AB223" i="2"/>
  <c r="AA223" i="2"/>
  <c r="X223" i="2"/>
  <c r="J223" i="2"/>
  <c r="AJ222" i="2"/>
  <c r="AH222" i="2"/>
  <c r="AG222" i="2"/>
  <c r="AF222" i="2"/>
  <c r="AE222" i="2"/>
  <c r="AD222" i="2"/>
  <c r="AC222" i="2"/>
  <c r="AB222" i="2"/>
  <c r="AK222" i="2" s="1"/>
  <c r="AA222" i="2"/>
  <c r="X222" i="2"/>
  <c r="J222" i="2"/>
  <c r="AJ221" i="2"/>
  <c r="AH221" i="2"/>
  <c r="AG221" i="2"/>
  <c r="AF221" i="2"/>
  <c r="AE221" i="2"/>
  <c r="AD221" i="2"/>
  <c r="AC221" i="2"/>
  <c r="AB221" i="2"/>
  <c r="AA221" i="2"/>
  <c r="X221" i="2"/>
  <c r="J221" i="2"/>
  <c r="AJ220" i="2"/>
  <c r="AH220" i="2"/>
  <c r="AG220" i="2"/>
  <c r="AF220" i="2"/>
  <c r="AE220" i="2"/>
  <c r="AD220" i="2"/>
  <c r="AC220" i="2"/>
  <c r="AB220" i="2"/>
  <c r="AA220" i="2"/>
  <c r="X220" i="2"/>
  <c r="J220" i="2"/>
  <c r="AJ219" i="2"/>
  <c r="AH219" i="2"/>
  <c r="AG219" i="2"/>
  <c r="AF219" i="2"/>
  <c r="AE219" i="2"/>
  <c r="AD219" i="2"/>
  <c r="AC219" i="2"/>
  <c r="AB219" i="2"/>
  <c r="AK219" i="2" s="1"/>
  <c r="AA219" i="2"/>
  <c r="X219" i="2"/>
  <c r="J219" i="2"/>
  <c r="AJ218" i="2"/>
  <c r="AH218" i="2"/>
  <c r="AG218" i="2"/>
  <c r="AF218" i="2"/>
  <c r="AE218" i="2"/>
  <c r="AD218" i="2"/>
  <c r="AC218" i="2"/>
  <c r="AB218" i="2"/>
  <c r="AK218" i="2" s="1"/>
  <c r="AA218" i="2"/>
  <c r="X218" i="2"/>
  <c r="J218" i="2"/>
  <c r="AJ217" i="2"/>
  <c r="AH217" i="2"/>
  <c r="AG217" i="2"/>
  <c r="AF217" i="2"/>
  <c r="AE217" i="2"/>
  <c r="AD217" i="2"/>
  <c r="AC217" i="2"/>
  <c r="AB217" i="2"/>
  <c r="AA217" i="2"/>
  <c r="X217" i="2"/>
  <c r="J217" i="2"/>
  <c r="AJ216" i="2"/>
  <c r="AH216" i="2"/>
  <c r="AG216" i="2"/>
  <c r="AF216" i="2"/>
  <c r="AE216" i="2"/>
  <c r="AD216" i="2"/>
  <c r="AC216" i="2"/>
  <c r="AB216" i="2"/>
  <c r="AK216" i="2" s="1"/>
  <c r="AA216" i="2"/>
  <c r="X216" i="2"/>
  <c r="J216" i="2"/>
  <c r="AJ215" i="2"/>
  <c r="AH215" i="2"/>
  <c r="AG215" i="2"/>
  <c r="AF215" i="2"/>
  <c r="AE215" i="2"/>
  <c r="AD215" i="2"/>
  <c r="AC215" i="2"/>
  <c r="AB215" i="2"/>
  <c r="AK215" i="2" s="1"/>
  <c r="AA215" i="2"/>
  <c r="X215" i="2"/>
  <c r="J215" i="2"/>
  <c r="AJ214" i="2"/>
  <c r="AH214" i="2"/>
  <c r="AG214" i="2"/>
  <c r="AF214" i="2"/>
  <c r="AE214" i="2"/>
  <c r="AD214" i="2"/>
  <c r="AC214" i="2"/>
  <c r="AB214" i="2"/>
  <c r="AA214" i="2"/>
  <c r="X214" i="2"/>
  <c r="J214" i="2"/>
  <c r="AJ213" i="2"/>
  <c r="AH213" i="2"/>
  <c r="AG213" i="2"/>
  <c r="AF213" i="2"/>
  <c r="AE213" i="2"/>
  <c r="AD213" i="2"/>
  <c r="AC213" i="2"/>
  <c r="AB213" i="2"/>
  <c r="AA213" i="2"/>
  <c r="X213" i="2"/>
  <c r="J213" i="2"/>
  <c r="AJ212" i="2"/>
  <c r="AH212" i="2"/>
  <c r="AG212" i="2"/>
  <c r="AF212" i="2"/>
  <c r="AE212" i="2"/>
  <c r="AD212" i="2"/>
  <c r="AC212" i="2"/>
  <c r="AB212" i="2"/>
  <c r="AA212" i="2"/>
  <c r="X212" i="2"/>
  <c r="J212" i="2"/>
  <c r="AJ211" i="2"/>
  <c r="AH211" i="2"/>
  <c r="AG211" i="2"/>
  <c r="AF211" i="2"/>
  <c r="AE211" i="2"/>
  <c r="AD211" i="2"/>
  <c r="AC211" i="2"/>
  <c r="AB211" i="2"/>
  <c r="AA211" i="2"/>
  <c r="X211" i="2"/>
  <c r="J211" i="2"/>
  <c r="AJ210" i="2"/>
  <c r="AH210" i="2"/>
  <c r="AG210" i="2"/>
  <c r="AF210" i="2"/>
  <c r="AE210" i="2"/>
  <c r="AD210" i="2"/>
  <c r="AC210" i="2"/>
  <c r="AB210" i="2"/>
  <c r="AK210" i="2" s="1"/>
  <c r="AA210" i="2"/>
  <c r="X210" i="2"/>
  <c r="J210" i="2"/>
  <c r="AJ209" i="2"/>
  <c r="AH209" i="2"/>
  <c r="AG209" i="2"/>
  <c r="AF209" i="2"/>
  <c r="AE209" i="2"/>
  <c r="AD209" i="2"/>
  <c r="AC209" i="2"/>
  <c r="AB209" i="2"/>
  <c r="AA209" i="2"/>
  <c r="X209" i="2"/>
  <c r="J209" i="2"/>
  <c r="AJ208" i="2"/>
  <c r="AH208" i="2"/>
  <c r="AG208" i="2"/>
  <c r="AF208" i="2"/>
  <c r="AE208" i="2"/>
  <c r="AD208" i="2"/>
  <c r="AC208" i="2"/>
  <c r="AB208" i="2"/>
  <c r="AA208" i="2"/>
  <c r="X208" i="2"/>
  <c r="J208" i="2"/>
  <c r="AJ207" i="2"/>
  <c r="AH207" i="2"/>
  <c r="AG207" i="2"/>
  <c r="AF207" i="2"/>
  <c r="AE207" i="2"/>
  <c r="AD207" i="2"/>
  <c r="AC207" i="2"/>
  <c r="AB207" i="2"/>
  <c r="AK207" i="2" s="1"/>
  <c r="AA207" i="2"/>
  <c r="X207" i="2"/>
  <c r="J207" i="2"/>
  <c r="AJ206" i="2"/>
  <c r="AH206" i="2"/>
  <c r="AG206" i="2"/>
  <c r="AF206" i="2"/>
  <c r="AE206" i="2"/>
  <c r="AD206" i="2"/>
  <c r="AC206" i="2"/>
  <c r="AB206" i="2"/>
  <c r="AK206" i="2" s="1"/>
  <c r="AA206" i="2"/>
  <c r="X206" i="2"/>
  <c r="J206" i="2"/>
  <c r="AJ205" i="2"/>
  <c r="AH205" i="2"/>
  <c r="AG205" i="2"/>
  <c r="AF205" i="2"/>
  <c r="AE205" i="2"/>
  <c r="AD205" i="2"/>
  <c r="AC205" i="2"/>
  <c r="AB205" i="2"/>
  <c r="AA205" i="2"/>
  <c r="X205" i="2"/>
  <c r="J205" i="2"/>
  <c r="AJ204" i="2"/>
  <c r="AH204" i="2"/>
  <c r="AG204" i="2"/>
  <c r="AF204" i="2"/>
  <c r="AE204" i="2"/>
  <c r="AD204" i="2"/>
  <c r="AC204" i="2"/>
  <c r="AB204" i="2"/>
  <c r="AK204" i="2" s="1"/>
  <c r="AA204" i="2"/>
  <c r="X204" i="2"/>
  <c r="J204" i="2"/>
  <c r="AJ203" i="2"/>
  <c r="AH203" i="2"/>
  <c r="AG203" i="2"/>
  <c r="AF203" i="2"/>
  <c r="AE203" i="2"/>
  <c r="AD203" i="2"/>
  <c r="AC203" i="2"/>
  <c r="AB203" i="2"/>
  <c r="AK203" i="2" s="1"/>
  <c r="AA203" i="2"/>
  <c r="X203" i="2"/>
  <c r="J203" i="2"/>
  <c r="AJ202" i="2"/>
  <c r="AH202" i="2"/>
  <c r="AG202" i="2"/>
  <c r="AF202" i="2"/>
  <c r="AE202" i="2"/>
  <c r="AD202" i="2"/>
  <c r="AC202" i="2"/>
  <c r="AB202" i="2"/>
  <c r="AA202" i="2"/>
  <c r="X202" i="2"/>
  <c r="J202" i="2"/>
  <c r="AJ201" i="2"/>
  <c r="AH201" i="2"/>
  <c r="AG201" i="2"/>
  <c r="AF201" i="2"/>
  <c r="AE201" i="2"/>
  <c r="AD201" i="2"/>
  <c r="AC201" i="2"/>
  <c r="AB201" i="2"/>
  <c r="AA201" i="2"/>
  <c r="X201" i="2"/>
  <c r="J201" i="2"/>
  <c r="AJ200" i="2"/>
  <c r="AH200" i="2"/>
  <c r="AG200" i="2"/>
  <c r="AF200" i="2"/>
  <c r="AE200" i="2"/>
  <c r="AD200" i="2"/>
  <c r="AC200" i="2"/>
  <c r="AB200" i="2"/>
  <c r="AA200" i="2"/>
  <c r="X200" i="2"/>
  <c r="J200" i="2"/>
  <c r="AJ199" i="2"/>
  <c r="AH199" i="2"/>
  <c r="AG199" i="2"/>
  <c r="AF199" i="2"/>
  <c r="AE199" i="2"/>
  <c r="AD199" i="2"/>
  <c r="AC199" i="2"/>
  <c r="AB199" i="2"/>
  <c r="AA199" i="2"/>
  <c r="X199" i="2"/>
  <c r="J199" i="2"/>
  <c r="AJ198" i="2"/>
  <c r="AH198" i="2"/>
  <c r="AG198" i="2"/>
  <c r="AF198" i="2"/>
  <c r="AE198" i="2"/>
  <c r="AD198" i="2"/>
  <c r="AC198" i="2"/>
  <c r="AB198" i="2"/>
  <c r="AK198" i="2" s="1"/>
  <c r="AA198" i="2"/>
  <c r="X198" i="2"/>
  <c r="J198" i="2"/>
  <c r="AJ197" i="2"/>
  <c r="AH197" i="2"/>
  <c r="AG197" i="2"/>
  <c r="AF197" i="2"/>
  <c r="AE197" i="2"/>
  <c r="AD197" i="2"/>
  <c r="AC197" i="2"/>
  <c r="AB197" i="2"/>
  <c r="AA197" i="2"/>
  <c r="X197" i="2"/>
  <c r="J197" i="2"/>
  <c r="AJ196" i="2"/>
  <c r="AH196" i="2"/>
  <c r="AG196" i="2"/>
  <c r="AF196" i="2"/>
  <c r="AE196" i="2"/>
  <c r="AD196" i="2"/>
  <c r="AC196" i="2"/>
  <c r="AB196" i="2"/>
  <c r="AA196" i="2"/>
  <c r="X196" i="2"/>
  <c r="J196" i="2"/>
  <c r="AJ195" i="2"/>
  <c r="AH195" i="2"/>
  <c r="AG195" i="2"/>
  <c r="AF195" i="2"/>
  <c r="AE195" i="2"/>
  <c r="AD195" i="2"/>
  <c r="AC195" i="2"/>
  <c r="AB195" i="2"/>
  <c r="AK195" i="2" s="1"/>
  <c r="AA195" i="2"/>
  <c r="X195" i="2"/>
  <c r="J195" i="2"/>
  <c r="AJ194" i="2"/>
  <c r="AH194" i="2"/>
  <c r="AG194" i="2"/>
  <c r="AF194" i="2"/>
  <c r="AE194" i="2"/>
  <c r="AD194" i="2"/>
  <c r="AC194" i="2"/>
  <c r="AB194" i="2"/>
  <c r="AK194" i="2" s="1"/>
  <c r="AA194" i="2"/>
  <c r="X194" i="2"/>
  <c r="J194" i="2"/>
  <c r="AJ193" i="2"/>
  <c r="AH193" i="2"/>
  <c r="AG193" i="2"/>
  <c r="AF193" i="2"/>
  <c r="AE193" i="2"/>
  <c r="AD193" i="2"/>
  <c r="AC193" i="2"/>
  <c r="AB193" i="2"/>
  <c r="AA193" i="2"/>
  <c r="X193" i="2"/>
  <c r="J193" i="2"/>
  <c r="AJ192" i="2"/>
  <c r="AH192" i="2"/>
  <c r="AG192" i="2"/>
  <c r="AF192" i="2"/>
  <c r="AE192" i="2"/>
  <c r="AD192" i="2"/>
  <c r="AC192" i="2"/>
  <c r="AB192" i="2"/>
  <c r="AK192" i="2" s="1"/>
  <c r="AA192" i="2"/>
  <c r="X192" i="2"/>
  <c r="J192" i="2"/>
  <c r="AJ191" i="2"/>
  <c r="AH191" i="2"/>
  <c r="AG191" i="2"/>
  <c r="AF191" i="2"/>
  <c r="AE191" i="2"/>
  <c r="AD191" i="2"/>
  <c r="AC191" i="2"/>
  <c r="AB191" i="2"/>
  <c r="AK191" i="2" s="1"/>
  <c r="AA191" i="2"/>
  <c r="X191" i="2"/>
  <c r="J191" i="2"/>
  <c r="AJ190" i="2"/>
  <c r="AH190" i="2"/>
  <c r="AG190" i="2"/>
  <c r="AF190" i="2"/>
  <c r="AE190" i="2"/>
  <c r="AD190" i="2"/>
  <c r="AC190" i="2"/>
  <c r="AB190" i="2"/>
  <c r="AA190" i="2"/>
  <c r="X190" i="2"/>
  <c r="J190" i="2"/>
  <c r="AJ189" i="2"/>
  <c r="AH189" i="2"/>
  <c r="AG189" i="2"/>
  <c r="AF189" i="2"/>
  <c r="AE189" i="2"/>
  <c r="AD189" i="2"/>
  <c r="AC189" i="2"/>
  <c r="AB189" i="2"/>
  <c r="AA189" i="2"/>
  <c r="X189" i="2"/>
  <c r="J189" i="2"/>
  <c r="AJ188" i="2"/>
  <c r="AH188" i="2"/>
  <c r="AG188" i="2"/>
  <c r="AF188" i="2"/>
  <c r="AE188" i="2"/>
  <c r="AD188" i="2"/>
  <c r="AC188" i="2"/>
  <c r="AB188" i="2"/>
  <c r="AA188" i="2"/>
  <c r="X188" i="2"/>
  <c r="J188" i="2"/>
  <c r="AJ187" i="2"/>
  <c r="AH187" i="2"/>
  <c r="AG187" i="2"/>
  <c r="AF187" i="2"/>
  <c r="AE187" i="2"/>
  <c r="AD187" i="2"/>
  <c r="AC187" i="2"/>
  <c r="AB187" i="2"/>
  <c r="AA187" i="2"/>
  <c r="X187" i="2"/>
  <c r="J187" i="2"/>
  <c r="AJ186" i="2"/>
  <c r="AH186" i="2"/>
  <c r="AG186" i="2"/>
  <c r="AF186" i="2"/>
  <c r="AE186" i="2"/>
  <c r="AD186" i="2"/>
  <c r="AC186" i="2"/>
  <c r="AB186" i="2"/>
  <c r="AK186" i="2" s="1"/>
  <c r="AA186" i="2"/>
  <c r="X186" i="2"/>
  <c r="J186" i="2"/>
  <c r="AJ185" i="2"/>
  <c r="AH185" i="2"/>
  <c r="AG185" i="2"/>
  <c r="AF185" i="2"/>
  <c r="AE185" i="2"/>
  <c r="AD185" i="2"/>
  <c r="AC185" i="2"/>
  <c r="AB185" i="2"/>
  <c r="AA185" i="2"/>
  <c r="X185" i="2"/>
  <c r="J185" i="2"/>
  <c r="AJ184" i="2"/>
  <c r="AH184" i="2"/>
  <c r="AG184" i="2"/>
  <c r="AF184" i="2"/>
  <c r="AE184" i="2"/>
  <c r="AD184" i="2"/>
  <c r="AC184" i="2"/>
  <c r="AB184" i="2"/>
  <c r="AA184" i="2"/>
  <c r="X184" i="2"/>
  <c r="J184" i="2"/>
  <c r="AJ183" i="2"/>
  <c r="AH183" i="2"/>
  <c r="AG183" i="2"/>
  <c r="AF183" i="2"/>
  <c r="AE183" i="2"/>
  <c r="AD183" i="2"/>
  <c r="AC183" i="2"/>
  <c r="AB183" i="2"/>
  <c r="AK183" i="2" s="1"/>
  <c r="AA183" i="2"/>
  <c r="X183" i="2"/>
  <c r="J183" i="2"/>
  <c r="AJ182" i="2"/>
  <c r="AH182" i="2"/>
  <c r="AG182" i="2"/>
  <c r="AF182" i="2"/>
  <c r="AE182" i="2"/>
  <c r="AD182" i="2"/>
  <c r="AC182" i="2"/>
  <c r="AB182" i="2"/>
  <c r="AA182" i="2"/>
  <c r="X182" i="2"/>
  <c r="J182" i="2"/>
  <c r="AJ181" i="2"/>
  <c r="AH181" i="2"/>
  <c r="AG181" i="2"/>
  <c r="AF181" i="2"/>
  <c r="AE181" i="2"/>
  <c r="AD181" i="2"/>
  <c r="AC181" i="2"/>
  <c r="AB181" i="2"/>
  <c r="AA181" i="2"/>
  <c r="X181" i="2"/>
  <c r="J181" i="2"/>
  <c r="AJ180" i="2"/>
  <c r="AH180" i="2"/>
  <c r="AG180" i="2"/>
  <c r="AF180" i="2"/>
  <c r="AE180" i="2"/>
  <c r="AD180" i="2"/>
  <c r="AC180" i="2"/>
  <c r="AB180" i="2"/>
  <c r="AK180" i="2" s="1"/>
  <c r="AA180" i="2"/>
  <c r="X180" i="2"/>
  <c r="J180" i="2"/>
  <c r="AJ179" i="2"/>
  <c r="AH179" i="2"/>
  <c r="AG179" i="2"/>
  <c r="AF179" i="2"/>
  <c r="AE179" i="2"/>
  <c r="AD179" i="2"/>
  <c r="AC179" i="2"/>
  <c r="AB179" i="2"/>
  <c r="AK179" i="2" s="1"/>
  <c r="AA179" i="2"/>
  <c r="X179" i="2"/>
  <c r="J179" i="2"/>
  <c r="AJ178" i="2"/>
  <c r="AH178" i="2"/>
  <c r="AG178" i="2"/>
  <c r="AF178" i="2"/>
  <c r="AE178" i="2"/>
  <c r="AD178" i="2"/>
  <c r="AC178" i="2"/>
  <c r="AB178" i="2"/>
  <c r="AA178" i="2"/>
  <c r="X178" i="2"/>
  <c r="J178" i="2"/>
  <c r="AJ177" i="2"/>
  <c r="AH177" i="2"/>
  <c r="AG177" i="2"/>
  <c r="AF177" i="2"/>
  <c r="AE177" i="2"/>
  <c r="AD177" i="2"/>
  <c r="AC177" i="2"/>
  <c r="AB177" i="2"/>
  <c r="AA177" i="2"/>
  <c r="X177" i="2"/>
  <c r="J177" i="2"/>
  <c r="AJ176" i="2"/>
  <c r="AH176" i="2"/>
  <c r="AG176" i="2"/>
  <c r="AF176" i="2"/>
  <c r="AE176" i="2"/>
  <c r="AD176" i="2"/>
  <c r="AC176" i="2"/>
  <c r="AB176" i="2"/>
  <c r="AA176" i="2"/>
  <c r="X176" i="2"/>
  <c r="J176" i="2"/>
  <c r="AJ175" i="2"/>
  <c r="AH175" i="2"/>
  <c r="AG175" i="2"/>
  <c r="AF175" i="2"/>
  <c r="AE175" i="2"/>
  <c r="AD175" i="2"/>
  <c r="AC175" i="2"/>
  <c r="AB175" i="2"/>
  <c r="AA175" i="2"/>
  <c r="X175" i="2"/>
  <c r="J175" i="2"/>
  <c r="AJ174" i="2"/>
  <c r="AH174" i="2"/>
  <c r="AG174" i="2"/>
  <c r="AF174" i="2"/>
  <c r="AE174" i="2"/>
  <c r="AD174" i="2"/>
  <c r="AC174" i="2"/>
  <c r="AB174" i="2"/>
  <c r="AK174" i="2" s="1"/>
  <c r="AA174" i="2"/>
  <c r="X174" i="2"/>
  <c r="J174" i="2"/>
  <c r="AJ173" i="2"/>
  <c r="AH173" i="2"/>
  <c r="AG173" i="2"/>
  <c r="AF173" i="2"/>
  <c r="AE173" i="2"/>
  <c r="AD173" i="2"/>
  <c r="AC173" i="2"/>
  <c r="AB173" i="2"/>
  <c r="AA173" i="2"/>
  <c r="X173" i="2"/>
  <c r="J173" i="2"/>
  <c r="AJ172" i="2"/>
  <c r="AH172" i="2"/>
  <c r="AG172" i="2"/>
  <c r="AF172" i="2"/>
  <c r="AE172" i="2"/>
  <c r="AD172" i="2"/>
  <c r="AC172" i="2"/>
  <c r="AB172" i="2"/>
  <c r="AA172" i="2"/>
  <c r="X172" i="2"/>
  <c r="J172" i="2"/>
  <c r="AJ171" i="2"/>
  <c r="AH171" i="2"/>
  <c r="AG171" i="2"/>
  <c r="AF171" i="2"/>
  <c r="AE171" i="2"/>
  <c r="AD171" i="2"/>
  <c r="AC171" i="2"/>
  <c r="AB171" i="2"/>
  <c r="AK171" i="2" s="1"/>
  <c r="AA171" i="2"/>
  <c r="X171" i="2"/>
  <c r="J171" i="2"/>
  <c r="AJ170" i="2"/>
  <c r="AH170" i="2"/>
  <c r="AG170" i="2"/>
  <c r="AF170" i="2"/>
  <c r="AE170" i="2"/>
  <c r="AD170" i="2"/>
  <c r="AC170" i="2"/>
  <c r="AB170" i="2"/>
  <c r="AA170" i="2"/>
  <c r="X170" i="2"/>
  <c r="J170" i="2"/>
  <c r="AJ169" i="2"/>
  <c r="AH169" i="2"/>
  <c r="AG169" i="2"/>
  <c r="AF169" i="2"/>
  <c r="AE169" i="2"/>
  <c r="AD169" i="2"/>
  <c r="AC169" i="2"/>
  <c r="AB169" i="2"/>
  <c r="AA169" i="2"/>
  <c r="X169" i="2"/>
  <c r="J169" i="2"/>
  <c r="AJ168" i="2"/>
  <c r="AH168" i="2"/>
  <c r="AG168" i="2"/>
  <c r="AF168" i="2"/>
  <c r="AE168" i="2"/>
  <c r="AD168" i="2"/>
  <c r="AC168" i="2"/>
  <c r="AB168" i="2"/>
  <c r="AK168" i="2" s="1"/>
  <c r="AA168" i="2"/>
  <c r="X168" i="2"/>
  <c r="J168" i="2"/>
  <c r="AJ167" i="2"/>
  <c r="AH167" i="2"/>
  <c r="AG167" i="2"/>
  <c r="AF167" i="2"/>
  <c r="AE167" i="2"/>
  <c r="AD167" i="2"/>
  <c r="AC167" i="2"/>
  <c r="AB167" i="2"/>
  <c r="AK167" i="2" s="1"/>
  <c r="AA167" i="2"/>
  <c r="X167" i="2"/>
  <c r="J167" i="2"/>
  <c r="AJ166" i="2"/>
  <c r="AH166" i="2"/>
  <c r="AG166" i="2"/>
  <c r="AF166" i="2"/>
  <c r="AE166" i="2"/>
  <c r="AD166" i="2"/>
  <c r="AC166" i="2"/>
  <c r="AB166" i="2"/>
  <c r="AA166" i="2"/>
  <c r="X166" i="2"/>
  <c r="J166" i="2"/>
  <c r="AJ165" i="2"/>
  <c r="AH165" i="2"/>
  <c r="AG165" i="2"/>
  <c r="AF165" i="2"/>
  <c r="AE165" i="2"/>
  <c r="AD165" i="2"/>
  <c r="AC165" i="2"/>
  <c r="AB165" i="2"/>
  <c r="AA165" i="2"/>
  <c r="X165" i="2"/>
  <c r="J165" i="2"/>
  <c r="AJ164" i="2"/>
  <c r="AH164" i="2"/>
  <c r="AG164" i="2"/>
  <c r="AF164" i="2"/>
  <c r="AE164" i="2"/>
  <c r="AD164" i="2"/>
  <c r="AC164" i="2"/>
  <c r="AB164" i="2"/>
  <c r="AA164" i="2"/>
  <c r="X164" i="2"/>
  <c r="J164" i="2"/>
  <c r="AJ163" i="2"/>
  <c r="AH163" i="2"/>
  <c r="AG163" i="2"/>
  <c r="AF163" i="2"/>
  <c r="AE163" i="2"/>
  <c r="AD163" i="2"/>
  <c r="AC163" i="2"/>
  <c r="AB163" i="2"/>
  <c r="AA163" i="2"/>
  <c r="X163" i="2"/>
  <c r="J163" i="2"/>
  <c r="AJ162" i="2"/>
  <c r="AH162" i="2"/>
  <c r="AG162" i="2"/>
  <c r="AF162" i="2"/>
  <c r="AE162" i="2"/>
  <c r="AD162" i="2"/>
  <c r="AC162" i="2"/>
  <c r="AB162" i="2"/>
  <c r="AK162" i="2" s="1"/>
  <c r="AA162" i="2"/>
  <c r="X162" i="2"/>
  <c r="J162" i="2"/>
  <c r="AJ161" i="2"/>
  <c r="AH161" i="2"/>
  <c r="AG161" i="2"/>
  <c r="AF161" i="2"/>
  <c r="AE161" i="2"/>
  <c r="AD161" i="2"/>
  <c r="AC161" i="2"/>
  <c r="AB161" i="2"/>
  <c r="AA161" i="2"/>
  <c r="X161" i="2"/>
  <c r="J161" i="2"/>
  <c r="AJ160" i="2"/>
  <c r="AH160" i="2"/>
  <c r="AG160" i="2"/>
  <c r="AF160" i="2"/>
  <c r="AE160" i="2"/>
  <c r="AD160" i="2"/>
  <c r="AC160" i="2"/>
  <c r="AB160" i="2"/>
  <c r="AA160" i="2"/>
  <c r="X160" i="2"/>
  <c r="J160" i="2"/>
  <c r="AJ159" i="2"/>
  <c r="AH159" i="2"/>
  <c r="AG159" i="2"/>
  <c r="AF159" i="2"/>
  <c r="AE159" i="2"/>
  <c r="AD159" i="2"/>
  <c r="AC159" i="2"/>
  <c r="AB159" i="2"/>
  <c r="AK159" i="2" s="1"/>
  <c r="AA159" i="2"/>
  <c r="X159" i="2"/>
  <c r="J159" i="2"/>
  <c r="AJ158" i="2"/>
  <c r="AH158" i="2"/>
  <c r="AG158" i="2"/>
  <c r="AF158" i="2"/>
  <c r="AE158" i="2"/>
  <c r="AD158" i="2"/>
  <c r="AC158" i="2"/>
  <c r="AB158" i="2"/>
  <c r="AA158" i="2"/>
  <c r="X158" i="2"/>
  <c r="J158" i="2"/>
  <c r="AJ157" i="2"/>
  <c r="AH157" i="2"/>
  <c r="AG157" i="2"/>
  <c r="AF157" i="2"/>
  <c r="AE157" i="2"/>
  <c r="AD157" i="2"/>
  <c r="AC157" i="2"/>
  <c r="AB157" i="2"/>
  <c r="AA157" i="2"/>
  <c r="X157" i="2"/>
  <c r="J157" i="2"/>
  <c r="AJ156" i="2"/>
  <c r="AH156" i="2"/>
  <c r="AG156" i="2"/>
  <c r="AF156" i="2"/>
  <c r="AE156" i="2"/>
  <c r="AD156" i="2"/>
  <c r="AC156" i="2"/>
  <c r="AB156" i="2"/>
  <c r="AK156" i="2" s="1"/>
  <c r="AA156" i="2"/>
  <c r="X156" i="2"/>
  <c r="J156" i="2"/>
  <c r="AJ155" i="2"/>
  <c r="AH155" i="2"/>
  <c r="AG155" i="2"/>
  <c r="AF155" i="2"/>
  <c r="AE155" i="2"/>
  <c r="AD155" i="2"/>
  <c r="AC155" i="2"/>
  <c r="AB155" i="2"/>
  <c r="AK155" i="2" s="1"/>
  <c r="AA155" i="2"/>
  <c r="X155" i="2"/>
  <c r="J155" i="2"/>
  <c r="AJ154" i="2"/>
  <c r="AH154" i="2"/>
  <c r="AG154" i="2"/>
  <c r="AF154" i="2"/>
  <c r="AE154" i="2"/>
  <c r="AD154" i="2"/>
  <c r="AC154" i="2"/>
  <c r="AB154" i="2"/>
  <c r="AA154" i="2"/>
  <c r="X154" i="2"/>
  <c r="J154" i="2"/>
  <c r="AJ153" i="2"/>
  <c r="AG153" i="2"/>
  <c r="AF153" i="2"/>
  <c r="AE153" i="2"/>
  <c r="AD153" i="2"/>
  <c r="AC153" i="2"/>
  <c r="AB153" i="2"/>
  <c r="AA153" i="2"/>
  <c r="AH153" i="2" s="1"/>
  <c r="X153" i="2"/>
  <c r="J153" i="2"/>
  <c r="AJ152" i="2"/>
  <c r="AG152" i="2"/>
  <c r="AF152" i="2"/>
  <c r="AE152" i="2"/>
  <c r="AD152" i="2"/>
  <c r="AC152" i="2"/>
  <c r="AB152" i="2"/>
  <c r="AK152" i="2" s="1"/>
  <c r="AA152" i="2"/>
  <c r="AH152" i="2" s="1"/>
  <c r="X152" i="2"/>
  <c r="J152" i="2"/>
  <c r="AJ151" i="2"/>
  <c r="AG151" i="2"/>
  <c r="AF151" i="2"/>
  <c r="AE151" i="2"/>
  <c r="AD151" i="2"/>
  <c r="AC151" i="2"/>
  <c r="AB151" i="2"/>
  <c r="AA151" i="2"/>
  <c r="AH151" i="2" s="1"/>
  <c r="X151" i="2"/>
  <c r="J151" i="2"/>
  <c r="AJ150" i="2"/>
  <c r="AH150" i="2"/>
  <c r="AG150" i="2"/>
  <c r="AF150" i="2"/>
  <c r="AE150" i="2"/>
  <c r="AD150" i="2"/>
  <c r="AC150" i="2"/>
  <c r="AB150" i="2"/>
  <c r="AK150" i="2" s="1"/>
  <c r="AA150" i="2"/>
  <c r="X150" i="2"/>
  <c r="J150" i="2"/>
  <c r="AJ149" i="2"/>
  <c r="AH149" i="2"/>
  <c r="AG149" i="2"/>
  <c r="AF149" i="2"/>
  <c r="AE149" i="2"/>
  <c r="AD149" i="2"/>
  <c r="AC149" i="2"/>
  <c r="AB149" i="2"/>
  <c r="AA149" i="2"/>
  <c r="X149" i="2"/>
  <c r="J149" i="2"/>
  <c r="AJ148" i="2"/>
  <c r="AH148" i="2"/>
  <c r="AG148" i="2"/>
  <c r="AF148" i="2"/>
  <c r="AE148" i="2"/>
  <c r="AD148" i="2"/>
  <c r="AC148" i="2"/>
  <c r="AB148" i="2"/>
  <c r="AA148" i="2"/>
  <c r="X148" i="2"/>
  <c r="J148" i="2"/>
  <c r="AJ147" i="2"/>
  <c r="AH147" i="2"/>
  <c r="AG147" i="2"/>
  <c r="AF147" i="2"/>
  <c r="AE147" i="2"/>
  <c r="AD147" i="2"/>
  <c r="AC147" i="2"/>
  <c r="AB147" i="2"/>
  <c r="AK147" i="2" s="1"/>
  <c r="AA147" i="2"/>
  <c r="X147" i="2"/>
  <c r="J147" i="2"/>
  <c r="AJ146" i="2"/>
  <c r="AH146" i="2"/>
  <c r="AG146" i="2"/>
  <c r="AF146" i="2"/>
  <c r="AE146" i="2"/>
  <c r="AD146" i="2"/>
  <c r="AC146" i="2"/>
  <c r="AB146" i="2"/>
  <c r="AK146" i="2" s="1"/>
  <c r="AA146" i="2"/>
  <c r="X146" i="2"/>
  <c r="J146" i="2"/>
  <c r="AJ145" i="2"/>
  <c r="AG145" i="2"/>
  <c r="AF145" i="2"/>
  <c r="AE145" i="2"/>
  <c r="AD145" i="2"/>
  <c r="AC145" i="2"/>
  <c r="AB145" i="2"/>
  <c r="AA145" i="2"/>
  <c r="AH145" i="2" s="1"/>
  <c r="X145" i="2"/>
  <c r="J145" i="2"/>
  <c r="AJ144" i="2"/>
  <c r="AH144" i="2"/>
  <c r="AG144" i="2"/>
  <c r="AF144" i="2"/>
  <c r="AE144" i="2"/>
  <c r="AD144" i="2"/>
  <c r="AC144" i="2"/>
  <c r="AB144" i="2"/>
  <c r="AA144" i="2"/>
  <c r="X144" i="2"/>
  <c r="J144" i="2"/>
  <c r="AJ143" i="2"/>
  <c r="AH143" i="2"/>
  <c r="AG143" i="2"/>
  <c r="AF143" i="2"/>
  <c r="AE143" i="2"/>
  <c r="AD143" i="2"/>
  <c r="AC143" i="2"/>
  <c r="AB143" i="2"/>
  <c r="AA143" i="2"/>
  <c r="X143" i="2"/>
  <c r="J143" i="2"/>
  <c r="AJ142" i="2"/>
  <c r="AH142" i="2"/>
  <c r="AG142" i="2"/>
  <c r="AF142" i="2"/>
  <c r="AE142" i="2"/>
  <c r="AD142" i="2"/>
  <c r="AC142" i="2"/>
  <c r="AB142" i="2"/>
  <c r="AK142" i="2" s="1"/>
  <c r="AA142" i="2"/>
  <c r="X142" i="2"/>
  <c r="J142" i="2"/>
  <c r="AJ141" i="2"/>
  <c r="AH141" i="2"/>
  <c r="AG141" i="2"/>
  <c r="AF141" i="2"/>
  <c r="AE141" i="2"/>
  <c r="AD141" i="2"/>
  <c r="AC141" i="2"/>
  <c r="AB141" i="2"/>
  <c r="AA141" i="2"/>
  <c r="X141" i="2"/>
  <c r="J141" i="2"/>
  <c r="AJ140" i="2"/>
  <c r="AH140" i="2"/>
  <c r="AG140" i="2"/>
  <c r="AF140" i="2"/>
  <c r="AE140" i="2"/>
  <c r="AD140" i="2"/>
  <c r="AC140" i="2"/>
  <c r="AB140" i="2"/>
  <c r="AA140" i="2"/>
  <c r="X140" i="2"/>
  <c r="J140" i="2"/>
  <c r="AJ139" i="2"/>
  <c r="AH139" i="2"/>
  <c r="AG139" i="2"/>
  <c r="AF139" i="2"/>
  <c r="AE139" i="2"/>
  <c r="AD139" i="2"/>
  <c r="AC139" i="2"/>
  <c r="AB139" i="2"/>
  <c r="AK139" i="2" s="1"/>
  <c r="AA139" i="2"/>
  <c r="X139" i="2"/>
  <c r="J139" i="2"/>
  <c r="AJ138" i="2"/>
  <c r="AH138" i="2"/>
  <c r="AG138" i="2"/>
  <c r="AF138" i="2"/>
  <c r="AE138" i="2"/>
  <c r="AD138" i="2"/>
  <c r="AC138" i="2"/>
  <c r="AB138" i="2"/>
  <c r="AA138" i="2"/>
  <c r="X138" i="2"/>
  <c r="J138" i="2"/>
  <c r="AJ137" i="2"/>
  <c r="AH137" i="2"/>
  <c r="AG137" i="2"/>
  <c r="AF137" i="2"/>
  <c r="AE137" i="2"/>
  <c r="AD137" i="2"/>
  <c r="AC137" i="2"/>
  <c r="AB137" i="2"/>
  <c r="AA137" i="2"/>
  <c r="X137" i="2"/>
  <c r="J137" i="2"/>
  <c r="AJ136" i="2"/>
  <c r="AH136" i="2"/>
  <c r="AG136" i="2"/>
  <c r="AF136" i="2"/>
  <c r="AE136" i="2"/>
  <c r="AD136" i="2"/>
  <c r="AC136" i="2"/>
  <c r="AB136" i="2"/>
  <c r="AK136" i="2" s="1"/>
  <c r="AA136" i="2"/>
  <c r="X136" i="2"/>
  <c r="J136" i="2"/>
  <c r="AJ135" i="2"/>
  <c r="AH135" i="2"/>
  <c r="AG135" i="2"/>
  <c r="AF135" i="2"/>
  <c r="AE135" i="2"/>
  <c r="AD135" i="2"/>
  <c r="AC135" i="2"/>
  <c r="AB135" i="2"/>
  <c r="AK135" i="2" s="1"/>
  <c r="AA135" i="2"/>
  <c r="X135" i="2"/>
  <c r="J135" i="2"/>
  <c r="AJ134" i="2"/>
  <c r="AG134" i="2"/>
  <c r="AF134" i="2"/>
  <c r="AE134" i="2"/>
  <c r="AD134" i="2"/>
  <c r="AC134" i="2"/>
  <c r="AB134" i="2"/>
  <c r="AA134" i="2"/>
  <c r="AH134" i="2" s="1"/>
  <c r="X134" i="2"/>
  <c r="J134" i="2"/>
  <c r="AJ133" i="2"/>
  <c r="AG133" i="2"/>
  <c r="AF133" i="2"/>
  <c r="AE133" i="2"/>
  <c r="AD133" i="2"/>
  <c r="AC133" i="2"/>
  <c r="AB133" i="2"/>
  <c r="AA133" i="2"/>
  <c r="AH133" i="2" s="1"/>
  <c r="X133" i="2"/>
  <c r="J133" i="2"/>
  <c r="AJ132" i="2"/>
  <c r="AG132" i="2"/>
  <c r="AF132" i="2"/>
  <c r="AE132" i="2"/>
  <c r="AD132" i="2"/>
  <c r="AC132" i="2"/>
  <c r="AB132" i="2"/>
  <c r="AA132" i="2"/>
  <c r="AH132" i="2" s="1"/>
  <c r="X132" i="2"/>
  <c r="J132" i="2"/>
  <c r="AJ131" i="2"/>
  <c r="AH131" i="2"/>
  <c r="AG131" i="2"/>
  <c r="AF131" i="2"/>
  <c r="AE131" i="2"/>
  <c r="AD131" i="2"/>
  <c r="AC131" i="2"/>
  <c r="AB131" i="2"/>
  <c r="AA131" i="2"/>
  <c r="X131" i="2"/>
  <c r="J131" i="2"/>
  <c r="AJ130" i="2"/>
  <c r="AH130" i="2"/>
  <c r="AG130" i="2"/>
  <c r="AF130" i="2"/>
  <c r="AE130" i="2"/>
  <c r="AD130" i="2"/>
  <c r="AC130" i="2"/>
  <c r="AB130" i="2"/>
  <c r="AK130" i="2" s="1"/>
  <c r="AA130" i="2"/>
  <c r="X130" i="2"/>
  <c r="J130" i="2"/>
  <c r="AJ129" i="2"/>
  <c r="AH129" i="2"/>
  <c r="AG129" i="2"/>
  <c r="AF129" i="2"/>
  <c r="AE129" i="2"/>
  <c r="AD129" i="2"/>
  <c r="AC129" i="2"/>
  <c r="AB129" i="2"/>
  <c r="AA129" i="2"/>
  <c r="X129" i="2"/>
  <c r="J129" i="2"/>
  <c r="AJ128" i="2"/>
  <c r="AH128" i="2"/>
  <c r="AG128" i="2"/>
  <c r="AF128" i="2"/>
  <c r="AE128" i="2"/>
  <c r="AD128" i="2"/>
  <c r="AC128" i="2"/>
  <c r="AB128" i="2"/>
  <c r="AA128" i="2"/>
  <c r="X128" i="2"/>
  <c r="J128" i="2"/>
  <c r="AJ127" i="2"/>
  <c r="AH127" i="2"/>
  <c r="AG127" i="2"/>
  <c r="AF127" i="2"/>
  <c r="AE127" i="2"/>
  <c r="AD127" i="2"/>
  <c r="AC127" i="2"/>
  <c r="AB127" i="2"/>
  <c r="AK127" i="2" s="1"/>
  <c r="AA127" i="2"/>
  <c r="X127" i="2"/>
  <c r="J127" i="2"/>
  <c r="AJ126" i="2"/>
  <c r="AH126" i="2"/>
  <c r="AG126" i="2"/>
  <c r="AF126" i="2"/>
  <c r="AE126" i="2"/>
  <c r="AD126" i="2"/>
  <c r="AC126" i="2"/>
  <c r="AB126" i="2"/>
  <c r="AK126" i="2" s="1"/>
  <c r="AA126" i="2"/>
  <c r="X126" i="2"/>
  <c r="J126" i="2"/>
  <c r="AJ125" i="2"/>
  <c r="AH125" i="2"/>
  <c r="AG125" i="2"/>
  <c r="AF125" i="2"/>
  <c r="AE125" i="2"/>
  <c r="AD125" i="2"/>
  <c r="AC125" i="2"/>
  <c r="AB125" i="2"/>
  <c r="AA125" i="2"/>
  <c r="X125" i="2"/>
  <c r="J125" i="2"/>
  <c r="AJ124" i="2"/>
  <c r="AH124" i="2"/>
  <c r="AG124" i="2"/>
  <c r="AF124" i="2"/>
  <c r="AE124" i="2"/>
  <c r="AD124" i="2"/>
  <c r="AC124" i="2"/>
  <c r="AB124" i="2"/>
  <c r="AA124" i="2"/>
  <c r="X124" i="2"/>
  <c r="J124" i="2"/>
  <c r="AJ123" i="2"/>
  <c r="AH123" i="2"/>
  <c r="AG123" i="2"/>
  <c r="AF123" i="2"/>
  <c r="AE123" i="2"/>
  <c r="AD123" i="2"/>
  <c r="AC123" i="2"/>
  <c r="AB123" i="2"/>
  <c r="AA123" i="2"/>
  <c r="X123" i="2"/>
  <c r="J123" i="2"/>
  <c r="AJ122" i="2"/>
  <c r="AH122" i="2"/>
  <c r="AG122" i="2"/>
  <c r="AF122" i="2"/>
  <c r="AE122" i="2"/>
  <c r="AD122" i="2"/>
  <c r="AC122" i="2"/>
  <c r="AB122" i="2"/>
  <c r="AA122" i="2"/>
  <c r="X122" i="2"/>
  <c r="J122" i="2"/>
  <c r="AJ121" i="2"/>
  <c r="AH121" i="2"/>
  <c r="AG121" i="2"/>
  <c r="AF121" i="2"/>
  <c r="AE121" i="2"/>
  <c r="AD121" i="2"/>
  <c r="AC121" i="2"/>
  <c r="AB121" i="2"/>
  <c r="AK121" i="2" s="1"/>
  <c r="AA121" i="2"/>
  <c r="X121" i="2"/>
  <c r="J121" i="2"/>
  <c r="AJ120" i="2"/>
  <c r="AH120" i="2"/>
  <c r="AG120" i="2"/>
  <c r="AF120" i="2"/>
  <c r="AE120" i="2"/>
  <c r="AD120" i="2"/>
  <c r="AC120" i="2"/>
  <c r="AB120" i="2"/>
  <c r="AA120" i="2"/>
  <c r="X120" i="2"/>
  <c r="J120" i="2"/>
  <c r="AJ119" i="2"/>
  <c r="AH119" i="2"/>
  <c r="AG119" i="2"/>
  <c r="AF119" i="2"/>
  <c r="AE119" i="2"/>
  <c r="AD119" i="2"/>
  <c r="AC119" i="2"/>
  <c r="AB119" i="2"/>
  <c r="AA119" i="2"/>
  <c r="X119" i="2"/>
  <c r="J119" i="2"/>
  <c r="AJ118" i="2"/>
  <c r="AH118" i="2"/>
  <c r="AG118" i="2"/>
  <c r="AF118" i="2"/>
  <c r="AE118" i="2"/>
  <c r="AD118" i="2"/>
  <c r="AC118" i="2"/>
  <c r="AB118" i="2"/>
  <c r="AK118" i="2" s="1"/>
  <c r="AA118" i="2"/>
  <c r="X118" i="2"/>
  <c r="J118" i="2"/>
  <c r="AJ117" i="2"/>
  <c r="AH117" i="2"/>
  <c r="AG117" i="2"/>
  <c r="AF117" i="2"/>
  <c r="AE117" i="2"/>
  <c r="AD117" i="2"/>
  <c r="AC117" i="2"/>
  <c r="AB117" i="2"/>
  <c r="AA117" i="2"/>
  <c r="X117" i="2"/>
  <c r="J117" i="2"/>
  <c r="AJ116" i="2"/>
  <c r="AH116" i="2"/>
  <c r="AG116" i="2"/>
  <c r="AF116" i="2"/>
  <c r="AE116" i="2"/>
  <c r="AD116" i="2"/>
  <c r="AC116" i="2"/>
  <c r="AB116" i="2"/>
  <c r="AA116" i="2"/>
  <c r="X116" i="2"/>
  <c r="J116" i="2"/>
  <c r="AJ115" i="2"/>
  <c r="AH115" i="2"/>
  <c r="AG115" i="2"/>
  <c r="AF115" i="2"/>
  <c r="AE115" i="2"/>
  <c r="AD115" i="2"/>
  <c r="AC115" i="2"/>
  <c r="AB115" i="2"/>
  <c r="AK115" i="2" s="1"/>
  <c r="AA115" i="2"/>
  <c r="X115" i="2"/>
  <c r="J115" i="2"/>
  <c r="AJ114" i="2"/>
  <c r="AH114" i="2"/>
  <c r="AG114" i="2"/>
  <c r="AF114" i="2"/>
  <c r="AE114" i="2"/>
  <c r="AD114" i="2"/>
  <c r="AC114" i="2"/>
  <c r="AB114" i="2"/>
  <c r="AK114" i="2" s="1"/>
  <c r="AA114" i="2"/>
  <c r="X114" i="2"/>
  <c r="J114" i="2"/>
  <c r="AJ113" i="2"/>
  <c r="AH113" i="2"/>
  <c r="AG113" i="2"/>
  <c r="AF113" i="2"/>
  <c r="AE113" i="2"/>
  <c r="AD113" i="2"/>
  <c r="AC113" i="2"/>
  <c r="AB113" i="2"/>
  <c r="AA113" i="2"/>
  <c r="X113" i="2"/>
  <c r="J113" i="2"/>
  <c r="AJ112" i="2"/>
  <c r="AH112" i="2"/>
  <c r="AG112" i="2"/>
  <c r="AF112" i="2"/>
  <c r="AE112" i="2"/>
  <c r="AD112" i="2"/>
  <c r="AC112" i="2"/>
  <c r="AB112" i="2"/>
  <c r="AA112" i="2"/>
  <c r="X112" i="2"/>
  <c r="J112" i="2"/>
  <c r="AJ111" i="2"/>
  <c r="AH111" i="2"/>
  <c r="AG111" i="2"/>
  <c r="AF111" i="2"/>
  <c r="AE111" i="2"/>
  <c r="AD111" i="2"/>
  <c r="AC111" i="2"/>
  <c r="AB111" i="2"/>
  <c r="AA111" i="2"/>
  <c r="X111" i="2"/>
  <c r="J111" i="2"/>
  <c r="AJ110" i="2"/>
  <c r="AH110" i="2"/>
  <c r="AG110" i="2"/>
  <c r="AF110" i="2"/>
  <c r="AE110" i="2"/>
  <c r="AD110" i="2"/>
  <c r="AC110" i="2"/>
  <c r="AB110" i="2"/>
  <c r="AA110" i="2"/>
  <c r="X110" i="2"/>
  <c r="J110" i="2"/>
  <c r="AJ109" i="2"/>
  <c r="AH109" i="2"/>
  <c r="AG109" i="2"/>
  <c r="AF109" i="2"/>
  <c r="AE109" i="2"/>
  <c r="AD109" i="2"/>
  <c r="AC109" i="2"/>
  <c r="AB109" i="2"/>
  <c r="AK109" i="2" s="1"/>
  <c r="AA109" i="2"/>
  <c r="X109" i="2"/>
  <c r="J109" i="2"/>
  <c r="AJ108" i="2"/>
  <c r="AH108" i="2"/>
  <c r="AG108" i="2"/>
  <c r="AF108" i="2"/>
  <c r="AE108" i="2"/>
  <c r="AD108" i="2"/>
  <c r="AC108" i="2"/>
  <c r="AB108" i="2"/>
  <c r="AA108" i="2"/>
  <c r="X108" i="2"/>
  <c r="J108" i="2"/>
  <c r="AJ107" i="2"/>
  <c r="AH107" i="2"/>
  <c r="AG107" i="2"/>
  <c r="AF107" i="2"/>
  <c r="AE107" i="2"/>
  <c r="AD107" i="2"/>
  <c r="AC107" i="2"/>
  <c r="AB107" i="2"/>
  <c r="AA107" i="2"/>
  <c r="X107" i="2"/>
  <c r="J107" i="2"/>
  <c r="AJ106" i="2"/>
  <c r="AG106" i="2"/>
  <c r="AF106" i="2"/>
  <c r="AE106" i="2"/>
  <c r="AD106" i="2"/>
  <c r="AC106" i="2"/>
  <c r="AB106" i="2"/>
  <c r="AA106" i="2"/>
  <c r="AH106" i="2" s="1"/>
  <c r="AH102" i="2" s="1"/>
  <c r="AH101" i="2" s="1"/>
  <c r="X106" i="2"/>
  <c r="J106" i="2"/>
  <c r="AJ105" i="2"/>
  <c r="AH105" i="2"/>
  <c r="AG105" i="2"/>
  <c r="AF105" i="2"/>
  <c r="AE105" i="2"/>
  <c r="AD105" i="2"/>
  <c r="AC105" i="2"/>
  <c r="AB105" i="2"/>
  <c r="AA105" i="2"/>
  <c r="X105" i="2"/>
  <c r="J105" i="2"/>
  <c r="AJ104" i="2"/>
  <c r="AH104" i="2"/>
  <c r="AG104" i="2"/>
  <c r="AF104" i="2"/>
  <c r="AE104" i="2"/>
  <c r="AD104" i="2"/>
  <c r="AC104" i="2"/>
  <c r="AB104" i="2"/>
  <c r="AK104" i="2" s="1"/>
  <c r="AA104" i="2"/>
  <c r="X104" i="2"/>
  <c r="J104" i="2"/>
  <c r="AJ103" i="2"/>
  <c r="AH103" i="2"/>
  <c r="AG103" i="2"/>
  <c r="AF103" i="2"/>
  <c r="AE103" i="2"/>
  <c r="AD103" i="2"/>
  <c r="AD102" i="2" s="1"/>
  <c r="AD101" i="2" s="1"/>
  <c r="AC103" i="2"/>
  <c r="AB103" i="2"/>
  <c r="AK103" i="2" s="1"/>
  <c r="AA103" i="2"/>
  <c r="X103" i="2"/>
  <c r="X102" i="2" s="1"/>
  <c r="J103" i="2"/>
  <c r="AX102" i="2"/>
  <c r="M102" i="2"/>
  <c r="M101" i="2" s="1"/>
  <c r="L102" i="2"/>
  <c r="L101" i="2" s="1"/>
  <c r="K102" i="2"/>
  <c r="AX101" i="2"/>
  <c r="O101" i="2"/>
  <c r="O102" i="2" s="1"/>
  <c r="N101" i="2"/>
  <c r="N102" i="2" s="1"/>
  <c r="AJ100" i="2"/>
  <c r="AH100" i="2"/>
  <c r="AG100" i="2"/>
  <c r="AF100" i="2"/>
  <c r="AE100" i="2"/>
  <c r="AD100" i="2"/>
  <c r="AC100" i="2"/>
  <c r="AB100" i="2"/>
  <c r="AA100" i="2"/>
  <c r="X100" i="2"/>
  <c r="J100" i="2"/>
  <c r="AJ99" i="2"/>
  <c r="AH99" i="2"/>
  <c r="AG99" i="2"/>
  <c r="AF99" i="2"/>
  <c r="AE99" i="2"/>
  <c r="AD99" i="2"/>
  <c r="AC99" i="2"/>
  <c r="AB99" i="2"/>
  <c r="AA99" i="2"/>
  <c r="X99" i="2"/>
  <c r="J99" i="2"/>
  <c r="AJ98" i="2"/>
  <c r="AH98" i="2"/>
  <c r="AG98" i="2"/>
  <c r="AF98" i="2"/>
  <c r="AE98" i="2"/>
  <c r="AD98" i="2"/>
  <c r="AC98" i="2"/>
  <c r="AB98" i="2"/>
  <c r="AA98" i="2"/>
  <c r="X98" i="2"/>
  <c r="J98" i="2"/>
  <c r="AJ97" i="2"/>
  <c r="AH97" i="2"/>
  <c r="AG97" i="2"/>
  <c r="AF97" i="2"/>
  <c r="AE97" i="2"/>
  <c r="AD97" i="2"/>
  <c r="AC97" i="2"/>
  <c r="AB97" i="2"/>
  <c r="AA97" i="2"/>
  <c r="X97" i="2"/>
  <c r="J97" i="2"/>
  <c r="AJ96" i="2"/>
  <c r="AH96" i="2"/>
  <c r="AG96" i="2"/>
  <c r="AF96" i="2"/>
  <c r="AE96" i="2"/>
  <c r="AD96" i="2"/>
  <c r="AC96" i="2"/>
  <c r="AB96" i="2"/>
  <c r="AA96" i="2"/>
  <c r="X96" i="2"/>
  <c r="J96" i="2"/>
  <c r="AJ95" i="2"/>
  <c r="AH95" i="2"/>
  <c r="AG95" i="2"/>
  <c r="AF95" i="2"/>
  <c r="AE95" i="2"/>
  <c r="AD95" i="2"/>
  <c r="AC95" i="2"/>
  <c r="AB95" i="2"/>
  <c r="AA95" i="2"/>
  <c r="X95" i="2"/>
  <c r="J95" i="2"/>
  <c r="AJ94" i="2"/>
  <c r="AH94" i="2"/>
  <c r="AG94" i="2"/>
  <c r="AF94" i="2"/>
  <c r="AE94" i="2"/>
  <c r="AD94" i="2"/>
  <c r="AC94" i="2"/>
  <c r="AB94" i="2"/>
  <c r="AK94" i="2" s="1"/>
  <c r="AA94" i="2"/>
  <c r="X94" i="2"/>
  <c r="J94" i="2"/>
  <c r="AJ93" i="2"/>
  <c r="AH93" i="2"/>
  <c r="AG93" i="2"/>
  <c r="AF93" i="2"/>
  <c r="AE93" i="2"/>
  <c r="AD93" i="2"/>
  <c r="AC93" i="2"/>
  <c r="AB93" i="2"/>
  <c r="AA93" i="2"/>
  <c r="X93" i="2"/>
  <c r="J93" i="2"/>
  <c r="AJ92" i="2"/>
  <c r="AH92" i="2"/>
  <c r="AG92" i="2"/>
  <c r="AF92" i="2"/>
  <c r="AE92" i="2"/>
  <c r="AD92" i="2"/>
  <c r="AC92" i="2"/>
  <c r="AB92" i="2"/>
  <c r="AA92" i="2"/>
  <c r="X92" i="2"/>
  <c r="J92" i="2"/>
  <c r="AJ91" i="2"/>
  <c r="AH91" i="2"/>
  <c r="AG91" i="2"/>
  <c r="AF91" i="2"/>
  <c r="AE91" i="2"/>
  <c r="AD91" i="2"/>
  <c r="AC91" i="2"/>
  <c r="AB91" i="2"/>
  <c r="AA91" i="2"/>
  <c r="X91" i="2"/>
  <c r="J91" i="2"/>
  <c r="AJ90" i="2"/>
  <c r="AG90" i="2"/>
  <c r="AF90" i="2"/>
  <c r="AE90" i="2"/>
  <c r="AD90" i="2"/>
  <c r="AC90" i="2"/>
  <c r="AB90" i="2"/>
  <c r="AA90" i="2"/>
  <c r="AH90" i="2" s="1"/>
  <c r="X90" i="2"/>
  <c r="J90" i="2"/>
  <c r="AJ89" i="2"/>
  <c r="AG89" i="2"/>
  <c r="AF89" i="2"/>
  <c r="AE89" i="2"/>
  <c r="AD89" i="2"/>
  <c r="AC89" i="2"/>
  <c r="AB89" i="2"/>
  <c r="AA89" i="2"/>
  <c r="AH89" i="2" s="1"/>
  <c r="X89" i="2"/>
  <c r="J89" i="2"/>
  <c r="AJ88" i="2"/>
  <c r="AH88" i="2"/>
  <c r="AG88" i="2"/>
  <c r="AF88" i="2"/>
  <c r="AE88" i="2"/>
  <c r="AD88" i="2"/>
  <c r="AC88" i="2"/>
  <c r="AB88" i="2"/>
  <c r="AA88" i="2"/>
  <c r="X88" i="2"/>
  <c r="J88" i="2"/>
  <c r="AJ87" i="2"/>
  <c r="AH87" i="2"/>
  <c r="AG87" i="2"/>
  <c r="AF87" i="2"/>
  <c r="AE87" i="2"/>
  <c r="AD87" i="2"/>
  <c r="AC87" i="2"/>
  <c r="AB87" i="2"/>
  <c r="AA87" i="2"/>
  <c r="X87" i="2"/>
  <c r="J87" i="2"/>
  <c r="AJ86" i="2"/>
  <c r="AG86" i="2"/>
  <c r="AF86" i="2"/>
  <c r="AE86" i="2"/>
  <c r="AD86" i="2"/>
  <c r="AC86" i="2"/>
  <c r="AB86" i="2"/>
  <c r="AA86" i="2"/>
  <c r="AH86" i="2" s="1"/>
  <c r="X86" i="2"/>
  <c r="J86" i="2"/>
  <c r="AJ85" i="2"/>
  <c r="AH85" i="2"/>
  <c r="AG85" i="2"/>
  <c r="AF85" i="2"/>
  <c r="AE85" i="2"/>
  <c r="AD85" i="2"/>
  <c r="AC85" i="2"/>
  <c r="AB85" i="2"/>
  <c r="AA85" i="2"/>
  <c r="X85" i="2"/>
  <c r="J85" i="2"/>
  <c r="AJ84" i="2"/>
  <c r="AH84" i="2"/>
  <c r="AG84" i="2"/>
  <c r="AF84" i="2"/>
  <c r="AE84" i="2"/>
  <c r="AD84" i="2"/>
  <c r="AC84" i="2"/>
  <c r="AB84" i="2"/>
  <c r="AA84" i="2"/>
  <c r="X84" i="2"/>
  <c r="J84" i="2"/>
  <c r="AJ83" i="2"/>
  <c r="AH83" i="2"/>
  <c r="AG83" i="2"/>
  <c r="AF83" i="2"/>
  <c r="AE83" i="2"/>
  <c r="AD83" i="2"/>
  <c r="AC83" i="2"/>
  <c r="AB83" i="2"/>
  <c r="AA83" i="2"/>
  <c r="X83" i="2"/>
  <c r="J83" i="2"/>
  <c r="AJ82" i="2"/>
  <c r="AG82" i="2"/>
  <c r="AF82" i="2"/>
  <c r="AE82" i="2"/>
  <c r="AD82" i="2"/>
  <c r="AC82" i="2"/>
  <c r="AB82" i="2"/>
  <c r="AA82" i="2"/>
  <c r="AH82" i="2" s="1"/>
  <c r="X82" i="2"/>
  <c r="J82" i="2"/>
  <c r="AJ81" i="2"/>
  <c r="AG81" i="2"/>
  <c r="AF81" i="2"/>
  <c r="AE81" i="2"/>
  <c r="AD81" i="2"/>
  <c r="AC81" i="2"/>
  <c r="AB81" i="2"/>
  <c r="AA81" i="2"/>
  <c r="AH81" i="2" s="1"/>
  <c r="X81" i="2"/>
  <c r="J81" i="2"/>
  <c r="AJ80" i="2"/>
  <c r="AH80" i="2"/>
  <c r="AG80" i="2"/>
  <c r="AF80" i="2"/>
  <c r="AE80" i="2"/>
  <c r="AD80" i="2"/>
  <c r="AC80" i="2"/>
  <c r="AB80" i="2"/>
  <c r="AA80" i="2"/>
  <c r="X80" i="2"/>
  <c r="J80" i="2"/>
  <c r="AJ79" i="2"/>
  <c r="AH79" i="2"/>
  <c r="AG79" i="2"/>
  <c r="AF79" i="2"/>
  <c r="AE79" i="2"/>
  <c r="AD79" i="2"/>
  <c r="AC79" i="2"/>
  <c r="AB79" i="2"/>
  <c r="AA79" i="2"/>
  <c r="X79" i="2"/>
  <c r="J79" i="2"/>
  <c r="AJ78" i="2"/>
  <c r="AG78" i="2"/>
  <c r="AF78" i="2"/>
  <c r="AE78" i="2"/>
  <c r="AD78" i="2"/>
  <c r="AC78" i="2"/>
  <c r="AB78" i="2"/>
  <c r="AA78" i="2"/>
  <c r="AH78" i="2" s="1"/>
  <c r="X78" i="2"/>
  <c r="J78" i="2"/>
  <c r="AJ77" i="2"/>
  <c r="AH77" i="2"/>
  <c r="AG77" i="2"/>
  <c r="AF77" i="2"/>
  <c r="AE77" i="2"/>
  <c r="AD77" i="2"/>
  <c r="AC77" i="2"/>
  <c r="AB77" i="2"/>
  <c r="AK77" i="2" s="1"/>
  <c r="AA77" i="2"/>
  <c r="X77" i="2"/>
  <c r="J77" i="2"/>
  <c r="AJ76" i="2"/>
  <c r="AH76" i="2"/>
  <c r="AG76" i="2"/>
  <c r="AF76" i="2"/>
  <c r="AE76" i="2"/>
  <c r="AD76" i="2"/>
  <c r="AC76" i="2"/>
  <c r="AB76" i="2"/>
  <c r="AA76" i="2"/>
  <c r="X76" i="2"/>
  <c r="J76" i="2"/>
  <c r="AJ75" i="2"/>
  <c r="AH75" i="2"/>
  <c r="AG75" i="2"/>
  <c r="AF75" i="2"/>
  <c r="AE75" i="2"/>
  <c r="AD75" i="2"/>
  <c r="AC75" i="2"/>
  <c r="AB75" i="2"/>
  <c r="AA75" i="2"/>
  <c r="X75" i="2"/>
  <c r="J75" i="2"/>
  <c r="AJ74" i="2"/>
  <c r="AH74" i="2"/>
  <c r="AG74" i="2"/>
  <c r="AF74" i="2"/>
  <c r="AE74" i="2"/>
  <c r="AD74" i="2"/>
  <c r="AC74" i="2"/>
  <c r="AB74" i="2"/>
  <c r="AA74" i="2"/>
  <c r="X74" i="2"/>
  <c r="J74" i="2"/>
  <c r="AJ73" i="2"/>
  <c r="AH73" i="2"/>
  <c r="AG73" i="2"/>
  <c r="AF73" i="2"/>
  <c r="AE73" i="2"/>
  <c r="AD73" i="2"/>
  <c r="AC73" i="2"/>
  <c r="AB73" i="2"/>
  <c r="AA73" i="2"/>
  <c r="X73" i="2"/>
  <c r="J73" i="2"/>
  <c r="AJ72" i="2"/>
  <c r="AH72" i="2"/>
  <c r="AG72" i="2"/>
  <c r="AF72" i="2"/>
  <c r="AE72" i="2"/>
  <c r="AD72" i="2"/>
  <c r="AC72" i="2"/>
  <c r="AB72" i="2"/>
  <c r="AA72" i="2"/>
  <c r="X72" i="2"/>
  <c r="J72" i="2"/>
  <c r="AJ71" i="2"/>
  <c r="AH71" i="2"/>
  <c r="AG71" i="2"/>
  <c r="AF71" i="2"/>
  <c r="AE71" i="2"/>
  <c r="AD71" i="2"/>
  <c r="AC71" i="2"/>
  <c r="AB71" i="2"/>
  <c r="AA71" i="2"/>
  <c r="X71" i="2"/>
  <c r="J71" i="2"/>
  <c r="AJ70" i="2"/>
  <c r="AG70" i="2"/>
  <c r="AF70" i="2"/>
  <c r="AE70" i="2"/>
  <c r="AD70" i="2"/>
  <c r="AC70" i="2"/>
  <c r="AB70" i="2"/>
  <c r="AA70" i="2"/>
  <c r="AH70" i="2" s="1"/>
  <c r="X70" i="2"/>
  <c r="J70" i="2"/>
  <c r="AJ69" i="2"/>
  <c r="AG69" i="2"/>
  <c r="AF69" i="2"/>
  <c r="AE69" i="2"/>
  <c r="AD69" i="2"/>
  <c r="AC69" i="2"/>
  <c r="AB69" i="2"/>
  <c r="AA69" i="2"/>
  <c r="AH69" i="2" s="1"/>
  <c r="X69" i="2"/>
  <c r="J69" i="2"/>
  <c r="AJ68" i="2"/>
  <c r="AH68" i="2"/>
  <c r="AG68" i="2"/>
  <c r="AF68" i="2"/>
  <c r="AE68" i="2"/>
  <c r="AD68" i="2"/>
  <c r="AC68" i="2"/>
  <c r="AB68" i="2"/>
  <c r="AA68" i="2"/>
  <c r="X68" i="2"/>
  <c r="J68" i="2"/>
  <c r="AJ67" i="2"/>
  <c r="AH67" i="2"/>
  <c r="AG67" i="2"/>
  <c r="AF67" i="2"/>
  <c r="AE67" i="2"/>
  <c r="AD67" i="2"/>
  <c r="AC67" i="2"/>
  <c r="AB67" i="2"/>
  <c r="AA67" i="2"/>
  <c r="X67" i="2"/>
  <c r="J67" i="2"/>
  <c r="AJ66" i="2"/>
  <c r="AH66" i="2"/>
  <c r="AG66" i="2"/>
  <c r="AF66" i="2"/>
  <c r="AE66" i="2"/>
  <c r="AD66" i="2"/>
  <c r="AC66" i="2"/>
  <c r="AB66" i="2"/>
  <c r="AA66" i="2"/>
  <c r="X66" i="2"/>
  <c r="J66" i="2"/>
  <c r="AJ65" i="2"/>
  <c r="AH65" i="2"/>
  <c r="AG65" i="2"/>
  <c r="AF65" i="2"/>
  <c r="AE65" i="2"/>
  <c r="AD65" i="2"/>
  <c r="AC65" i="2"/>
  <c r="AB65" i="2"/>
  <c r="AK65" i="2" s="1"/>
  <c r="AA65" i="2"/>
  <c r="X65" i="2"/>
  <c r="J65" i="2"/>
  <c r="AJ64" i="2"/>
  <c r="AH64" i="2"/>
  <c r="AG64" i="2"/>
  <c r="AF64" i="2"/>
  <c r="AE64" i="2"/>
  <c r="AD64" i="2"/>
  <c r="AC64" i="2"/>
  <c r="AB64" i="2"/>
  <c r="AA64" i="2"/>
  <c r="X64" i="2"/>
  <c r="J64" i="2"/>
  <c r="AJ63" i="2"/>
  <c r="AH63" i="2"/>
  <c r="AG63" i="2"/>
  <c r="AF63" i="2"/>
  <c r="AE63" i="2"/>
  <c r="AD63" i="2"/>
  <c r="AC63" i="2"/>
  <c r="AB63" i="2"/>
  <c r="AA63" i="2"/>
  <c r="X63" i="2"/>
  <c r="J63" i="2"/>
  <c r="AJ62" i="2"/>
  <c r="AH62" i="2"/>
  <c r="AG62" i="2"/>
  <c r="AF62" i="2"/>
  <c r="AE62" i="2"/>
  <c r="AD62" i="2"/>
  <c r="AC62" i="2"/>
  <c r="AB62" i="2"/>
  <c r="AA62" i="2"/>
  <c r="X62" i="2"/>
  <c r="J62" i="2"/>
  <c r="AJ61" i="2"/>
  <c r="AH61" i="2"/>
  <c r="AG61" i="2"/>
  <c r="AF61" i="2"/>
  <c r="AE61" i="2"/>
  <c r="AD61" i="2"/>
  <c r="AC61" i="2"/>
  <c r="AB61" i="2"/>
  <c r="AA61" i="2"/>
  <c r="X61" i="2"/>
  <c r="J61" i="2"/>
  <c r="AJ60" i="2"/>
  <c r="AH60" i="2"/>
  <c r="AG60" i="2"/>
  <c r="AF60" i="2"/>
  <c r="AE60" i="2"/>
  <c r="AD60" i="2"/>
  <c r="AC60" i="2"/>
  <c r="AB60" i="2"/>
  <c r="AA60" i="2"/>
  <c r="X60" i="2"/>
  <c r="J60" i="2"/>
  <c r="AJ59" i="2"/>
  <c r="AH59" i="2"/>
  <c r="AG59" i="2"/>
  <c r="AF59" i="2"/>
  <c r="AE59" i="2"/>
  <c r="AD59" i="2"/>
  <c r="AC59" i="2"/>
  <c r="AB59" i="2"/>
  <c r="AK59" i="2" s="1"/>
  <c r="AA59" i="2"/>
  <c r="X59" i="2"/>
  <c r="J59" i="2"/>
  <c r="AJ58" i="2"/>
  <c r="AH58" i="2"/>
  <c r="AG58" i="2"/>
  <c r="AF58" i="2"/>
  <c r="AE58" i="2"/>
  <c r="AD58" i="2"/>
  <c r="AC58" i="2"/>
  <c r="AB58" i="2"/>
  <c r="AK58" i="2" s="1"/>
  <c r="AA58" i="2"/>
  <c r="X58" i="2"/>
  <c r="J58" i="2"/>
  <c r="AJ57" i="2"/>
  <c r="AH57" i="2"/>
  <c r="AG57" i="2"/>
  <c r="AF57" i="2"/>
  <c r="AE57" i="2"/>
  <c r="AD57" i="2"/>
  <c r="AC57" i="2"/>
  <c r="AB57" i="2"/>
  <c r="AA57" i="2"/>
  <c r="X57" i="2"/>
  <c r="J57" i="2"/>
  <c r="AJ56" i="2"/>
  <c r="AH56" i="2"/>
  <c r="AG56" i="2"/>
  <c r="AF56" i="2"/>
  <c r="AE56" i="2"/>
  <c r="AD56" i="2"/>
  <c r="AC56" i="2"/>
  <c r="AB56" i="2"/>
  <c r="AA56" i="2"/>
  <c r="X56" i="2"/>
  <c r="J56" i="2"/>
  <c r="AJ55" i="2"/>
  <c r="AH55" i="2"/>
  <c r="AG55" i="2"/>
  <c r="AF55" i="2"/>
  <c r="AE55" i="2"/>
  <c r="AD55" i="2"/>
  <c r="AC55" i="2"/>
  <c r="AB55" i="2"/>
  <c r="AA55" i="2"/>
  <c r="X55" i="2"/>
  <c r="J55" i="2"/>
  <c r="AJ54" i="2"/>
  <c r="AH54" i="2"/>
  <c r="AG54" i="2"/>
  <c r="AF54" i="2"/>
  <c r="AE54" i="2"/>
  <c r="AD54" i="2"/>
  <c r="AC54" i="2"/>
  <c r="AB54" i="2"/>
  <c r="AA54" i="2"/>
  <c r="X54" i="2"/>
  <c r="J54" i="2"/>
  <c r="AJ53" i="2"/>
  <c r="AH53" i="2"/>
  <c r="AG53" i="2"/>
  <c r="AF53" i="2"/>
  <c r="AE53" i="2"/>
  <c r="AD53" i="2"/>
  <c r="AC53" i="2"/>
  <c r="AB53" i="2"/>
  <c r="AA53" i="2"/>
  <c r="X53" i="2"/>
  <c r="J53" i="2"/>
  <c r="AJ52" i="2"/>
  <c r="AH52" i="2"/>
  <c r="AG52" i="2"/>
  <c r="AF52" i="2"/>
  <c r="AE52" i="2"/>
  <c r="AD52" i="2"/>
  <c r="AC52" i="2"/>
  <c r="AB52" i="2"/>
  <c r="AK52" i="2" s="1"/>
  <c r="AA52" i="2"/>
  <c r="X52" i="2"/>
  <c r="J52" i="2"/>
  <c r="AJ51" i="2"/>
  <c r="AH51" i="2"/>
  <c r="AG51" i="2"/>
  <c r="AF51" i="2"/>
  <c r="AE51" i="2"/>
  <c r="AD51" i="2"/>
  <c r="AC51" i="2"/>
  <c r="AB51" i="2"/>
  <c r="AK51" i="2" s="1"/>
  <c r="AA51" i="2"/>
  <c r="X51" i="2"/>
  <c r="J51" i="2"/>
  <c r="AJ50" i="2"/>
  <c r="AH50" i="2"/>
  <c r="AG50" i="2"/>
  <c r="AF50" i="2"/>
  <c r="AE50" i="2"/>
  <c r="AD50" i="2"/>
  <c r="AC50" i="2"/>
  <c r="AB50" i="2"/>
  <c r="AK50" i="2" s="1"/>
  <c r="AA50" i="2"/>
  <c r="X50" i="2"/>
  <c r="J50" i="2"/>
  <c r="AJ49" i="2"/>
  <c r="AH49" i="2"/>
  <c r="AG49" i="2"/>
  <c r="AF49" i="2"/>
  <c r="AE49" i="2"/>
  <c r="AD49" i="2"/>
  <c r="AC49" i="2"/>
  <c r="AB49" i="2"/>
  <c r="AK49" i="2" s="1"/>
  <c r="AA49" i="2"/>
  <c r="X49" i="2"/>
  <c r="J49" i="2"/>
  <c r="AJ48" i="2"/>
  <c r="AH48" i="2"/>
  <c r="AG48" i="2"/>
  <c r="AF48" i="2"/>
  <c r="AE48" i="2"/>
  <c r="AD48" i="2"/>
  <c r="AC48" i="2"/>
  <c r="AB48" i="2"/>
  <c r="AK48" i="2" s="1"/>
  <c r="AA48" i="2"/>
  <c r="X48" i="2"/>
  <c r="J48" i="2"/>
  <c r="AJ47" i="2"/>
  <c r="AH47" i="2"/>
  <c r="AG47" i="2"/>
  <c r="AF47" i="2"/>
  <c r="AE47" i="2"/>
  <c r="AD47" i="2"/>
  <c r="AC47" i="2"/>
  <c r="AB47" i="2"/>
  <c r="AK47" i="2" s="1"/>
  <c r="AA47" i="2"/>
  <c r="X47" i="2"/>
  <c r="J47" i="2"/>
  <c r="AJ46" i="2"/>
  <c r="AH46" i="2"/>
  <c r="AG46" i="2"/>
  <c r="AF46" i="2"/>
  <c r="AE46" i="2"/>
  <c r="AD46" i="2"/>
  <c r="AC46" i="2"/>
  <c r="AB46" i="2"/>
  <c r="AK46" i="2" s="1"/>
  <c r="AA46" i="2"/>
  <c r="X46" i="2"/>
  <c r="J46" i="2"/>
  <c r="AJ45" i="2"/>
  <c r="AH45" i="2"/>
  <c r="AG45" i="2"/>
  <c r="AF45" i="2"/>
  <c r="AE45" i="2"/>
  <c r="AD45" i="2"/>
  <c r="AC45" i="2"/>
  <c r="AB45" i="2"/>
  <c r="AK45" i="2" s="1"/>
  <c r="AA45" i="2"/>
  <c r="X45" i="2"/>
  <c r="J45" i="2"/>
  <c r="AJ44" i="2"/>
  <c r="AH44" i="2"/>
  <c r="AG44" i="2"/>
  <c r="AF44" i="2"/>
  <c r="AE44" i="2"/>
  <c r="AD44" i="2"/>
  <c r="AC44" i="2"/>
  <c r="AB44" i="2"/>
  <c r="AK44" i="2" s="1"/>
  <c r="AA44" i="2"/>
  <c r="X44" i="2"/>
  <c r="J44" i="2"/>
  <c r="AJ43" i="2"/>
  <c r="AH43" i="2"/>
  <c r="AG43" i="2"/>
  <c r="AF43" i="2"/>
  <c r="AE43" i="2"/>
  <c r="AD43" i="2"/>
  <c r="AC43" i="2"/>
  <c r="AB43" i="2"/>
  <c r="AK43" i="2" s="1"/>
  <c r="AA43" i="2"/>
  <c r="X43" i="2"/>
  <c r="J43" i="2"/>
  <c r="AJ42" i="2"/>
  <c r="AH42" i="2"/>
  <c r="AG42" i="2"/>
  <c r="AF42" i="2"/>
  <c r="AE42" i="2"/>
  <c r="AD42" i="2"/>
  <c r="AC42" i="2"/>
  <c r="AB42" i="2"/>
  <c r="AK42" i="2" s="1"/>
  <c r="AA42" i="2"/>
  <c r="X42" i="2"/>
  <c r="J42" i="2"/>
  <c r="AJ41" i="2"/>
  <c r="AH41" i="2"/>
  <c r="AG41" i="2"/>
  <c r="AF41" i="2"/>
  <c r="AE41" i="2"/>
  <c r="AD41" i="2"/>
  <c r="AC41" i="2"/>
  <c r="AB41" i="2"/>
  <c r="AK41" i="2" s="1"/>
  <c r="AA41" i="2"/>
  <c r="X41" i="2"/>
  <c r="J41" i="2"/>
  <c r="AJ40" i="2"/>
  <c r="AH40" i="2"/>
  <c r="AG40" i="2"/>
  <c r="AF40" i="2"/>
  <c r="AE40" i="2"/>
  <c r="AD40" i="2"/>
  <c r="AC40" i="2"/>
  <c r="AB40" i="2"/>
  <c r="AK40" i="2" s="1"/>
  <c r="AA40" i="2"/>
  <c r="X40" i="2"/>
  <c r="J40" i="2"/>
  <c r="AJ39" i="2"/>
  <c r="AH39" i="2"/>
  <c r="AG39" i="2"/>
  <c r="AF39" i="2"/>
  <c r="AE39" i="2"/>
  <c r="AD39" i="2"/>
  <c r="AC39" i="2"/>
  <c r="AB39" i="2"/>
  <c r="AK39" i="2" s="1"/>
  <c r="AA39" i="2"/>
  <c r="X39" i="2"/>
  <c r="J39" i="2"/>
  <c r="AJ38" i="2"/>
  <c r="AH38" i="2"/>
  <c r="AG38" i="2"/>
  <c r="AF38" i="2"/>
  <c r="AE38" i="2"/>
  <c r="AD38" i="2"/>
  <c r="AC38" i="2"/>
  <c r="AB38" i="2"/>
  <c r="AK38" i="2" s="1"/>
  <c r="AA38" i="2"/>
  <c r="X38" i="2"/>
  <c r="J38" i="2"/>
  <c r="AJ37" i="2"/>
  <c r="AH37" i="2"/>
  <c r="AG37" i="2"/>
  <c r="AF37" i="2"/>
  <c r="AE37" i="2"/>
  <c r="AD37" i="2"/>
  <c r="AC37" i="2"/>
  <c r="AB37" i="2"/>
  <c r="AK37" i="2" s="1"/>
  <c r="AA37" i="2"/>
  <c r="X37" i="2"/>
  <c r="J37" i="2"/>
  <c r="AJ36" i="2"/>
  <c r="AH36" i="2"/>
  <c r="AG36" i="2"/>
  <c r="AF36" i="2"/>
  <c r="AE36" i="2"/>
  <c r="AD36" i="2"/>
  <c r="AC36" i="2"/>
  <c r="AB36" i="2"/>
  <c r="AK36" i="2" s="1"/>
  <c r="AA36" i="2"/>
  <c r="X36" i="2"/>
  <c r="J36" i="2"/>
  <c r="AJ35" i="2"/>
  <c r="AH35" i="2"/>
  <c r="AG35" i="2"/>
  <c r="AF35" i="2"/>
  <c r="AE35" i="2"/>
  <c r="AD35" i="2"/>
  <c r="AC35" i="2"/>
  <c r="AB35" i="2"/>
  <c r="AK35" i="2" s="1"/>
  <c r="AA35" i="2"/>
  <c r="X35" i="2"/>
  <c r="J35" i="2"/>
  <c r="AJ34" i="2"/>
  <c r="AH34" i="2"/>
  <c r="AG34" i="2"/>
  <c r="AF34" i="2"/>
  <c r="AE34" i="2"/>
  <c r="AD34" i="2"/>
  <c r="AC34" i="2"/>
  <c r="AB34" i="2"/>
  <c r="AK34" i="2" s="1"/>
  <c r="AA34" i="2"/>
  <c r="X34" i="2"/>
  <c r="J34" i="2"/>
  <c r="AJ33" i="2"/>
  <c r="AH33" i="2"/>
  <c r="AG33" i="2"/>
  <c r="AF33" i="2"/>
  <c r="AE33" i="2"/>
  <c r="AD33" i="2"/>
  <c r="AC33" i="2"/>
  <c r="AB33" i="2"/>
  <c r="AK33" i="2" s="1"/>
  <c r="AA33" i="2"/>
  <c r="X33" i="2"/>
  <c r="J33" i="2"/>
  <c r="AJ32" i="2"/>
  <c r="AH32" i="2"/>
  <c r="AG32" i="2"/>
  <c r="AF32" i="2"/>
  <c r="AE32" i="2"/>
  <c r="AD32" i="2"/>
  <c r="AC32" i="2"/>
  <c r="AB32" i="2"/>
  <c r="AK32" i="2" s="1"/>
  <c r="AA32" i="2"/>
  <c r="X32" i="2"/>
  <c r="J32" i="2"/>
  <c r="AJ31" i="2"/>
  <c r="AH31" i="2"/>
  <c r="AG31" i="2"/>
  <c r="AF31" i="2"/>
  <c r="AE31" i="2"/>
  <c r="AD31" i="2"/>
  <c r="AC31" i="2"/>
  <c r="AB31" i="2"/>
  <c r="AK31" i="2" s="1"/>
  <c r="AA31" i="2"/>
  <c r="X31" i="2"/>
  <c r="J31" i="2"/>
  <c r="AJ30" i="2"/>
  <c r="AH30" i="2"/>
  <c r="AG30" i="2"/>
  <c r="AF30" i="2"/>
  <c r="AE30" i="2"/>
  <c r="AD30" i="2"/>
  <c r="AC30" i="2"/>
  <c r="AB30" i="2"/>
  <c r="AK30" i="2" s="1"/>
  <c r="AA30" i="2"/>
  <c r="X30" i="2"/>
  <c r="J30" i="2"/>
  <c r="AJ29" i="2"/>
  <c r="AH29" i="2"/>
  <c r="AG29" i="2"/>
  <c r="AF29" i="2"/>
  <c r="AE29" i="2"/>
  <c r="AD29" i="2"/>
  <c r="AC29" i="2"/>
  <c r="AB29" i="2"/>
  <c r="AK29" i="2" s="1"/>
  <c r="AA29" i="2"/>
  <c r="X29" i="2"/>
  <c r="J29" i="2"/>
  <c r="AJ28" i="2"/>
  <c r="AH28" i="2"/>
  <c r="AG28" i="2"/>
  <c r="AF28" i="2"/>
  <c r="AE28" i="2"/>
  <c r="AD28" i="2"/>
  <c r="AC28" i="2"/>
  <c r="AB28" i="2"/>
  <c r="AK28" i="2" s="1"/>
  <c r="AA28" i="2"/>
  <c r="X28" i="2"/>
  <c r="J28" i="2"/>
  <c r="AJ27" i="2"/>
  <c r="AH27" i="2"/>
  <c r="AG27" i="2"/>
  <c r="AF27" i="2"/>
  <c r="AE27" i="2"/>
  <c r="AD27" i="2"/>
  <c r="AC27" i="2"/>
  <c r="AB27" i="2"/>
  <c r="AK27" i="2" s="1"/>
  <c r="AA27" i="2"/>
  <c r="X27" i="2"/>
  <c r="J27" i="2"/>
  <c r="AJ26" i="2"/>
  <c r="AH26" i="2"/>
  <c r="AG26" i="2"/>
  <c r="AF26" i="2"/>
  <c r="AE26" i="2"/>
  <c r="AD26" i="2"/>
  <c r="AC26" i="2"/>
  <c r="AB26" i="2"/>
  <c r="AK26" i="2" s="1"/>
  <c r="AA26" i="2"/>
  <c r="X26" i="2"/>
  <c r="J26" i="2"/>
  <c r="AJ25" i="2"/>
  <c r="AH25" i="2"/>
  <c r="AG25" i="2"/>
  <c r="AF25" i="2"/>
  <c r="AE25" i="2"/>
  <c r="AD25" i="2"/>
  <c r="AC25" i="2"/>
  <c r="AB25" i="2"/>
  <c r="AK25" i="2" s="1"/>
  <c r="AA25" i="2"/>
  <c r="X25" i="2"/>
  <c r="J25" i="2"/>
  <c r="AJ24" i="2"/>
  <c r="AH24" i="2"/>
  <c r="AG24" i="2"/>
  <c r="AF24" i="2"/>
  <c r="AE24" i="2"/>
  <c r="AD24" i="2"/>
  <c r="AC24" i="2"/>
  <c r="AB24" i="2"/>
  <c r="AK24" i="2" s="1"/>
  <c r="AA24" i="2"/>
  <c r="X24" i="2"/>
  <c r="J24" i="2"/>
  <c r="AJ23" i="2"/>
  <c r="AH23" i="2"/>
  <c r="AG23" i="2"/>
  <c r="AF23" i="2"/>
  <c r="AE23" i="2"/>
  <c r="AD23" i="2"/>
  <c r="AC23" i="2"/>
  <c r="AB23" i="2"/>
  <c r="AK23" i="2" s="1"/>
  <c r="AA23" i="2"/>
  <c r="X23" i="2"/>
  <c r="J23" i="2"/>
  <c r="AJ22" i="2"/>
  <c r="AH22" i="2"/>
  <c r="AG22" i="2"/>
  <c r="AF22" i="2"/>
  <c r="AE22" i="2"/>
  <c r="AD22" i="2"/>
  <c r="AC22" i="2"/>
  <c r="AB22" i="2"/>
  <c r="AK22" i="2" s="1"/>
  <c r="AA22" i="2"/>
  <c r="X22" i="2"/>
  <c r="J22" i="2"/>
  <c r="AJ21" i="2"/>
  <c r="AH21" i="2"/>
  <c r="AG21" i="2"/>
  <c r="AF21" i="2"/>
  <c r="AE21" i="2"/>
  <c r="AD21" i="2"/>
  <c r="AC21" i="2"/>
  <c r="AB21" i="2"/>
  <c r="AK21" i="2" s="1"/>
  <c r="AA21" i="2"/>
  <c r="X21" i="2"/>
  <c r="J21" i="2"/>
  <c r="AJ20" i="2"/>
  <c r="AH20" i="2"/>
  <c r="AG20" i="2"/>
  <c r="AF20" i="2"/>
  <c r="AE20" i="2"/>
  <c r="AD20" i="2"/>
  <c r="AC20" i="2"/>
  <c r="AB20" i="2"/>
  <c r="AK20" i="2" s="1"/>
  <c r="AA20" i="2"/>
  <c r="X20" i="2"/>
  <c r="J20" i="2"/>
  <c r="AJ19" i="2"/>
  <c r="AH19" i="2"/>
  <c r="AG19" i="2"/>
  <c r="AF19" i="2"/>
  <c r="AE19" i="2"/>
  <c r="AD19" i="2"/>
  <c r="AC19" i="2"/>
  <c r="AB19" i="2"/>
  <c r="AK19" i="2" s="1"/>
  <c r="AA19" i="2"/>
  <c r="X19" i="2"/>
  <c r="J19" i="2"/>
  <c r="AJ18" i="2"/>
  <c r="AH18" i="2"/>
  <c r="AG18" i="2"/>
  <c r="AF18" i="2"/>
  <c r="AE18" i="2"/>
  <c r="AD18" i="2"/>
  <c r="AC18" i="2"/>
  <c r="AB18" i="2"/>
  <c r="AK18" i="2" s="1"/>
  <c r="AA18" i="2"/>
  <c r="X18" i="2"/>
  <c r="J18" i="2"/>
  <c r="AJ17" i="2"/>
  <c r="AH17" i="2"/>
  <c r="AG17" i="2"/>
  <c r="AF17" i="2"/>
  <c r="AF16" i="2" s="1"/>
  <c r="AF15" i="2" s="1"/>
  <c r="AE17" i="2"/>
  <c r="AD17" i="2"/>
  <c r="AD16" i="2" s="1"/>
  <c r="AD15" i="2" s="1"/>
  <c r="AC17" i="2"/>
  <c r="AB17" i="2"/>
  <c r="AK17" i="2" s="1"/>
  <c r="AA17" i="2"/>
  <c r="X17" i="2"/>
  <c r="J17" i="2"/>
  <c r="AX16" i="2"/>
  <c r="AB16" i="2"/>
  <c r="X16" i="2"/>
  <c r="X15" i="2" s="1"/>
  <c r="M16" i="2"/>
  <c r="M15" i="2" s="1"/>
  <c r="L16" i="2"/>
  <c r="J16" i="2" s="1"/>
  <c r="K16" i="2"/>
  <c r="AX15" i="2"/>
  <c r="AB15" i="2"/>
  <c r="O15" i="2"/>
  <c r="O16" i="2" s="1"/>
  <c r="N15" i="2"/>
  <c r="N9" i="2" s="1"/>
  <c r="K15" i="2"/>
  <c r="AJ14" i="2"/>
  <c r="AH14" i="2"/>
  <c r="AG14" i="2"/>
  <c r="AF14" i="2"/>
  <c r="AE14" i="2"/>
  <c r="AD14" i="2"/>
  <c r="AC14" i="2"/>
  <c r="AB14" i="2"/>
  <c r="AK14" i="2" s="1"/>
  <c r="AA14" i="2"/>
  <c r="X14" i="2"/>
  <c r="J14" i="2"/>
  <c r="AJ13" i="2"/>
  <c r="AH13" i="2"/>
  <c r="AG13" i="2"/>
  <c r="AF13" i="2"/>
  <c r="AF12" i="2" s="1"/>
  <c r="AE13" i="2"/>
  <c r="AD13" i="2"/>
  <c r="AC13" i="2"/>
  <c r="AB13" i="2"/>
  <c r="AK13" i="2" s="1"/>
  <c r="AA13" i="2"/>
  <c r="X13" i="2"/>
  <c r="J13" i="2"/>
  <c r="AX12" i="2"/>
  <c r="AX11" i="2" s="1"/>
  <c r="AX9" i="2" s="1"/>
  <c r="AH12" i="2"/>
  <c r="AD12" i="2"/>
  <c r="AD11" i="2" s="1"/>
  <c r="X12" i="2"/>
  <c r="O12" i="2"/>
  <c r="O10" i="2" s="1"/>
  <c r="N12" i="2"/>
  <c r="M12" i="2"/>
  <c r="L12" i="2"/>
  <c r="K12" i="2"/>
  <c r="J12" i="2"/>
  <c r="AH11" i="2"/>
  <c r="X11" i="2"/>
  <c r="O11" i="2"/>
  <c r="N11" i="2"/>
  <c r="M11" i="2"/>
  <c r="L11" i="2"/>
  <c r="K11" i="2"/>
  <c r="J11" i="2" s="1"/>
  <c r="AX10" i="2"/>
  <c r="M10" i="2"/>
  <c r="L10" i="2"/>
  <c r="AK12" i="2" l="1"/>
  <c r="N10" i="2"/>
  <c r="AH16" i="2"/>
  <c r="AH15" i="2" s="1"/>
  <c r="AF11" i="2"/>
  <c r="X101" i="2"/>
  <c r="X9" i="2" s="1"/>
  <c r="X10" i="2"/>
  <c r="AK69" i="2"/>
  <c r="L15" i="2"/>
  <c r="J15" i="2" s="1"/>
  <c r="AK56" i="2"/>
  <c r="AK68" i="2"/>
  <c r="AK80" i="2"/>
  <c r="AK92" i="2"/>
  <c r="AK112" i="2"/>
  <c r="AK124" i="2"/>
  <c r="AK134" i="2"/>
  <c r="AK145" i="2"/>
  <c r="AK165" i="2"/>
  <c r="AK177" i="2"/>
  <c r="AK189" i="2"/>
  <c r="AK201" i="2"/>
  <c r="AK213" i="2"/>
  <c r="AK225" i="2"/>
  <c r="AK253" i="2"/>
  <c r="AK265" i="2"/>
  <c r="AK277" i="2"/>
  <c r="AK286" i="2"/>
  <c r="AK55" i="2"/>
  <c r="AK67" i="2"/>
  <c r="AK79" i="2"/>
  <c r="AK91" i="2"/>
  <c r="AK111" i="2"/>
  <c r="AK123" i="2"/>
  <c r="AK144" i="2"/>
  <c r="AK153" i="2"/>
  <c r="AK164" i="2"/>
  <c r="AK176" i="2"/>
  <c r="AK188" i="2"/>
  <c r="AK200" i="2"/>
  <c r="AK212" i="2"/>
  <c r="AK224" i="2"/>
  <c r="AK235" i="2"/>
  <c r="AK242" i="2"/>
  <c r="AK252" i="2"/>
  <c r="AK264" i="2"/>
  <c r="AK276" i="2"/>
  <c r="AK285" i="2"/>
  <c r="AK297" i="2"/>
  <c r="AK54" i="2"/>
  <c r="AK16" i="2" s="1"/>
  <c r="AK15" i="2" s="1"/>
  <c r="AK66" i="2"/>
  <c r="AK78" i="2"/>
  <c r="AK90" i="2"/>
  <c r="AF102" i="2"/>
  <c r="AF101" i="2" s="1"/>
  <c r="AK110" i="2"/>
  <c r="AK122" i="2"/>
  <c r="AK133" i="2"/>
  <c r="AK143" i="2"/>
  <c r="AK163" i="2"/>
  <c r="AK175" i="2"/>
  <c r="AK187" i="2"/>
  <c r="AK199" i="2"/>
  <c r="AK211" i="2"/>
  <c r="AK223" i="2"/>
  <c r="AK234" i="2"/>
  <c r="AK251" i="2"/>
  <c r="AK263" i="2"/>
  <c r="AK275" i="2"/>
  <c r="AK284" i="2"/>
  <c r="AK296" i="2"/>
  <c r="AB102" i="2"/>
  <c r="AK241" i="2"/>
  <c r="AK295" i="2"/>
  <c r="N16" i="2"/>
  <c r="AK53" i="2"/>
  <c r="AK89" i="2"/>
  <c r="AB12" i="2"/>
  <c r="AB11" i="2" s="1"/>
  <c r="AK64" i="2"/>
  <c r="AK76" i="2"/>
  <c r="AK88" i="2"/>
  <c r="AK100" i="2"/>
  <c r="AK108" i="2"/>
  <c r="AK120" i="2"/>
  <c r="AK132" i="2"/>
  <c r="AK141" i="2"/>
  <c r="AK161" i="2"/>
  <c r="AK173" i="2"/>
  <c r="AK185" i="2"/>
  <c r="AK197" i="2"/>
  <c r="AK209" i="2"/>
  <c r="AK221" i="2"/>
  <c r="AK232" i="2"/>
  <c r="AK240" i="2"/>
  <c r="AK249" i="2"/>
  <c r="AK261" i="2"/>
  <c r="AK273" i="2"/>
  <c r="AK283" i="2"/>
  <c r="AK294" i="2"/>
  <c r="AK63" i="2"/>
  <c r="AK75" i="2"/>
  <c r="AK87" i="2"/>
  <c r="AK99" i="2"/>
  <c r="AK107" i="2"/>
  <c r="AK119" i="2"/>
  <c r="AK131" i="2"/>
  <c r="AK140" i="2"/>
  <c r="AK151" i="2"/>
  <c r="AK160" i="2"/>
  <c r="AK172" i="2"/>
  <c r="AK184" i="2"/>
  <c r="AK196" i="2"/>
  <c r="AK208" i="2"/>
  <c r="AK220" i="2"/>
  <c r="AK231" i="2"/>
  <c r="AK239" i="2"/>
  <c r="AK248" i="2"/>
  <c r="AK260" i="2"/>
  <c r="AK272" i="2"/>
  <c r="AK282" i="2"/>
  <c r="AK62" i="2"/>
  <c r="AK74" i="2"/>
  <c r="AK86" i="2"/>
  <c r="AK98" i="2"/>
  <c r="AK61" i="2"/>
  <c r="AK73" i="2"/>
  <c r="AK85" i="2"/>
  <c r="AK97" i="2"/>
  <c r="AK106" i="2"/>
  <c r="AK117" i="2"/>
  <c r="AK129" i="2"/>
  <c r="AK138" i="2"/>
  <c r="AK149" i="2"/>
  <c r="AK158" i="2"/>
  <c r="AK170" i="2"/>
  <c r="AK182" i="2"/>
  <c r="AK281" i="2"/>
  <c r="AK60" i="2"/>
  <c r="AK72" i="2"/>
  <c r="AK84" i="2"/>
  <c r="AK96" i="2"/>
  <c r="AK105" i="2"/>
  <c r="AK102" i="2" s="1"/>
  <c r="AK101" i="2" s="1"/>
  <c r="AK116" i="2"/>
  <c r="AK128" i="2"/>
  <c r="AK137" i="2"/>
  <c r="AK148" i="2"/>
  <c r="AK157" i="2"/>
  <c r="AK169" i="2"/>
  <c r="AK181" i="2"/>
  <c r="AK193" i="2"/>
  <c r="AK205" i="2"/>
  <c r="AK217" i="2"/>
  <c r="AK228" i="2"/>
  <c r="AK245" i="2"/>
  <c r="AK257" i="2"/>
  <c r="AK269" i="2"/>
  <c r="AH333" i="2"/>
  <c r="AK71" i="2"/>
  <c r="AK83" i="2"/>
  <c r="AK95" i="2"/>
  <c r="J102" i="2"/>
  <c r="AK301" i="2"/>
  <c r="AK70" i="2"/>
  <c r="AK82" i="2"/>
  <c r="AK227" i="2"/>
  <c r="AK279" i="2"/>
  <c r="AK300" i="2"/>
  <c r="AK57" i="2"/>
  <c r="AK81" i="2"/>
  <c r="AK93" i="2"/>
  <c r="AK113" i="2"/>
  <c r="AK125" i="2"/>
  <c r="AK154" i="2"/>
  <c r="AK166" i="2"/>
  <c r="AK178" i="2"/>
  <c r="AK190" i="2"/>
  <c r="AK202" i="2"/>
  <c r="AK214" i="2"/>
  <c r="AK226" i="2"/>
  <c r="AK236" i="2"/>
  <c r="AK243" i="2"/>
  <c r="AK254" i="2"/>
  <c r="AK266" i="2"/>
  <c r="AK278" i="2"/>
  <c r="AK287" i="2"/>
  <c r="AK299" i="2"/>
  <c r="AK390" i="2"/>
  <c r="AK402" i="2"/>
  <c r="AK414" i="2"/>
  <c r="AK426" i="2"/>
  <c r="AK438" i="2"/>
  <c r="AK449" i="2"/>
  <c r="AK461" i="2"/>
  <c r="AK473" i="2"/>
  <c r="AK485" i="2"/>
  <c r="AK489" i="2"/>
  <c r="AK501" i="2"/>
  <c r="AK513" i="2"/>
  <c r="K101" i="2"/>
  <c r="AK334" i="2"/>
  <c r="AK388" i="2"/>
  <c r="AK400" i="2"/>
  <c r="AK412" i="2"/>
  <c r="AK424" i="2"/>
  <c r="AK436" i="2"/>
  <c r="AK447" i="2"/>
  <c r="AK459" i="2"/>
  <c r="AK471" i="2"/>
  <c r="AK483" i="2"/>
  <c r="AK499" i="2"/>
  <c r="AK511" i="2"/>
  <c r="AK423" i="2"/>
  <c r="K332" i="2"/>
  <c r="J332" i="2" s="1"/>
  <c r="AK386" i="2"/>
  <c r="AK398" i="2"/>
  <c r="AK410" i="2"/>
  <c r="AK422" i="2"/>
  <c r="AK434" i="2"/>
  <c r="AK445" i="2"/>
  <c r="AK457" i="2"/>
  <c r="AK469" i="2"/>
  <c r="AK481" i="2"/>
  <c r="AK497" i="2"/>
  <c r="AK509" i="2"/>
  <c r="AK385" i="2"/>
  <c r="AK397" i="2"/>
  <c r="AK409" i="2"/>
  <c r="AK421" i="2"/>
  <c r="AF487" i="2"/>
  <c r="AF486" i="2" s="1"/>
  <c r="AK496" i="2"/>
  <c r="AK384" i="2"/>
  <c r="AK396" i="2"/>
  <c r="AK408" i="2"/>
  <c r="AK420" i="2"/>
  <c r="AK432" i="2"/>
  <c r="AK443" i="2"/>
  <c r="AK455" i="2"/>
  <c r="AK467" i="2"/>
  <c r="AK479" i="2"/>
  <c r="AB487" i="2"/>
  <c r="AB486" i="2" s="1"/>
  <c r="AK519" i="2"/>
  <c r="AK395" i="2"/>
  <c r="AK407" i="2"/>
  <c r="AK419" i="2"/>
  <c r="AK431" i="2"/>
  <c r="AK442" i="2"/>
  <c r="AK454" i="2"/>
  <c r="AK466" i="2"/>
  <c r="AK478" i="2"/>
  <c r="AK494" i="2"/>
  <c r="AK518" i="2"/>
  <c r="AK394" i="2"/>
  <c r="AK406" i="2"/>
  <c r="AK418" i="2"/>
  <c r="AK430" i="2"/>
  <c r="AK441" i="2"/>
  <c r="AK453" i="2"/>
  <c r="AK465" i="2"/>
  <c r="AK477" i="2"/>
  <c r="AK493" i="2"/>
  <c r="AK505" i="2"/>
  <c r="AK393" i="2"/>
  <c r="AK405" i="2"/>
  <c r="AK417" i="2"/>
  <c r="AK429" i="2"/>
  <c r="AK452" i="2"/>
  <c r="AK464" i="2"/>
  <c r="AK476" i="2"/>
  <c r="J487" i="2"/>
  <c r="AK492" i="2"/>
  <c r="AK487" i="2" s="1"/>
  <c r="AK486" i="2" s="1"/>
  <c r="AK504" i="2"/>
  <c r="AK516" i="2"/>
  <c r="AK391" i="2"/>
  <c r="AK403" i="2"/>
  <c r="AK415" i="2"/>
  <c r="AK427" i="2"/>
  <c r="AK439" i="2"/>
  <c r="AK450" i="2"/>
  <c r="AK553" i="2"/>
  <c r="AK565" i="2"/>
  <c r="AK577" i="2"/>
  <c r="AK600" i="2"/>
  <c r="AK612" i="2"/>
  <c r="AK624" i="2"/>
  <c r="AK552" i="2"/>
  <c r="AK564" i="2"/>
  <c r="AK576" i="2"/>
  <c r="AK588" i="2"/>
  <c r="AK599" i="2"/>
  <c r="AK611" i="2"/>
  <c r="AH630" i="2"/>
  <c r="AH629" i="2" s="1"/>
  <c r="AK551" i="2"/>
  <c r="AK563" i="2"/>
  <c r="AK575" i="2"/>
  <c r="AK587" i="2"/>
  <c r="AK622" i="2"/>
  <c r="AK550" i="2"/>
  <c r="AK562" i="2"/>
  <c r="AK574" i="2"/>
  <c r="AK586" i="2"/>
  <c r="AK597" i="2"/>
  <c r="AK609" i="2"/>
  <c r="AK636" i="2"/>
  <c r="AK549" i="2"/>
  <c r="AK561" i="2"/>
  <c r="AK573" i="2"/>
  <c r="AK585" i="2"/>
  <c r="AK596" i="2"/>
  <c r="AK608" i="2"/>
  <c r="AK620" i="2"/>
  <c r="AK548" i="2"/>
  <c r="AK560" i="2"/>
  <c r="AK572" i="2"/>
  <c r="AK584" i="2"/>
  <c r="AK595" i="2"/>
  <c r="AK607" i="2"/>
  <c r="AK619" i="2"/>
  <c r="AK547" i="2"/>
  <c r="AK559" i="2"/>
  <c r="AK571" i="2"/>
  <c r="AK583" i="2"/>
  <c r="AK594" i="2"/>
  <c r="AK606" i="2"/>
  <c r="AK618" i="2"/>
  <c r="AK558" i="2"/>
  <c r="AK570" i="2"/>
  <c r="AK557" i="2"/>
  <c r="AK569" i="2"/>
  <c r="AK581" i="2"/>
  <c r="AK592" i="2"/>
  <c r="AK604" i="2"/>
  <c r="AK616" i="2"/>
  <c r="AK628" i="2"/>
  <c r="AK631" i="2"/>
  <c r="AB630" i="2"/>
  <c r="AB629" i="2" s="1"/>
  <c r="AK556" i="2"/>
  <c r="AK568" i="2"/>
  <c r="AK580" i="2"/>
  <c r="AK591" i="2"/>
  <c r="AK603" i="2"/>
  <c r="AK615" i="2"/>
  <c r="AK555" i="2"/>
  <c r="AK567" i="2"/>
  <c r="AD630" i="2"/>
  <c r="AD629" i="2" s="1"/>
  <c r="AD9" i="2" s="1"/>
  <c r="AK554" i="2"/>
  <c r="AK566" i="2"/>
  <c r="AK578" i="2"/>
  <c r="AK589" i="2"/>
  <c r="AF630" i="2"/>
  <c r="AF629" i="2" s="1"/>
  <c r="AK625" i="2"/>
  <c r="AK637" i="2"/>
  <c r="AK649" i="2"/>
  <c r="AK661" i="2"/>
  <c r="AK673" i="2"/>
  <c r="AK685" i="2"/>
  <c r="AK697" i="2"/>
  <c r="AK709" i="2"/>
  <c r="AK721" i="2"/>
  <c r="AK733" i="2"/>
  <c r="AK745" i="2"/>
  <c r="AF767" i="2"/>
  <c r="AF766" i="2" s="1"/>
  <c r="AH800" i="2"/>
  <c r="AH799" i="2" s="1"/>
  <c r="AK648" i="2"/>
  <c r="AK660" i="2"/>
  <c r="AK672" i="2"/>
  <c r="AK684" i="2"/>
  <c r="AK720" i="2"/>
  <c r="AK756" i="2"/>
  <c r="AK623" i="2"/>
  <c r="AK635" i="2"/>
  <c r="AK647" i="2"/>
  <c r="AK659" i="2"/>
  <c r="AK671" i="2"/>
  <c r="AK683" i="2"/>
  <c r="AK695" i="2"/>
  <c r="AK707" i="2"/>
  <c r="AK719" i="2"/>
  <c r="AK731" i="2"/>
  <c r="AK743" i="2"/>
  <c r="AK755" i="2"/>
  <c r="AK634" i="2"/>
  <c r="AK646" i="2"/>
  <c r="AK658" i="2"/>
  <c r="AK670" i="2"/>
  <c r="AK682" i="2"/>
  <c r="AK694" i="2"/>
  <c r="AK706" i="2"/>
  <c r="AK718" i="2"/>
  <c r="AK730" i="2"/>
  <c r="AK742" i="2"/>
  <c r="AK754" i="2"/>
  <c r="AK621" i="2"/>
  <c r="AK633" i="2"/>
  <c r="AK645" i="2"/>
  <c r="AK657" i="2"/>
  <c r="AK669" i="2"/>
  <c r="AK681" i="2"/>
  <c r="AK693" i="2"/>
  <c r="AK705" i="2"/>
  <c r="AK717" i="2"/>
  <c r="AK729" i="2"/>
  <c r="AK741" i="2"/>
  <c r="AK753" i="2"/>
  <c r="AK643" i="2"/>
  <c r="AK655" i="2"/>
  <c r="AK667" i="2"/>
  <c r="AK679" i="2"/>
  <c r="AK691" i="2"/>
  <c r="AK703" i="2"/>
  <c r="AK642" i="2"/>
  <c r="AK654" i="2"/>
  <c r="AK666" i="2"/>
  <c r="AK678" i="2"/>
  <c r="AK690" i="2"/>
  <c r="AK702" i="2"/>
  <c r="AK714" i="2"/>
  <c r="AK726" i="2"/>
  <c r="AK738" i="2"/>
  <c r="AK750" i="2"/>
  <c r="AK640" i="2"/>
  <c r="AK652" i="2"/>
  <c r="AK664" i="2"/>
  <c r="AK676" i="2"/>
  <c r="AK688" i="2"/>
  <c r="AK700" i="2"/>
  <c r="AK712" i="2"/>
  <c r="AK724" i="2"/>
  <c r="AK736" i="2"/>
  <c r="AK748" i="2"/>
  <c r="AK627" i="2"/>
  <c r="AK639" i="2"/>
  <c r="AK651" i="2"/>
  <c r="AK663" i="2"/>
  <c r="AK675" i="2"/>
  <c r="AK687" i="2"/>
  <c r="AK699" i="2"/>
  <c r="AK711" i="2"/>
  <c r="AK723" i="2"/>
  <c r="AK735" i="2"/>
  <c r="AK747" i="2"/>
  <c r="AK638" i="2"/>
  <c r="AK650" i="2"/>
  <c r="AK662" i="2"/>
  <c r="AK674" i="2"/>
  <c r="AK686" i="2"/>
  <c r="AK698" i="2"/>
  <c r="AK710" i="2"/>
  <c r="AK722" i="2"/>
  <c r="AK734" i="2"/>
  <c r="AK746" i="2"/>
  <c r="J767" i="2"/>
  <c r="AB767" i="2"/>
  <c r="AB766" i="2" s="1"/>
  <c r="AK781" i="2"/>
  <c r="AK793" i="2"/>
  <c r="AK805" i="2"/>
  <c r="AK817" i="2"/>
  <c r="AK829" i="2"/>
  <c r="AK839" i="2"/>
  <c r="AK851" i="2"/>
  <c r="AK860" i="2"/>
  <c r="AK872" i="2"/>
  <c r="AK884" i="2"/>
  <c r="AK898" i="2"/>
  <c r="AK910" i="2"/>
  <c r="L940" i="2"/>
  <c r="L939" i="2" s="1"/>
  <c r="AK838" i="2"/>
  <c r="AK850" i="2"/>
  <c r="AK921" i="2"/>
  <c r="AK779" i="2"/>
  <c r="AK791" i="2"/>
  <c r="AK803" i="2"/>
  <c r="AK815" i="2"/>
  <c r="AK827" i="2"/>
  <c r="AK837" i="2"/>
  <c r="AK849" i="2"/>
  <c r="AK858" i="2"/>
  <c r="AK870" i="2"/>
  <c r="AK882" i="2"/>
  <c r="AK790" i="2"/>
  <c r="AK802" i="2"/>
  <c r="AK814" i="2"/>
  <c r="AK826" i="2"/>
  <c r="AK836" i="2"/>
  <c r="AK848" i="2"/>
  <c r="AK857" i="2"/>
  <c r="AK869" i="2"/>
  <c r="AK881" i="2"/>
  <c r="AK777" i="2"/>
  <c r="AK789" i="2"/>
  <c r="AK801" i="2"/>
  <c r="AK813" i="2"/>
  <c r="AK825" i="2"/>
  <c r="AK835" i="2"/>
  <c r="AK847" i="2"/>
  <c r="J853" i="2"/>
  <c r="AK856" i="2"/>
  <c r="AK868" i="2"/>
  <c r="AK880" i="2"/>
  <c r="AK894" i="2"/>
  <c r="AK906" i="2"/>
  <c r="AK918" i="2"/>
  <c r="AK776" i="2"/>
  <c r="AK788" i="2"/>
  <c r="AK812" i="2"/>
  <c r="AK824" i="2"/>
  <c r="AK834" i="2"/>
  <c r="AK846" i="2"/>
  <c r="AK855" i="2"/>
  <c r="AK867" i="2"/>
  <c r="AK879" i="2"/>
  <c r="AK893" i="2"/>
  <c r="AK905" i="2"/>
  <c r="AK917" i="2"/>
  <c r="AK775" i="2"/>
  <c r="AK787" i="2"/>
  <c r="AK811" i="2"/>
  <c r="AK823" i="2"/>
  <c r="AK845" i="2"/>
  <c r="AK854" i="2"/>
  <c r="AK866" i="2"/>
  <c r="AK878" i="2"/>
  <c r="AK892" i="2"/>
  <c r="AK904" i="2"/>
  <c r="AK916" i="2"/>
  <c r="AK774" i="2"/>
  <c r="AK786" i="2"/>
  <c r="AK798" i="2"/>
  <c r="AB800" i="2"/>
  <c r="AB799" i="2" s="1"/>
  <c r="AK810" i="2"/>
  <c r="AK822" i="2"/>
  <c r="AK865" i="2"/>
  <c r="AK877" i="2"/>
  <c r="AK773" i="2"/>
  <c r="AK785" i="2"/>
  <c r="AK772" i="2"/>
  <c r="AK767" i="2" s="1"/>
  <c r="AK766" i="2" s="1"/>
  <c r="AK784" i="2"/>
  <c r="AK796" i="2"/>
  <c r="AK808" i="2"/>
  <c r="AK820" i="2"/>
  <c r="AK795" i="2"/>
  <c r="AK807" i="2"/>
  <c r="AK819" i="2"/>
  <c r="AK831" i="2"/>
  <c r="AB853" i="2"/>
  <c r="AB852" i="2" s="1"/>
  <c r="AF853" i="2"/>
  <c r="AF852" i="2" s="1"/>
  <c r="AK782" i="2"/>
  <c r="AK794" i="2"/>
  <c r="AK806" i="2"/>
  <c r="AK818" i="2"/>
  <c r="AK830" i="2"/>
  <c r="AK840" i="2"/>
  <c r="AK861" i="2"/>
  <c r="AK873" i="2"/>
  <c r="AK885" i="2"/>
  <c r="AK887" i="2"/>
  <c r="AK899" i="2"/>
  <c r="AK911" i="2"/>
  <c r="K940" i="2"/>
  <c r="M940" i="2"/>
  <c r="M939" i="2" s="1"/>
  <c r="M9" i="2" s="1"/>
  <c r="AB927" i="2"/>
  <c r="AB926" i="2" s="1"/>
  <c r="O940" i="2"/>
  <c r="O939" i="2" s="1"/>
  <c r="O9" i="2" s="1"/>
  <c r="AB940" i="2"/>
  <c r="AB939" i="2" s="1"/>
  <c r="K852" i="2"/>
  <c r="J852" i="2" s="1"/>
  <c r="K926" i="2"/>
  <c r="J926" i="2" s="1"/>
  <c r="AJ2" i="1"/>
  <c r="AH2" i="1"/>
  <c r="AG2" i="1"/>
  <c r="AF2" i="1"/>
  <c r="AE2" i="1"/>
  <c r="AD2" i="1"/>
  <c r="AC2" i="1"/>
  <c r="AB2" i="1"/>
  <c r="AA2" i="1"/>
  <c r="X2" i="1"/>
  <c r="J2" i="1"/>
  <c r="J940" i="2" l="1"/>
  <c r="K939" i="2"/>
  <c r="J939" i="2" s="1"/>
  <c r="AK853" i="2"/>
  <c r="AK852" i="2" s="1"/>
  <c r="AK833" i="2"/>
  <c r="AK832" i="2" s="1"/>
  <c r="AH332" i="2"/>
  <c r="AH9" i="2" s="1"/>
  <c r="AH10" i="2"/>
  <c r="L9" i="2"/>
  <c r="AB10" i="2"/>
  <c r="AB101" i="2"/>
  <c r="AB9" i="2" s="1"/>
  <c r="AF9" i="2"/>
  <c r="AK800" i="2"/>
  <c r="AK799" i="2" s="1"/>
  <c r="AD10" i="2"/>
  <c r="AF10" i="2"/>
  <c r="AK630" i="2"/>
  <c r="AK629" i="2" s="1"/>
  <c r="AK333" i="2"/>
  <c r="AK332" i="2" s="1"/>
  <c r="J101" i="2"/>
  <c r="K9" i="2"/>
  <c r="J9" i="2" s="1"/>
  <c r="AK11" i="2"/>
  <c r="K10" i="2"/>
  <c r="J10" i="2" s="1"/>
  <c r="AK2" i="1"/>
  <c r="AK9" i="2" l="1"/>
  <c r="AK10" i="2"/>
  <c r="A7" i="3"/>
</calcChain>
</file>

<file path=xl/comments1.xml><?xml version="1.0" encoding="utf-8"?>
<comments xmlns="http://schemas.openxmlformats.org/spreadsheetml/2006/main">
  <authors>
    <author>作者</author>
  </authors>
  <commentList>
    <comment ref="W5" authorId="0">
      <text>
        <r>
          <rPr>
            <b/>
            <sz val="11"/>
            <color indexed="81"/>
            <rFont val="Calibri"/>
            <family val="2"/>
          </rPr>
          <t>作者:</t>
        </r>
        <r>
          <rPr>
            <sz val="11"/>
            <color indexed="81"/>
            <rFont val="Calibri"/>
            <family val="2"/>
          </rPr>
          <t xml:space="preserve">
Support Mark: Y; 
Not support mark: N</t>
        </r>
      </text>
    </comment>
    <comment ref="X5" authorId="0">
      <text>
        <r>
          <rPr>
            <b/>
            <sz val="9"/>
            <color indexed="81"/>
            <rFont val="Calibri"/>
            <family val="2"/>
          </rPr>
          <t xml:space="preserve">Wang. Nicole (CITII):
</t>
        </r>
        <r>
          <rPr>
            <sz val="9"/>
            <color indexed="81"/>
            <rFont val="標楷體"/>
            <family val="4"/>
            <charset val="136"/>
          </rPr>
          <t>公式自動計算</t>
        </r>
      </text>
    </comment>
    <comment ref="Y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sz val="11"/>
            <color indexed="81"/>
            <rFont val="標楷體"/>
            <family val="4"/>
            <charset val="136"/>
          </rPr>
          <t>填寫工程師名字</t>
        </r>
      </text>
    </comment>
    <comment ref="Z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sz val="11"/>
            <color indexed="81"/>
            <rFont val="標楷體"/>
            <family val="4"/>
            <charset val="136"/>
          </rPr>
          <t>填寫該項測試的時間</t>
        </r>
      </text>
    </comment>
    <comment ref="AA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打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以外的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</text>
    </comment>
    <comment ref="AB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总测试时间</t>
        </r>
        <r>
          <rPr>
            <sz val="9"/>
            <color indexed="81"/>
            <rFont val="Tahoma"/>
            <family val="2"/>
          </rPr>
          <t xml:space="preserve">;
</t>
        </r>
        <r>
          <rPr>
            <sz val="9"/>
            <color indexed="81"/>
            <rFont val="細明體"/>
            <family val="3"/>
            <charset val="136"/>
          </rPr>
          <t>打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以外的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細明體"/>
            <family val="3"/>
            <charset val="136"/>
          </rPr>
          <t>机台数量</t>
        </r>
        <r>
          <rPr>
            <sz val="9"/>
            <color indexed="81"/>
            <rFont val="Tahoma"/>
            <family val="2"/>
          </rPr>
          <t xml:space="preserve">/SKU * </t>
        </r>
        <r>
          <rPr>
            <sz val="9"/>
            <color indexed="81"/>
            <rFont val="細明體"/>
            <family val="3"/>
            <charset val="136"/>
          </rPr>
          <t>测试item时间</t>
        </r>
      </text>
    </comment>
    <comment ref="AC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打</t>
        </r>
        <r>
          <rPr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</text>
    </comment>
    <comment ref="AD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乘以自动化取代的时间</t>
        </r>
      </text>
    </comment>
    <comment ref="AE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打</t>
        </r>
        <r>
          <rPr>
            <sz val="9"/>
            <color indexed="81"/>
            <rFont val="Tahoma"/>
            <family val="2"/>
          </rPr>
          <t>L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</text>
    </comment>
    <comment ref="AF5" author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Leverage</t>
        </r>
        <r>
          <rPr>
            <sz val="9"/>
            <color indexed="81"/>
            <rFont val="細明體"/>
            <family val="3"/>
            <charset val="136"/>
          </rPr>
          <t>测项的时间</t>
        </r>
      </text>
    </comment>
    <comment ref="AH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如果此项测试可以</t>
        </r>
        <r>
          <rPr>
            <sz val="9"/>
            <color indexed="81"/>
            <rFont val="Tahoma"/>
            <family val="2"/>
          </rPr>
          <t>smart test</t>
        </r>
        <r>
          <rPr>
            <sz val="9"/>
            <color indexed="81"/>
            <rFont val="細明體"/>
            <family val="3"/>
            <charset val="136"/>
          </rPr>
          <t>，则打</t>
        </r>
        <r>
          <rPr>
            <sz val="9"/>
            <color indexed="81"/>
            <rFont val="Tahoma"/>
            <family val="2"/>
          </rPr>
          <t xml:space="preserve">V 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細明體"/>
            <family val="3"/>
            <charset val="136"/>
          </rPr>
          <t>测试机台数</t>
        </r>
        <r>
          <rPr>
            <sz val="9"/>
            <color indexed="81"/>
            <rFont val="Tahoma"/>
            <family val="2"/>
          </rPr>
          <t>/ 2</t>
        </r>
      </text>
    </comment>
    <comment ref="AI5" authorId="0">
      <text>
        <r>
          <rPr>
            <b/>
            <sz val="11"/>
            <color indexed="81"/>
            <rFont val="Calibri"/>
            <family val="2"/>
          </rPr>
          <t>作者:</t>
        </r>
        <r>
          <rPr>
            <sz val="11"/>
            <color indexed="81"/>
            <rFont val="Calibri"/>
            <family val="2"/>
          </rPr>
          <t xml:space="preserve">
Leverage/Smart </t>
        </r>
        <r>
          <rPr>
            <sz val="11"/>
            <color indexed="81"/>
            <rFont val="標楷體"/>
            <family val="4"/>
            <charset val="136"/>
          </rPr>
          <t>的考量因素</t>
        </r>
      </text>
    </comment>
    <comment ref="AJ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打</t>
        </r>
        <r>
          <rPr>
            <sz val="9"/>
            <color indexed="81"/>
            <rFont val="Tahoma"/>
            <family val="2"/>
          </rPr>
          <t>V</t>
        </r>
        <r>
          <rPr>
            <sz val="9"/>
            <color indexed="81"/>
            <rFont val="細明體"/>
            <family val="3"/>
            <charset val="136"/>
          </rPr>
          <t>的</t>
        </r>
        <r>
          <rPr>
            <sz val="9"/>
            <color indexed="81"/>
            <rFont val="Tahoma"/>
            <family val="2"/>
          </rPr>
          <t>SKU</t>
        </r>
        <r>
          <rPr>
            <sz val="9"/>
            <color indexed="81"/>
            <rFont val="細明體"/>
            <family val="3"/>
            <charset val="136"/>
          </rPr>
          <t>数量</t>
        </r>
      </text>
    </comment>
    <comment ref="AK5" author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所有优化后的测试时间</t>
        </r>
      </text>
    </comment>
    <comment ref="AL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b/>
            <sz val="11"/>
            <color indexed="81"/>
            <rFont val="Calibri"/>
            <family val="2"/>
          </rPr>
          <t>V</t>
        </r>
        <r>
          <rPr>
            <sz val="11"/>
            <color indexed="81"/>
            <rFont val="Calibri"/>
            <family val="2"/>
          </rPr>
          <t xml:space="preserve"> means: need test; </t>
        </r>
        <r>
          <rPr>
            <b/>
            <sz val="11"/>
            <color indexed="81"/>
            <rFont val="Calibri"/>
            <family val="2"/>
          </rPr>
          <t>X</t>
        </r>
        <r>
          <rPr>
            <sz val="11"/>
            <color indexed="81"/>
            <rFont val="Calibri"/>
            <family val="2"/>
          </rPr>
          <t xml:space="preserve"> means: no need test;
</t>
        </r>
        <r>
          <rPr>
            <b/>
            <sz val="11"/>
            <color indexed="81"/>
            <rFont val="Calibri"/>
            <family val="2"/>
          </rPr>
          <t>A</t>
        </r>
        <r>
          <rPr>
            <sz val="11"/>
            <color indexed="81"/>
            <rFont val="Calibri"/>
            <family val="2"/>
          </rPr>
          <t xml:space="preserve"> means: Automation; </t>
        </r>
        <r>
          <rPr>
            <b/>
            <sz val="11"/>
            <color indexed="81"/>
            <rFont val="Calibri"/>
            <family val="2"/>
          </rPr>
          <t>L</t>
        </r>
        <r>
          <rPr>
            <sz val="11"/>
            <color indexed="81"/>
            <rFont val="Calibri"/>
            <family val="2"/>
          </rPr>
          <t xml:space="preserve"> means: Leverage; </t>
        </r>
        <r>
          <rPr>
            <b/>
            <sz val="11"/>
            <color indexed="81"/>
            <rFont val="Calibri"/>
            <family val="2"/>
          </rPr>
          <t>S</t>
        </r>
        <r>
          <rPr>
            <sz val="11"/>
            <color indexed="81"/>
            <rFont val="Calibri"/>
            <family val="2"/>
          </rPr>
          <t xml:space="preserve"> means: Smart</t>
        </r>
      </text>
    </comment>
    <comment ref="AV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sz val="11"/>
            <color indexed="81"/>
            <rFont val="標楷體"/>
            <family val="4"/>
            <charset val="136"/>
          </rPr>
          <t>更新專案過程中</t>
        </r>
        <r>
          <rPr>
            <sz val="11"/>
            <color indexed="81"/>
            <rFont val="Calibri"/>
            <family val="2"/>
          </rPr>
          <t>retest</t>
        </r>
        <r>
          <rPr>
            <sz val="11"/>
            <color indexed="81"/>
            <rFont val="標楷體"/>
            <family val="4"/>
            <charset val="136"/>
          </rPr>
          <t>的次数</t>
        </r>
      </text>
    </comment>
    <comment ref="AW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sz val="11"/>
            <color indexed="81"/>
            <rFont val="標楷體"/>
            <family val="4"/>
            <charset val="136"/>
          </rPr>
          <t>更新專案過程中</t>
        </r>
        <r>
          <rPr>
            <sz val="11"/>
            <color indexed="81"/>
            <rFont val="Calibri"/>
            <family val="2"/>
          </rPr>
          <t>retest</t>
        </r>
        <r>
          <rPr>
            <sz val="11"/>
            <color indexed="81"/>
            <rFont val="標楷體"/>
            <family val="4"/>
            <charset val="136"/>
          </rPr>
          <t>的</t>
        </r>
        <r>
          <rPr>
            <sz val="11"/>
            <color indexed="81"/>
            <rFont val="Calibri"/>
            <family val="2"/>
          </rPr>
          <t>SKU</t>
        </r>
        <r>
          <rPr>
            <sz val="11"/>
            <color indexed="81"/>
            <rFont val="標楷體"/>
            <family val="4"/>
            <charset val="136"/>
          </rPr>
          <t>數量</t>
        </r>
      </text>
    </comment>
    <comment ref="AX5" authorId="0">
      <text>
        <r>
          <rPr>
            <b/>
            <sz val="11"/>
            <color indexed="81"/>
            <rFont val="Calibri"/>
            <family val="2"/>
          </rPr>
          <t>Shen. Bruce (CITII):</t>
        </r>
        <r>
          <rPr>
            <sz val="11"/>
            <color indexed="81"/>
            <rFont val="Calibri"/>
            <family val="2"/>
          </rPr>
          <t xml:space="preserve">
</t>
        </r>
        <r>
          <rPr>
            <sz val="11"/>
            <color indexed="81"/>
            <rFont val="標楷體"/>
            <family val="4"/>
            <charset val="136"/>
          </rPr>
          <t>更新專案過程中</t>
        </r>
        <r>
          <rPr>
            <sz val="11"/>
            <color indexed="81"/>
            <rFont val="Calibri"/>
            <family val="2"/>
          </rPr>
          <t>retest</t>
        </r>
        <r>
          <rPr>
            <sz val="11"/>
            <color indexed="81"/>
            <rFont val="標楷體"/>
            <family val="4"/>
            <charset val="136"/>
          </rPr>
          <t>的</t>
        </r>
        <r>
          <rPr>
            <sz val="11"/>
            <color indexed="81"/>
            <rFont val="Calibri"/>
            <family val="2"/>
          </rPr>
          <t>s</t>
        </r>
        <r>
          <rPr>
            <sz val="11"/>
            <color indexed="81"/>
            <rFont val="標楷體"/>
            <family val="4"/>
            <charset val="136"/>
          </rPr>
          <t>時間</t>
        </r>
      </text>
    </comment>
    <comment ref="N6" authorId="0">
      <text>
        <r>
          <rPr>
            <b/>
            <sz val="9"/>
            <color indexed="81"/>
            <rFont val="Calibri"/>
            <family val="2"/>
          </rPr>
          <t>作者:</t>
        </r>
        <r>
          <rPr>
            <sz val="9"/>
            <color indexed="81"/>
            <rFont val="Calibri"/>
            <family val="2"/>
          </rPr>
          <t xml:space="preserve">
For Test Item time</t>
        </r>
      </text>
    </comment>
    <comment ref="Y6" authorId="0">
      <text>
        <r>
          <rPr>
            <b/>
            <sz val="9"/>
            <color indexed="81"/>
            <rFont val="Tahoma"/>
            <family val="2"/>
          </rPr>
          <t xml:space="preserve">作者: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<sst xmlns="http://schemas.openxmlformats.org/spreadsheetml/2006/main" count="10294" uniqueCount="1438">
  <si>
    <t>V</t>
    <phoneticPr fontId="3" type="noConversion"/>
  </si>
  <si>
    <t>SKU2</t>
  </si>
  <si>
    <t>Steps 1</t>
    <phoneticPr fontId="12" type="noConversion"/>
  </si>
  <si>
    <t>Steps 2</t>
  </si>
  <si>
    <t>Steps 3</t>
  </si>
  <si>
    <t>Steps 4</t>
  </si>
  <si>
    <t>如果出現Raw資料格式錯誤訊息, 請檢察行列是否有缺失, 或是改用最新版本模板</t>
    <phoneticPr fontId="12" type="noConversion"/>
  </si>
  <si>
    <t>將資料貼到Raw sheets</t>
    <phoneticPr fontId="12" type="noConversion"/>
  </si>
  <si>
    <t>整理與計算</t>
    <phoneticPr fontId="12" type="noConversion"/>
  </si>
  <si>
    <t>當下時間</t>
    <phoneticPr fontId="12" type="noConversion"/>
  </si>
  <si>
    <t>如果出現CAL1未清空的提示訊息, 請點下方按鈕</t>
    <phoneticPr fontId="12" type="noConversion"/>
  </si>
  <si>
    <t xml:space="preserve">注意: </t>
    <phoneticPr fontId="12" type="noConversion"/>
  </si>
  <si>
    <t>導另一份Excel 上傳用</t>
    <phoneticPr fontId="12" type="noConversion"/>
  </si>
  <si>
    <t>當前工具版本: v1.0</t>
    <phoneticPr fontId="12" type="noConversion"/>
  </si>
  <si>
    <t>SKU1</t>
    <phoneticPr fontId="3" type="noConversion"/>
  </si>
  <si>
    <t>SKU3</t>
  </si>
  <si>
    <t>SKU4</t>
  </si>
  <si>
    <t>SKU5</t>
  </si>
  <si>
    <t>SKU6</t>
  </si>
  <si>
    <t>SKU7</t>
  </si>
  <si>
    <t>SKU8</t>
  </si>
  <si>
    <t>SKU9</t>
  </si>
  <si>
    <t>SKU10</t>
  </si>
  <si>
    <t xml:space="preserve">01 System Unit For Test Perpare </t>
  </si>
  <si>
    <t xml:space="preserve">System Unit For Test Perpare </t>
  </si>
  <si>
    <t>DQA</t>
    <phoneticPr fontId="12" type="noConversion"/>
  </si>
  <si>
    <t>All SKU</t>
    <phoneticPr fontId="12" type="noConversion"/>
  </si>
  <si>
    <t>Customer</t>
  </si>
  <si>
    <t>Phase</t>
  </si>
  <si>
    <t>Category</t>
  </si>
  <si>
    <t>TestTitle</t>
  </si>
  <si>
    <t>Subtesttitle</t>
  </si>
  <si>
    <t>TestItem</t>
  </si>
  <si>
    <t>Priority</t>
  </si>
  <si>
    <t>ReleaseDate</t>
  </si>
  <si>
    <t>Owner</t>
  </si>
  <si>
    <t>AT_Totaltime</t>
  </si>
  <si>
    <t>AT_AttendTime</t>
  </si>
  <si>
    <t>AT_UnattendTime</t>
  </si>
  <si>
    <t>AT_Automation</t>
  </si>
  <si>
    <t>DQMS_AttendTime</t>
  </si>
  <si>
    <t>DQMS_UnattendTime</t>
  </si>
  <si>
    <t>TestUnitsConfig</t>
  </si>
  <si>
    <t>SmartItem</t>
  </si>
  <si>
    <t>Cusumer</t>
  </si>
  <si>
    <t>Commercial</t>
  </si>
  <si>
    <t>SDV</t>
  </si>
  <si>
    <t>SIT</t>
  </si>
  <si>
    <t>Coverage</t>
  </si>
  <si>
    <t>FeatureSupport</t>
  </si>
  <si>
    <t>Basetimesupport</t>
  </si>
  <si>
    <t>TE</t>
  </si>
  <si>
    <t>Schedule</t>
  </si>
  <si>
    <t>Configalltestunits</t>
  </si>
  <si>
    <t>Configalltesttime</t>
  </si>
  <si>
    <t>ConfigAutomationItem</t>
  </si>
  <si>
    <t>ConfigAutomationtime</t>
  </si>
  <si>
    <t>ConfigLeverageItem</t>
  </si>
  <si>
    <t>ConfigLeveragetime</t>
  </si>
  <si>
    <r>
      <t>ConfigSmartItem</t>
    </r>
    <r>
      <rPr>
        <b/>
        <sz val="11"/>
        <color theme="0"/>
        <rFont val="標楷體"/>
        <family val="4"/>
        <charset val="136"/>
      </rPr>
      <t>per</t>
    </r>
  </si>
  <si>
    <t>ConfigSmarttime</t>
  </si>
  <si>
    <t>Comments</t>
  </si>
  <si>
    <t>ProjecttestSKUOptimize</t>
  </si>
  <si>
    <t>AttendtimeOptimize</t>
  </si>
  <si>
    <t>ConfigRetestCycle</t>
  </si>
  <si>
    <t>ConfigRetestSKU</t>
  </si>
  <si>
    <t>ConfigRetesttime</t>
  </si>
  <si>
    <t>SKU11</t>
  </si>
  <si>
    <t>SKU12</t>
  </si>
  <si>
    <t>SKU13</t>
  </si>
  <si>
    <t>SKU14</t>
  </si>
  <si>
    <t>SKU15</t>
  </si>
  <si>
    <t>SKU16</t>
  </si>
  <si>
    <t>SKU17</t>
  </si>
  <si>
    <t>SKU18</t>
  </si>
  <si>
    <t>SKU19</t>
  </si>
  <si>
    <t>SKU20</t>
  </si>
  <si>
    <t>C38(AIO)</t>
  </si>
  <si>
    <t>B(SDV)</t>
  </si>
  <si>
    <t>P4</t>
  </si>
  <si>
    <t>3/20/2017</t>
  </si>
  <si>
    <t>V</t>
  </si>
  <si>
    <t>A</t>
  </si>
  <si>
    <t>S</t>
  </si>
  <si>
    <t>L</t>
  </si>
  <si>
    <t>202009221211</t>
  </si>
  <si>
    <t>使用本工具時, 請關閉其他excel, csv, txt, html檔案, thanks.</t>
    <phoneticPr fontId="12" type="noConversion"/>
  </si>
  <si>
    <r>
      <t xml:space="preserve">[C38_All In One] SW Test case planning for XXXXXX </t>
    </r>
    <r>
      <rPr>
        <b/>
        <sz val="18"/>
        <color rgb="FFFF0000"/>
        <rFont val="Calibri"/>
        <family val="2"/>
      </rPr>
      <t xml:space="preserve">SDV </t>
    </r>
    <r>
      <rPr>
        <b/>
        <sz val="18"/>
        <color rgb="FF0000FF"/>
        <rFont val="Calibri"/>
        <family val="2"/>
      </rPr>
      <t>Phase
(Customer project code_Compal project code + Phase )</t>
    </r>
  </si>
  <si>
    <t>B(SDV) Schedule</t>
    <phoneticPr fontId="15" type="noConversion"/>
  </si>
  <si>
    <t xml:space="preserve">Full function duration: </t>
    <phoneticPr fontId="15" type="noConversion"/>
  </si>
  <si>
    <t xml:space="preserve">Gerber for SVT </t>
  </si>
  <si>
    <t>打X以外的SKU数量</t>
    <phoneticPr fontId="15" type="noConversion"/>
  </si>
  <si>
    <t>总测试时间</t>
    <phoneticPr fontId="15" type="noConversion"/>
  </si>
  <si>
    <t>打A的SKU数量</t>
    <phoneticPr fontId="15" type="noConversion"/>
  </si>
  <si>
    <t>乘以自动化取代的时间</t>
    <phoneticPr fontId="15" type="noConversion"/>
  </si>
  <si>
    <t>打L的SKU数量</t>
    <phoneticPr fontId="15" type="noConversion"/>
  </si>
  <si>
    <t>Leverage测项的时间</t>
    <phoneticPr fontId="15" type="noConversion"/>
  </si>
  <si>
    <t>如果此项测试可以smart test，则打V 的SKU数量*测试机台数/ 2</t>
    <phoneticPr fontId="15" type="noConversion"/>
  </si>
  <si>
    <t>打V的SKU数量</t>
    <phoneticPr fontId="15" type="noConversion"/>
  </si>
  <si>
    <t>所有优化后的测试时间</t>
    <phoneticPr fontId="15" type="noConversion"/>
  </si>
  <si>
    <r>
      <rPr>
        <b/>
        <sz val="12"/>
        <color rgb="FF993300"/>
        <rFont val="標楷體"/>
        <family val="4"/>
        <charset val="136"/>
      </rPr>
      <t>參考</t>
    </r>
    <r>
      <rPr>
        <b/>
        <sz val="12"/>
        <color rgb="FF993300"/>
        <rFont val="Calibri"/>
        <family val="2"/>
      </rPr>
      <t>,</t>
    </r>
    <r>
      <rPr>
        <b/>
        <sz val="12"/>
        <color rgb="FF993300"/>
        <rFont val="標楷體"/>
        <family val="4"/>
        <charset val="136"/>
      </rPr>
      <t>無需編輯</t>
    </r>
  </si>
  <si>
    <r>
      <t xml:space="preserve">LNV SW Test plan Matrix for Planning </t>
    </r>
    <r>
      <rPr>
        <b/>
        <sz val="12"/>
        <color rgb="FF993300"/>
        <rFont val="標楷體"/>
        <family val="4"/>
        <charset val="136"/>
      </rPr>
      <t>僅參考</t>
    </r>
    <r>
      <rPr>
        <b/>
        <sz val="12"/>
        <color rgb="FF993300"/>
        <rFont val="Calibri"/>
        <family val="2"/>
      </rPr>
      <t>,</t>
    </r>
    <r>
      <rPr>
        <b/>
        <sz val="12"/>
        <color rgb="FF993300"/>
        <rFont val="標楷體"/>
        <family val="4"/>
        <charset val="136"/>
      </rPr>
      <t>無需編輯</t>
    </r>
  </si>
  <si>
    <r>
      <rPr>
        <b/>
        <sz val="12"/>
        <color rgb="FF993300"/>
        <rFont val="標楷體"/>
        <family val="4"/>
        <charset val="136"/>
      </rPr>
      <t>需編輯</t>
    </r>
  </si>
  <si>
    <r>
      <rPr>
        <b/>
        <sz val="12"/>
        <color rgb="FF993300"/>
        <rFont val="標楷體"/>
        <family val="4"/>
        <charset val="136"/>
      </rPr>
      <t>無需編輯</t>
    </r>
  </si>
  <si>
    <t>NO.</t>
  </si>
  <si>
    <t>Category</t>
    <phoneticPr fontId="15" type="noConversion"/>
  </si>
  <si>
    <t>Test Title</t>
    <phoneticPr fontId="5" type="noConversion"/>
  </si>
  <si>
    <t>Sub test title</t>
    <phoneticPr fontId="15" type="noConversion"/>
  </si>
  <si>
    <t>Test Item</t>
    <phoneticPr fontId="15" type="noConversion"/>
  </si>
  <si>
    <t>Priority</t>
    <phoneticPr fontId="4" type="noConversion"/>
  </si>
  <si>
    <t>Release Date</t>
    <phoneticPr fontId="4" type="noConversion"/>
  </si>
  <si>
    <t xml:space="preserve">Owner </t>
  </si>
  <si>
    <t>Actual Time</t>
    <phoneticPr fontId="4" type="noConversion"/>
  </si>
  <si>
    <t>DQMS Test Plan</t>
    <phoneticPr fontId="4" type="noConversion"/>
  </si>
  <si>
    <t>Test Units
/Config</t>
    <phoneticPr fontId="15" type="noConversion"/>
  </si>
  <si>
    <t>Smart Item</t>
    <phoneticPr fontId="15" type="noConversion"/>
  </si>
  <si>
    <t>AIO SW Test plan Matrix for Planning</t>
    <phoneticPr fontId="4" type="noConversion"/>
  </si>
  <si>
    <t>Feature Support</t>
    <phoneticPr fontId="15" type="noConversion"/>
  </si>
  <si>
    <t>Base time-support</t>
    <phoneticPr fontId="15" type="noConversion"/>
  </si>
  <si>
    <t>TE</t>
    <phoneticPr fontId="15" type="noConversion"/>
  </si>
  <si>
    <t>Schedule</t>
    <phoneticPr fontId="15" type="noConversion"/>
  </si>
  <si>
    <t>Config-all test units</t>
    <phoneticPr fontId="15" type="noConversion"/>
  </si>
  <si>
    <t>Config-all test time</t>
    <phoneticPr fontId="15" type="noConversion"/>
  </si>
  <si>
    <t>Config-Automation Item</t>
    <phoneticPr fontId="15" type="noConversion"/>
  </si>
  <si>
    <t>Config-Automation time</t>
    <phoneticPr fontId="15" type="noConversion"/>
  </si>
  <si>
    <t>Config-Leverage Item</t>
    <phoneticPr fontId="15" type="noConversion"/>
  </si>
  <si>
    <t>Config-Leverage time</t>
    <phoneticPr fontId="15" type="noConversion"/>
  </si>
  <si>
    <r>
      <t>Config-Smart Item</t>
    </r>
    <r>
      <rPr>
        <b/>
        <sz val="11"/>
        <color theme="0"/>
        <rFont val="標楷體"/>
        <family val="4"/>
        <charset val="136"/>
      </rPr>
      <t>占总</t>
    </r>
    <r>
      <rPr>
        <b/>
        <sz val="11"/>
        <color theme="0"/>
        <rFont val="Calibri"/>
        <family val="2"/>
      </rPr>
      <t>case</t>
    </r>
    <r>
      <rPr>
        <b/>
        <sz val="11"/>
        <color theme="0"/>
        <rFont val="標楷體"/>
        <family val="4"/>
        <charset val="136"/>
      </rPr>
      <t>比例</t>
    </r>
  </si>
  <si>
    <t>Config-Smart time</t>
    <phoneticPr fontId="15" type="noConversion"/>
  </si>
  <si>
    <t>Comments</t>
    <phoneticPr fontId="15" type="noConversion"/>
  </si>
  <si>
    <t>Project test SKU-Optimize</t>
    <phoneticPr fontId="15" type="noConversion"/>
  </si>
  <si>
    <t>Attend time-Optimize</t>
    <phoneticPr fontId="15" type="noConversion"/>
  </si>
  <si>
    <t>Planning after Optimize</t>
    <phoneticPr fontId="15" type="noConversion"/>
  </si>
  <si>
    <t>Config-Retest Cycle</t>
    <phoneticPr fontId="15" type="noConversion"/>
  </si>
  <si>
    <t>Config-Retest SKU</t>
    <phoneticPr fontId="15" type="noConversion"/>
  </si>
  <si>
    <t>Config-Retest time</t>
    <phoneticPr fontId="15" type="noConversion"/>
  </si>
  <si>
    <t>Total time
(A+U)</t>
    <phoneticPr fontId="15" type="noConversion"/>
  </si>
  <si>
    <t>Attend Time</t>
    <phoneticPr fontId="4" type="noConversion"/>
  </si>
  <si>
    <t>Unattend Time</t>
    <phoneticPr fontId="4" type="noConversion"/>
  </si>
  <si>
    <t>Automation</t>
    <phoneticPr fontId="15" type="noConversion"/>
  </si>
  <si>
    <t>Attend Time (hrs)</t>
    <phoneticPr fontId="4" type="noConversion"/>
  </si>
  <si>
    <t>Unattend Time (hrs)</t>
    <phoneticPr fontId="4" type="noConversion"/>
  </si>
  <si>
    <t>FOC31</t>
    <phoneticPr fontId="15" type="noConversion"/>
  </si>
  <si>
    <t>Cusumer</t>
    <phoneticPr fontId="4" type="noConversion"/>
  </si>
  <si>
    <t>Commercial</t>
    <phoneticPr fontId="4" type="noConversion"/>
  </si>
  <si>
    <t>SDV</t>
    <phoneticPr fontId="4" type="noConversion"/>
  </si>
  <si>
    <t>SIT</t>
    <phoneticPr fontId="4" type="noConversion"/>
  </si>
  <si>
    <t>Coverage</t>
    <phoneticPr fontId="4" type="noConversion"/>
  </si>
  <si>
    <t>SKU1</t>
    <phoneticPr fontId="15" type="noConversion"/>
  </si>
  <si>
    <t>DQMS Calculation Time</t>
    <phoneticPr fontId="15" type="noConversion"/>
  </si>
  <si>
    <t>DQA Items total time</t>
    <phoneticPr fontId="15" type="noConversion"/>
  </si>
  <si>
    <t>.Hrs</t>
  </si>
  <si>
    <t>UMA</t>
    <phoneticPr fontId="15" type="noConversion"/>
  </si>
  <si>
    <t>.Mins</t>
  </si>
  <si>
    <t xml:space="preserve">01 System Unit For Test Perpare </t>
    <phoneticPr fontId="4" type="noConversion"/>
  </si>
  <si>
    <t xml:space="preserve">01 System Unit For Test Perpare </t>
    <phoneticPr fontId="4" type="noConversion"/>
  </si>
  <si>
    <t>P1</t>
    <phoneticPr fontId="5" type="noConversion"/>
  </si>
  <si>
    <t>DQA</t>
    <phoneticPr fontId="5" type="noConversion"/>
  </si>
  <si>
    <t>V</t>
    <phoneticPr fontId="15" type="noConversion"/>
  </si>
  <si>
    <t>All SKU</t>
    <phoneticPr fontId="5" type="noConversion"/>
  </si>
  <si>
    <t>02 System Basic information check</t>
  </si>
  <si>
    <t>01 Windows information check</t>
  </si>
  <si>
    <t>Basic informatin check</t>
  </si>
  <si>
    <t>02 System Gerber Test</t>
    <phoneticPr fontId="15" type="noConversion"/>
  </si>
  <si>
    <t>01 OS / EC &amp; Super I/O</t>
    <phoneticPr fontId="5" type="noConversion"/>
  </si>
  <si>
    <t>01 Smart Power On</t>
  </si>
  <si>
    <r>
      <t>BIOS</t>
    </r>
    <r>
      <rPr>
        <sz val="10"/>
        <color rgb="FF000000"/>
        <rFont val="標楷體"/>
        <family val="4"/>
        <charset val="136"/>
      </rPr>
      <t>默认设置</t>
    </r>
    <r>
      <rPr>
        <sz val="10"/>
        <color rgb="FF000000"/>
        <rFont val="Calibri"/>
        <family val="2"/>
      </rPr>
      <t>Check_x000D_</t>
    </r>
  </si>
  <si>
    <t>UMA &amp; Discrete</t>
    <phoneticPr fontId="5" type="noConversion"/>
  </si>
  <si>
    <t>02 System Gerber Test</t>
  </si>
  <si>
    <t>01 OS/ EC &amp; Super I/O</t>
    <phoneticPr fontId="5" type="noConversion"/>
  </si>
  <si>
    <t>02 Rapid Charge</t>
  </si>
  <si>
    <r>
      <t>DPM</t>
    </r>
    <r>
      <rPr>
        <sz val="10"/>
        <color rgb="FF000000"/>
        <rFont val="標楷體"/>
        <family val="4"/>
        <charset val="136"/>
      </rPr>
      <t>充电模式的检查_x000D_</t>
    </r>
  </si>
  <si>
    <t>02 Standard Interface</t>
    <phoneticPr fontId="15" type="noConversion"/>
  </si>
  <si>
    <t>01 SATA (mSATA, SATA)</t>
    <phoneticPr fontId="15" type="noConversion"/>
  </si>
  <si>
    <t>Port function</t>
    <phoneticPr fontId="15" type="noConversion"/>
  </si>
  <si>
    <t>SATA 3.0</t>
    <phoneticPr fontId="5" type="noConversion"/>
  </si>
  <si>
    <t>E-SATA test1</t>
    <phoneticPr fontId="15" type="noConversion"/>
  </si>
  <si>
    <t>E-SATA test2</t>
    <phoneticPr fontId="15" type="noConversion"/>
  </si>
  <si>
    <t>02 PCI Express (mini-PCIe, PCIe)</t>
    <phoneticPr fontId="5" type="noConversion"/>
  </si>
  <si>
    <t>PCI Express x16</t>
  </si>
  <si>
    <t>02 PCI Express (mini-PCIe, PCIe)</t>
    <phoneticPr fontId="5" type="noConversion"/>
  </si>
  <si>
    <t>PCI Express x8</t>
  </si>
  <si>
    <t>02 PCI Express (mini-PCIe, PCIe)</t>
    <phoneticPr fontId="5" type="noConversion"/>
  </si>
  <si>
    <t>PCI Express x4</t>
  </si>
  <si>
    <t>PCI Express x1</t>
  </si>
  <si>
    <t>03 M.2</t>
    <phoneticPr fontId="5" type="noConversion"/>
  </si>
  <si>
    <t>M.2 socket function test</t>
    <phoneticPr fontId="5" type="noConversion"/>
  </si>
  <si>
    <t>P1</t>
    <phoneticPr fontId="5" type="noConversion"/>
  </si>
  <si>
    <t>Cover all SSD type</t>
    <phoneticPr fontId="5" type="noConversion"/>
  </si>
  <si>
    <t>SATA&amp;NVM2 switchable function test</t>
    <phoneticPr fontId="5" type="noConversion"/>
  </si>
  <si>
    <t>P1</t>
  </si>
  <si>
    <t>Cover all SSD/HDD type</t>
    <phoneticPr fontId="5" type="noConversion"/>
  </si>
  <si>
    <t xml:space="preserve">04 USB </t>
    <phoneticPr fontId="5" type="noConversion"/>
  </si>
  <si>
    <t>USB Function check</t>
    <phoneticPr fontId="5" type="noConversion"/>
  </si>
  <si>
    <t>Cover USB chipset/port/Re-driver/USB hub source</t>
    <phoneticPr fontId="5" type="noConversion"/>
  </si>
  <si>
    <t>USB Basic Function</t>
  </si>
  <si>
    <t>Power Management</t>
  </si>
  <si>
    <t>USB Performance</t>
    <phoneticPr fontId="5" type="noConversion"/>
  </si>
  <si>
    <t>Stability</t>
  </si>
  <si>
    <t>Abnormal test_x000D_</t>
    <phoneticPr fontId="2" type="noConversion"/>
  </si>
  <si>
    <t>USB Type C</t>
  </si>
  <si>
    <t>05 DIMM</t>
    <phoneticPr fontId="5" type="noConversion"/>
  </si>
  <si>
    <t>Memory test</t>
    <phoneticPr fontId="5" type="noConversion"/>
  </si>
  <si>
    <t>Cover all memory type&amp;CPU</t>
    <phoneticPr fontId="5" type="noConversion"/>
  </si>
  <si>
    <t>06 legacy I/O</t>
    <phoneticPr fontId="5" type="noConversion"/>
  </si>
  <si>
    <t>COM Port fucntion</t>
    <phoneticPr fontId="5" type="noConversion"/>
  </si>
  <si>
    <t>Cover port IC source</t>
    <phoneticPr fontId="5" type="noConversion"/>
  </si>
  <si>
    <t>COM port ACPI test</t>
    <phoneticPr fontId="15" type="noConversion"/>
  </si>
  <si>
    <t>Parallel port Test</t>
    <phoneticPr fontId="15" type="noConversion"/>
  </si>
  <si>
    <t>PS/2 function</t>
    <phoneticPr fontId="15" type="noConversion"/>
  </si>
  <si>
    <t>1394 Header Function</t>
    <phoneticPr fontId="15" type="noConversion"/>
  </si>
  <si>
    <t>IEEE1394 Peripheral compatibility</t>
    <phoneticPr fontId="5" type="noConversion"/>
  </si>
  <si>
    <t>PCI Slot Function</t>
    <phoneticPr fontId="15" type="noConversion"/>
  </si>
  <si>
    <t>02 System Gerber Test</t>
    <phoneticPr fontId="5" type="noConversion"/>
  </si>
  <si>
    <t xml:space="preserve">02 Standard Interface </t>
    <phoneticPr fontId="5" type="noConversion"/>
  </si>
  <si>
    <t>07 Miscellaneous (Header,Jumper</t>
    <phoneticPr fontId="5" type="noConversion"/>
  </si>
  <si>
    <t>01  Button</t>
    <phoneticPr fontId="5" type="noConversion"/>
  </si>
  <si>
    <t>02 LED</t>
    <phoneticPr fontId="5" type="noConversion"/>
  </si>
  <si>
    <t>03 Fan</t>
    <phoneticPr fontId="5" type="noConversion"/>
  </si>
  <si>
    <t>cover all fan vendor</t>
    <phoneticPr fontId="5" type="noConversion"/>
  </si>
  <si>
    <t>04 Clear CMOS jumper</t>
    <phoneticPr fontId="5" type="noConversion"/>
  </si>
  <si>
    <t>05 Battery</t>
    <phoneticPr fontId="5" type="noConversion"/>
  </si>
  <si>
    <t>cover all battery vendor</t>
    <phoneticPr fontId="5" type="noConversion"/>
  </si>
  <si>
    <t>06 Internal speaker06 Internal speaker</t>
    <phoneticPr fontId="5" type="noConversion"/>
  </si>
  <si>
    <t>07 Buzzer</t>
    <phoneticPr fontId="5" type="noConversion"/>
  </si>
  <si>
    <t>08 ME disable header</t>
    <phoneticPr fontId="5" type="noConversion"/>
  </si>
  <si>
    <t>09 LEO chip</t>
    <phoneticPr fontId="5" type="noConversion"/>
  </si>
  <si>
    <t>10 Intrusion switch (CI)</t>
    <phoneticPr fontId="5" type="noConversion"/>
  </si>
  <si>
    <t>11 Board to board (BTB) connector (Tiny only)</t>
    <phoneticPr fontId="5" type="noConversion"/>
  </si>
  <si>
    <t>03 Communication</t>
    <phoneticPr fontId="5" type="noConversion"/>
  </si>
  <si>
    <t>01 Ethernet</t>
    <phoneticPr fontId="5" type="noConversion"/>
  </si>
  <si>
    <t>01 10M/100M/1000M Ethernet</t>
    <phoneticPr fontId="5" type="noConversion"/>
  </si>
  <si>
    <t>cover all lan chip</t>
    <phoneticPr fontId="5" type="noConversion"/>
  </si>
  <si>
    <t xml:space="preserve">03 Communication 
</t>
    <phoneticPr fontId="5" type="noConversion"/>
  </si>
  <si>
    <t>02 Wi-Fi and BlueTooth</t>
    <phoneticPr fontId="5" type="noConversion"/>
  </si>
  <si>
    <t>Wi-Fi Common Test</t>
    <phoneticPr fontId="5" type="noConversion"/>
  </si>
  <si>
    <t>Cover all WLAN module</t>
    <phoneticPr fontId="5" type="noConversion"/>
  </si>
  <si>
    <t>BlueTooth Common Test</t>
    <phoneticPr fontId="5" type="noConversion"/>
  </si>
  <si>
    <t>03 WWAN</t>
    <phoneticPr fontId="5" type="noConversion"/>
  </si>
  <si>
    <t>WWAN and SIM Common Test</t>
    <phoneticPr fontId="5" type="noConversion"/>
  </si>
  <si>
    <t>cover all wwan card</t>
    <phoneticPr fontId="5" type="noConversion"/>
  </si>
  <si>
    <t xml:space="preserve">04 Natural User Interface 
</t>
    <phoneticPr fontId="5" type="noConversion"/>
  </si>
  <si>
    <t>01 Touch</t>
    <phoneticPr fontId="5" type="noConversion"/>
  </si>
  <si>
    <t>Touch Performance Automatic Test</t>
    <phoneticPr fontId="5" type="noConversion"/>
  </si>
  <si>
    <t>RD</t>
    <phoneticPr fontId="5" type="noConversion"/>
  </si>
  <si>
    <t>cover all touch vendor&amp;size</t>
    <phoneticPr fontId="5" type="noConversion"/>
  </si>
  <si>
    <t>05  Multi-Media</t>
    <phoneticPr fontId="5" type="noConversion"/>
  </si>
  <si>
    <t>01 Audio</t>
    <phoneticPr fontId="5" type="noConversion"/>
  </si>
  <si>
    <t>Singel channel</t>
    <phoneticPr fontId="5" type="noConversion"/>
  </si>
  <si>
    <t>cover all audio codec&amp;speaker vendor</t>
    <phoneticPr fontId="5" type="noConversion"/>
  </si>
  <si>
    <t>Combo iack</t>
    <phoneticPr fontId="5" type="noConversion"/>
  </si>
  <si>
    <t>02 Graphics</t>
    <phoneticPr fontId="5" type="noConversion"/>
  </si>
  <si>
    <t>Multi-display</t>
    <phoneticPr fontId="5" type="noConversion"/>
  </si>
  <si>
    <t>cover all panel</t>
    <phoneticPr fontId="5" type="noConversion"/>
  </si>
  <si>
    <t>06 Special Test</t>
    <phoneticPr fontId="5" type="noConversion"/>
  </si>
  <si>
    <t>Mechanical Function</t>
    <phoneticPr fontId="2" type="noConversion"/>
  </si>
  <si>
    <r>
      <t xml:space="preserve">01 </t>
    </r>
    <r>
      <rPr>
        <sz val="10"/>
        <color rgb="FF000000"/>
        <rFont val="標楷體"/>
        <family val="4"/>
        <charset val="136"/>
      </rPr>
      <t>主板部件级安装_x000D_</t>
    </r>
  </si>
  <si>
    <t>Y</t>
  </si>
  <si>
    <t>cover project Size</t>
    <phoneticPr fontId="5" type="noConversion"/>
  </si>
  <si>
    <r>
      <t>02 3.5</t>
    </r>
    <r>
      <rPr>
        <sz val="10"/>
        <rFont val="標楷體"/>
        <family val="4"/>
        <charset val="136"/>
      </rPr>
      <t>寸硬盘安装检查</t>
    </r>
    <r>
      <rPr>
        <sz val="10"/>
        <color rgb="FF000000"/>
        <rFont val="Calibri"/>
        <family val="2"/>
      </rPr>
      <t>_x000D_</t>
    </r>
  </si>
  <si>
    <r>
      <t>03 ODD</t>
    </r>
    <r>
      <rPr>
        <sz val="10"/>
        <color rgb="FF000000"/>
        <rFont val="標楷體"/>
        <family val="4"/>
        <charset val="136"/>
      </rPr>
      <t>位置检查_x000D_</t>
    </r>
  </si>
  <si>
    <r>
      <t xml:space="preserve">04 </t>
    </r>
    <r>
      <rPr>
        <sz val="10"/>
        <rFont val="標楷體"/>
        <family val="4"/>
        <charset val="136"/>
      </rPr>
      <t>板卡安装及检查</t>
    </r>
  </si>
  <si>
    <r>
      <t>05</t>
    </r>
    <r>
      <rPr>
        <sz val="10"/>
        <color rgb="FF000000"/>
        <rFont val="標楷體"/>
        <family val="4"/>
        <charset val="136"/>
      </rPr>
      <t>电源安装_x000D_</t>
    </r>
  </si>
  <si>
    <r>
      <t xml:space="preserve">06 </t>
    </r>
    <r>
      <rPr>
        <sz val="10"/>
        <rFont val="標楷體"/>
        <family val="4"/>
        <charset val="136"/>
      </rPr>
      <t>内置</t>
    </r>
    <r>
      <rPr>
        <sz val="10"/>
        <rFont val="Calibri"/>
        <family val="2"/>
      </rPr>
      <t>speaker</t>
    </r>
    <r>
      <rPr>
        <sz val="10"/>
        <rFont val="標楷體"/>
        <family val="4"/>
        <charset val="136"/>
      </rPr>
      <t>安装检查</t>
    </r>
    <r>
      <rPr>
        <sz val="10"/>
        <color rgb="FF000000"/>
        <rFont val="Calibri"/>
        <family val="2"/>
      </rPr>
      <t>_x000D_</t>
    </r>
  </si>
  <si>
    <r>
      <t xml:space="preserve">07 </t>
    </r>
    <r>
      <rPr>
        <sz val="10"/>
        <rFont val="標楷體"/>
        <family val="4"/>
        <charset val="136"/>
      </rPr>
      <t>内部走线及机箱外部电气性能</t>
    </r>
    <r>
      <rPr>
        <sz val="10"/>
        <color rgb="FF000000"/>
        <rFont val="Calibri"/>
        <family val="2"/>
      </rPr>
      <t>_x000D_</t>
    </r>
  </si>
  <si>
    <r>
      <t xml:space="preserve">08 </t>
    </r>
    <r>
      <rPr>
        <sz val="10"/>
        <rFont val="標楷體"/>
        <family val="4"/>
        <charset val="136"/>
      </rPr>
      <t>机箱满载安装检查</t>
    </r>
    <r>
      <rPr>
        <sz val="10"/>
        <color rgb="FF000000"/>
        <rFont val="Calibri"/>
        <family val="2"/>
      </rPr>
      <t>_x000D_</t>
    </r>
  </si>
  <si>
    <r>
      <t xml:space="preserve">09 </t>
    </r>
    <r>
      <rPr>
        <sz val="10"/>
        <color rgb="FF000000"/>
        <rFont val="標楷體"/>
        <family val="4"/>
        <charset val="136"/>
      </rPr>
      <t>上盖或外壳安装检查_x000D_</t>
    </r>
  </si>
  <si>
    <r>
      <t xml:space="preserve">10 </t>
    </r>
    <r>
      <rPr>
        <sz val="10"/>
        <color rgb="FF000000"/>
        <rFont val="標楷體"/>
        <family val="4"/>
        <charset val="136"/>
      </rPr>
      <t>底托和底角可靠性检查_x000D_</t>
    </r>
  </si>
  <si>
    <r>
      <t xml:space="preserve">11 C2-switch </t>
    </r>
    <r>
      <rPr>
        <sz val="10"/>
        <color rgb="FF000000"/>
        <rFont val="標楷體"/>
        <family val="4"/>
        <charset val="136"/>
      </rPr>
      <t>开关安装检查_x000D_</t>
    </r>
  </si>
  <si>
    <r>
      <t xml:space="preserve">12 </t>
    </r>
    <r>
      <rPr>
        <sz val="10"/>
        <color rgb="FF000000"/>
        <rFont val="標楷體"/>
        <family val="4"/>
        <charset val="136"/>
      </rPr>
      <t>后</t>
    </r>
    <r>
      <rPr>
        <sz val="10"/>
        <color rgb="FF000000"/>
        <rFont val="Calibri"/>
        <family val="2"/>
      </rPr>
      <t>IO</t>
    </r>
    <r>
      <rPr>
        <sz val="10"/>
        <color rgb="FF000000"/>
        <rFont val="標楷體"/>
        <family val="4"/>
        <charset val="136"/>
      </rPr>
      <t>挡片安装过程_x000D_</t>
    </r>
  </si>
  <si>
    <r>
      <t xml:space="preserve">13 </t>
    </r>
    <r>
      <rPr>
        <sz val="10"/>
        <color rgb="FF000000"/>
        <rFont val="標楷體"/>
        <family val="4"/>
        <charset val="136"/>
      </rPr>
      <t>主板系统级安装_x000D_</t>
    </r>
  </si>
  <si>
    <r>
      <t xml:space="preserve">14 </t>
    </r>
    <r>
      <rPr>
        <sz val="10"/>
        <color rgb="FF000000"/>
        <rFont val="標楷體"/>
        <family val="4"/>
        <charset val="136"/>
      </rPr>
      <t>读卡器安装检查_x000D_</t>
    </r>
  </si>
  <si>
    <r>
      <t xml:space="preserve">15 </t>
    </r>
    <r>
      <rPr>
        <sz val="10"/>
        <color rgb="FF000000"/>
        <rFont val="標楷體"/>
        <family val="4"/>
        <charset val="136"/>
      </rPr>
      <t>前置</t>
    </r>
    <r>
      <rPr>
        <sz val="10"/>
        <color rgb="FF000000"/>
        <rFont val="Calibri"/>
        <family val="2"/>
      </rPr>
      <t>USB,</t>
    </r>
    <r>
      <rPr>
        <sz val="10"/>
        <color rgb="FF000000"/>
        <rFont val="標楷體"/>
        <family val="4"/>
        <charset val="136"/>
      </rPr>
      <t>音频小板安装检查_x000D_</t>
    </r>
  </si>
  <si>
    <r>
      <t>16 USB port</t>
    </r>
    <r>
      <rPr>
        <sz val="10"/>
        <color rgb="FF000000"/>
        <rFont val="標楷體"/>
        <family val="4"/>
        <charset val="136"/>
      </rPr>
      <t>插拔力的测试_x000D_</t>
    </r>
  </si>
  <si>
    <r>
      <t xml:space="preserve">17 </t>
    </r>
    <r>
      <rPr>
        <sz val="10"/>
        <color rgb="FF000000"/>
        <rFont val="標楷體"/>
        <family val="4"/>
        <charset val="136"/>
      </rPr>
      <t>温感线安装检查_x000D_</t>
    </r>
  </si>
  <si>
    <r>
      <t xml:space="preserve">18 </t>
    </r>
    <r>
      <rPr>
        <sz val="10"/>
        <color rgb="FF000000"/>
        <rFont val="標楷體"/>
        <family val="4"/>
        <charset val="136"/>
      </rPr>
      <t>系统风扇安装检查_x000D_</t>
    </r>
  </si>
  <si>
    <r>
      <t xml:space="preserve">19 power fan </t>
    </r>
    <r>
      <rPr>
        <sz val="10"/>
        <color rgb="FF000000"/>
        <rFont val="標楷體"/>
        <family val="4"/>
        <charset val="136"/>
      </rPr>
      <t>安装检查</t>
    </r>
    <r>
      <rPr>
        <sz val="10"/>
        <color rgb="FF000000"/>
        <rFont val="Calibri"/>
        <family val="2"/>
      </rPr>
      <t>(</t>
    </r>
    <r>
      <rPr>
        <sz val="10"/>
        <color rgb="FF000000"/>
        <rFont val="標楷體"/>
        <family val="4"/>
        <charset val="136"/>
      </rPr>
      <t>双硬盘机型需要添加此测试）_x000D_</t>
    </r>
  </si>
  <si>
    <r>
      <t xml:space="preserve">20 </t>
    </r>
    <r>
      <rPr>
        <sz val="10"/>
        <color rgb="FF000000"/>
        <rFont val="標楷體"/>
        <family val="4"/>
        <charset val="136"/>
      </rPr>
      <t>外观检查_x000D_</t>
    </r>
  </si>
  <si>
    <r>
      <t xml:space="preserve">21 </t>
    </r>
    <r>
      <rPr>
        <sz val="10"/>
        <rFont val="標楷體"/>
        <family val="4"/>
        <charset val="136"/>
      </rPr>
      <t>机箱周围零件检查</t>
    </r>
  </si>
  <si>
    <r>
      <t xml:space="preserve">21 </t>
    </r>
    <r>
      <rPr>
        <sz val="10"/>
        <color rgb="FF000000"/>
        <rFont val="標楷體"/>
        <family val="4"/>
        <charset val="136"/>
      </rPr>
      <t>主板的基本检查_x000D_</t>
    </r>
  </si>
  <si>
    <r>
      <t xml:space="preserve">22 </t>
    </r>
    <r>
      <rPr>
        <sz val="10"/>
        <color rgb="FF000000"/>
        <rFont val="標楷體"/>
        <family val="4"/>
        <charset val="136"/>
      </rPr>
      <t>电源装配测试_x000D_</t>
    </r>
  </si>
  <si>
    <r>
      <t xml:space="preserve">23 </t>
    </r>
    <r>
      <rPr>
        <sz val="10"/>
        <color rgb="FF000000"/>
        <rFont val="標楷體"/>
        <family val="4"/>
        <charset val="136"/>
      </rPr>
      <t>硬盘装配测试_x000D_</t>
    </r>
  </si>
  <si>
    <r>
      <t>24 CPU&amp;</t>
    </r>
    <r>
      <rPr>
        <sz val="10"/>
        <color rgb="FF000000"/>
        <rFont val="標楷體"/>
        <family val="4"/>
        <charset val="136"/>
      </rPr>
      <t>散热器_x000D_</t>
    </r>
  </si>
  <si>
    <r>
      <t xml:space="preserve">25 </t>
    </r>
    <r>
      <rPr>
        <sz val="10"/>
        <color rgb="FF000000"/>
        <rFont val="標楷體"/>
        <family val="4"/>
        <charset val="136"/>
      </rPr>
      <t>内存装配测试_x000D_</t>
    </r>
  </si>
  <si>
    <t>26 converter board</t>
  </si>
  <si>
    <r>
      <t xml:space="preserve">27 </t>
    </r>
    <r>
      <rPr>
        <sz val="10"/>
        <rFont val="標楷體"/>
        <family val="4"/>
        <charset val="136"/>
      </rPr>
      <t>光驱装配测试</t>
    </r>
    <r>
      <rPr>
        <sz val="10"/>
        <color rgb="FF000000"/>
        <rFont val="Calibri"/>
        <family val="2"/>
      </rPr>
      <t>_x000D_</t>
    </r>
  </si>
  <si>
    <r>
      <t xml:space="preserve">28 </t>
    </r>
    <r>
      <rPr>
        <sz val="10"/>
        <color rgb="FF000000"/>
        <rFont val="標楷體"/>
        <family val="4"/>
        <charset val="136"/>
      </rPr>
      <t>读卡器装配测试_x000D_</t>
    </r>
  </si>
  <si>
    <r>
      <t>29 New Card</t>
    </r>
    <r>
      <rPr>
        <sz val="10"/>
        <color rgb="FF000000"/>
        <rFont val="標楷體"/>
        <family val="4"/>
        <charset val="136"/>
      </rPr>
      <t>检查_x000D_</t>
    </r>
  </si>
  <si>
    <r>
      <t>30 PCIE</t>
    </r>
    <r>
      <rPr>
        <sz val="10"/>
        <color rgb="FF000000"/>
        <rFont val="標楷體"/>
        <family val="4"/>
        <charset val="136"/>
      </rPr>
      <t>设备装配测试_x000D_</t>
    </r>
  </si>
  <si>
    <r>
      <t xml:space="preserve">31 </t>
    </r>
    <r>
      <rPr>
        <sz val="10"/>
        <color rgb="FF000000"/>
        <rFont val="標楷體"/>
        <family val="4"/>
        <charset val="136"/>
      </rPr>
      <t>小板装备测试_x000D_</t>
    </r>
  </si>
  <si>
    <r>
      <t xml:space="preserve">32 </t>
    </r>
    <r>
      <rPr>
        <sz val="10"/>
        <color rgb="FF000000"/>
        <rFont val="標楷體"/>
        <family val="4"/>
        <charset val="136"/>
      </rPr>
      <t>其他部件装配测试_x000D_</t>
    </r>
  </si>
  <si>
    <r>
      <t>33 VESA mount</t>
    </r>
    <r>
      <rPr>
        <sz val="10"/>
        <color rgb="FF000000"/>
        <rFont val="標楷體"/>
        <family val="4"/>
        <charset val="136"/>
      </rPr>
      <t>检查_x000D_</t>
    </r>
  </si>
  <si>
    <r>
      <t xml:space="preserve">34 </t>
    </r>
    <r>
      <rPr>
        <sz val="10"/>
        <rFont val="標楷體"/>
        <family val="4"/>
        <charset val="136"/>
      </rPr>
      <t>后盖装配测试</t>
    </r>
    <r>
      <rPr>
        <sz val="10"/>
        <color rgb="FF000000"/>
        <rFont val="Calibri"/>
        <family val="2"/>
      </rPr>
      <t>_x000D_</t>
    </r>
  </si>
  <si>
    <r>
      <t xml:space="preserve">35 </t>
    </r>
    <r>
      <rPr>
        <sz val="10"/>
        <rFont val="標楷體"/>
        <family val="4"/>
        <charset val="136"/>
      </rPr>
      <t>线缆测试</t>
    </r>
  </si>
  <si>
    <r>
      <t xml:space="preserve">36 </t>
    </r>
    <r>
      <rPr>
        <sz val="10"/>
        <color rgb="FF000000"/>
        <rFont val="標楷體"/>
        <family val="4"/>
        <charset val="136"/>
      </rPr>
      <t>整体外观_x000D_</t>
    </r>
  </si>
  <si>
    <t>37 Y900RE LED Board</t>
  </si>
  <si>
    <t>03 OS &amp; Platform</t>
    <phoneticPr fontId="15" type="noConversion"/>
  </si>
  <si>
    <t>01 BIOS Fuction</t>
  </si>
  <si>
    <t>02 SETUP</t>
  </si>
  <si>
    <r>
      <rPr>
        <sz val="10"/>
        <color theme="1"/>
        <rFont val="標楷體"/>
        <family val="4"/>
        <charset val="136"/>
      </rPr>
      <t>多种方式的</t>
    </r>
    <r>
      <rPr>
        <sz val="10"/>
        <color theme="1"/>
        <rFont val="Calibri"/>
        <family val="2"/>
      </rPr>
      <t>BIOS</t>
    </r>
    <r>
      <rPr>
        <sz val="10"/>
        <color theme="1"/>
        <rFont val="標楷體"/>
        <family val="4"/>
        <charset val="136"/>
      </rPr>
      <t>刷新</t>
    </r>
  </si>
  <si>
    <t>P3</t>
  </si>
  <si>
    <t> 2017/10/26</t>
    <phoneticPr fontId="15" type="noConversion"/>
  </si>
  <si>
    <t>DQA</t>
    <phoneticPr fontId="15" type="noConversion"/>
  </si>
  <si>
    <t>UMA&amp;DIS</t>
    <phoneticPr fontId="15" type="noConversion"/>
  </si>
  <si>
    <t>03 OS &amp; Platform</t>
  </si>
  <si>
    <r>
      <rPr>
        <sz val="10"/>
        <color theme="1"/>
        <rFont val="標楷體"/>
        <family val="4"/>
        <charset val="136"/>
      </rPr>
      <t>不同版本的</t>
    </r>
    <r>
      <rPr>
        <sz val="10"/>
        <color theme="1"/>
        <rFont val="Calibri"/>
        <family val="2"/>
      </rPr>
      <t>BIOS</t>
    </r>
    <r>
      <rPr>
        <sz val="10"/>
        <color theme="1"/>
        <rFont val="標楷體"/>
        <family val="4"/>
        <charset val="136"/>
      </rPr>
      <t>刷新</t>
    </r>
  </si>
  <si>
    <t>P2</t>
  </si>
  <si>
    <t>Secure Flash</t>
    <phoneticPr fontId="15" type="noConversion"/>
  </si>
  <si>
    <r>
      <rPr>
        <sz val="10"/>
        <color theme="1"/>
        <rFont val="標楷體"/>
        <family val="4"/>
        <charset val="136"/>
      </rPr>
      <t>刷新包检查</t>
    </r>
  </si>
  <si>
    <r>
      <rPr>
        <sz val="10"/>
        <color theme="1"/>
        <rFont val="標楷體"/>
        <family val="4"/>
        <charset val="136"/>
      </rPr>
      <t>与</t>
    </r>
    <r>
      <rPr>
        <sz val="10"/>
        <color theme="1"/>
        <rFont val="Calibri"/>
        <family val="2"/>
      </rPr>
      <t>BIOS</t>
    </r>
    <r>
      <rPr>
        <sz val="10"/>
        <color theme="1"/>
        <rFont val="標楷體"/>
        <family val="4"/>
        <charset val="136"/>
      </rPr>
      <t>刷新相关的功能验证</t>
    </r>
  </si>
  <si>
    <r>
      <t xml:space="preserve">SETUP </t>
    </r>
    <r>
      <rPr>
        <sz val="10"/>
        <color theme="1"/>
        <rFont val="標楷體"/>
        <family val="4"/>
        <charset val="136"/>
      </rPr>
      <t>选项功能验证</t>
    </r>
  </si>
  <si>
    <r>
      <t>SETUP</t>
    </r>
    <r>
      <rPr>
        <sz val="10"/>
        <color theme="1"/>
        <rFont val="標楷體"/>
        <family val="4"/>
        <charset val="136"/>
      </rPr>
      <t>信息检查</t>
    </r>
  </si>
  <si>
    <r>
      <rPr>
        <sz val="10"/>
        <color theme="1"/>
        <rFont val="標楷體"/>
        <family val="4"/>
        <charset val="136"/>
      </rPr>
      <t>启动选项验证</t>
    </r>
  </si>
  <si>
    <r>
      <t>SETUP</t>
    </r>
    <r>
      <rPr>
        <sz val="10"/>
        <color theme="1"/>
        <rFont val="標楷體"/>
        <family val="4"/>
        <charset val="136"/>
      </rPr>
      <t>功能测试</t>
    </r>
  </si>
  <si>
    <r>
      <t>BB</t>
    </r>
    <r>
      <rPr>
        <sz val="10"/>
        <color theme="1"/>
        <rFont val="標楷體"/>
        <family val="4"/>
        <charset val="136"/>
      </rPr>
      <t>刷新</t>
    </r>
  </si>
  <si>
    <t>BBR</t>
    <phoneticPr fontId="15" type="noConversion"/>
  </si>
  <si>
    <r>
      <t>ME</t>
    </r>
    <r>
      <rPr>
        <sz val="10"/>
        <color theme="1"/>
        <rFont val="標楷體"/>
        <family val="4"/>
        <charset val="136"/>
      </rPr>
      <t>基本功能</t>
    </r>
  </si>
  <si>
    <r>
      <t>SIO/EC</t>
    </r>
    <r>
      <rPr>
        <sz val="10"/>
        <color theme="1"/>
        <rFont val="標楷體"/>
        <family val="4"/>
        <charset val="136"/>
      </rPr>
      <t>基本功能</t>
    </r>
  </si>
  <si>
    <r>
      <rPr>
        <sz val="10"/>
        <color theme="1"/>
        <rFont val="標楷體"/>
        <family val="4"/>
        <charset val="136"/>
      </rPr>
      <t>回写备份工具测试</t>
    </r>
  </si>
  <si>
    <r>
      <rPr>
        <sz val="10"/>
        <color theme="1"/>
        <rFont val="標楷體"/>
        <family val="4"/>
        <charset val="136"/>
      </rPr>
      <t>其他工具</t>
    </r>
  </si>
  <si>
    <t>EC Secure Flash</t>
    <phoneticPr fontId="15" type="noConversion"/>
  </si>
  <si>
    <t>Windows UEFI Firmware Update--BIOS</t>
    <phoneticPr fontId="15" type="noConversion"/>
  </si>
  <si>
    <t>Windows UEFI Firmware Update--ME</t>
  </si>
  <si>
    <t>Intel Software Guard Extensions(SGX)</t>
    <phoneticPr fontId="15" type="noConversion"/>
  </si>
  <si>
    <t>BIOS FW Update with LVFS WU</t>
  </si>
  <si>
    <t>Http Boot Function</t>
  </si>
  <si>
    <t>Windows UEFI Firmware Update-EC</t>
  </si>
  <si>
    <t>ME FW Update with LVFS</t>
  </si>
  <si>
    <t>EC FW Update with LVFS</t>
  </si>
  <si>
    <t>03 Post</t>
  </si>
  <si>
    <t>POST Logo. Check</t>
    <phoneticPr fontId="15" type="noConversion"/>
  </si>
  <si>
    <t>POST Error Check</t>
    <phoneticPr fontId="15" type="noConversion"/>
  </si>
  <si>
    <t>Other Test</t>
    <phoneticPr fontId="15" type="noConversion"/>
  </si>
  <si>
    <t>Post Time Check</t>
  </si>
  <si>
    <t>Extreme Boot Check</t>
    <phoneticPr fontId="15" type="noConversion"/>
  </si>
  <si>
    <t>UMA&amp;DIS, coverSSD&amp;HDD Config</t>
    <phoneticPr fontId="15" type="noConversion"/>
  </si>
  <si>
    <t>04 Security</t>
  </si>
  <si>
    <t>POP test</t>
    <phoneticPr fontId="15" type="noConversion"/>
  </si>
  <si>
    <r>
      <t>SVP Test</t>
    </r>
    <r>
      <rPr>
        <sz val="10"/>
        <color rgb="FF000000"/>
        <rFont val="標楷體"/>
        <family val="4"/>
        <charset val="136"/>
      </rPr>
      <t>（</t>
    </r>
    <r>
      <rPr>
        <sz val="10"/>
        <color rgb="FF000000"/>
        <rFont val="Calibri"/>
        <family val="2"/>
      </rPr>
      <t>PAP Test</t>
    </r>
    <r>
      <rPr>
        <sz val="10"/>
        <color rgb="FF000000"/>
        <rFont val="標楷體"/>
        <family val="4"/>
        <charset val="136"/>
      </rPr>
      <t>）</t>
    </r>
  </si>
  <si>
    <t>POP and SVP(PAP=SVP ) interactive test</t>
  </si>
  <si>
    <t>DQA</t>
    <phoneticPr fontId="15" type="noConversion"/>
  </si>
  <si>
    <t>SMP Test(Only Think WW Request )</t>
    <phoneticPr fontId="15" type="noConversion"/>
  </si>
  <si>
    <t>Fingerprint Test</t>
    <phoneticPr fontId="15" type="noConversion"/>
  </si>
  <si>
    <t>P2</t>
    <phoneticPr fontId="15" type="noConversion"/>
  </si>
  <si>
    <t>Chassis Alert</t>
    <phoneticPr fontId="15" type="noConversion"/>
  </si>
  <si>
    <t>TPM1.2</t>
    <phoneticPr fontId="15" type="noConversion"/>
  </si>
  <si>
    <t>HDD Password</t>
    <phoneticPr fontId="15" type="noConversion"/>
  </si>
  <si>
    <t>Other test</t>
    <phoneticPr fontId="15" type="noConversion"/>
  </si>
  <si>
    <t>TPM2.0</t>
    <phoneticPr fontId="15" type="noConversion"/>
  </si>
  <si>
    <t>TCM</t>
    <phoneticPr fontId="15" type="noConversion"/>
  </si>
  <si>
    <t>DQA</t>
    <phoneticPr fontId="15" type="noConversion"/>
  </si>
  <si>
    <t>Device Guard</t>
    <phoneticPr fontId="15" type="noConversion"/>
  </si>
  <si>
    <t>Boot Guard</t>
  </si>
  <si>
    <t>05 APM</t>
  </si>
  <si>
    <t>Wake up by alarm</t>
    <phoneticPr fontId="15" type="noConversion"/>
  </si>
  <si>
    <t>P3</t>
    <phoneticPr fontId="15" type="noConversion"/>
  </si>
  <si>
    <t>Wake up by modem</t>
    <phoneticPr fontId="15" type="noConversion"/>
  </si>
  <si>
    <t>P2</t>
    <phoneticPr fontId="15" type="noConversion"/>
  </si>
  <si>
    <t>Wake up by lan</t>
    <phoneticPr fontId="15" type="noConversion"/>
  </si>
  <si>
    <t>Wake on alarm longrun test</t>
    <phoneticPr fontId="15" type="noConversion"/>
  </si>
  <si>
    <t>06 BIOS SPEC check</t>
  </si>
  <si>
    <t>NEC BIOS</t>
    <phoneticPr fontId="15" type="noConversion"/>
  </si>
  <si>
    <t>Lenovo string</t>
    <phoneticPr fontId="15" type="noConversion"/>
  </si>
  <si>
    <t>SMBIOS information check</t>
    <phoneticPr fontId="15" type="noConversion"/>
  </si>
  <si>
    <t>OS active</t>
    <phoneticPr fontId="15" type="noConversion"/>
  </si>
  <si>
    <t>07 BIOS SW test</t>
  </si>
  <si>
    <r>
      <rPr>
        <sz val="10"/>
        <color theme="1"/>
        <rFont val="標楷體"/>
        <family val="4"/>
        <charset val="136"/>
      </rPr>
      <t>工厂流程测试_x000D_</t>
    </r>
  </si>
  <si>
    <t>RD</t>
  </si>
  <si>
    <t>Computrace Test</t>
    <phoneticPr fontId="15" type="noConversion"/>
  </si>
  <si>
    <t>Computrace Test long run</t>
    <phoneticPr fontId="15" type="noConversion"/>
  </si>
  <si>
    <t>Grub SW test</t>
    <phoneticPr fontId="15" type="noConversion"/>
  </si>
  <si>
    <t>Lenovo Diagnostics</t>
    <phoneticPr fontId="15" type="noConversion"/>
  </si>
  <si>
    <t>Remote BIOS Management</t>
    <phoneticPr fontId="15" type="noConversion"/>
  </si>
  <si>
    <t>P2</t>
    <phoneticPr fontId="15" type="noConversion"/>
  </si>
  <si>
    <r>
      <t xml:space="preserve">UEFI </t>
    </r>
    <r>
      <rPr>
        <sz val="10"/>
        <color theme="1"/>
        <rFont val="標楷體"/>
        <family val="4"/>
        <charset val="136"/>
      </rPr>
      <t>工厂工具测试_x000D_</t>
    </r>
  </si>
  <si>
    <t>Security Feature Check</t>
  </si>
  <si>
    <r>
      <t xml:space="preserve">Intel DPTF </t>
    </r>
    <r>
      <rPr>
        <sz val="10"/>
        <color rgb="FF000000"/>
        <rFont val="標楷體"/>
        <family val="4"/>
        <charset val="136"/>
      </rPr>
      <t>功能验证</t>
    </r>
  </si>
  <si>
    <r>
      <t>AMD DPTC</t>
    </r>
    <r>
      <rPr>
        <sz val="10"/>
        <color rgb="FF000000"/>
        <rFont val="標楷體"/>
        <family val="4"/>
        <charset val="136"/>
      </rPr>
      <t>功能验证</t>
    </r>
  </si>
  <si>
    <t>08 Port</t>
  </si>
  <si>
    <t>USB port</t>
    <phoneticPr fontId="15" type="noConversion"/>
  </si>
  <si>
    <t>SATA Port</t>
    <phoneticPr fontId="15" type="noConversion"/>
  </si>
  <si>
    <t>USB Protect Test</t>
    <phoneticPr fontId="15" type="noConversion"/>
  </si>
  <si>
    <t>Intel Optane Function Check</t>
  </si>
  <si>
    <t>Cover Optane SKU</t>
    <phoneticPr fontId="15" type="noConversion"/>
  </si>
  <si>
    <t>09 BVT</t>
  </si>
  <si>
    <t>BIOS Flash</t>
    <phoneticPr fontId="15" type="noConversion"/>
  </si>
  <si>
    <t>RD</t>
    <phoneticPr fontId="15" type="noConversion"/>
  </si>
  <si>
    <t>EC/SIO test</t>
    <phoneticPr fontId="15" type="noConversion"/>
  </si>
  <si>
    <t>OA2/OA3 test</t>
    <phoneticPr fontId="15" type="noConversion"/>
  </si>
  <si>
    <t>BIOS basic function check</t>
    <phoneticPr fontId="15" type="noConversion"/>
  </si>
  <si>
    <r>
      <rPr>
        <sz val="10"/>
        <color theme="1"/>
        <rFont val="標楷體"/>
        <family val="4"/>
        <charset val="136"/>
      </rPr>
      <t>操作系统功能测试</t>
    </r>
    <r>
      <rPr>
        <sz val="10"/>
        <color theme="1"/>
        <rFont val="Calibri"/>
        <family val="2"/>
      </rPr>
      <t>(Windows OS Function Test)_x000D_</t>
    </r>
  </si>
  <si>
    <t>BIOS sub function test</t>
    <phoneticPr fontId="15" type="noConversion"/>
  </si>
  <si>
    <r>
      <rPr>
        <sz val="10"/>
        <color theme="1"/>
        <rFont val="標楷體"/>
        <family val="4"/>
        <charset val="136"/>
      </rPr>
      <t>来料</t>
    </r>
    <r>
      <rPr>
        <sz val="10"/>
        <color theme="1"/>
        <rFont val="Calibri"/>
        <family val="2"/>
      </rPr>
      <t>BIOS</t>
    </r>
    <r>
      <rPr>
        <sz val="10"/>
        <color theme="1"/>
        <rFont val="標楷體"/>
        <family val="4"/>
        <charset val="136"/>
      </rPr>
      <t>验证_x000D_</t>
    </r>
  </si>
  <si>
    <r>
      <t xml:space="preserve">Legacy </t>
    </r>
    <r>
      <rPr>
        <sz val="10"/>
        <color rgb="FF000000"/>
        <rFont val="標楷體"/>
        <family val="4"/>
        <charset val="136"/>
      </rPr>
      <t>工厂工具验证</t>
    </r>
  </si>
  <si>
    <r>
      <rPr>
        <sz val="10"/>
        <color theme="1"/>
        <rFont val="標楷體"/>
        <family val="4"/>
        <charset val="136"/>
      </rPr>
      <t>重点问题验证（包括</t>
    </r>
    <r>
      <rPr>
        <sz val="10"/>
        <color theme="1"/>
        <rFont val="Calibri"/>
        <family val="2"/>
      </rPr>
      <t>releasnote</t>
    </r>
    <r>
      <rPr>
        <sz val="10"/>
        <color theme="1"/>
        <rFont val="標楷體"/>
        <family val="4"/>
        <charset val="136"/>
      </rPr>
      <t>内</t>
    </r>
    <r>
      <rPr>
        <sz val="10"/>
        <color theme="1"/>
        <rFont val="Calibri"/>
        <family val="2"/>
      </rPr>
      <t>BUG</t>
    </r>
    <r>
      <rPr>
        <sz val="10"/>
        <color theme="1"/>
        <rFont val="標楷體"/>
        <family val="4"/>
        <charset val="136"/>
      </rPr>
      <t>以及由此涉及的其它问题）_x000D_</t>
    </r>
  </si>
  <si>
    <r>
      <rPr>
        <sz val="10"/>
        <color theme="1"/>
        <rFont val="標楷體"/>
        <family val="4"/>
        <charset val="136"/>
      </rPr>
      <t>外</t>
    </r>
    <r>
      <rPr>
        <sz val="10"/>
        <color theme="1"/>
        <rFont val="Calibri"/>
        <family val="2"/>
      </rPr>
      <t>team</t>
    </r>
    <r>
      <rPr>
        <sz val="10"/>
        <color theme="1"/>
        <rFont val="標楷體"/>
        <family val="4"/>
        <charset val="136"/>
      </rPr>
      <t>验证部分_x000D_</t>
    </r>
  </si>
  <si>
    <r>
      <rPr>
        <sz val="10"/>
        <color theme="1"/>
        <rFont val="標楷體"/>
        <family val="4"/>
        <charset val="136"/>
      </rPr>
      <t>其他_x000D_</t>
    </r>
  </si>
  <si>
    <r>
      <t>LC</t>
    </r>
    <r>
      <rPr>
        <sz val="10"/>
        <color theme="1"/>
        <rFont val="標楷體"/>
        <family val="4"/>
        <charset val="136"/>
      </rPr>
      <t>特色功能检查_x000D_</t>
    </r>
  </si>
  <si>
    <r>
      <rPr>
        <sz val="10"/>
        <color theme="1"/>
        <rFont val="標楷體"/>
        <family val="4"/>
        <charset val="136"/>
      </rPr>
      <t>特配</t>
    </r>
    <r>
      <rPr>
        <sz val="10"/>
        <color theme="1"/>
        <rFont val="Calibri"/>
        <family val="2"/>
      </rPr>
      <t>BIOS</t>
    </r>
    <r>
      <rPr>
        <sz val="10"/>
        <color theme="1"/>
        <rFont val="標楷體"/>
        <family val="4"/>
        <charset val="136"/>
      </rPr>
      <t>测试_x000D_</t>
    </r>
  </si>
  <si>
    <t>EDU8.0</t>
    <phoneticPr fontId="15" type="noConversion"/>
  </si>
  <si>
    <t>EC secure flash(Special production support, need confirm with BIOS RD)</t>
  </si>
  <si>
    <r>
      <t xml:space="preserve">UEFI </t>
    </r>
    <r>
      <rPr>
        <sz val="10"/>
        <color theme="1"/>
        <rFont val="標楷體"/>
        <family val="4"/>
        <charset val="136"/>
      </rPr>
      <t>工厂工具验证_x000D_</t>
    </r>
  </si>
  <si>
    <r>
      <rPr>
        <sz val="10"/>
        <color theme="1"/>
        <rFont val="標楷體"/>
        <family val="4"/>
        <charset val="136"/>
      </rPr>
      <t>东方亿盟</t>
    </r>
    <r>
      <rPr>
        <sz val="10"/>
        <color theme="1"/>
        <rFont val="Calibri"/>
        <family val="2"/>
      </rPr>
      <t>EDU(2017</t>
    </r>
    <r>
      <rPr>
        <sz val="10"/>
        <color theme="1"/>
        <rFont val="標楷體"/>
        <family val="4"/>
        <charset val="136"/>
      </rPr>
      <t>年开始出货的</t>
    </r>
    <r>
      <rPr>
        <sz val="10"/>
        <color theme="1"/>
        <rFont val="Calibri"/>
        <family val="2"/>
      </rPr>
      <t>KT/QT</t>
    </r>
    <r>
      <rPr>
        <sz val="10"/>
        <color theme="1"/>
        <rFont val="標楷體"/>
        <family val="4"/>
        <charset val="136"/>
      </rPr>
      <t>新品</t>
    </r>
    <r>
      <rPr>
        <sz val="10"/>
        <color theme="1"/>
        <rFont val="Calibri"/>
        <family val="2"/>
      </rPr>
      <t>)</t>
    </r>
  </si>
  <si>
    <t>10 Function User Scenario Test</t>
  </si>
  <si>
    <t>Function User Scenario Test</t>
  </si>
  <si>
    <t xml:space="preserve">Cover SSD only&amp;HDD only&amp;SSD+HDD SKU and all CPU  </t>
    <phoneticPr fontId="15" type="noConversion"/>
  </si>
  <si>
    <t>02 OS Function</t>
  </si>
  <si>
    <t>01 Dos</t>
  </si>
  <si>
    <t>DOS Test</t>
    <phoneticPr fontId="15" type="noConversion"/>
  </si>
  <si>
    <t>DQA</t>
  </si>
  <si>
    <t>02 Linux</t>
  </si>
  <si>
    <t>Ubuntu Linux</t>
    <phoneticPr fontId="15" type="noConversion"/>
  </si>
  <si>
    <t>SUSE Linux</t>
    <phoneticPr fontId="15" type="noConversion"/>
  </si>
  <si>
    <t>Fedora Linux</t>
    <phoneticPr fontId="15" type="noConversion"/>
  </si>
  <si>
    <t>Turbo Linux</t>
    <phoneticPr fontId="15" type="noConversion"/>
  </si>
  <si>
    <t>Redhat Linux</t>
    <phoneticPr fontId="15" type="noConversion"/>
  </si>
  <si>
    <t>Other Linux OS</t>
    <phoneticPr fontId="15" type="noConversion"/>
  </si>
  <si>
    <t>03 Windows 7</t>
  </si>
  <si>
    <t>Win7 OS installation</t>
    <phoneticPr fontId="15" type="noConversion"/>
  </si>
  <si>
    <t>Win7 OS functional test</t>
    <phoneticPr fontId="15" type="noConversion"/>
  </si>
  <si>
    <t>Win 7  S3 Sequence</t>
    <phoneticPr fontId="15" type="noConversion"/>
  </si>
  <si>
    <t>WIN7 S3 Test</t>
    <phoneticPr fontId="15" type="noConversion"/>
  </si>
  <si>
    <t>Win 7 S4 Sequence</t>
    <phoneticPr fontId="15" type="noConversion"/>
  </si>
  <si>
    <t>Win7 S4 Test</t>
    <phoneticPr fontId="15" type="noConversion"/>
  </si>
  <si>
    <t>Win 7 S5 Sequence</t>
    <phoneticPr fontId="15" type="noConversion"/>
  </si>
  <si>
    <t>Win 7 S0-S3-S4 Transition</t>
    <phoneticPr fontId="15" type="noConversion"/>
  </si>
  <si>
    <t>WIN7 S3 Looping</t>
    <phoneticPr fontId="15" type="noConversion"/>
  </si>
  <si>
    <t>WIN7 S3 overnight</t>
    <phoneticPr fontId="15" type="noConversion"/>
  </si>
  <si>
    <t>WIN7 S4 Looping</t>
    <phoneticPr fontId="15" type="noConversion"/>
  </si>
  <si>
    <t>WIN7 S4 overnight</t>
    <phoneticPr fontId="15" type="noConversion"/>
  </si>
  <si>
    <t>Exception Test</t>
    <phoneticPr fontId="15" type="noConversion"/>
  </si>
  <si>
    <r>
      <t>Bitlocker with TPM(</t>
    </r>
    <r>
      <rPr>
        <sz val="10"/>
        <color rgb="FF000000"/>
        <rFont val="標楷體"/>
        <family val="4"/>
        <charset val="136"/>
      </rPr>
      <t>仅支持旗舰版</t>
    </r>
    <r>
      <rPr>
        <sz val="10"/>
        <color rgb="FF000000"/>
        <rFont val="Calibri"/>
        <family val="2"/>
      </rPr>
      <t>win7)</t>
    </r>
  </si>
  <si>
    <r>
      <rPr>
        <sz val="10"/>
        <color rgb="FF000000"/>
        <rFont val="標楷體"/>
        <family val="4"/>
        <charset val="136"/>
      </rPr>
      <t>格式化重装系统</t>
    </r>
  </si>
  <si>
    <t>Driver test</t>
    <phoneticPr fontId="15" type="noConversion"/>
  </si>
  <si>
    <r>
      <rPr>
        <sz val="10"/>
        <color rgb="FF000000"/>
        <rFont val="標楷體"/>
        <family val="4"/>
        <charset val="136"/>
      </rPr>
      <t>信息检查</t>
    </r>
  </si>
  <si>
    <t>Win7 OS Basic-Windows Media Player</t>
    <phoneticPr fontId="15" type="noConversion"/>
  </si>
  <si>
    <t>04 Windows 8.x</t>
  </si>
  <si>
    <t>Hybrid sleep setting check</t>
    <phoneticPr fontId="15" type="noConversion"/>
  </si>
  <si>
    <t>Win8.x  S3 Sequence</t>
    <phoneticPr fontId="15" type="noConversion"/>
  </si>
  <si>
    <t>Win8.x S3 Test</t>
    <phoneticPr fontId="15" type="noConversion"/>
  </si>
  <si>
    <t>Win8.x S4 Sequence</t>
    <phoneticPr fontId="15" type="noConversion"/>
  </si>
  <si>
    <t>Win8.x S4 Test</t>
    <phoneticPr fontId="15" type="noConversion"/>
  </si>
  <si>
    <t>Win8.x S5 Sequence</t>
    <phoneticPr fontId="15" type="noConversion"/>
  </si>
  <si>
    <t>Win8.x S0-S3-S4 Transition</t>
    <phoneticPr fontId="15" type="noConversion"/>
  </si>
  <si>
    <t>Win8.x S3 Looping</t>
    <phoneticPr fontId="15" type="noConversion"/>
  </si>
  <si>
    <t>Win8.x S3 overnight</t>
    <phoneticPr fontId="15" type="noConversion"/>
  </si>
  <si>
    <t>Win8.x S4 Looping</t>
    <phoneticPr fontId="15" type="noConversion"/>
  </si>
  <si>
    <t>Win8.x S4 overnight</t>
    <phoneticPr fontId="15" type="noConversion"/>
  </si>
  <si>
    <t>Win8.x bitlocker without TPM</t>
    <phoneticPr fontId="15" type="noConversion"/>
  </si>
  <si>
    <t>Win8.x bitlocker with TPM1.2</t>
    <phoneticPr fontId="15" type="noConversion"/>
  </si>
  <si>
    <t>Win8.x OS Basic-Windows Media Player</t>
    <phoneticPr fontId="15" type="noConversion"/>
  </si>
  <si>
    <t>05  Windows 10</t>
  </si>
  <si>
    <t>Win10 OS installation</t>
    <phoneticPr fontId="15" type="noConversion"/>
  </si>
  <si>
    <t>Win10 OS functional test</t>
    <phoneticPr fontId="15" type="noConversion"/>
  </si>
  <si>
    <t>Win10  S3 Sequence</t>
    <phoneticPr fontId="15" type="noConversion"/>
  </si>
  <si>
    <t>Win10 S3 Test</t>
    <phoneticPr fontId="15" type="noConversion"/>
  </si>
  <si>
    <t>Win10 S4 Sequence</t>
    <phoneticPr fontId="15" type="noConversion"/>
  </si>
  <si>
    <t>Win10 S4 Test</t>
    <phoneticPr fontId="15" type="noConversion"/>
  </si>
  <si>
    <t>Win10 S5 Sequence</t>
    <phoneticPr fontId="15" type="noConversion"/>
  </si>
  <si>
    <t>Win10 S5 looping</t>
    <phoneticPr fontId="15" type="noConversion"/>
  </si>
  <si>
    <t>Win10 S0-S3/Modernstandby-S4 Transition</t>
  </si>
  <si>
    <t>Win10 S3 Looping</t>
    <phoneticPr fontId="15" type="noConversion"/>
  </si>
  <si>
    <t>Win10 S3 overnight</t>
    <phoneticPr fontId="15" type="noConversion"/>
  </si>
  <si>
    <t>Win10 S4 Looping</t>
    <phoneticPr fontId="15" type="noConversion"/>
  </si>
  <si>
    <t>Win10 S4 overnight</t>
    <phoneticPr fontId="15" type="noConversion"/>
  </si>
  <si>
    <r>
      <t>Bitlocker with TPM(HOME</t>
    </r>
    <r>
      <rPr>
        <sz val="10"/>
        <color rgb="FF000000"/>
        <rFont val="標楷體"/>
        <family val="4"/>
        <charset val="136"/>
      </rPr>
      <t>版</t>
    </r>
    <r>
      <rPr>
        <sz val="10"/>
        <color rgb="FF000000"/>
        <rFont val="Calibri"/>
        <family val="2"/>
      </rPr>
      <t>win10</t>
    </r>
    <r>
      <rPr>
        <sz val="10"/>
        <color rgb="FF000000"/>
        <rFont val="標楷體"/>
        <family val="4"/>
        <charset val="136"/>
      </rPr>
      <t>不支持</t>
    </r>
    <r>
      <rPr>
        <sz val="10"/>
        <color rgb="FF000000"/>
        <rFont val="Calibri"/>
        <family val="2"/>
      </rPr>
      <t>bitlocker</t>
    </r>
    <r>
      <rPr>
        <sz val="10"/>
        <color rgb="FF000000"/>
        <rFont val="標楷體"/>
        <family val="4"/>
        <charset val="136"/>
      </rPr>
      <t>功能</t>
    </r>
    <r>
      <rPr>
        <sz val="10"/>
        <color rgb="FF000000"/>
        <rFont val="Calibri"/>
        <family val="2"/>
      </rPr>
      <t>)</t>
    </r>
  </si>
  <si>
    <t>Modern Standby</t>
  </si>
  <si>
    <r>
      <t>06 WES</t>
    </r>
    <r>
      <rPr>
        <sz val="10"/>
        <color rgb="FF000000"/>
        <rFont val="標楷體"/>
        <family val="4"/>
        <charset val="136"/>
      </rPr>
      <t>（</t>
    </r>
    <r>
      <rPr>
        <sz val="10"/>
        <color rgb="FF000000"/>
        <rFont val="Calibri"/>
        <family val="2"/>
      </rPr>
      <t>WES7 and WIN10 IoT</t>
    </r>
    <r>
      <rPr>
        <sz val="10"/>
        <color rgb="FF000000"/>
        <rFont val="標楷體"/>
        <family val="4"/>
        <charset val="136"/>
      </rPr>
      <t>）</t>
    </r>
  </si>
  <si>
    <t>OS installation</t>
    <phoneticPr fontId="15" type="noConversion"/>
  </si>
  <si>
    <t>OS functional test</t>
    <phoneticPr fontId="15" type="noConversion"/>
  </si>
  <si>
    <t>S3 Sequence</t>
    <phoneticPr fontId="15" type="noConversion"/>
  </si>
  <si>
    <t>S3 Test</t>
    <phoneticPr fontId="15" type="noConversion"/>
  </si>
  <si>
    <t>S5 Sequence</t>
    <phoneticPr fontId="15" type="noConversion"/>
  </si>
  <si>
    <t>S0-S3 Transition</t>
    <phoneticPr fontId="15" type="noConversion"/>
  </si>
  <si>
    <t>S3 Looping</t>
    <phoneticPr fontId="15" type="noConversion"/>
  </si>
  <si>
    <t>S3 overnight</t>
    <phoneticPr fontId="15" type="noConversion"/>
  </si>
  <si>
    <t>07 Letos</t>
  </si>
  <si>
    <t>Letos</t>
    <phoneticPr fontId="15" type="noConversion"/>
  </si>
  <si>
    <t>08 N-1 OS (Dual OS)</t>
  </si>
  <si>
    <r>
      <rPr>
        <sz val="10"/>
        <color rgb="FF000000"/>
        <rFont val="標楷體"/>
        <family val="4"/>
        <charset val="136"/>
      </rPr>
      <t>主机功能检查</t>
    </r>
  </si>
  <si>
    <r>
      <t>OS</t>
    </r>
    <r>
      <rPr>
        <sz val="10"/>
        <color rgb="FF000000"/>
        <rFont val="標楷體"/>
        <family val="4"/>
        <charset val="136"/>
      </rPr>
      <t>功能检查</t>
    </r>
  </si>
  <si>
    <r>
      <rPr>
        <sz val="10"/>
        <color rgb="FF000000"/>
        <rFont val="標楷體"/>
        <family val="4"/>
        <charset val="136"/>
      </rPr>
      <t>办公软件检验</t>
    </r>
  </si>
  <si>
    <r>
      <rPr>
        <sz val="10"/>
        <color rgb="FF000000"/>
        <rFont val="標楷體"/>
        <family val="4"/>
        <charset val="136"/>
      </rPr>
      <t>性能检查</t>
    </r>
  </si>
  <si>
    <r>
      <rPr>
        <sz val="10"/>
        <color rgb="FF000000"/>
        <rFont val="標楷體"/>
        <family val="4"/>
        <charset val="136"/>
      </rPr>
      <t>稳定性检查</t>
    </r>
  </si>
  <si>
    <r>
      <rPr>
        <sz val="10"/>
        <color rgb="FF000000"/>
        <rFont val="標楷體"/>
        <family val="4"/>
        <charset val="136"/>
      </rPr>
      <t>驱动卸载</t>
    </r>
  </si>
  <si>
    <r>
      <rPr>
        <sz val="10"/>
        <color rgb="FF000000"/>
        <rFont val="標楷體"/>
        <family val="4"/>
        <charset val="136"/>
      </rPr>
      <t>二次格式化重装系统</t>
    </r>
  </si>
  <si>
    <t>User Legacy mode Install Win10</t>
  </si>
  <si>
    <t>03 CPU Function</t>
  </si>
  <si>
    <t>01 Intel-x86 CPU Function</t>
  </si>
  <si>
    <t>OC function</t>
    <phoneticPr fontId="15" type="noConversion"/>
  </si>
  <si>
    <t>cover all CPU</t>
  </si>
  <si>
    <t>OC stability</t>
    <phoneticPr fontId="15" type="noConversion"/>
  </si>
  <si>
    <t>Intel CPU Information Check</t>
    <phoneticPr fontId="15" type="noConversion"/>
  </si>
  <si>
    <t>All unit</t>
  </si>
  <si>
    <t>Intel CPU Loading Test</t>
    <phoneticPr fontId="15" type="noConversion"/>
  </si>
  <si>
    <t>Intel CPU Function Test</t>
    <phoneticPr fontId="15" type="noConversion"/>
  </si>
  <si>
    <t>Y900 OC function</t>
  </si>
  <si>
    <t>Y900 OC Stability</t>
  </si>
  <si>
    <t>Y920 OC function</t>
  </si>
  <si>
    <t>Y920 OC stability</t>
  </si>
  <si>
    <t>Intel DPTF test</t>
  </si>
  <si>
    <t>02 AMD-x86 CPU Function</t>
  </si>
  <si>
    <t>AMD CPU Information Check</t>
    <phoneticPr fontId="15" type="noConversion"/>
  </si>
  <si>
    <t>AMD CPU Loading Test</t>
    <phoneticPr fontId="15" type="noConversion"/>
  </si>
  <si>
    <t>AMD CPU Function Test</t>
    <phoneticPr fontId="15" type="noConversion"/>
  </si>
  <si>
    <t>AMD CPU compatibility test for different generation CPU</t>
  </si>
  <si>
    <t>AMD DPTC test</t>
  </si>
  <si>
    <t>03  MCU &amp; RC &amp; MRC&amp;AMD PI  Update</t>
  </si>
  <si>
    <t>Intel CPU Information Check</t>
  </si>
  <si>
    <t>Stability Test</t>
    <phoneticPr fontId="15" type="noConversion"/>
  </si>
  <si>
    <t>05 Linux test case for CPU</t>
  </si>
  <si>
    <t>Stability test</t>
  </si>
  <si>
    <t>04 Chipset Function</t>
  </si>
  <si>
    <t>01 Chipset Driver Test</t>
  </si>
  <si>
    <t>Chipset Driver Test</t>
    <phoneticPr fontId="15" type="noConversion"/>
  </si>
  <si>
    <t>UMA &amp; Discrete</t>
  </si>
  <si>
    <r>
      <t xml:space="preserve">Intel RST(SSD </t>
    </r>
    <r>
      <rPr>
        <sz val="10"/>
        <color rgb="FF000000"/>
        <rFont val="標楷體"/>
        <family val="4"/>
        <charset val="136"/>
      </rPr>
      <t>加速，</t>
    </r>
    <r>
      <rPr>
        <sz val="10"/>
        <color rgb="FF000000"/>
        <rFont val="Calibri"/>
        <family val="2"/>
      </rPr>
      <t>only for 2015 year before project )</t>
    </r>
  </si>
  <si>
    <t>Driver Test</t>
    <phoneticPr fontId="15" type="noConversion"/>
  </si>
  <si>
    <t>Basic Function</t>
  </si>
  <si>
    <t>Performance</t>
  </si>
  <si>
    <t>Different RAID Mode Test</t>
  </si>
  <si>
    <t>Other Test</t>
  </si>
  <si>
    <t>03 Intel Rapid Start Technology</t>
  </si>
  <si>
    <t>Basic Function</t>
    <phoneticPr fontId="15" type="noConversion"/>
  </si>
  <si>
    <t>Performance Test</t>
    <phoneticPr fontId="15" type="noConversion"/>
  </si>
  <si>
    <t>Compatibility</t>
    <phoneticPr fontId="15" type="noConversion"/>
  </si>
  <si>
    <t>Stability</t>
    <phoneticPr fontId="15" type="noConversion"/>
  </si>
  <si>
    <t>Abnormal Test</t>
    <phoneticPr fontId="15" type="noConversion"/>
  </si>
  <si>
    <t>04 Intel Ready Mode Technology</t>
  </si>
  <si>
    <t xml:space="preserve"> IRMT Test Preparation</t>
  </si>
  <si>
    <t>Driver test</t>
  </si>
  <si>
    <t>Basic Function Test</t>
  </si>
  <si>
    <t>05 Intel Optane Technology</t>
  </si>
  <si>
    <t>BIOS setting</t>
  </si>
  <si>
    <t>OS installation</t>
  </si>
  <si>
    <t>Driver test(Legacy)</t>
  </si>
  <si>
    <t>Driver and APP test (DCH)</t>
  </si>
  <si>
    <t>Performance before Optane mode is enabled</t>
  </si>
  <si>
    <t>Disable Optane acceleration</t>
  </si>
  <si>
    <t>Enable Optane from AHCI mode</t>
  </si>
  <si>
    <t>07 AMT/TXT/VT-D Test</t>
  </si>
  <si>
    <t>AMT/TXT/VT-D Test</t>
  </si>
  <si>
    <t>08 ME FW web release test</t>
  </si>
  <si>
    <t>ME FW update and web release test</t>
  </si>
  <si>
    <t>05 EC &amp; Super I/O Function</t>
  </si>
  <si>
    <t>01 USB Smart Power On</t>
  </si>
  <si>
    <r>
      <t>Enable</t>
    </r>
    <r>
      <rPr>
        <sz val="10"/>
        <color rgb="FF000000"/>
        <rFont val="標楷體"/>
        <family val="4"/>
        <charset val="136"/>
      </rPr>
      <t>后的功能检查</t>
    </r>
  </si>
  <si>
    <r>
      <t xml:space="preserve">Disable </t>
    </r>
    <r>
      <rPr>
        <sz val="10"/>
        <color rgb="FF000000"/>
        <rFont val="標楷體"/>
        <family val="4"/>
        <charset val="136"/>
      </rPr>
      <t>后的功能检测</t>
    </r>
  </si>
  <si>
    <r>
      <rPr>
        <sz val="10"/>
        <color rgb="FF000000"/>
        <rFont val="標楷體"/>
        <family val="4"/>
        <charset val="136"/>
      </rPr>
      <t>超级节能模式</t>
    </r>
  </si>
  <si>
    <r>
      <t>DPM</t>
    </r>
    <r>
      <rPr>
        <sz val="10"/>
        <color rgb="FF000000"/>
        <rFont val="標楷體"/>
        <family val="4"/>
        <charset val="136"/>
      </rPr>
      <t>充电模式的检查</t>
    </r>
  </si>
  <si>
    <t>Deep Sleep</t>
  </si>
  <si>
    <t>G3</t>
  </si>
  <si>
    <t>Change DPM Charge  Mode</t>
  </si>
  <si>
    <r>
      <t>Type-C</t>
    </r>
    <r>
      <rPr>
        <sz val="10"/>
        <color rgb="FF000000"/>
        <rFont val="標楷體"/>
        <family val="4"/>
        <charset val="136"/>
      </rPr>
      <t>支持快速充电功能的节能模式下的充电检查</t>
    </r>
    <r>
      <rPr>
        <sz val="10"/>
        <color rgb="FF000000"/>
        <rFont val="Calibri"/>
        <family val="2"/>
      </rPr>
      <t>(BIOS</t>
    </r>
    <r>
      <rPr>
        <sz val="10"/>
        <color rgb="FF000000"/>
        <rFont val="標楷體"/>
        <family val="4"/>
        <charset val="136"/>
      </rPr>
      <t>不支持则不需要勾选和测试，找</t>
    </r>
    <r>
      <rPr>
        <sz val="10"/>
        <color rgb="FF000000"/>
        <rFont val="Calibri"/>
        <family val="2"/>
      </rPr>
      <t>VE</t>
    </r>
    <r>
      <rPr>
        <sz val="10"/>
        <color rgb="FF000000"/>
        <rFont val="標楷體"/>
        <family val="4"/>
        <charset val="136"/>
      </rPr>
      <t>确认</t>
    </r>
    <r>
      <rPr>
        <sz val="10"/>
        <color rgb="FF000000"/>
        <rFont val="Calibri"/>
        <family val="2"/>
      </rPr>
      <t>)</t>
    </r>
  </si>
  <si>
    <t>03 ODD Battery for Tiny</t>
  </si>
  <si>
    <t>Power States</t>
  </si>
  <si>
    <r>
      <t>OS</t>
    </r>
    <r>
      <rPr>
        <sz val="10"/>
        <color rgb="FF000000"/>
        <rFont val="標楷體"/>
        <family val="4"/>
        <charset val="136"/>
      </rPr>
      <t>登陆界面下的检查</t>
    </r>
  </si>
  <si>
    <t>04 Battery Function</t>
  </si>
  <si>
    <t>Battery charge function test</t>
  </si>
  <si>
    <t>03 OS &amp; Platform</t>
    <phoneticPr fontId="5" type="noConversion"/>
  </si>
  <si>
    <t>Battery discharge function test</t>
  </si>
  <si>
    <t>03 OS &amp; Platform</t>
    <phoneticPr fontId="5" type="noConversion"/>
  </si>
  <si>
    <t>05 Battery Life</t>
  </si>
  <si>
    <t>HD 720P Online video playback</t>
  </si>
  <si>
    <t>Jeita A v1.0</t>
  </si>
  <si>
    <r>
      <t xml:space="preserve">06 EC </t>
    </r>
    <r>
      <rPr>
        <sz val="10"/>
        <color rgb="FF000000"/>
        <rFont val="標楷體"/>
        <family val="4"/>
        <charset val="136"/>
      </rPr>
      <t>相关的</t>
    </r>
    <r>
      <rPr>
        <sz val="10"/>
        <color rgb="FF000000"/>
        <rFont val="Calibri"/>
        <family val="2"/>
      </rPr>
      <t xml:space="preserve"> User Scenario Test</t>
    </r>
  </si>
  <si>
    <r>
      <t xml:space="preserve">EC </t>
    </r>
    <r>
      <rPr>
        <sz val="10"/>
        <color rgb="FF000000"/>
        <rFont val="標楷體"/>
        <family val="4"/>
        <charset val="136"/>
      </rPr>
      <t>相关的</t>
    </r>
    <r>
      <rPr>
        <sz val="10"/>
        <color rgb="FF000000"/>
        <rFont val="Calibri"/>
        <family val="2"/>
      </rPr>
      <t xml:space="preserve"> User Scenario Test</t>
    </r>
  </si>
  <si>
    <r>
      <t xml:space="preserve">07 </t>
    </r>
    <r>
      <rPr>
        <sz val="10"/>
        <color rgb="FF000000"/>
        <rFont val="標楷體"/>
        <family val="4"/>
        <charset val="136"/>
      </rPr>
      <t>长按</t>
    </r>
    <r>
      <rPr>
        <sz val="10"/>
        <color rgb="FF000000"/>
        <rFont val="Calibri"/>
        <family val="2"/>
      </rPr>
      <t>power button 8</t>
    </r>
    <r>
      <rPr>
        <sz val="10"/>
        <color rgb="FF000000"/>
        <rFont val="標楷體"/>
        <family val="4"/>
        <charset val="136"/>
      </rPr>
      <t>秒以上</t>
    </r>
    <r>
      <rPr>
        <sz val="10"/>
        <color rgb="FF000000"/>
        <rFont val="Calibri"/>
        <family val="2"/>
      </rPr>
      <t>clear CMOS</t>
    </r>
  </si>
  <si>
    <r>
      <rPr>
        <sz val="10"/>
        <color rgb="FF000000"/>
        <rFont val="標楷體"/>
        <family val="4"/>
        <charset val="136"/>
      </rPr>
      <t>长按</t>
    </r>
    <r>
      <rPr>
        <sz val="10"/>
        <color rgb="FF000000"/>
        <rFont val="Calibri"/>
        <family val="2"/>
      </rPr>
      <t>power button 8</t>
    </r>
    <r>
      <rPr>
        <sz val="10"/>
        <color rgb="FF000000"/>
        <rFont val="標楷體"/>
        <family val="4"/>
        <charset val="136"/>
      </rPr>
      <t>秒以上</t>
    </r>
    <r>
      <rPr>
        <sz val="10"/>
        <color rgb="FF000000"/>
        <rFont val="Calibri"/>
        <family val="2"/>
      </rPr>
      <t>clear CMOS</t>
    </r>
  </si>
  <si>
    <r>
      <t xml:space="preserve">08  </t>
    </r>
    <r>
      <rPr>
        <sz val="10"/>
        <color rgb="FF000000"/>
        <rFont val="標楷體"/>
        <family val="4"/>
        <charset val="136"/>
      </rPr>
      <t>使用键盘的空格键</t>
    </r>
    <r>
      <rPr>
        <sz val="10"/>
        <color rgb="FF000000"/>
        <rFont val="Calibri"/>
        <family val="2"/>
      </rPr>
      <t xml:space="preserve"> </t>
    </r>
    <r>
      <rPr>
        <sz val="10"/>
        <color rgb="FF000000"/>
        <rFont val="標楷體"/>
        <family val="4"/>
        <charset val="136"/>
      </rPr>
      <t>实现快速开机</t>
    </r>
  </si>
  <si>
    <r>
      <rPr>
        <sz val="10"/>
        <color rgb="FF000000"/>
        <rFont val="標楷體"/>
        <family val="4"/>
        <charset val="136"/>
      </rPr>
      <t>使用键盘的空格键</t>
    </r>
    <r>
      <rPr>
        <sz val="10"/>
        <color rgb="FF000000"/>
        <rFont val="Calibri"/>
        <family val="2"/>
      </rPr>
      <t xml:space="preserve"> </t>
    </r>
    <r>
      <rPr>
        <sz val="10"/>
        <color rgb="FF000000"/>
        <rFont val="標楷體"/>
        <family val="4"/>
        <charset val="136"/>
      </rPr>
      <t>实现快速开机</t>
    </r>
  </si>
  <si>
    <r>
      <t>08 AIO</t>
    </r>
    <r>
      <rPr>
        <sz val="10"/>
        <color rgb="FF000000"/>
        <rFont val="標楷體"/>
        <family val="4"/>
        <charset val="136"/>
      </rPr>
      <t>机型特殊的</t>
    </r>
    <r>
      <rPr>
        <sz val="10"/>
        <color rgb="FF000000"/>
        <rFont val="Calibri"/>
        <family val="2"/>
      </rPr>
      <t>USB</t>
    </r>
    <r>
      <rPr>
        <sz val="10"/>
        <color rgb="FF000000"/>
        <rFont val="標楷體"/>
        <family val="4"/>
        <charset val="136"/>
      </rPr>
      <t>口实现键盘开机功能</t>
    </r>
  </si>
  <si>
    <r>
      <t>AIO</t>
    </r>
    <r>
      <rPr>
        <sz val="10"/>
        <color rgb="FF000000"/>
        <rFont val="標楷體"/>
        <family val="4"/>
        <charset val="136"/>
      </rPr>
      <t>机型特殊的</t>
    </r>
    <r>
      <rPr>
        <sz val="10"/>
        <color rgb="FF000000"/>
        <rFont val="Calibri"/>
        <family val="2"/>
      </rPr>
      <t>USB</t>
    </r>
    <r>
      <rPr>
        <sz val="10"/>
        <color rgb="FF000000"/>
        <rFont val="標楷體"/>
        <family val="4"/>
        <charset val="136"/>
      </rPr>
      <t>口实现键盘开机功能</t>
    </r>
  </si>
  <si>
    <t>04 Multi-Media</t>
    <phoneticPr fontId="15" type="noConversion"/>
  </si>
  <si>
    <t>04 Multi-Media</t>
    <phoneticPr fontId="5" type="noConversion"/>
  </si>
  <si>
    <r>
      <t xml:space="preserve"> 01 Graphics</t>
    </r>
    <r>
      <rPr>
        <sz val="10"/>
        <rFont val="標楷體"/>
        <family val="4"/>
        <charset val="136"/>
      </rPr>
      <t>（</t>
    </r>
    <r>
      <rPr>
        <sz val="10"/>
        <rFont val="Calibri"/>
        <family val="2"/>
      </rPr>
      <t xml:space="preserve">AMD CPU </t>
    </r>
    <r>
      <rPr>
        <sz val="10"/>
        <rFont val="標楷體"/>
        <family val="4"/>
        <charset val="136"/>
      </rPr>
      <t>请注意有些必须搭配显卡才能工作）</t>
    </r>
  </si>
  <si>
    <t>01 Single Display</t>
    <phoneticPr fontId="5" type="noConversion"/>
  </si>
  <si>
    <t>GFX Driver install/uninstall</t>
    <phoneticPr fontId="5" type="noConversion"/>
  </si>
  <si>
    <t>P1</t>
    <phoneticPr fontId="5" type="noConversion"/>
  </si>
  <si>
    <t>Intel Gfx UI Check</t>
    <phoneticPr fontId="15" type="noConversion"/>
  </si>
  <si>
    <t xml:space="preserve">UMA </t>
    <phoneticPr fontId="15" type="noConversion"/>
  </si>
  <si>
    <t>NV Gfx UI Check</t>
    <phoneticPr fontId="15" type="noConversion"/>
  </si>
  <si>
    <t>Discrete</t>
    <phoneticPr fontId="15" type="noConversion"/>
  </si>
  <si>
    <t>AMD Gfx UI Check</t>
  </si>
  <si>
    <t>vBIOS GOP check</t>
    <phoneticPr fontId="5" type="noConversion"/>
  </si>
  <si>
    <t>DOS</t>
    <phoneticPr fontId="15" type="noConversion"/>
  </si>
  <si>
    <t>Desktop Rotation</t>
    <phoneticPr fontId="5" type="noConversion"/>
  </si>
  <si>
    <t>Screen Saver&amp;Monitor Standy By Test</t>
    <phoneticPr fontId="15" type="noConversion"/>
  </si>
  <si>
    <t>Basic power management</t>
    <phoneticPr fontId="15" type="noConversion"/>
  </si>
  <si>
    <t>BurnIn Test for 2D &amp; 3D</t>
    <phoneticPr fontId="15" type="noConversion"/>
  </si>
  <si>
    <t>SDK DX11 -- only for Win7</t>
    <phoneticPr fontId="5" type="noConversion"/>
  </si>
  <si>
    <r>
      <t>DX12 --Time Spy</t>
    </r>
    <r>
      <rPr>
        <sz val="10"/>
        <rFont val="標楷體"/>
        <family val="4"/>
        <charset val="136"/>
      </rPr>
      <t>（</t>
    </r>
    <r>
      <rPr>
        <sz val="10"/>
        <rFont val="Calibri"/>
        <family val="2"/>
      </rPr>
      <t>Win10 only, Premium/Gaming</t>
    </r>
    <r>
      <rPr>
        <sz val="10"/>
        <rFont val="標楷體"/>
        <family val="4"/>
        <charset val="136"/>
      </rPr>
      <t>产品</t>
    </r>
    <r>
      <rPr>
        <sz val="10"/>
        <rFont val="Calibri"/>
        <family val="2"/>
      </rPr>
      <t>&amp;</t>
    </r>
    <r>
      <rPr>
        <sz val="10"/>
        <rFont val="標楷體"/>
        <family val="4"/>
        <charset val="136"/>
      </rPr>
      <t>独显</t>
    </r>
    <r>
      <rPr>
        <sz val="10"/>
        <rFont val="Calibri"/>
        <family val="2"/>
      </rPr>
      <t>with 3G</t>
    </r>
    <r>
      <rPr>
        <sz val="10"/>
        <rFont val="標楷體"/>
        <family val="4"/>
        <charset val="136"/>
      </rPr>
      <t>及以上显存）</t>
    </r>
  </si>
  <si>
    <t>OpenGL Veiwer</t>
    <phoneticPr fontId="15" type="noConversion"/>
  </si>
  <si>
    <t>2D Video Playback</t>
    <phoneticPr fontId="15" type="noConversion"/>
  </si>
  <si>
    <t>Game test</t>
    <phoneticPr fontId="5" type="noConversion"/>
  </si>
  <si>
    <t>HotKey Test</t>
    <phoneticPr fontId="15" type="noConversion"/>
  </si>
  <si>
    <t>Display Port Function Test</t>
    <phoneticPr fontId="15" type="noConversion"/>
  </si>
  <si>
    <t>HDMI Function Test</t>
    <phoneticPr fontId="15" type="noConversion"/>
  </si>
  <si>
    <t>DVI Test</t>
    <phoneticPr fontId="15" type="noConversion"/>
  </si>
  <si>
    <t>15M VGA cable Function Test</t>
    <phoneticPr fontId="15" type="noConversion"/>
  </si>
  <si>
    <t>Long Run(L)</t>
    <phoneticPr fontId="5" type="noConversion"/>
  </si>
  <si>
    <t>Dongle Test</t>
    <phoneticPr fontId="15" type="noConversion"/>
  </si>
  <si>
    <t>GFX performance</t>
    <phoneticPr fontId="5" type="noConversion"/>
  </si>
  <si>
    <t xml:space="preserve"> 01 Graphics</t>
  </si>
  <si>
    <t>02 Multiplay with single output</t>
  </si>
  <si>
    <t>Extend/Clone mode</t>
    <phoneticPr fontId="15" type="noConversion"/>
  </si>
  <si>
    <r>
      <rPr>
        <sz val="10"/>
        <rFont val="標楷體"/>
        <family val="4"/>
        <charset val="136"/>
      </rPr>
      <t>跨越</t>
    </r>
    <r>
      <rPr>
        <sz val="10"/>
        <rFont val="Calibri"/>
        <family val="2"/>
      </rPr>
      <t xml:space="preserve"> Collage&amp;Mosaic&amp;Eyefinity (AMD &amp; GTX &amp; on-board )</t>
    </r>
  </si>
  <si>
    <t>03 Multiplay with Multi Graphics output</t>
  </si>
  <si>
    <t>Multiple Display Test</t>
    <phoneticPr fontId="15" type="noConversion"/>
  </si>
  <si>
    <t>AMD Dual Graphics( APU+DGPU cross fire)</t>
    <phoneticPr fontId="5" type="noConversion"/>
  </si>
  <si>
    <t>Dual DGPU CrossFireX/SLI</t>
    <phoneticPr fontId="5" type="noConversion"/>
  </si>
  <si>
    <t xml:space="preserve"> 01 Graphics</t>
    <phoneticPr fontId="5" type="noConversion"/>
  </si>
  <si>
    <t>04 Gpraphics Switch</t>
  </si>
  <si>
    <t>Switch Graphic</t>
    <phoneticPr fontId="15" type="noConversion"/>
  </si>
  <si>
    <t>05 Function User Scenario Test</t>
    <phoneticPr fontId="5" type="noConversion"/>
  </si>
  <si>
    <t>Function User Scenario Test</t>
    <phoneticPr fontId="5" type="noConversion"/>
  </si>
  <si>
    <t>UMA &amp; Discrete</t>
    <phoneticPr fontId="15" type="noConversion"/>
  </si>
  <si>
    <r>
      <t>Linux--</t>
    </r>
    <r>
      <rPr>
        <sz val="10"/>
        <rFont val="標楷體"/>
        <family val="4"/>
        <charset val="136"/>
      </rPr>
      <t>中兴新支点系统</t>
    </r>
  </si>
  <si>
    <t>P2</t>
    <phoneticPr fontId="5" type="noConversion"/>
  </si>
  <si>
    <t>Linux--Common</t>
    <phoneticPr fontId="5" type="noConversion"/>
  </si>
  <si>
    <r>
      <t>NV</t>
    </r>
    <r>
      <rPr>
        <sz val="10"/>
        <rFont val="標楷體"/>
        <family val="4"/>
        <charset val="136"/>
      </rPr>
      <t>显卡</t>
    </r>
    <r>
      <rPr>
        <sz val="10"/>
        <rFont val="Calibri"/>
        <family val="2"/>
      </rPr>
      <t>View</t>
    </r>
    <r>
      <rPr>
        <sz val="10"/>
        <rFont val="標楷體"/>
        <family val="4"/>
        <charset val="136"/>
      </rPr>
      <t>界面功能检查</t>
    </r>
    <r>
      <rPr>
        <sz val="10"/>
        <rFont val="Calibri"/>
        <family val="2"/>
      </rPr>
      <t>-- for Workstations</t>
    </r>
    <r>
      <rPr>
        <sz val="10"/>
        <rFont val="標楷體"/>
        <family val="4"/>
        <charset val="136"/>
      </rPr>
      <t>项目</t>
    </r>
  </si>
  <si>
    <t xml:space="preserve"> 02 Monitor</t>
  </si>
  <si>
    <t>01 Monitor Compability</t>
  </si>
  <si>
    <r>
      <rPr>
        <sz val="10"/>
        <rFont val="標楷體"/>
        <family val="4"/>
        <charset val="136"/>
      </rPr>
      <t>测试前准备</t>
    </r>
  </si>
  <si>
    <r>
      <t>DDC</t>
    </r>
    <r>
      <rPr>
        <sz val="10"/>
        <rFont val="標楷體"/>
        <family val="4"/>
        <charset val="136"/>
      </rPr>
      <t>测试</t>
    </r>
  </si>
  <si>
    <r>
      <rPr>
        <sz val="10"/>
        <rFont val="標楷體"/>
        <family val="4"/>
        <charset val="136"/>
      </rPr>
      <t>开机画面测试</t>
    </r>
  </si>
  <si>
    <r>
      <rPr>
        <sz val="10"/>
        <rFont val="標楷體"/>
        <family val="4"/>
        <charset val="136"/>
      </rPr>
      <t>插拔测试</t>
    </r>
  </si>
  <si>
    <r>
      <rPr>
        <sz val="10"/>
        <rFont val="標楷體"/>
        <family val="4"/>
        <charset val="136"/>
      </rPr>
      <t>分辨率测试</t>
    </r>
  </si>
  <si>
    <r>
      <rPr>
        <sz val="10"/>
        <rFont val="標楷體"/>
        <family val="4"/>
        <charset val="136"/>
      </rPr>
      <t>画面测试</t>
    </r>
  </si>
  <si>
    <r>
      <rPr>
        <sz val="10"/>
        <rFont val="標楷體"/>
        <family val="4"/>
        <charset val="136"/>
      </rPr>
      <t>休眠唤醒测试</t>
    </r>
  </si>
  <si>
    <r>
      <rPr>
        <sz val="10"/>
        <rFont val="標楷體"/>
        <family val="4"/>
        <charset val="136"/>
      </rPr>
      <t>更换显示器</t>
    </r>
  </si>
  <si>
    <t>Long run test</t>
  </si>
  <si>
    <t>02 Monitor Expanded Feature</t>
  </si>
  <si>
    <t>DP &amp; HDMI Audio</t>
  </si>
  <si>
    <t>Audio</t>
  </si>
  <si>
    <t>USB port</t>
  </si>
  <si>
    <t>Lan</t>
  </si>
  <si>
    <t>Camera</t>
  </si>
  <si>
    <t>LT3053P Monitor Test</t>
  </si>
  <si>
    <r>
      <t>PBP</t>
    </r>
    <r>
      <rPr>
        <sz val="10"/>
        <rFont val="標楷體"/>
        <family val="4"/>
        <charset val="136"/>
      </rPr>
      <t>分屏测试</t>
    </r>
  </si>
  <si>
    <r>
      <t>PIP</t>
    </r>
    <r>
      <rPr>
        <sz val="10"/>
        <rFont val="標楷體"/>
        <family val="4"/>
        <charset val="136"/>
      </rPr>
      <t>画中画测试</t>
    </r>
  </si>
  <si>
    <t>03 Panel Color</t>
  </si>
  <si>
    <t>All panel vendor</t>
    <phoneticPr fontId="15" type="noConversion"/>
  </si>
  <si>
    <r>
      <t xml:space="preserve"> </t>
    </r>
    <r>
      <rPr>
        <sz val="10"/>
        <rFont val="標楷體"/>
        <family val="4"/>
        <charset val="136"/>
      </rPr>
      <t>色度</t>
    </r>
    <r>
      <rPr>
        <sz val="10"/>
        <rFont val="Calibri"/>
        <family val="2"/>
      </rPr>
      <t>/</t>
    </r>
    <r>
      <rPr>
        <sz val="10"/>
        <rFont val="標楷體"/>
        <family val="4"/>
        <charset val="136"/>
      </rPr>
      <t>色温</t>
    </r>
    <r>
      <rPr>
        <sz val="10"/>
        <rFont val="Calibri"/>
        <family val="2"/>
      </rPr>
      <t>ColorChromaticit</t>
    </r>
  </si>
  <si>
    <r>
      <rPr>
        <sz val="10"/>
        <rFont val="標楷體"/>
        <family val="4"/>
        <charset val="136"/>
      </rPr>
      <t>手機拍攝測試</t>
    </r>
  </si>
  <si>
    <r>
      <rPr>
        <sz val="10"/>
        <rFont val="標楷體"/>
        <family val="4"/>
        <charset val="136"/>
      </rPr>
      <t>色度均匀度</t>
    </r>
  </si>
  <si>
    <r>
      <rPr>
        <sz val="10"/>
        <rFont val="標楷體"/>
        <family val="4"/>
        <charset val="136"/>
      </rPr>
      <t>漏光测试</t>
    </r>
  </si>
  <si>
    <t>ESD Sensitlvity</t>
  </si>
  <si>
    <r>
      <rPr>
        <sz val="10"/>
        <rFont val="標楷體"/>
        <family val="4"/>
        <charset val="136"/>
      </rPr>
      <t>灰阶</t>
    </r>
  </si>
  <si>
    <r>
      <rPr>
        <sz val="10"/>
        <rFont val="標楷體"/>
        <family val="4"/>
        <charset val="136"/>
      </rPr>
      <t>锐利度</t>
    </r>
    <r>
      <rPr>
        <sz val="10"/>
        <rFont val="Calibri"/>
        <family val="2"/>
      </rPr>
      <t>sharpness</t>
    </r>
  </si>
  <si>
    <r>
      <t xml:space="preserve">Cold boot </t>
    </r>
    <r>
      <rPr>
        <sz val="10"/>
        <rFont val="標楷體"/>
        <family val="4"/>
        <charset val="136"/>
      </rPr>
      <t>显示器响应时间</t>
    </r>
  </si>
  <si>
    <t xml:space="preserve"> 2019-11-26  </t>
    <phoneticPr fontId="15" type="noConversion"/>
  </si>
  <si>
    <r>
      <rPr>
        <sz val="10"/>
        <rFont val="標楷體"/>
        <family val="4"/>
        <charset val="136"/>
      </rPr>
      <t>开机画面</t>
    </r>
  </si>
  <si>
    <t>Image Sticking</t>
  </si>
  <si>
    <r>
      <rPr>
        <sz val="10"/>
        <rFont val="標楷體"/>
        <family val="4"/>
        <charset val="136"/>
      </rPr>
      <t>压力测试</t>
    </r>
  </si>
  <si>
    <r>
      <rPr>
        <sz val="10"/>
        <rFont val="標楷體"/>
        <family val="4"/>
        <charset val="136"/>
      </rPr>
      <t>色域</t>
    </r>
    <r>
      <rPr>
        <sz val="10"/>
        <rFont val="Calibri"/>
        <family val="2"/>
      </rPr>
      <t>&amp;Gamma&amp;</t>
    </r>
    <r>
      <rPr>
        <sz val="10"/>
        <rFont val="標楷體"/>
        <family val="4"/>
        <charset val="136"/>
      </rPr>
      <t>可视角度测试</t>
    </r>
  </si>
  <si>
    <r>
      <rPr>
        <sz val="10"/>
        <rFont val="標楷體"/>
        <family val="4"/>
        <charset val="136"/>
      </rPr>
      <t>防窥检查</t>
    </r>
  </si>
  <si>
    <t>04 Panel Brightness</t>
  </si>
  <si>
    <r>
      <rPr>
        <sz val="10"/>
        <rFont val="標楷體"/>
        <family val="4"/>
        <charset val="136"/>
      </rPr>
      <t>亮度测试</t>
    </r>
  </si>
  <si>
    <t xml:space="preserve"> 2019-11-26 </t>
    <phoneticPr fontId="15" type="noConversion"/>
  </si>
  <si>
    <t>Cross Talk</t>
  </si>
  <si>
    <r>
      <rPr>
        <sz val="10"/>
        <rFont val="標楷體"/>
        <family val="4"/>
        <charset val="136"/>
      </rPr>
      <t>对比度测试</t>
    </r>
  </si>
  <si>
    <t>05 Monitor_Display In and out c/  Auto Detect DP In &amp; Out</t>
    <phoneticPr fontId="5" type="noConversion"/>
  </si>
  <si>
    <r>
      <t>AIO + PC</t>
    </r>
    <r>
      <rPr>
        <sz val="10"/>
        <rFont val="標楷體"/>
        <family val="4"/>
        <charset val="136"/>
      </rPr>
      <t>主机</t>
    </r>
  </si>
  <si>
    <t>AIO + Monitor</t>
  </si>
  <si>
    <t xml:space="preserve"> 2018-04-16 </t>
    <phoneticPr fontId="15" type="noConversion"/>
  </si>
  <si>
    <r>
      <t>AIO_A + AIO_B</t>
    </r>
    <r>
      <rPr>
        <sz val="10"/>
        <rFont val="標楷體"/>
        <family val="4"/>
        <charset val="136"/>
      </rPr>
      <t>主机</t>
    </r>
  </si>
  <si>
    <t xml:space="preserve">  Manual Detect DP In &amp; Out</t>
  </si>
  <si>
    <t>AIO + DP Monitor</t>
  </si>
  <si>
    <t>06 AIO DP/HDMI In (Monitor mode)</t>
    <phoneticPr fontId="5" type="noConversion"/>
  </si>
  <si>
    <t>AIO in S3/ S4/S5/deep-sleep-S5(AIO no display signal)</t>
  </si>
  <si>
    <t>AIO inS0/post process</t>
  </si>
  <si>
    <t>AIO inS1/post process</t>
  </si>
  <si>
    <t>State check</t>
  </si>
  <si>
    <t>Other basic function as Monitor</t>
  </si>
  <si>
    <t>DP/HDMI in run HD DVD</t>
    <phoneticPr fontId="5" type="noConversion"/>
  </si>
  <si>
    <t>DP/HDMI in Audio test</t>
    <phoneticPr fontId="5" type="noConversion"/>
  </si>
  <si>
    <t>Compatibility</t>
  </si>
  <si>
    <t>VGA-IN Display</t>
  </si>
  <si>
    <t>07 Display out</t>
    <phoneticPr fontId="5" type="noConversion"/>
  </si>
  <si>
    <t>DP products Recognition</t>
  </si>
  <si>
    <t>universal test items</t>
  </si>
  <si>
    <t>Display mode test</t>
  </si>
  <si>
    <t>Abnormal Operation</t>
  </si>
  <si>
    <t>Dongle test</t>
  </si>
  <si>
    <t xml:space="preserve"> 2014/12/22 </t>
    <phoneticPr fontId="15" type="noConversion"/>
  </si>
  <si>
    <t>ACPI(S3,S4,reboot) test</t>
  </si>
  <si>
    <t>Compatibility test</t>
  </si>
  <si>
    <t>08 OSD Menu</t>
    <phoneticPr fontId="5" type="noConversion"/>
  </si>
  <si>
    <t>OSD Menu(AIO In PC Mode)</t>
  </si>
  <si>
    <t>OSD Menu Check</t>
  </si>
  <si>
    <t>OSD Menu(AIO In monitor Mode)</t>
  </si>
  <si>
    <t>Other test</t>
  </si>
  <si>
    <t>OSD LED Function</t>
  </si>
  <si>
    <t>Brightness Adjustion</t>
  </si>
  <si>
    <t>Volume Adjustion</t>
  </si>
  <si>
    <t>Display Mode</t>
  </si>
  <si>
    <t>Display on/off LED status</t>
  </si>
  <si>
    <t>Source</t>
  </si>
  <si>
    <t>PowerManagement</t>
  </si>
  <si>
    <t>Software compatibility test</t>
  </si>
  <si>
    <t>LED status overall check</t>
  </si>
  <si>
    <r>
      <rPr>
        <sz val="10"/>
        <rFont val="標楷體"/>
        <family val="4"/>
        <charset val="136"/>
      </rPr>
      <t>自定义测试项</t>
    </r>
  </si>
  <si>
    <r>
      <t>HDMI-in mode</t>
    </r>
    <r>
      <rPr>
        <sz val="10"/>
        <rFont val="標楷體"/>
        <family val="4"/>
        <charset val="136"/>
      </rPr>
      <t>测试</t>
    </r>
  </si>
  <si>
    <r>
      <rPr>
        <sz val="10"/>
        <rFont val="標楷體"/>
        <family val="4"/>
        <charset val="136"/>
      </rPr>
      <t>被测机在</t>
    </r>
    <r>
      <rPr>
        <sz val="10"/>
        <rFont val="Calibri"/>
        <family val="2"/>
      </rPr>
      <t>S0/S3/S4/S5</t>
    </r>
    <r>
      <rPr>
        <sz val="10"/>
        <rFont val="標楷體"/>
        <family val="4"/>
        <charset val="136"/>
      </rPr>
      <t>下的测试</t>
    </r>
  </si>
  <si>
    <t xml:space="preserve"> 02 Monitor</t>
    <phoneticPr fontId="5" type="noConversion"/>
  </si>
  <si>
    <t>09 Physical Button</t>
    <phoneticPr fontId="5" type="noConversion"/>
  </si>
  <si>
    <t>Physical Button</t>
  </si>
  <si>
    <t>Panel on/off button</t>
  </si>
  <si>
    <t xml:space="preserve"> 2017/10/30 </t>
    <phoneticPr fontId="15" type="noConversion"/>
  </si>
  <si>
    <t>10 Scalar FW BVT</t>
    <phoneticPr fontId="5" type="noConversion"/>
  </si>
  <si>
    <t>Scaler FW BVT</t>
  </si>
  <si>
    <t>11 Lego test case</t>
    <phoneticPr fontId="5" type="noConversion"/>
  </si>
  <si>
    <t>Lego test case</t>
  </si>
  <si>
    <t>Monitor Compatibility ---Linux</t>
    <phoneticPr fontId="5" type="noConversion"/>
  </si>
  <si>
    <t>Monitor Compatibility for Linux</t>
    <phoneticPr fontId="5" type="noConversion"/>
  </si>
  <si>
    <t xml:space="preserve"> 03 Sensors</t>
  </si>
  <si>
    <t>01 Light Sensor</t>
  </si>
  <si>
    <t>Device check</t>
  </si>
  <si>
    <r>
      <t xml:space="preserve">Auto light </t>
    </r>
    <r>
      <rPr>
        <sz val="10"/>
        <rFont val="標楷體"/>
        <family val="4"/>
        <charset val="136"/>
      </rPr>
      <t>默认值检查</t>
    </r>
  </si>
  <si>
    <t xml:space="preserve"> 2017-03-22 </t>
    <phoneticPr fontId="15" type="noConversion"/>
  </si>
  <si>
    <t>Multi_monitor Test</t>
  </si>
  <si>
    <t>User scenario_Power Plan</t>
  </si>
  <si>
    <t>User scenario_Dynamic brightness control</t>
  </si>
  <si>
    <t>Power management</t>
  </si>
  <si>
    <t>02 Gravity Sensor</t>
  </si>
  <si>
    <t>Configration</t>
  </si>
  <si>
    <t>Automatic Screen Rotation Test</t>
  </si>
  <si>
    <t>Stress Test</t>
  </si>
  <si>
    <t>Mode TransitionTest</t>
  </si>
  <si>
    <t>3-Axis Digital Accelerometer Test</t>
  </si>
  <si>
    <t>Overnight Test</t>
  </si>
  <si>
    <t xml:space="preserve"> 04 Camera</t>
  </si>
  <si>
    <t>01 Web Camera Function</t>
  </si>
  <si>
    <t>Web Camera Driver Test</t>
  </si>
  <si>
    <t>All camera Vendor</t>
    <phoneticPr fontId="15" type="noConversion"/>
  </si>
  <si>
    <t>Device Check</t>
  </si>
  <si>
    <t>Short time stress (less than 4 hours)</t>
  </si>
  <si>
    <t>Extended Test</t>
  </si>
  <si>
    <t>APP Test</t>
  </si>
  <si>
    <t>02 3D Camera Function</t>
    <phoneticPr fontId="5" type="noConversion"/>
  </si>
  <si>
    <t>3D Camera Function</t>
  </si>
  <si>
    <t>03 IR Camera</t>
    <phoneticPr fontId="5" type="noConversion"/>
  </si>
  <si>
    <t>Basic function</t>
  </si>
  <si>
    <t xml:space="preserve"> 2019/09/02 </t>
    <phoneticPr fontId="15" type="noConversion"/>
  </si>
  <si>
    <t>Face recognition verification</t>
  </si>
  <si>
    <t>Performance test</t>
    <phoneticPr fontId="5" type="noConversion"/>
  </si>
  <si>
    <t xml:space="preserve"> 05 Audio</t>
    <phoneticPr fontId="5" type="noConversion"/>
  </si>
  <si>
    <t>01 Single Channel</t>
  </si>
  <si>
    <r>
      <t xml:space="preserve">Audio Driver </t>
    </r>
    <r>
      <rPr>
        <sz val="10"/>
        <rFont val="標楷體"/>
        <family val="4"/>
        <charset val="136"/>
      </rPr>
      <t>测试</t>
    </r>
    <r>
      <rPr>
        <sz val="10"/>
        <rFont val="Calibri"/>
        <family val="2"/>
      </rPr>
      <t>(SA)</t>
    </r>
  </si>
  <si>
    <t>All Speaker &amp; MIC Vendor</t>
    <phoneticPr fontId="15" type="noConversion"/>
  </si>
  <si>
    <t>Audio Driver check(SA)</t>
  </si>
  <si>
    <t>Disable Audio Device(SA)</t>
  </si>
  <si>
    <t>Dolby test</t>
  </si>
  <si>
    <t>WAV file playback</t>
  </si>
  <si>
    <t>Record function</t>
  </si>
  <si>
    <t>Basic power management</t>
  </si>
  <si>
    <t xml:space="preserve"> 05 Audio</t>
  </si>
  <si>
    <t>02 Multi-Channel</t>
  </si>
  <si>
    <t>5.1 channel</t>
  </si>
  <si>
    <t>7.1 channel</t>
  </si>
  <si>
    <t>03 Combo iack</t>
    <phoneticPr fontId="5" type="noConversion"/>
  </si>
  <si>
    <t>MIC output</t>
  </si>
  <si>
    <t xml:space="preserve"> 05 Function User Scenario Test</t>
    <phoneticPr fontId="5" type="noConversion"/>
  </si>
  <si>
    <t xml:space="preserve">06 Linux test case for audio </t>
  </si>
  <si>
    <t>Linux test case for audio</t>
  </si>
  <si>
    <t xml:space="preserve"> 06 TV Tuner Card</t>
  </si>
  <si>
    <t>01TV tuner test</t>
  </si>
  <si>
    <t>TV Tuner Card_TV tuner test</t>
  </si>
  <si>
    <t>All TV Tuner Vendor</t>
    <phoneticPr fontId="15" type="noConversion"/>
  </si>
  <si>
    <t xml:space="preserve"> 07 Virtual Reality</t>
    <phoneticPr fontId="5" type="noConversion"/>
  </si>
  <si>
    <t>01 HTC Vive</t>
    <phoneticPr fontId="5" type="noConversion"/>
  </si>
  <si>
    <r>
      <rPr>
        <sz val="10"/>
        <rFont val="標楷體"/>
        <family val="4"/>
        <charset val="136"/>
      </rPr>
      <t>安装与设置</t>
    </r>
  </si>
  <si>
    <r>
      <rPr>
        <sz val="10"/>
        <rFont val="標楷體"/>
        <family val="4"/>
        <charset val="136"/>
      </rPr>
      <t>应用检查</t>
    </r>
  </si>
  <si>
    <r>
      <rPr>
        <sz val="10"/>
        <rFont val="標楷體"/>
        <family val="4"/>
        <charset val="136"/>
      </rPr>
      <t>显示检查</t>
    </r>
  </si>
  <si>
    <r>
      <t>ACPI</t>
    </r>
    <r>
      <rPr>
        <sz val="10"/>
        <rFont val="標楷體"/>
        <family val="4"/>
        <charset val="136"/>
      </rPr>
      <t>检查</t>
    </r>
  </si>
  <si>
    <t>05 Standard Interface</t>
    <phoneticPr fontId="15" type="noConversion"/>
  </si>
  <si>
    <t>01 USB</t>
  </si>
  <si>
    <t>01  USB3.0 driver check</t>
  </si>
  <si>
    <t>USB3.0Driver install &amp; uninstall</t>
  </si>
  <si>
    <t>P1</t>
    <phoneticPr fontId="15" type="noConversion"/>
  </si>
  <si>
    <t>All USB connector source</t>
    <phoneticPr fontId="15" type="noConversion"/>
  </si>
  <si>
    <t>05 Standard Interface</t>
  </si>
  <si>
    <t>02 USB function check</t>
  </si>
  <si>
    <t>05 USB Peripheral Device</t>
  </si>
  <si>
    <r>
      <t>USB</t>
    </r>
    <r>
      <rPr>
        <sz val="10"/>
        <color rgb="FF000000"/>
        <rFont val="標楷體"/>
        <family val="4"/>
        <charset val="136"/>
      </rPr>
      <t>扫描仪和打印机兼容性测试</t>
    </r>
  </si>
  <si>
    <r>
      <t>USB</t>
    </r>
    <r>
      <rPr>
        <sz val="10"/>
        <color rgb="FF000000"/>
        <rFont val="標楷體"/>
        <family val="4"/>
        <charset val="136"/>
      </rPr>
      <t>摄像头兼容性测试</t>
    </r>
  </si>
  <si>
    <r>
      <t>USB</t>
    </r>
    <r>
      <rPr>
        <sz val="10"/>
        <color rgb="FF000000"/>
        <rFont val="標楷體"/>
        <family val="4"/>
        <charset val="136"/>
      </rPr>
      <t>音箱兼容性测试</t>
    </r>
  </si>
  <si>
    <r>
      <t>USB</t>
    </r>
    <r>
      <rPr>
        <sz val="10"/>
        <color rgb="FF000000"/>
        <rFont val="標楷體"/>
        <family val="4"/>
        <charset val="136"/>
      </rPr>
      <t>游戏手柄兼容性测试</t>
    </r>
  </si>
  <si>
    <r>
      <t>USB</t>
    </r>
    <r>
      <rPr>
        <sz val="10"/>
        <color rgb="FF000000"/>
        <rFont val="標楷體"/>
        <family val="4"/>
        <charset val="136"/>
      </rPr>
      <t>网卡</t>
    </r>
    <r>
      <rPr>
        <sz val="10"/>
        <color rgb="FF000000"/>
        <rFont val="Calibri"/>
        <family val="2"/>
      </rPr>
      <t>/USB</t>
    </r>
    <r>
      <rPr>
        <sz val="10"/>
        <color rgb="FF000000"/>
        <rFont val="標楷體"/>
        <family val="4"/>
        <charset val="136"/>
      </rPr>
      <t>无线网卡兼容性测试</t>
    </r>
  </si>
  <si>
    <r>
      <t>USB</t>
    </r>
    <r>
      <rPr>
        <sz val="10"/>
        <color rgb="FF000000"/>
        <rFont val="標楷體"/>
        <family val="4"/>
        <charset val="136"/>
      </rPr>
      <t>集线器兼容性测试</t>
    </r>
  </si>
  <si>
    <r>
      <t>USB</t>
    </r>
    <r>
      <rPr>
        <sz val="10"/>
        <color rgb="FF000000"/>
        <rFont val="標楷體"/>
        <family val="4"/>
        <charset val="136"/>
      </rPr>
      <t>读卡器兼容性测试</t>
    </r>
  </si>
  <si>
    <r>
      <t>USB</t>
    </r>
    <r>
      <rPr>
        <sz val="10"/>
        <color rgb="FF000000"/>
        <rFont val="標楷體"/>
        <family val="4"/>
        <charset val="136"/>
      </rPr>
      <t>光驱兼容性测试</t>
    </r>
  </si>
  <si>
    <r>
      <rPr>
        <sz val="10"/>
        <color rgb="FF000000"/>
        <rFont val="標楷體"/>
        <family val="4"/>
        <charset val="136"/>
      </rPr>
      <t>扫码枪安装及使用测试</t>
    </r>
  </si>
  <si>
    <t>Linux test cases for USB</t>
  </si>
  <si>
    <t>P2</t>
    <phoneticPr fontId="15" type="noConversion"/>
  </si>
  <si>
    <t>06   Type C</t>
  </si>
  <si>
    <t>DP function</t>
  </si>
  <si>
    <t>All Type-C connector source</t>
    <phoneticPr fontId="15" type="noConversion"/>
  </si>
  <si>
    <t>USB function</t>
  </si>
  <si>
    <t>Type C peripheral devices</t>
  </si>
  <si>
    <t>02 SATA</t>
  </si>
  <si>
    <t>01 SATA 3.0</t>
  </si>
  <si>
    <t>Port function</t>
  </si>
  <si>
    <t>HDD SKU</t>
    <phoneticPr fontId="15" type="noConversion"/>
  </si>
  <si>
    <t>SATAmodeTest</t>
  </si>
  <si>
    <t>Dual-ODD&amp;HDD</t>
  </si>
  <si>
    <t>Performance test at port 3.0&amp;2.0</t>
  </si>
  <si>
    <t>ACPI stress tests</t>
  </si>
  <si>
    <t>02 RAID Volume Build</t>
  </si>
  <si>
    <t>CreatRAID Volume (Legacy)</t>
  </si>
  <si>
    <t>Dual SSD SKU</t>
    <phoneticPr fontId="15" type="noConversion"/>
  </si>
  <si>
    <t>CreatRAID Volume(uefi)</t>
  </si>
  <si>
    <t>Legacy iRST Utility test (Intel RAID only)</t>
    <phoneticPr fontId="15" type="noConversion"/>
  </si>
  <si>
    <t>Driver test (Legacy)</t>
  </si>
  <si>
    <t>Function test</t>
  </si>
  <si>
    <t>DCH driver and app test (Intel only)</t>
  </si>
  <si>
    <t>Driver installation test (AHCI &amp; RAID)</t>
  </si>
  <si>
    <t>App test (RAID only)</t>
  </si>
  <si>
    <t>03 RAID 0</t>
  </si>
  <si>
    <t>RAID 0 function test</t>
  </si>
  <si>
    <t>04 RAID 1</t>
  </si>
  <si>
    <t>RAID 1 function test</t>
  </si>
  <si>
    <t>05 RAID 5</t>
  </si>
  <si>
    <t>RAID 5 function test</t>
  </si>
  <si>
    <t>06 RAID 10</t>
  </si>
  <si>
    <t>RAID 10 function test</t>
    <phoneticPr fontId="15" type="noConversion"/>
  </si>
  <si>
    <t>07 RAID Volume Delete</t>
  </si>
  <si>
    <t>RAID Volume Delete</t>
  </si>
  <si>
    <t>09 eSATA</t>
  </si>
  <si>
    <t>Peripheral compatibility</t>
  </si>
  <si>
    <t>Linux test cases for SATA</t>
  </si>
  <si>
    <t>HDD&amp;SSD SKU</t>
    <phoneticPr fontId="15" type="noConversion"/>
  </si>
  <si>
    <t>12 M.2</t>
  </si>
  <si>
    <t>Basic function tests</t>
  </si>
  <si>
    <t>All SSD SKU</t>
    <phoneticPr fontId="15" type="noConversion"/>
  </si>
  <si>
    <t>ACPI function tests</t>
  </si>
  <si>
    <t>Performance test</t>
  </si>
  <si>
    <t>NVMe SSD RAID</t>
  </si>
  <si>
    <t>Switchable M.2 socket stability</t>
  </si>
  <si>
    <t>Linux test cases for M.2</t>
  </si>
  <si>
    <t xml:space="preserve">03 PCI Express </t>
  </si>
  <si>
    <t>01 PCI Express x16</t>
  </si>
  <si>
    <t>All PCI-E connector source</t>
    <phoneticPr fontId="15" type="noConversion"/>
  </si>
  <si>
    <t>02 PCI Express x8</t>
  </si>
  <si>
    <t>03 PCI Express x4</t>
  </si>
  <si>
    <t>04 PCI Express x1</t>
  </si>
  <si>
    <t>04 DIMM</t>
  </si>
  <si>
    <t>01 Memory Function</t>
  </si>
  <si>
    <t>Memory ACPI tests</t>
  </si>
  <si>
    <t>All memory vendor SKU</t>
    <phoneticPr fontId="15" type="noConversion"/>
  </si>
  <si>
    <t>Memory performance test</t>
  </si>
  <si>
    <t>Memtest</t>
  </si>
  <si>
    <t>Memory compatibility</t>
  </si>
  <si>
    <t>Linux test cases for Memory</t>
  </si>
  <si>
    <t>05 Legacy I/O</t>
  </si>
  <si>
    <t>01 COM Port</t>
  </si>
  <si>
    <t>COM Port</t>
  </si>
  <si>
    <t>All COM port source</t>
    <phoneticPr fontId="15" type="noConversion"/>
  </si>
  <si>
    <t>Linux test cases for COM port</t>
  </si>
  <si>
    <t>02 Parallel Port</t>
    <phoneticPr fontId="15" type="noConversion"/>
  </si>
  <si>
    <t>All Parallel Port source</t>
    <phoneticPr fontId="15" type="noConversion"/>
  </si>
  <si>
    <t>Linux test cases for LPT port</t>
  </si>
  <si>
    <t>03 PS2</t>
  </si>
  <si>
    <t>PS/2 function</t>
  </si>
  <si>
    <t>All PS/2 port source</t>
    <phoneticPr fontId="15" type="noConversion"/>
  </si>
  <si>
    <t>MFG check point (SIT &amp; SVT)</t>
  </si>
  <si>
    <t>04 IEEE 1394</t>
  </si>
  <si>
    <t>1394 Header Function</t>
  </si>
  <si>
    <t>All 1394 connector source</t>
    <phoneticPr fontId="15" type="noConversion"/>
  </si>
  <si>
    <t>05 PCI</t>
  </si>
  <si>
    <t>PCI Slot Function</t>
  </si>
  <si>
    <t>All PCI connector source</t>
    <phoneticPr fontId="15" type="noConversion"/>
  </si>
  <si>
    <t xml:space="preserve">06 Part </t>
  </si>
  <si>
    <t>01 Storage</t>
  </si>
  <si>
    <t>Information Check</t>
  </si>
  <si>
    <t xml:space="preserve">All SSD&amp;HDD vendor </t>
    <phoneticPr fontId="15" type="noConversion"/>
  </si>
  <si>
    <t>Function Test</t>
  </si>
  <si>
    <t>M.2 SSD Performance test</t>
  </si>
  <si>
    <t>All SSD vendor SKU</t>
    <phoneticPr fontId="15" type="noConversion"/>
  </si>
  <si>
    <t>Linux test case for storage</t>
  </si>
  <si>
    <t>02 ODD</t>
  </si>
  <si>
    <t>All ODD vendor</t>
    <phoneticPr fontId="15" type="noConversion"/>
  </si>
  <si>
    <r>
      <rPr>
        <sz val="10"/>
        <color rgb="FF000000"/>
        <rFont val="標楷體"/>
        <family val="4"/>
        <charset val="136"/>
      </rPr>
      <t>区码测试</t>
    </r>
  </si>
  <si>
    <t>Expanded Test</t>
  </si>
  <si>
    <t>Linux test case for ODD</t>
  </si>
  <si>
    <t>03 Power Supply &amp; Adapter</t>
  </si>
  <si>
    <t>Stability Test</t>
  </si>
  <si>
    <t>P3</t>
    <phoneticPr fontId="15" type="noConversion"/>
  </si>
  <si>
    <t>All adapter vendor</t>
    <phoneticPr fontId="15" type="noConversion"/>
  </si>
  <si>
    <t>05 Headset &amp; phone</t>
  </si>
  <si>
    <t>Compatibility Test</t>
  </si>
  <si>
    <t>All audio Jack source</t>
    <phoneticPr fontId="15" type="noConversion"/>
  </si>
  <si>
    <t>06 USB Key</t>
  </si>
  <si>
    <t>All USB source</t>
    <phoneticPr fontId="15" type="noConversion"/>
  </si>
  <si>
    <t>07 Keyboard</t>
  </si>
  <si>
    <t>Driver Test</t>
  </si>
  <si>
    <t>All USB Keyboard vendor</t>
    <phoneticPr fontId="15" type="noConversion"/>
  </si>
  <si>
    <t>Function Testunder DOS</t>
  </si>
  <si>
    <t>Function Testunder Windows</t>
  </si>
  <si>
    <t>Finggerprint Test</t>
  </si>
  <si>
    <t>YangTian function keyboard</t>
  </si>
  <si>
    <t>Special interface test</t>
  </si>
  <si>
    <t>Gaming keyboard</t>
  </si>
  <si>
    <t>Keyboard UE test</t>
  </si>
  <si>
    <t>Test preparation</t>
  </si>
  <si>
    <t>Linux test case for Keyboard</t>
  </si>
  <si>
    <t>08 Mouse</t>
  </si>
  <si>
    <t>Mouse Setting Test</t>
  </si>
  <si>
    <t>All USB Mouse vendor</t>
    <phoneticPr fontId="15" type="noConversion"/>
  </si>
  <si>
    <r>
      <rPr>
        <sz val="10"/>
        <color rgb="FF000000"/>
        <rFont val="標楷體"/>
        <family val="4"/>
        <charset val="136"/>
      </rPr>
      <t>游戏鼠标测试</t>
    </r>
  </si>
  <si>
    <t>Fingerprint mouse</t>
  </si>
  <si>
    <t>Linux test case for Mouse</t>
  </si>
  <si>
    <t>10 COM Port Card</t>
    <phoneticPr fontId="15" type="noConversion"/>
  </si>
  <si>
    <t>Driver install &amp; uninstall</t>
  </si>
  <si>
    <t>ACPI test</t>
  </si>
  <si>
    <r>
      <rPr>
        <sz val="10"/>
        <color rgb="FF000000"/>
        <rFont val="標楷體"/>
        <family val="4"/>
        <charset val="136"/>
      </rPr>
      <t>部件拆装</t>
    </r>
  </si>
  <si>
    <t>12 Express Card</t>
    <phoneticPr fontId="15" type="noConversion"/>
  </si>
  <si>
    <t>Compatibility test1</t>
  </si>
  <si>
    <t>All Express Card source</t>
    <phoneticPr fontId="15" type="noConversion"/>
  </si>
  <si>
    <t>Compatibility test 2</t>
  </si>
  <si>
    <t>Compatibility test 3</t>
  </si>
  <si>
    <t>13 Card Reader</t>
  </si>
  <si>
    <t>All Card reader source</t>
    <phoneticPr fontId="15" type="noConversion"/>
  </si>
  <si>
    <t>Abnormal Test</t>
  </si>
  <si>
    <t>14 Network Security Isolat</t>
    <phoneticPr fontId="15" type="noConversion"/>
  </si>
  <si>
    <t>Common test</t>
  </si>
  <si>
    <t>All Network Security source</t>
    <phoneticPr fontId="15" type="noConversion"/>
  </si>
  <si>
    <t>Stress test</t>
  </si>
  <si>
    <t>18 DOM Card</t>
  </si>
  <si>
    <t>Install OS</t>
  </si>
  <si>
    <t>All DOM Card source</t>
    <phoneticPr fontId="15" type="noConversion"/>
  </si>
  <si>
    <t>DOM card Connect</t>
  </si>
  <si>
    <t>BIOS Function</t>
  </si>
  <si>
    <t>XPE</t>
  </si>
  <si>
    <t>DOS</t>
  </si>
  <si>
    <t>19 UEFI diag tool</t>
  </si>
  <si>
    <t>UEFI diag tool</t>
  </si>
  <si>
    <t>All SKU</t>
    <phoneticPr fontId="15" type="noConversion"/>
  </si>
  <si>
    <t>20 Projector</t>
  </si>
  <si>
    <r>
      <rPr>
        <sz val="10"/>
        <color rgb="FF000000"/>
        <rFont val="標楷體"/>
        <family val="4"/>
        <charset val="136"/>
      </rPr>
      <t>投影仪基本功能</t>
    </r>
  </si>
  <si>
    <t>All project source</t>
    <phoneticPr fontId="15" type="noConversion"/>
  </si>
  <si>
    <r>
      <t>USB</t>
    </r>
    <r>
      <rPr>
        <sz val="10"/>
        <color rgb="FF000000"/>
        <rFont val="標楷體"/>
        <family val="4"/>
        <charset val="136"/>
      </rPr>
      <t>接口功能检查</t>
    </r>
  </si>
  <si>
    <r>
      <t>HDMI</t>
    </r>
    <r>
      <rPr>
        <sz val="10"/>
        <color rgb="FF000000"/>
        <rFont val="標楷體"/>
        <family val="4"/>
        <charset val="136"/>
      </rPr>
      <t>接口功能检查</t>
    </r>
  </si>
  <si>
    <r>
      <rPr>
        <sz val="10"/>
        <color rgb="FF000000"/>
        <rFont val="標楷體"/>
        <family val="4"/>
        <charset val="136"/>
      </rPr>
      <t>光学性能</t>
    </r>
  </si>
  <si>
    <r>
      <rPr>
        <sz val="10"/>
        <color rgb="FF000000"/>
        <rFont val="標楷體"/>
        <family val="4"/>
        <charset val="136"/>
      </rPr>
      <t>联机检查</t>
    </r>
  </si>
  <si>
    <r>
      <rPr>
        <sz val="10"/>
        <color rgb="FF000000"/>
        <rFont val="標楷體"/>
        <family val="4"/>
        <charset val="136"/>
      </rPr>
      <t>稳定性</t>
    </r>
  </si>
  <si>
    <r>
      <rPr>
        <sz val="10"/>
        <color rgb="FF000000"/>
        <rFont val="標楷體"/>
        <family val="4"/>
        <charset val="136"/>
      </rPr>
      <t>特殊测试</t>
    </r>
  </si>
  <si>
    <r>
      <t xml:space="preserve">21 </t>
    </r>
    <r>
      <rPr>
        <sz val="10"/>
        <color rgb="FF000000"/>
        <rFont val="標楷體"/>
        <family val="4"/>
        <charset val="136"/>
      </rPr>
      <t>面板灯效测试</t>
    </r>
  </si>
  <si>
    <r>
      <t>Y900RE</t>
    </r>
    <r>
      <rPr>
        <sz val="10"/>
        <color rgb="FF000000"/>
        <rFont val="標楷體"/>
        <family val="4"/>
        <charset val="136"/>
      </rPr>
      <t>面板灯效测试</t>
    </r>
  </si>
  <si>
    <t>UMA&amp;Discrete</t>
    <phoneticPr fontId="15" type="noConversion"/>
  </si>
  <si>
    <r>
      <t xml:space="preserve">21 </t>
    </r>
    <r>
      <rPr>
        <sz val="10"/>
        <rFont val="標楷體"/>
        <family val="4"/>
        <charset val="136"/>
      </rPr>
      <t>面板灯效测试</t>
    </r>
  </si>
  <si>
    <r>
      <t xml:space="preserve">H110 </t>
    </r>
    <r>
      <rPr>
        <sz val="10"/>
        <rFont val="標楷體"/>
        <family val="4"/>
        <charset val="136"/>
      </rPr>
      <t>灯效测试</t>
    </r>
  </si>
  <si>
    <r>
      <rPr>
        <sz val="10"/>
        <rFont val="標楷體"/>
        <family val="4"/>
        <charset val="136"/>
      </rPr>
      <t>拯救者</t>
    </r>
    <r>
      <rPr>
        <sz val="10"/>
        <rFont val="Calibri"/>
        <family val="2"/>
      </rPr>
      <t xml:space="preserve"> Y530Cube-19ICB</t>
    </r>
    <r>
      <rPr>
        <sz val="10"/>
        <rFont val="標楷體"/>
        <family val="4"/>
        <charset val="136"/>
      </rPr>
      <t>灯效</t>
    </r>
  </si>
  <si>
    <r>
      <t>Lenovo Legion T530-28ICB&amp;</t>
    </r>
    <r>
      <rPr>
        <sz val="10"/>
        <rFont val="標楷體"/>
        <family val="4"/>
        <charset val="136"/>
      </rPr>
      <t>拯救者</t>
    </r>
    <r>
      <rPr>
        <sz val="10"/>
        <rFont val="Calibri"/>
        <family val="2"/>
      </rPr>
      <t xml:space="preserve"> </t>
    </r>
    <r>
      <rPr>
        <sz val="10"/>
        <rFont val="標楷體"/>
        <family val="4"/>
        <charset val="136"/>
      </rPr>
      <t>极</t>
    </r>
    <r>
      <rPr>
        <sz val="10"/>
        <rFont val="Calibri"/>
        <family val="2"/>
      </rPr>
      <t>MAX-28APR</t>
    </r>
    <r>
      <rPr>
        <sz val="10"/>
        <rFont val="標楷體"/>
        <family val="4"/>
        <charset val="136"/>
      </rPr>
      <t>灯效</t>
    </r>
  </si>
  <si>
    <r>
      <rPr>
        <sz val="10"/>
        <rFont val="標楷體"/>
        <family val="4"/>
        <charset val="136"/>
      </rPr>
      <t>刃</t>
    </r>
    <r>
      <rPr>
        <sz val="10"/>
        <rFont val="Calibri"/>
        <family val="2"/>
      </rPr>
      <t>7000-28ICB</t>
    </r>
    <r>
      <rPr>
        <sz val="10"/>
        <rFont val="標楷體"/>
        <family val="4"/>
        <charset val="136"/>
      </rPr>
      <t>灯效</t>
    </r>
  </si>
  <si>
    <r>
      <t xml:space="preserve">IdeaCentre G5 14IMB05 </t>
    </r>
    <r>
      <rPr>
        <sz val="10"/>
        <rFont val="標楷體"/>
        <family val="4"/>
        <charset val="136"/>
      </rPr>
      <t>灯效</t>
    </r>
  </si>
  <si>
    <t>22 X-box</t>
  </si>
  <si>
    <t>Driver install</t>
  </si>
  <si>
    <r>
      <rPr>
        <sz val="10"/>
        <rFont val="標楷體"/>
        <family val="4"/>
        <charset val="136"/>
      </rPr>
      <t>无线配对</t>
    </r>
  </si>
  <si>
    <t>Gaming test</t>
  </si>
  <si>
    <r>
      <rPr>
        <sz val="10"/>
        <rFont val="標楷體"/>
        <family val="4"/>
        <charset val="136"/>
      </rPr>
      <t>有效距离测试</t>
    </r>
  </si>
  <si>
    <t>Thunderbolt card</t>
  </si>
  <si>
    <t>Basic function/Driver test</t>
    <phoneticPr fontId="15" type="noConversion"/>
  </si>
  <si>
    <t>All TBT connector source</t>
    <phoneticPr fontId="15" type="noConversion"/>
  </si>
  <si>
    <t>USB3.1 Gen2</t>
  </si>
  <si>
    <t>PCIE-TBT storage</t>
  </si>
  <si>
    <t>DP1.2</t>
  </si>
  <si>
    <t>Compatibilty/ Thunderbolt3 dock</t>
  </si>
  <si>
    <t>Stability/ Thunderbolt Stress test</t>
  </si>
  <si>
    <t>24 E-lock</t>
  </si>
  <si>
    <t>E-lock function</t>
  </si>
  <si>
    <t>All E-Lock connector source</t>
    <phoneticPr fontId="15" type="noConversion"/>
  </si>
  <si>
    <t>Fingerprint Power On</t>
  </si>
  <si>
    <t>All finger print source</t>
    <phoneticPr fontId="15" type="noConversion"/>
  </si>
  <si>
    <t>FP Function test</t>
  </si>
  <si>
    <t>FP LED check</t>
  </si>
  <si>
    <t>06 Communication</t>
    <phoneticPr fontId="15" type="noConversion"/>
  </si>
  <si>
    <t>01 Ethernet</t>
  </si>
  <si>
    <t xml:space="preserve">  01 10M/100M/1000M Ethernet</t>
  </si>
  <si>
    <t>LAN driver</t>
  </si>
  <si>
    <t xml:space="preserve">P1 </t>
    <phoneticPr fontId="15" type="noConversion"/>
  </si>
  <si>
    <t>All LAN chip source</t>
    <phoneticPr fontId="15" type="noConversion"/>
  </si>
  <si>
    <t>06 Communication</t>
  </si>
  <si>
    <t>LAN IPv6 Test</t>
  </si>
  <si>
    <t>PXE Boot Function</t>
  </si>
  <si>
    <t>Intel I350-T4(I350-T2) 4 Ports(2 Ports) Ethernet Card Function Test</t>
  </si>
  <si>
    <t>Killer LAN function test</t>
  </si>
  <si>
    <r>
      <t>Dragon LAN(realtek 8118AS) Function(</t>
    </r>
    <r>
      <rPr>
        <sz val="10"/>
        <color indexed="8"/>
        <rFont val="標楷體"/>
        <family val="4"/>
        <charset val="136"/>
      </rPr>
      <t>一般</t>
    </r>
    <r>
      <rPr>
        <sz val="10"/>
        <color indexed="8"/>
        <rFont val="Calibri"/>
        <family val="2"/>
      </rPr>
      <t xml:space="preserve">,gaming pc </t>
    </r>
    <r>
      <rPr>
        <sz val="10"/>
        <color indexed="8"/>
        <rFont val="標楷體"/>
        <family val="4"/>
        <charset val="136"/>
      </rPr>
      <t>才会上此芯片的</t>
    </r>
    <r>
      <rPr>
        <sz val="10"/>
        <color indexed="8"/>
        <rFont val="Calibri"/>
        <family val="2"/>
      </rPr>
      <t>onboard lan)</t>
    </r>
  </si>
  <si>
    <r>
      <t>02 DASH</t>
    </r>
    <r>
      <rPr>
        <sz val="10"/>
        <rFont val="標楷體"/>
        <family val="4"/>
        <charset val="136"/>
      </rPr>
      <t>（</t>
    </r>
    <r>
      <rPr>
        <sz val="10"/>
        <rFont val="Calibri"/>
        <family val="2"/>
      </rPr>
      <t xml:space="preserve">Realtek </t>
    </r>
    <r>
      <rPr>
        <sz val="10"/>
        <rFont val="標楷體"/>
        <family val="4"/>
        <charset val="136"/>
      </rPr>
      <t>网卡才需要测试</t>
    </r>
    <r>
      <rPr>
        <sz val="10"/>
        <rFont val="Calibri"/>
        <family val="2"/>
      </rPr>
      <t xml:space="preserve">---&gt;Realtek </t>
    </r>
    <r>
      <rPr>
        <sz val="10"/>
        <rFont val="標楷體"/>
        <family val="4"/>
        <charset val="136"/>
      </rPr>
      <t>支持</t>
    </r>
    <r>
      <rPr>
        <sz val="10"/>
        <rFont val="Calibri"/>
        <family val="2"/>
      </rPr>
      <t>dash</t>
    </r>
    <r>
      <rPr>
        <sz val="10"/>
        <rFont val="標楷體"/>
        <family val="4"/>
        <charset val="136"/>
      </rPr>
      <t>网卡，且</t>
    </r>
    <r>
      <rPr>
        <sz val="10"/>
        <rFont val="Calibri"/>
        <family val="2"/>
      </rPr>
      <t>MRD</t>
    </r>
    <r>
      <rPr>
        <sz val="10"/>
        <rFont val="標楷體"/>
        <family val="4"/>
        <charset val="136"/>
      </rPr>
      <t>有要求才需要测试）</t>
    </r>
  </si>
  <si>
    <t>Test entry</t>
  </si>
  <si>
    <t>DASH info. Check</t>
  </si>
  <si>
    <t>Remote control</t>
  </si>
  <si>
    <t>Event Listening</t>
  </si>
  <si>
    <t>Accounts</t>
  </si>
  <si>
    <r>
      <t>04 ASF</t>
    </r>
    <r>
      <rPr>
        <sz val="10"/>
        <color indexed="8"/>
        <rFont val="標楷體"/>
        <family val="4"/>
        <charset val="136"/>
      </rPr>
      <t>（</t>
    </r>
    <r>
      <rPr>
        <sz val="10"/>
        <color indexed="8"/>
        <rFont val="Calibri"/>
        <family val="2"/>
      </rPr>
      <t>MRD</t>
    </r>
    <r>
      <rPr>
        <sz val="10"/>
        <color indexed="8"/>
        <rFont val="標楷體"/>
        <family val="4"/>
        <charset val="136"/>
      </rPr>
      <t>明确</t>
    </r>
    <r>
      <rPr>
        <sz val="10"/>
        <color indexed="8"/>
        <rFont val="Calibri"/>
        <family val="2"/>
      </rPr>
      <t xml:space="preserve"> </t>
    </r>
    <r>
      <rPr>
        <sz val="10"/>
        <color indexed="8"/>
        <rFont val="標楷體"/>
        <family val="4"/>
        <charset val="136"/>
      </rPr>
      <t>支持才需要测试）</t>
    </r>
  </si>
  <si>
    <t>ASF Function</t>
  </si>
  <si>
    <t>05 Function User Scenario Test</t>
  </si>
  <si>
    <r>
      <rPr>
        <sz val="10"/>
        <color indexed="8"/>
        <rFont val="標楷體"/>
        <family val="4"/>
        <charset val="136"/>
      </rPr>
      <t>网络环境体验</t>
    </r>
  </si>
  <si>
    <t>Linux for Lan</t>
  </si>
  <si>
    <t>02 Wi-Fi</t>
  </si>
  <si>
    <t>01 Test Requirements(Must read)</t>
  </si>
  <si>
    <t>Test Requirements(Must read)</t>
  </si>
  <si>
    <t>All WLAN card vendor</t>
    <phoneticPr fontId="15" type="noConversion"/>
  </si>
  <si>
    <t>02 Wi-Fi Common Test</t>
  </si>
  <si>
    <t>Wi-Fi Driver Test</t>
  </si>
  <si>
    <t>Encryption</t>
  </si>
  <si>
    <t>03 802.11 b_g and 802.11a</t>
  </si>
  <si>
    <t>Internet function</t>
  </si>
  <si>
    <t>WIFI Direct</t>
  </si>
  <si>
    <t>Wireless devices coexistence</t>
  </si>
  <si>
    <t>04 802.11 n</t>
  </si>
  <si>
    <t>AP Router transition</t>
  </si>
  <si>
    <t>Connection Build</t>
  </si>
  <si>
    <t>Reliability(File transfer&amp;Performance)</t>
  </si>
  <si>
    <t>05 802.11 ac</t>
  </si>
  <si>
    <t>Reliability(File transfer&amp;Performance1)</t>
  </si>
  <si>
    <t>Reliability(File transfer&amp;Performance2)</t>
  </si>
  <si>
    <t>MU-MIMO</t>
  </si>
  <si>
    <t>802.11 ax</t>
  </si>
  <si>
    <t>Relative Performance</t>
  </si>
  <si>
    <t>802.11ax MU-MIMO</t>
  </si>
  <si>
    <t>07 WIFI Compatibility</t>
  </si>
  <si>
    <t>Wifi icon in system tray</t>
  </si>
  <si>
    <t>Wifi Mobile Hotspot</t>
  </si>
  <si>
    <t>Wifi Airplane Mode</t>
  </si>
  <si>
    <t>Devices Noise for Wifi Compatibility</t>
  </si>
  <si>
    <t>08 Function User Scenario Test</t>
  </si>
  <si>
    <r>
      <rPr>
        <sz val="10"/>
        <rFont val="標楷體"/>
        <family val="4"/>
        <charset val="136"/>
      </rPr>
      <t>网络环境体验</t>
    </r>
  </si>
  <si>
    <r>
      <rPr>
        <sz val="10"/>
        <rFont val="標楷體"/>
        <family val="4"/>
        <charset val="136"/>
      </rPr>
      <t>随机接收器检查</t>
    </r>
  </si>
  <si>
    <r>
      <rPr>
        <sz val="10"/>
        <rFont val="標楷體"/>
        <family val="4"/>
        <charset val="136"/>
      </rPr>
      <t>休闲娱乐体验</t>
    </r>
  </si>
  <si>
    <t>Linux for Wifi</t>
  </si>
  <si>
    <t>03 Zigbee</t>
  </si>
  <si>
    <t>01 Zigbee</t>
  </si>
  <si>
    <r>
      <rPr>
        <sz val="10"/>
        <rFont val="標楷體"/>
        <family val="4"/>
        <charset val="136"/>
      </rPr>
      <t>识别测试</t>
    </r>
  </si>
  <si>
    <r>
      <rPr>
        <sz val="10"/>
        <rFont val="標楷體"/>
        <family val="4"/>
        <charset val="136"/>
      </rPr>
      <t>组建</t>
    </r>
    <r>
      <rPr>
        <sz val="10"/>
        <rFont val="Calibri"/>
        <family val="2"/>
      </rPr>
      <t>Zigbee</t>
    </r>
    <r>
      <rPr>
        <sz val="10"/>
        <rFont val="標楷體"/>
        <family val="4"/>
        <charset val="136"/>
      </rPr>
      <t>网络</t>
    </r>
  </si>
  <si>
    <r>
      <rPr>
        <sz val="10"/>
        <rFont val="標楷體"/>
        <family val="4"/>
        <charset val="136"/>
      </rPr>
      <t>测试</t>
    </r>
    <r>
      <rPr>
        <sz val="10"/>
        <rFont val="Calibri"/>
        <family val="2"/>
      </rPr>
      <t xml:space="preserve"> Zigbee</t>
    </r>
    <r>
      <rPr>
        <sz val="10"/>
        <rFont val="標楷體"/>
        <family val="4"/>
        <charset val="136"/>
      </rPr>
      <t>模块</t>
    </r>
    <r>
      <rPr>
        <sz val="10"/>
        <rFont val="Calibri"/>
        <family val="2"/>
      </rPr>
      <t>,</t>
    </r>
    <r>
      <rPr>
        <sz val="10"/>
        <rFont val="標楷體"/>
        <family val="4"/>
        <charset val="136"/>
      </rPr>
      <t>外围设备功能</t>
    </r>
  </si>
  <si>
    <r>
      <t>Q190 Zigbee</t>
    </r>
    <r>
      <rPr>
        <sz val="10"/>
        <rFont val="標楷體"/>
        <family val="4"/>
        <charset val="136"/>
      </rPr>
      <t>网络系统的抗干扰能力测试</t>
    </r>
  </si>
  <si>
    <r>
      <rPr>
        <sz val="10"/>
        <rFont val="標楷體"/>
        <family val="4"/>
        <charset val="136"/>
      </rPr>
      <t>开关机</t>
    </r>
    <r>
      <rPr>
        <sz val="10"/>
        <rFont val="Calibri"/>
        <family val="2"/>
      </rPr>
      <t>,</t>
    </r>
    <r>
      <rPr>
        <sz val="10"/>
        <rFont val="標楷體"/>
        <family val="4"/>
        <charset val="136"/>
      </rPr>
      <t>休眠唤醒测试</t>
    </r>
  </si>
  <si>
    <r>
      <t>Q190 Zigbee</t>
    </r>
    <r>
      <rPr>
        <sz val="10"/>
        <rFont val="標楷體"/>
        <family val="4"/>
        <charset val="136"/>
      </rPr>
      <t>重载测试</t>
    </r>
    <r>
      <rPr>
        <sz val="10"/>
        <rFont val="Calibri"/>
        <family val="2"/>
      </rPr>
      <t>.</t>
    </r>
  </si>
  <si>
    <t>04 Wireless Display</t>
  </si>
  <si>
    <r>
      <t>01 Wireless Disply in(</t>
    </r>
    <r>
      <rPr>
        <sz val="10"/>
        <rFont val="標楷體"/>
        <family val="4"/>
        <charset val="136"/>
      </rPr>
      <t>有</t>
    </r>
    <r>
      <rPr>
        <sz val="10"/>
        <rFont val="Calibri"/>
        <family val="2"/>
      </rPr>
      <t>wifi</t>
    </r>
    <r>
      <rPr>
        <sz val="10"/>
        <rFont val="標楷體"/>
        <family val="4"/>
        <charset val="136"/>
      </rPr>
      <t>卡</t>
    </r>
    <r>
      <rPr>
        <sz val="10"/>
        <rFont val="Calibri"/>
        <family val="2"/>
      </rPr>
      <t xml:space="preserve">+Win10 </t>
    </r>
    <r>
      <rPr>
        <sz val="10"/>
        <rFont val="標楷體"/>
        <family val="4"/>
        <charset val="136"/>
      </rPr>
      <t>就要测试</t>
    </r>
    <r>
      <rPr>
        <sz val="10"/>
        <rFont val="Calibri"/>
        <family val="2"/>
      </rPr>
      <t xml:space="preserve">. </t>
    </r>
    <r>
      <rPr>
        <sz val="10"/>
        <rFont val="標楷體"/>
        <family val="4"/>
        <charset val="136"/>
      </rPr>
      <t>注意</t>
    </r>
    <r>
      <rPr>
        <sz val="10"/>
        <rFont val="Calibri"/>
        <family val="2"/>
      </rPr>
      <t xml:space="preserve">: AMD Oland </t>
    </r>
    <r>
      <rPr>
        <sz val="10"/>
        <rFont val="標楷體"/>
        <family val="4"/>
        <charset val="136"/>
      </rPr>
      <t>核心</t>
    </r>
    <r>
      <rPr>
        <sz val="10"/>
        <rFont val="Calibri"/>
        <family val="2"/>
      </rPr>
      <t>GPU</t>
    </r>
    <r>
      <rPr>
        <sz val="10"/>
        <rFont val="標楷體"/>
        <family val="4"/>
        <charset val="136"/>
      </rPr>
      <t>不支持</t>
    </r>
    <r>
      <rPr>
        <sz val="10"/>
        <rFont val="Calibri"/>
        <family val="2"/>
      </rPr>
      <t>, NV GT730</t>
    </r>
    <r>
      <rPr>
        <sz val="10"/>
        <rFont val="標楷體"/>
        <family val="4"/>
        <charset val="136"/>
      </rPr>
      <t>不支持</t>
    </r>
  </si>
  <si>
    <t>Power Management Test</t>
  </si>
  <si>
    <t>Performance Test</t>
  </si>
  <si>
    <t>Support UIBC</t>
  </si>
  <si>
    <r>
      <t>Wireless Display Out(</t>
    </r>
    <r>
      <rPr>
        <sz val="10"/>
        <rFont val="標楷體"/>
        <family val="4"/>
        <charset val="136"/>
      </rPr>
      <t>有</t>
    </r>
    <r>
      <rPr>
        <sz val="10"/>
        <rFont val="Calibri"/>
        <family val="2"/>
      </rPr>
      <t>wifi</t>
    </r>
    <r>
      <rPr>
        <sz val="10"/>
        <rFont val="標楷體"/>
        <family val="4"/>
        <charset val="136"/>
      </rPr>
      <t>卡</t>
    </r>
    <r>
      <rPr>
        <sz val="10"/>
        <rFont val="Calibri"/>
        <family val="2"/>
      </rPr>
      <t xml:space="preserve">+Win10 </t>
    </r>
    <r>
      <rPr>
        <sz val="10"/>
        <rFont val="標楷體"/>
        <family val="4"/>
        <charset val="136"/>
      </rPr>
      <t>就要测试</t>
    </r>
    <r>
      <rPr>
        <sz val="10"/>
        <rFont val="Calibri"/>
        <family val="2"/>
      </rPr>
      <t xml:space="preserve">. </t>
    </r>
    <r>
      <rPr>
        <sz val="10"/>
        <rFont val="標楷體"/>
        <family val="4"/>
        <charset val="136"/>
      </rPr>
      <t>注意</t>
    </r>
    <r>
      <rPr>
        <sz val="10"/>
        <rFont val="Calibri"/>
        <family val="2"/>
      </rPr>
      <t xml:space="preserve">: AMD Oland </t>
    </r>
    <r>
      <rPr>
        <sz val="10"/>
        <rFont val="標楷體"/>
        <family val="4"/>
        <charset val="136"/>
      </rPr>
      <t>核心</t>
    </r>
    <r>
      <rPr>
        <sz val="10"/>
        <rFont val="Calibri"/>
        <family val="2"/>
      </rPr>
      <t>GPU</t>
    </r>
    <r>
      <rPr>
        <sz val="10"/>
        <rFont val="標楷體"/>
        <family val="4"/>
        <charset val="136"/>
      </rPr>
      <t>不支持</t>
    </r>
    <r>
      <rPr>
        <sz val="10"/>
        <rFont val="Calibri"/>
        <family val="2"/>
      </rPr>
      <t>, NV GT730</t>
    </r>
    <r>
      <rPr>
        <sz val="10"/>
        <rFont val="標楷體"/>
        <family val="4"/>
        <charset val="136"/>
      </rPr>
      <t>不支持</t>
    </r>
    <r>
      <rPr>
        <sz val="10"/>
        <rFont val="Calibri"/>
        <family val="2"/>
      </rPr>
      <t>)</t>
    </r>
  </si>
  <si>
    <t>Test Tool for Display Out(Must check)</t>
  </si>
  <si>
    <t>Connect test for Win10</t>
  </si>
  <si>
    <t>Audio Test by Wireless Display</t>
  </si>
  <si>
    <t>Display mode (Clone Extend Single 3 pip Display)</t>
  </si>
  <si>
    <r>
      <t xml:space="preserve">2.4G </t>
    </r>
    <r>
      <rPr>
        <sz val="10"/>
        <rFont val="標楷體"/>
        <family val="4"/>
        <charset val="136"/>
      </rPr>
      <t>和</t>
    </r>
    <r>
      <rPr>
        <sz val="10"/>
        <rFont val="Calibri"/>
        <family val="2"/>
      </rPr>
      <t xml:space="preserve"> 5G Switch Test</t>
    </r>
  </si>
  <si>
    <t>Delay timetest</t>
  </si>
  <si>
    <t>03 WiHD</t>
  </si>
  <si>
    <t>Connect</t>
  </si>
  <si>
    <t>Resolution</t>
  </si>
  <si>
    <t>Video Playback</t>
  </si>
  <si>
    <t>Plug out /Connect drop off test</t>
  </si>
  <si>
    <t>S3\S4 power on off Test</t>
  </si>
  <si>
    <t>Latency Time</t>
  </si>
  <si>
    <t>Stess test</t>
  </si>
  <si>
    <t>Disturb Test</t>
  </si>
  <si>
    <t>05 Bluetooth</t>
  </si>
  <si>
    <t>01 Function Test</t>
  </si>
  <si>
    <t>Bluetooth Driver Test</t>
  </si>
  <si>
    <t>Bluetooth Enable/Disable</t>
  </si>
  <si>
    <t>Bluetooth 3.0\4.0 Function</t>
  </si>
  <si>
    <t>Bluetooth Performance</t>
  </si>
  <si>
    <t>03 BT Compatibility</t>
  </si>
  <si>
    <t>Compatibility with OS</t>
  </si>
  <si>
    <r>
      <t xml:space="preserve">BT Speaker(for AIO940 </t>
    </r>
    <r>
      <rPr>
        <sz val="10"/>
        <color indexed="8"/>
        <rFont val="標楷體"/>
        <family val="4"/>
        <charset val="136"/>
      </rPr>
      <t>以及包含内置</t>
    </r>
    <r>
      <rPr>
        <sz val="10"/>
        <color indexed="8"/>
        <rFont val="Calibri"/>
        <family val="2"/>
      </rPr>
      <t>BT Speaker</t>
    </r>
    <r>
      <rPr>
        <sz val="10"/>
        <color indexed="8"/>
        <rFont val="標楷體"/>
        <family val="4"/>
        <charset val="136"/>
      </rPr>
      <t>的产品</t>
    </r>
    <r>
      <rPr>
        <sz val="10"/>
        <color indexed="8"/>
        <rFont val="Calibri"/>
        <family val="2"/>
      </rPr>
      <t>)</t>
    </r>
  </si>
  <si>
    <t>03 Function User Scenario Test</t>
  </si>
  <si>
    <r>
      <rPr>
        <sz val="10"/>
        <color indexed="8"/>
        <rFont val="標楷體"/>
        <family val="4"/>
        <charset val="136"/>
      </rPr>
      <t>日常蓝牙音箱交叉使用场景检查</t>
    </r>
  </si>
  <si>
    <t>Linux for BT</t>
  </si>
  <si>
    <t>Linux-BT Connect</t>
  </si>
  <si>
    <t>06 WWAN</t>
  </si>
  <si>
    <t>01 WWAN common test</t>
  </si>
  <si>
    <t>Device check test</t>
  </si>
  <si>
    <t xml:space="preserve">Connectivity Test </t>
  </si>
  <si>
    <t xml:space="preserve">02 WWAN SIM Card Test </t>
  </si>
  <si>
    <t xml:space="preserve">SIM Card Common Test </t>
  </si>
  <si>
    <t xml:space="preserve">03 WWAN Compatibility Test </t>
  </si>
  <si>
    <t xml:space="preserve">WWAN Compatibility Test </t>
  </si>
  <si>
    <t xml:space="preserve">04 WWAN User Scenarios Test </t>
  </si>
  <si>
    <t xml:space="preserve">WWAN User Scenarios Test </t>
  </si>
  <si>
    <t xml:space="preserve">05 WWAN Stress Test </t>
  </si>
  <si>
    <t xml:space="preserve">Stress Test </t>
  </si>
  <si>
    <t xml:space="preserve">06 WWAN Stability Test </t>
  </si>
  <si>
    <t xml:space="preserve">WWAN Stability Test </t>
  </si>
  <si>
    <t>06 Wireless KB_MS</t>
  </si>
  <si>
    <t>01 Wireless Keyboard</t>
  </si>
  <si>
    <t>Device paring 1</t>
  </si>
  <si>
    <t>All Wireless KB&amp;MS vendor</t>
    <phoneticPr fontId="15" type="noConversion"/>
  </si>
  <si>
    <t>Device paring 2</t>
  </si>
  <si>
    <t>Device paring 3</t>
  </si>
  <si>
    <t>Driver and Software test 1</t>
  </si>
  <si>
    <t>Driver and Software test 2</t>
  </si>
  <si>
    <t>Function test 1</t>
  </si>
  <si>
    <t>Function test 2</t>
  </si>
  <si>
    <t>Function test 3</t>
  </si>
  <si>
    <t>Function test 4</t>
  </si>
  <si>
    <t>Function test 5</t>
  </si>
  <si>
    <t>Function test 6</t>
  </si>
  <si>
    <t>Power management 1</t>
  </si>
  <si>
    <t>Power management 2</t>
  </si>
  <si>
    <t>Disturb test 1</t>
  </si>
  <si>
    <t>Disturb test 2</t>
  </si>
  <si>
    <t>Battery life calculation</t>
  </si>
  <si>
    <t>07 NFC</t>
  </si>
  <si>
    <t>01 NFC functionality</t>
  </si>
  <si>
    <t>Driver install and connect test</t>
  </si>
  <si>
    <t>All NFC source</t>
    <phoneticPr fontId="15" type="noConversion"/>
  </si>
  <si>
    <t>02 Read and write function</t>
  </si>
  <si>
    <t>Read&amp;write System without inbuilt NFC module</t>
  </si>
  <si>
    <t>Read&amp;write System with inbuilt NFC module</t>
  </si>
  <si>
    <t>Data Sharing</t>
  </si>
  <si>
    <t>03 Tap to print basic funct</t>
  </si>
  <si>
    <t>Tap to print function</t>
  </si>
  <si>
    <t>04 NFC mobile phone pad tes</t>
  </si>
  <si>
    <t>Point to point share files</t>
  </si>
  <si>
    <r>
      <t>Pairing Test(</t>
    </r>
    <r>
      <rPr>
        <sz val="10"/>
        <color indexed="8"/>
        <rFont val="標楷體"/>
        <family val="4"/>
        <charset val="136"/>
      </rPr>
      <t>需确认项目是否支持</t>
    </r>
    <r>
      <rPr>
        <sz val="10"/>
        <color indexed="8"/>
        <rFont val="Calibri"/>
        <family val="2"/>
      </rPr>
      <t>)</t>
    </r>
  </si>
  <si>
    <r>
      <rPr>
        <sz val="10"/>
        <color indexed="8"/>
        <rFont val="標楷體"/>
        <family val="4"/>
        <charset val="136"/>
      </rPr>
      <t>特殊用户场景测试</t>
    </r>
    <r>
      <rPr>
        <sz val="10"/>
        <color indexed="8"/>
        <rFont val="Calibri"/>
        <family val="2"/>
      </rPr>
      <t>(</t>
    </r>
    <r>
      <rPr>
        <sz val="10"/>
        <color indexed="8"/>
        <rFont val="標楷體"/>
        <family val="4"/>
        <charset val="136"/>
      </rPr>
      <t>需确认项目是否支持</t>
    </r>
    <r>
      <rPr>
        <sz val="10"/>
        <color indexed="8"/>
        <rFont val="Calibri"/>
        <family val="2"/>
      </rPr>
      <t>)</t>
    </r>
  </si>
  <si>
    <r>
      <t>NFC</t>
    </r>
    <r>
      <rPr>
        <sz val="10"/>
        <color indexed="8"/>
        <rFont val="標楷體"/>
        <family val="4"/>
        <charset val="136"/>
      </rPr>
      <t>与</t>
    </r>
    <r>
      <rPr>
        <sz val="10"/>
        <color indexed="8"/>
        <rFont val="Calibri"/>
        <family val="2"/>
      </rPr>
      <t>G-sensor</t>
    </r>
    <r>
      <rPr>
        <sz val="10"/>
        <color indexed="8"/>
        <rFont val="標楷體"/>
        <family val="4"/>
        <charset val="136"/>
      </rPr>
      <t>切换测试</t>
    </r>
  </si>
  <si>
    <t>08Wireless Charging</t>
    <phoneticPr fontId="15" type="noConversion"/>
  </si>
  <si>
    <t>Common Test</t>
  </si>
  <si>
    <t>All Wireless Charging source</t>
    <phoneticPr fontId="15" type="noConversion"/>
  </si>
  <si>
    <t>09 Wireless Adapter(St.Martin) for Xbox</t>
  </si>
  <si>
    <t>All wireless adapter source</t>
    <phoneticPr fontId="15" type="noConversion"/>
  </si>
  <si>
    <t>Pair Test</t>
  </si>
  <si>
    <t>Disable &amp; Enable Test</t>
  </si>
  <si>
    <t>Wake on Wireless Test</t>
  </si>
  <si>
    <t>Airplane Mode Test</t>
  </si>
  <si>
    <t>Co-existence Test</t>
  </si>
  <si>
    <t>Orientation Test</t>
  </si>
  <si>
    <t>XBox Controller Key Function</t>
  </si>
  <si>
    <t>XBox Controller Key Test</t>
  </si>
  <si>
    <t>Gaming</t>
  </si>
  <si>
    <t>Gaming Test</t>
  </si>
  <si>
    <t>07 Natural User Interface</t>
    <phoneticPr fontId="15" type="noConversion"/>
  </si>
  <si>
    <t>07 Natural User Interface</t>
    <phoneticPr fontId="5" type="noConversion"/>
  </si>
  <si>
    <t>01 Touch</t>
  </si>
  <si>
    <t>01 Touch Performance Automatic Test</t>
  </si>
  <si>
    <t>Linear Test</t>
    <phoneticPr fontId="15" type="noConversion"/>
  </si>
  <si>
    <t>V</t>
    <phoneticPr fontId="15" type="noConversion"/>
  </si>
  <si>
    <t>All Touch vender</t>
    <phoneticPr fontId="15" type="noConversion"/>
  </si>
  <si>
    <t>Point Test</t>
    <phoneticPr fontId="15" type="noConversion"/>
  </si>
  <si>
    <t>Multi Finger Test</t>
    <phoneticPr fontId="15" type="noConversion"/>
  </si>
  <si>
    <t>Touch Device Check Test</t>
    <phoneticPr fontId="15" type="noConversion"/>
  </si>
  <si>
    <t>Stress Test</t>
    <phoneticPr fontId="15" type="noConversion"/>
  </si>
  <si>
    <t>WHCK</t>
    <phoneticPr fontId="15" type="noConversion"/>
  </si>
  <si>
    <t>02 Function User Scenario Test</t>
    <phoneticPr fontId="5" type="noConversion"/>
  </si>
  <si>
    <t>Touch Driver Test</t>
    <phoneticPr fontId="15" type="noConversion"/>
  </si>
  <si>
    <t>Configration</t>
    <phoneticPr fontId="15" type="noConversion"/>
  </si>
  <si>
    <t>Gesture Test</t>
    <phoneticPr fontId="15" type="noConversion"/>
  </si>
  <si>
    <t>Resolution&amp;Display Rotation Change</t>
  </si>
  <si>
    <t>Accuracy Test</t>
  </si>
  <si>
    <t>Win8\Win10 Special Guestures</t>
  </si>
  <si>
    <t>On-screen Keyboard Function</t>
  </si>
  <si>
    <t>Extend Test</t>
    <phoneticPr fontId="15" type="noConversion"/>
  </si>
  <si>
    <t>02 Touch pen</t>
  </si>
  <si>
    <t>01 Function User Scenario Test</t>
    <phoneticPr fontId="5" type="noConversion"/>
  </si>
  <si>
    <t>Gesture Test</t>
  </si>
  <si>
    <t>On-Screen Keyboard Function</t>
  </si>
  <si>
    <t>Log on Test</t>
  </si>
  <si>
    <t>Extend Test</t>
  </si>
  <si>
    <t>02 Touch pen</t>
    <phoneticPr fontId="5" type="noConversion"/>
  </si>
  <si>
    <t>02 Touch Performance Automatic Test</t>
    <phoneticPr fontId="5" type="noConversion"/>
  </si>
  <si>
    <t>Report Rate Test</t>
  </si>
  <si>
    <t>Linearity Test</t>
  </si>
  <si>
    <t>Hover Point Test</t>
  </si>
  <si>
    <t>Point Test</t>
  </si>
  <si>
    <t>04 Voice Recognition</t>
    <phoneticPr fontId="5" type="noConversion"/>
  </si>
  <si>
    <r>
      <t xml:space="preserve">01 </t>
    </r>
    <r>
      <rPr>
        <sz val="10"/>
        <color theme="1"/>
        <rFont val="標楷體"/>
        <family val="4"/>
        <charset val="136"/>
      </rPr>
      <t>软件调用</t>
    </r>
  </si>
  <si>
    <r>
      <rPr>
        <sz val="10"/>
        <color theme="1"/>
        <rFont val="標楷體"/>
        <family val="4"/>
        <charset val="136"/>
      </rPr>
      <t>软件调用</t>
    </r>
  </si>
  <si>
    <t>All speaker vender</t>
    <phoneticPr fontId="15" type="noConversion"/>
  </si>
  <si>
    <r>
      <t>02</t>
    </r>
    <r>
      <rPr>
        <sz val="10"/>
        <color theme="1"/>
        <rFont val="標楷體"/>
        <family val="4"/>
        <charset val="136"/>
      </rPr>
      <t>安静的会议室环境测试</t>
    </r>
  </si>
  <si>
    <r>
      <rPr>
        <sz val="10"/>
        <color theme="1"/>
        <rFont val="標楷體"/>
        <family val="4"/>
        <charset val="136"/>
      </rPr>
      <t>安静的会议室环境测试</t>
    </r>
  </si>
  <si>
    <r>
      <t>03</t>
    </r>
    <r>
      <rPr>
        <sz val="10"/>
        <color theme="1"/>
        <rFont val="標楷體"/>
        <family val="4"/>
        <charset val="136"/>
      </rPr>
      <t>实际的较嘈杂的试验室</t>
    </r>
  </si>
  <si>
    <r>
      <rPr>
        <sz val="10"/>
        <color theme="1"/>
        <rFont val="標楷體"/>
        <family val="4"/>
        <charset val="136"/>
      </rPr>
      <t>实际的较嘈杂的试验室</t>
    </r>
  </si>
  <si>
    <r>
      <t xml:space="preserve">04 </t>
    </r>
    <r>
      <rPr>
        <sz val="10"/>
        <color theme="1"/>
        <rFont val="標楷體"/>
        <family val="4"/>
        <charset val="136"/>
      </rPr>
      <t>稳定性测试</t>
    </r>
  </si>
  <si>
    <r>
      <rPr>
        <sz val="10"/>
        <color theme="1"/>
        <rFont val="標楷體"/>
        <family val="4"/>
        <charset val="136"/>
      </rPr>
      <t>稳定性测试</t>
    </r>
  </si>
  <si>
    <t>05 Face Authentication</t>
    <phoneticPr fontId="5" type="noConversion"/>
  </si>
  <si>
    <t>01 Face Authentication Draft Test Case</t>
    <phoneticPr fontId="5" type="noConversion"/>
  </si>
  <si>
    <t>Face Authentication Draft Test Case</t>
    <phoneticPr fontId="5" type="noConversion"/>
  </si>
  <si>
    <t>All  IR Camera vender</t>
    <phoneticPr fontId="15" type="noConversion"/>
  </si>
  <si>
    <t>08 Special Test</t>
    <phoneticPr fontId="15" type="noConversion"/>
  </si>
  <si>
    <t>08 Special Test</t>
    <phoneticPr fontId="5" type="noConversion"/>
  </si>
  <si>
    <t>03 SCCM</t>
  </si>
  <si>
    <t>01 SCCM</t>
    <phoneticPr fontId="15" type="noConversion"/>
  </si>
  <si>
    <r>
      <t xml:space="preserve">Server </t>
    </r>
    <r>
      <rPr>
        <sz val="10"/>
        <color theme="1"/>
        <rFont val="標楷體"/>
        <family val="4"/>
        <charset val="136"/>
      </rPr>
      <t>搭建（已经搭建</t>
    </r>
    <r>
      <rPr>
        <sz val="10"/>
        <color theme="1"/>
        <rFont val="Calibri"/>
        <family val="2"/>
      </rPr>
      <t>OK</t>
    </r>
    <r>
      <rPr>
        <sz val="10"/>
        <color theme="1"/>
        <rFont val="標楷體"/>
        <family val="4"/>
        <charset val="136"/>
      </rPr>
      <t>，测试不需要勾选）</t>
    </r>
  </si>
  <si>
    <t>UMA&amp;Discrete</t>
    <phoneticPr fontId="15" type="noConversion"/>
  </si>
  <si>
    <t>08 Special Test</t>
    <phoneticPr fontId="5" type="noConversion"/>
  </si>
  <si>
    <r>
      <rPr>
        <sz val="10"/>
        <color theme="1"/>
        <rFont val="標楷體"/>
        <family val="4"/>
        <charset val="136"/>
      </rPr>
      <t>操作系统镜像捕获（已经捕获</t>
    </r>
    <r>
      <rPr>
        <sz val="10"/>
        <color theme="1"/>
        <rFont val="Calibri"/>
        <family val="2"/>
      </rPr>
      <t>OK</t>
    </r>
    <r>
      <rPr>
        <sz val="10"/>
        <color theme="1"/>
        <rFont val="標楷體"/>
        <family val="4"/>
        <charset val="136"/>
      </rPr>
      <t>，测试不需要勾选））</t>
    </r>
  </si>
  <si>
    <r>
      <t>Driver</t>
    </r>
    <r>
      <rPr>
        <sz val="10"/>
        <color theme="1"/>
        <rFont val="標楷體"/>
        <family val="4"/>
        <charset val="136"/>
      </rPr>
      <t>导入</t>
    </r>
  </si>
  <si>
    <r>
      <t>OS</t>
    </r>
    <r>
      <rPr>
        <sz val="10"/>
        <color theme="1"/>
        <rFont val="標楷體"/>
        <family val="4"/>
        <charset val="136"/>
      </rPr>
      <t>导入和分发</t>
    </r>
  </si>
  <si>
    <r>
      <rPr>
        <sz val="10"/>
        <color theme="1"/>
        <rFont val="標楷體"/>
        <family val="4"/>
        <charset val="136"/>
      </rPr>
      <t>创建和分发任务序列</t>
    </r>
  </si>
  <si>
    <r>
      <t>Driver</t>
    </r>
    <r>
      <rPr>
        <sz val="10"/>
        <color theme="1"/>
        <rFont val="標楷體"/>
        <family val="4"/>
        <charset val="136"/>
      </rPr>
      <t>部署</t>
    </r>
  </si>
  <si>
    <r>
      <rPr>
        <sz val="10"/>
        <color theme="1"/>
        <rFont val="標楷體"/>
        <family val="4"/>
        <charset val="136"/>
      </rPr>
      <t>系统和</t>
    </r>
    <r>
      <rPr>
        <sz val="10"/>
        <color theme="1"/>
        <rFont val="Calibri"/>
        <family val="2"/>
      </rPr>
      <t>Driver</t>
    </r>
    <r>
      <rPr>
        <sz val="10"/>
        <color theme="1"/>
        <rFont val="標楷體"/>
        <family val="4"/>
        <charset val="136"/>
      </rPr>
      <t>的安装</t>
    </r>
  </si>
  <si>
    <r>
      <t>Driver</t>
    </r>
    <r>
      <rPr>
        <sz val="10"/>
        <color theme="1"/>
        <rFont val="標楷體"/>
        <family val="4"/>
        <charset val="136"/>
      </rPr>
      <t>检查</t>
    </r>
  </si>
  <si>
    <t>01 SCCM</t>
    <phoneticPr fontId="15" type="noConversion"/>
  </si>
  <si>
    <r>
      <rPr>
        <sz val="10"/>
        <color theme="1"/>
        <rFont val="標楷體"/>
        <family val="4"/>
        <charset val="136"/>
      </rPr>
      <t>删除</t>
    </r>
    <r>
      <rPr>
        <sz val="10"/>
        <color theme="1"/>
        <rFont val="Calibri"/>
        <family val="2"/>
      </rPr>
      <t>Driver</t>
    </r>
  </si>
  <si>
    <t>04 System Performance</t>
  </si>
  <si>
    <t>01 Configuration and Report Requirement</t>
    <phoneticPr fontId="5" type="noConversion"/>
  </si>
  <si>
    <t>Configuration and Report Requirement</t>
    <phoneticPr fontId="5" type="noConversion"/>
  </si>
  <si>
    <t>All sku</t>
    <phoneticPr fontId="15" type="noConversion"/>
  </si>
  <si>
    <t>02 PCMArk Test</t>
    <phoneticPr fontId="5" type="noConversion"/>
  </si>
  <si>
    <t>PCMARK 08 Test</t>
    <phoneticPr fontId="15" type="noConversion"/>
  </si>
  <si>
    <t>03 System Mark Test</t>
    <phoneticPr fontId="5" type="noConversion"/>
  </si>
  <si>
    <t xml:space="preserve"> System Mark 2014 Test</t>
    <phoneticPr fontId="15" type="noConversion"/>
  </si>
  <si>
    <t>04 3DMark Test</t>
    <phoneticPr fontId="5" type="noConversion"/>
  </si>
  <si>
    <t>3DMark Test</t>
    <phoneticPr fontId="5" type="noConversion"/>
  </si>
  <si>
    <t>05 System Boot and Storage Performance</t>
    <phoneticPr fontId="5" type="noConversion"/>
  </si>
  <si>
    <t>System Boot and Storage Performance</t>
    <phoneticPr fontId="5" type="noConversion"/>
  </si>
  <si>
    <t>04 System Performance</t>
    <phoneticPr fontId="5" type="noConversion"/>
  </si>
  <si>
    <r>
      <t>06 Master Lu(</t>
    </r>
    <r>
      <rPr>
        <sz val="10"/>
        <color theme="1"/>
        <rFont val="標楷體"/>
        <family val="4"/>
        <charset val="136"/>
      </rPr>
      <t>鲁大师</t>
    </r>
    <r>
      <rPr>
        <sz val="10"/>
        <color theme="1"/>
        <rFont val="Calibri"/>
        <family val="2"/>
      </rPr>
      <t>)Test</t>
    </r>
  </si>
  <si>
    <r>
      <t>Master Lu(</t>
    </r>
    <r>
      <rPr>
        <sz val="10"/>
        <color theme="1"/>
        <rFont val="標楷體"/>
        <family val="4"/>
        <charset val="136"/>
      </rPr>
      <t>鲁大师</t>
    </r>
    <r>
      <rPr>
        <sz val="10"/>
        <color theme="1"/>
        <rFont val="Calibri"/>
        <family val="2"/>
      </rPr>
      <t>)Test</t>
    </r>
  </si>
  <si>
    <t>08 Special Test</t>
  </si>
  <si>
    <r>
      <t>07 Linux Performance Test</t>
    </r>
    <r>
      <rPr>
        <sz val="10"/>
        <color rgb="FF000000"/>
        <rFont val="Calibri"/>
        <family val="2"/>
      </rPr>
      <t>_x000D_</t>
    </r>
  </si>
  <si>
    <r>
      <t>Linux Performance Test</t>
    </r>
    <r>
      <rPr>
        <sz val="10"/>
        <color rgb="FF000000"/>
        <rFont val="Calibri"/>
        <family val="2"/>
      </rPr>
      <t>_x000D_</t>
    </r>
  </si>
  <si>
    <t>05 System User Scenario Test</t>
    <phoneticPr fontId="15" type="noConversion"/>
  </si>
  <si>
    <r>
      <t xml:space="preserve">01 </t>
    </r>
    <r>
      <rPr>
        <sz val="10"/>
        <color theme="1"/>
        <rFont val="標楷體"/>
        <family val="4"/>
        <charset val="136"/>
      </rPr>
      <t>用户常规静置机器检查场景</t>
    </r>
    <r>
      <rPr>
        <sz val="10"/>
        <color theme="1"/>
        <rFont val="Calibri"/>
        <family val="2"/>
      </rPr>
      <t>1</t>
    </r>
  </si>
  <si>
    <r>
      <rPr>
        <sz val="10"/>
        <color theme="1"/>
        <rFont val="標楷體"/>
        <family val="4"/>
        <charset val="136"/>
      </rPr>
      <t>用户常规静置机器检查场景</t>
    </r>
    <r>
      <rPr>
        <sz val="10"/>
        <color theme="1"/>
        <rFont val="Calibri"/>
        <family val="2"/>
      </rPr>
      <t>1</t>
    </r>
  </si>
  <si>
    <r>
      <t xml:space="preserve">02 </t>
    </r>
    <r>
      <rPr>
        <sz val="10"/>
        <color theme="1"/>
        <rFont val="標楷體"/>
        <family val="4"/>
        <charset val="136"/>
      </rPr>
      <t>在线联网直播及游戏场景</t>
    </r>
  </si>
  <si>
    <r>
      <rPr>
        <sz val="10"/>
        <color theme="1"/>
        <rFont val="標楷體"/>
        <family val="4"/>
        <charset val="136"/>
      </rPr>
      <t>在线联网直播及游戏场景</t>
    </r>
  </si>
  <si>
    <r>
      <t>03 PC</t>
    </r>
    <r>
      <rPr>
        <sz val="10"/>
        <color theme="1"/>
        <rFont val="標楷體"/>
        <family val="4"/>
        <charset val="136"/>
      </rPr>
      <t>与智能家电兼容场景检查</t>
    </r>
    <r>
      <rPr>
        <b/>
        <sz val="10"/>
        <color indexed="8"/>
        <rFont val="Calibri"/>
        <family val="2"/>
        <charset val="134"/>
      </rPr>
      <t/>
    </r>
  </si>
  <si>
    <r>
      <t>PC</t>
    </r>
    <r>
      <rPr>
        <sz val="10"/>
        <color theme="1"/>
        <rFont val="標楷體"/>
        <family val="4"/>
        <charset val="136"/>
      </rPr>
      <t>与智能家电兼容场景检查</t>
    </r>
  </si>
  <si>
    <r>
      <t>04 LED</t>
    </r>
    <r>
      <rPr>
        <sz val="10"/>
        <color theme="1"/>
        <rFont val="標楷體"/>
        <family val="4"/>
        <charset val="136"/>
      </rPr>
      <t>指示灯及</t>
    </r>
    <r>
      <rPr>
        <sz val="10"/>
        <color theme="1"/>
        <rFont val="Calibri"/>
        <family val="2"/>
      </rPr>
      <t>OSD</t>
    </r>
    <r>
      <rPr>
        <sz val="10"/>
        <color theme="1"/>
        <rFont val="標楷體"/>
        <family val="4"/>
        <charset val="136"/>
      </rPr>
      <t>菜单检查</t>
    </r>
  </si>
  <si>
    <r>
      <t xml:space="preserve"> LED</t>
    </r>
    <r>
      <rPr>
        <sz val="10"/>
        <color theme="1"/>
        <rFont val="標楷體"/>
        <family val="4"/>
        <charset val="136"/>
      </rPr>
      <t>指示灯及</t>
    </r>
    <r>
      <rPr>
        <sz val="10"/>
        <color theme="1"/>
        <rFont val="Calibri"/>
        <family val="2"/>
      </rPr>
      <t>OSD</t>
    </r>
    <r>
      <rPr>
        <sz val="10"/>
        <color theme="1"/>
        <rFont val="標楷體"/>
        <family val="4"/>
        <charset val="136"/>
      </rPr>
      <t>菜单检查</t>
    </r>
  </si>
  <si>
    <r>
      <t xml:space="preserve">05 </t>
    </r>
    <r>
      <rPr>
        <sz val="10"/>
        <color theme="1"/>
        <rFont val="標楷體"/>
        <family val="4"/>
        <charset val="136"/>
      </rPr>
      <t>键鼠功能体验</t>
    </r>
  </si>
  <si>
    <r>
      <rPr>
        <sz val="10"/>
        <color theme="1"/>
        <rFont val="標楷體"/>
        <family val="4"/>
        <charset val="136"/>
      </rPr>
      <t>键鼠功能体验</t>
    </r>
  </si>
  <si>
    <t>05 Peripheral Device Compatibility</t>
  </si>
  <si>
    <t>01 Third Party Peripheral Devices Compatibility</t>
  </si>
  <si>
    <t>Wireless Router Test</t>
  </si>
  <si>
    <t>P3</t>
    <phoneticPr fontId="5" type="noConversion"/>
  </si>
  <si>
    <t>Bluetooth Mobile Phone Test</t>
  </si>
  <si>
    <t>Bluetooth Pad Test</t>
  </si>
  <si>
    <t>Bluetooth Mouse Test</t>
  </si>
  <si>
    <t>Bluetooth Headset Test</t>
  </si>
  <si>
    <t>Two AIO Bluetooth Test.</t>
  </si>
  <si>
    <t>Bluetooth Speaker Test</t>
  </si>
  <si>
    <t>Bluetooth Keyboard Test</t>
  </si>
  <si>
    <t>07 Windows Update Test</t>
    <phoneticPr fontId="15" type="noConversion"/>
  </si>
  <si>
    <t>01 Test preparation work</t>
    <phoneticPr fontId="15" type="noConversion"/>
  </si>
  <si>
    <t xml:space="preserve"> Test preparation work</t>
    <phoneticPr fontId="15" type="noConversion"/>
  </si>
  <si>
    <t>02 Windows update Test</t>
    <phoneticPr fontId="15" type="noConversion"/>
  </si>
  <si>
    <t>Windows update Test</t>
    <phoneticPr fontId="15" type="noConversion"/>
  </si>
  <si>
    <t>09 Sample Stability Test</t>
    <phoneticPr fontId="15" type="noConversion"/>
  </si>
  <si>
    <t>01 Test Prepare</t>
  </si>
  <si>
    <t>Test Prepare</t>
  </si>
  <si>
    <t>09 Sample Stability Test</t>
  </si>
  <si>
    <t>02 System Stability</t>
    <phoneticPr fontId="15" type="noConversion"/>
  </si>
  <si>
    <t>01 Stress Test</t>
  </si>
  <si>
    <t>System stress test</t>
  </si>
  <si>
    <t>OC Stress Test</t>
  </si>
  <si>
    <t>02 Boot cycling</t>
  </si>
  <si>
    <r>
      <t xml:space="preserve">Win7 </t>
    </r>
    <r>
      <rPr>
        <sz val="10"/>
        <color rgb="FF000000"/>
        <rFont val="標楷體"/>
        <family val="4"/>
        <charset val="136"/>
      </rPr>
      <t>开关机测试</t>
    </r>
  </si>
  <si>
    <r>
      <t xml:space="preserve">Win8/10 </t>
    </r>
    <r>
      <rPr>
        <sz val="10"/>
        <color rgb="FF000000"/>
        <rFont val="標楷體"/>
        <family val="4"/>
        <charset val="136"/>
      </rPr>
      <t>开关机测试</t>
    </r>
  </si>
  <si>
    <t>03 RTC test</t>
  </si>
  <si>
    <r>
      <t>CMOS</t>
    </r>
    <r>
      <rPr>
        <sz val="10"/>
        <color rgb="FF000000"/>
        <rFont val="標楷體"/>
        <family val="4"/>
        <charset val="136"/>
      </rPr>
      <t>下时间精度测试</t>
    </r>
  </si>
  <si>
    <r>
      <t>AMD SuperIO RTC</t>
    </r>
    <r>
      <rPr>
        <sz val="10"/>
        <color rgb="FF000000"/>
        <rFont val="標楷體"/>
        <family val="4"/>
        <charset val="136"/>
      </rPr>
      <t>功能测试</t>
    </r>
  </si>
  <si>
    <t>04 Power Test</t>
  </si>
  <si>
    <t>S3 Overnight</t>
  </si>
  <si>
    <t>S4 Overnight</t>
  </si>
  <si>
    <t>Modern Standby Overnig..</t>
  </si>
  <si>
    <t>S3 Looping</t>
  </si>
  <si>
    <t>S4 Looping</t>
  </si>
  <si>
    <t>Modern Standby Looping</t>
  </si>
  <si>
    <t>Reboot</t>
  </si>
  <si>
    <t>S3&amp;S4 Hybrid Looping</t>
  </si>
  <si>
    <t>05 Graphics</t>
  </si>
  <si>
    <t>Unigne Heaven Test</t>
  </si>
  <si>
    <t>Screen saver</t>
  </si>
  <si>
    <t xml:space="preserve">06 Camera </t>
  </si>
  <si>
    <t>10 APP</t>
    <phoneticPr fontId="15" type="noConversion"/>
  </si>
  <si>
    <t>10 APP</t>
    <phoneticPr fontId="15" type="noConversion"/>
  </si>
  <si>
    <t>01 OS</t>
    <phoneticPr fontId="15" type="noConversion"/>
  </si>
  <si>
    <t>01 Win10 OS Test</t>
    <phoneticPr fontId="15" type="noConversion"/>
  </si>
  <si>
    <t>Cortana</t>
    <phoneticPr fontId="15" type="noConversion"/>
  </si>
  <si>
    <t>2019-08-27</t>
    <phoneticPr fontId="15" type="noConversion"/>
  </si>
  <si>
    <t>DQA</t>
    <phoneticPr fontId="15" type="noConversion"/>
  </si>
  <si>
    <t>all sku</t>
    <phoneticPr fontId="5" type="noConversion"/>
  </si>
  <si>
    <t>Windows Hello</t>
    <phoneticPr fontId="15" type="noConversion"/>
  </si>
  <si>
    <t>2019-05-20</t>
    <phoneticPr fontId="15" type="noConversion"/>
  </si>
  <si>
    <t>all IR camera sku</t>
    <phoneticPr fontId="5" type="noConversion"/>
  </si>
  <si>
    <t>Microsoft Edge</t>
    <phoneticPr fontId="15" type="noConversion"/>
  </si>
  <si>
    <t>2019-06-24</t>
    <phoneticPr fontId="15" type="noConversion"/>
  </si>
  <si>
    <t>People+Type1</t>
    <phoneticPr fontId="15" type="noConversion"/>
  </si>
  <si>
    <t>Movies</t>
    <phoneticPr fontId="15" type="noConversion"/>
  </si>
  <si>
    <r>
      <t>Sandbox (19H1</t>
    </r>
    <r>
      <rPr>
        <sz val="10"/>
        <color theme="1"/>
        <rFont val="標楷體"/>
        <family val="4"/>
        <charset val="136"/>
      </rPr>
      <t>及以上</t>
    </r>
    <r>
      <rPr>
        <sz val="10"/>
        <color theme="1"/>
        <rFont val="Calibri"/>
        <family val="2"/>
      </rPr>
      <t>)+TypeN</t>
    </r>
  </si>
  <si>
    <t>2019-09-18</t>
    <phoneticPr fontId="15" type="noConversion"/>
  </si>
  <si>
    <t>02 Lenovo APP</t>
    <phoneticPr fontId="15" type="noConversion"/>
  </si>
  <si>
    <t>01 Lenovo Vantage3.0 - Type N</t>
    <phoneticPr fontId="15" type="noConversion"/>
  </si>
  <si>
    <r>
      <t>Lenovo Vantage for Desktop-</t>
    </r>
    <r>
      <rPr>
        <sz val="10"/>
        <color theme="1"/>
        <rFont val="標楷體"/>
        <family val="4"/>
        <charset val="136"/>
      </rPr>
      <t>联网测试</t>
    </r>
    <r>
      <rPr>
        <sz val="10"/>
        <color theme="1"/>
        <rFont val="Calibri"/>
        <family val="2"/>
      </rPr>
      <t>- Type N</t>
    </r>
  </si>
  <si>
    <t>2019-10-22</t>
    <phoneticPr fontId="15" type="noConversion"/>
  </si>
  <si>
    <r>
      <t>Lenovo Vantage for Gaming DT-</t>
    </r>
    <r>
      <rPr>
        <sz val="10"/>
        <color theme="1"/>
        <rFont val="標楷體"/>
        <family val="4"/>
        <charset val="136"/>
      </rPr>
      <t>联网测试</t>
    </r>
    <r>
      <rPr>
        <sz val="10"/>
        <color theme="1"/>
        <rFont val="Calibri"/>
        <family val="2"/>
      </rPr>
      <t>- Type N</t>
    </r>
  </si>
  <si>
    <t>2019-10-22</t>
    <phoneticPr fontId="15" type="noConversion"/>
  </si>
  <si>
    <t>V</t>
    <phoneticPr fontId="15" type="noConversion"/>
  </si>
  <si>
    <t>all sku</t>
    <phoneticPr fontId="5" type="noConversion"/>
  </si>
  <si>
    <t>02 Lenovo Welcome(Except SC&amp;Think) -- TypeN</t>
    <phoneticPr fontId="15" type="noConversion"/>
  </si>
  <si>
    <t>Lenovo Welcome(Except SC&amp;Think) -- TypeN</t>
    <phoneticPr fontId="15" type="noConversion"/>
  </si>
  <si>
    <t>2019-06-12</t>
    <phoneticPr fontId="15" type="noConversion"/>
  </si>
  <si>
    <t>all sku</t>
    <phoneticPr fontId="5" type="noConversion"/>
  </si>
  <si>
    <r>
      <t>03 Lenovo User Guide(</t>
    </r>
    <r>
      <rPr>
        <sz val="10"/>
        <color theme="1"/>
        <rFont val="標楷體"/>
        <family val="4"/>
        <charset val="136"/>
      </rPr>
      <t>用户说明书</t>
    </r>
    <r>
      <rPr>
        <sz val="10"/>
        <color theme="1"/>
        <rFont val="Calibri"/>
        <family val="2"/>
      </rPr>
      <t>)_Win7&amp;Win10+Type1</t>
    </r>
  </si>
  <si>
    <t>Lenovo User guide</t>
    <phoneticPr fontId="15" type="noConversion"/>
  </si>
  <si>
    <t>2019-11-01</t>
    <phoneticPr fontId="15" type="noConversion"/>
  </si>
  <si>
    <t>04 Power2Go for lenovo - Type N</t>
    <phoneticPr fontId="15" type="noConversion"/>
  </si>
  <si>
    <t>Power2Go - Type N</t>
    <phoneticPr fontId="15" type="noConversion"/>
  </si>
  <si>
    <t>2018-10-10</t>
    <phoneticPr fontId="15" type="noConversion"/>
  </si>
  <si>
    <t>all ODD sku</t>
    <phoneticPr fontId="5" type="noConversion"/>
  </si>
  <si>
    <t>05 PowerDVD 14 for Lenovo - Type N</t>
    <phoneticPr fontId="15" type="noConversion"/>
  </si>
  <si>
    <t>Powerdvd - Type N</t>
    <phoneticPr fontId="15" type="noConversion"/>
  </si>
  <si>
    <t>06 Lenovo Audit Date -Type1</t>
    <phoneticPr fontId="15" type="noConversion"/>
  </si>
  <si>
    <t>Lenovo Audit Date -Type1</t>
    <phoneticPr fontId="15" type="noConversion"/>
  </si>
  <si>
    <t>2019-06-19</t>
    <phoneticPr fontId="15" type="noConversion"/>
  </si>
  <si>
    <r>
      <t xml:space="preserve">07 </t>
    </r>
    <r>
      <rPr>
        <sz val="10"/>
        <color theme="1"/>
        <rFont val="標楷體"/>
        <family val="4"/>
        <charset val="136"/>
      </rPr>
      <t>联想电脑管家</t>
    </r>
    <r>
      <rPr>
        <sz val="10"/>
        <color theme="1"/>
        <rFont val="Calibri"/>
        <family val="2"/>
      </rPr>
      <t>(2.8.80</t>
    </r>
    <r>
      <rPr>
        <sz val="10"/>
        <color theme="1"/>
        <rFont val="標楷體"/>
        <family val="4"/>
        <charset val="136"/>
      </rPr>
      <t>版本</t>
    </r>
    <r>
      <rPr>
        <sz val="10"/>
        <color theme="1"/>
        <rFont val="Calibri"/>
        <family val="2"/>
      </rPr>
      <t>) + TypeN</t>
    </r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</si>
  <si>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】智慧联想浏览器</t>
    </r>
    <r>
      <rPr>
        <sz val="10"/>
        <color theme="1"/>
        <rFont val="Calibri"/>
        <family val="2"/>
      </rPr>
      <t>+Type1</t>
    </r>
  </si>
  <si>
    <t>P1</t>
    <phoneticPr fontId="15" type="noConversion"/>
  </si>
  <si>
    <t>2019-11-19</t>
    <phoneticPr fontId="15" type="noConversion"/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</si>
  <si>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】调起</t>
    </r>
    <r>
      <rPr>
        <sz val="10"/>
        <color theme="1"/>
        <rFont val="Calibri"/>
        <family val="2"/>
      </rPr>
      <t>+TypeN</t>
    </r>
  </si>
  <si>
    <t>2019-08-21</t>
    <phoneticPr fontId="15" type="noConversion"/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</si>
  <si>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】主要功能</t>
    </r>
    <r>
      <rPr>
        <sz val="10"/>
        <color theme="1"/>
        <rFont val="Calibri"/>
        <family val="2"/>
      </rPr>
      <t>+TypeN</t>
    </r>
  </si>
  <si>
    <t>1,05</t>
    <phoneticPr fontId="15" type="noConversion"/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</si>
  <si>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】更多功能</t>
    </r>
    <r>
      <rPr>
        <sz val="10"/>
        <color theme="1"/>
        <rFont val="Calibri"/>
        <family val="2"/>
      </rPr>
      <t>+Type1</t>
    </r>
  </si>
  <si>
    <t>2019-10-09</t>
    <phoneticPr fontId="15" type="noConversion"/>
  </si>
  <si>
    <r>
      <t xml:space="preserve">08 </t>
    </r>
    <r>
      <rPr>
        <sz val="10"/>
        <color theme="1"/>
        <rFont val="標楷體"/>
        <family val="4"/>
        <charset val="136"/>
      </rPr>
      <t>联想电脑管家（</t>
    </r>
    <r>
      <rPr>
        <sz val="10"/>
        <color theme="1"/>
        <rFont val="Calibri"/>
        <family val="2"/>
      </rPr>
      <t>2.8.80</t>
    </r>
    <r>
      <rPr>
        <sz val="10"/>
        <color theme="1"/>
        <rFont val="標楷體"/>
        <family val="4"/>
        <charset val="136"/>
      </rPr>
      <t>版本）（</t>
    </r>
    <r>
      <rPr>
        <sz val="10"/>
        <color theme="1"/>
        <rFont val="Calibri"/>
        <family val="2"/>
      </rPr>
      <t>SMB</t>
    </r>
    <r>
      <rPr>
        <sz val="10"/>
        <color theme="1"/>
        <rFont val="標楷體"/>
        <family val="4"/>
        <charset val="136"/>
      </rPr>
      <t>）</t>
    </r>
    <r>
      <rPr>
        <sz val="10"/>
        <color theme="1"/>
        <rFont val="Calibri"/>
        <family val="2"/>
      </rPr>
      <t>for YT Only + TypeN</t>
    </r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</si>
  <si>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】调起</t>
    </r>
    <r>
      <rPr>
        <sz val="10"/>
        <color theme="1"/>
        <rFont val="Calibri"/>
        <family val="2"/>
      </rPr>
      <t>+Type1</t>
    </r>
  </si>
  <si>
    <r>
      <rPr>
        <sz val="10"/>
        <color theme="1"/>
        <rFont val="標楷體"/>
        <family val="4"/>
        <charset val="136"/>
      </rPr>
      <t>【</t>
    </r>
    <r>
      <rPr>
        <sz val="10"/>
        <color theme="1"/>
        <rFont val="Calibri"/>
        <family val="2"/>
      </rPr>
      <t>Internet Connected</t>
    </r>
    <r>
      <rPr>
        <sz val="10"/>
        <color theme="1"/>
        <rFont val="標楷體"/>
        <family val="4"/>
        <charset val="136"/>
      </rPr>
      <t>】主要功能</t>
    </r>
    <r>
      <rPr>
        <sz val="10"/>
        <color theme="1"/>
        <rFont val="Calibri"/>
        <family val="2"/>
      </rPr>
      <t>+Type1</t>
    </r>
  </si>
  <si>
    <r>
      <t>09 SMB Cloud Service (website)</t>
    </r>
    <r>
      <rPr>
        <sz val="10"/>
        <color theme="1"/>
        <rFont val="標楷體"/>
        <family val="4"/>
        <charset val="136"/>
      </rPr>
      <t>（联想智汇中心）</t>
    </r>
    <r>
      <rPr>
        <sz val="10"/>
        <color theme="1"/>
        <rFont val="Calibri"/>
        <family val="2"/>
      </rPr>
      <t xml:space="preserve"> +Type N</t>
    </r>
  </si>
  <si>
    <r>
      <t>SMB Cloud Service (website)</t>
    </r>
    <r>
      <rPr>
        <sz val="10"/>
        <color theme="1"/>
        <rFont val="標楷體"/>
        <family val="4"/>
        <charset val="136"/>
      </rPr>
      <t>（联想智汇中心）</t>
    </r>
    <r>
      <rPr>
        <sz val="10"/>
        <color theme="1"/>
        <rFont val="Calibri"/>
        <family val="2"/>
      </rPr>
      <t xml:space="preserve"> +Type N</t>
    </r>
  </si>
  <si>
    <t>2019-09-04</t>
    <phoneticPr fontId="15" type="noConversion"/>
  </si>
  <si>
    <t>10 Lenovo Dial Assistant-Type1</t>
    <phoneticPr fontId="15" type="noConversion"/>
  </si>
  <si>
    <r>
      <rPr>
        <sz val="10"/>
        <color theme="1"/>
        <rFont val="標楷體"/>
        <family val="4"/>
        <charset val="136"/>
      </rPr>
      <t>预装检查</t>
    </r>
  </si>
  <si>
    <t>2018-11-21</t>
    <phoneticPr fontId="15" type="noConversion"/>
  </si>
  <si>
    <r>
      <rPr>
        <sz val="10"/>
        <color theme="1"/>
        <rFont val="標楷體"/>
        <family val="4"/>
        <charset val="136"/>
      </rPr>
      <t>调起</t>
    </r>
  </si>
  <si>
    <t>2018-12-20</t>
    <phoneticPr fontId="15" type="noConversion"/>
  </si>
  <si>
    <r>
      <rPr>
        <sz val="10"/>
        <color theme="1"/>
        <rFont val="標楷體"/>
        <family val="4"/>
        <charset val="136"/>
      </rPr>
      <t>界面检查</t>
    </r>
  </si>
  <si>
    <t>2018-09-29</t>
    <phoneticPr fontId="15" type="noConversion"/>
  </si>
  <si>
    <r>
      <rPr>
        <sz val="10"/>
        <color theme="1"/>
        <rFont val="標楷體"/>
        <family val="4"/>
        <charset val="136"/>
      </rPr>
      <t>界面操作</t>
    </r>
  </si>
  <si>
    <r>
      <rPr>
        <sz val="10"/>
        <color theme="1"/>
        <rFont val="標楷體"/>
        <family val="4"/>
        <charset val="136"/>
      </rPr>
      <t>软件支持</t>
    </r>
  </si>
  <si>
    <r>
      <t>Power</t>
    </r>
    <r>
      <rPr>
        <sz val="10"/>
        <color theme="1"/>
        <rFont val="標楷體"/>
        <family val="4"/>
        <charset val="136"/>
      </rPr>
      <t>状态兼容性</t>
    </r>
  </si>
  <si>
    <t>2018-10-26</t>
    <phoneticPr fontId="15" type="noConversion"/>
  </si>
  <si>
    <r>
      <rPr>
        <sz val="10"/>
        <color theme="1"/>
        <rFont val="標楷體"/>
        <family val="4"/>
        <charset val="136"/>
      </rPr>
      <t>设备兼容性</t>
    </r>
  </si>
  <si>
    <r>
      <rPr>
        <sz val="10"/>
        <color theme="1"/>
        <rFont val="標楷體"/>
        <family val="4"/>
        <charset val="136"/>
      </rPr>
      <t>多桌面</t>
    </r>
  </si>
  <si>
    <r>
      <rPr>
        <sz val="10"/>
        <color theme="1"/>
        <rFont val="標楷體"/>
        <family val="4"/>
        <charset val="136"/>
      </rPr>
      <t>显示兼容性</t>
    </r>
  </si>
  <si>
    <r>
      <rPr>
        <sz val="10"/>
        <color theme="1"/>
        <rFont val="標楷體"/>
        <family val="4"/>
        <charset val="136"/>
      </rPr>
      <t>长时间</t>
    </r>
  </si>
  <si>
    <r>
      <rPr>
        <sz val="10"/>
        <color theme="1"/>
        <rFont val="標楷體"/>
        <family val="4"/>
        <charset val="136"/>
      </rPr>
      <t>卸载</t>
    </r>
  </si>
  <si>
    <r>
      <rPr>
        <sz val="10"/>
        <color theme="1"/>
        <rFont val="標楷體"/>
        <family val="4"/>
        <charset val="136"/>
      </rPr>
      <t>灯效</t>
    </r>
  </si>
  <si>
    <t>2018-10-26</t>
    <phoneticPr fontId="15" type="noConversion"/>
  </si>
  <si>
    <t>11 APP</t>
  </si>
  <si>
    <t>03 3rd-party</t>
    <phoneticPr fontId="15" type="noConversion"/>
  </si>
  <si>
    <t>01 McAfee LiveSafe &amp; Internet Security -Type N</t>
    <phoneticPr fontId="15" type="noConversion"/>
  </si>
  <si>
    <t>McAfee LiveSafe &amp; Internet Security -Type N</t>
    <phoneticPr fontId="15" type="noConversion"/>
  </si>
  <si>
    <t>2019-06-20</t>
    <phoneticPr fontId="15" type="noConversion"/>
  </si>
  <si>
    <t>02 McAfee Security(Win10 S Mode) -- Type1</t>
    <phoneticPr fontId="15" type="noConversion"/>
  </si>
  <si>
    <t>Pre-Installation</t>
    <phoneticPr fontId="15" type="noConversion"/>
  </si>
  <si>
    <t>2019-10-28</t>
    <phoneticPr fontId="15" type="noConversion"/>
  </si>
  <si>
    <t>Function Check</t>
    <phoneticPr fontId="15" type="noConversion"/>
  </si>
  <si>
    <t>2019-10-29</t>
    <phoneticPr fontId="15" type="noConversion"/>
  </si>
  <si>
    <t>Uninstallation</t>
    <phoneticPr fontId="15" type="noConversion"/>
  </si>
  <si>
    <t>2019-04-17</t>
    <phoneticPr fontId="15" type="noConversion"/>
  </si>
  <si>
    <t>03 Microsoft Office -TypeN</t>
    <phoneticPr fontId="15" type="noConversion"/>
  </si>
  <si>
    <t>Office V1910 - TypeN</t>
    <phoneticPr fontId="15" type="noConversion"/>
  </si>
  <si>
    <t>2019-10-23</t>
    <phoneticPr fontId="15" type="noConversion"/>
  </si>
  <si>
    <r>
      <t xml:space="preserve">04 </t>
    </r>
    <r>
      <rPr>
        <sz val="10"/>
        <color theme="1"/>
        <rFont val="標楷體"/>
        <family val="4"/>
        <charset val="136"/>
      </rPr>
      <t>联想杀毒</t>
    </r>
    <r>
      <rPr>
        <sz val="10"/>
        <color theme="1"/>
        <rFont val="Calibri"/>
        <family val="2"/>
      </rPr>
      <t>+win10+TypeN(SC Only)</t>
    </r>
  </si>
  <si>
    <r>
      <rPr>
        <sz val="10"/>
        <color theme="1"/>
        <rFont val="標楷體"/>
        <family val="4"/>
        <charset val="136"/>
      </rPr>
      <t>软件预装及确认</t>
    </r>
    <r>
      <rPr>
        <sz val="10"/>
        <color theme="1"/>
        <rFont val="Calibri"/>
        <family val="2"/>
      </rPr>
      <t>+Type1</t>
    </r>
  </si>
  <si>
    <t>2019-04-15</t>
    <phoneticPr fontId="15" type="noConversion"/>
  </si>
  <si>
    <r>
      <rPr>
        <sz val="10"/>
        <color theme="1"/>
        <rFont val="標楷體"/>
        <family val="4"/>
        <charset val="136"/>
      </rPr>
      <t>主界面</t>
    </r>
    <r>
      <rPr>
        <sz val="10"/>
        <color theme="1"/>
        <rFont val="Calibri"/>
        <family val="2"/>
      </rPr>
      <t>+Type1</t>
    </r>
  </si>
  <si>
    <t>2018-03-16</t>
    <phoneticPr fontId="15" type="noConversion"/>
  </si>
  <si>
    <r>
      <t>[Internet Connected]</t>
    </r>
    <r>
      <rPr>
        <sz val="10"/>
        <color theme="1"/>
        <rFont val="標楷體"/>
        <family val="4"/>
        <charset val="136"/>
      </rPr>
      <t>功能状态检查</t>
    </r>
    <r>
      <rPr>
        <sz val="10"/>
        <color theme="1"/>
        <rFont val="Calibri"/>
        <family val="2"/>
      </rPr>
      <t>+Type1</t>
    </r>
  </si>
  <si>
    <t>2019-05-29</t>
    <phoneticPr fontId="15" type="noConversion"/>
  </si>
  <si>
    <r>
      <t>[Internet Connected]</t>
    </r>
    <r>
      <rPr>
        <sz val="10"/>
        <color theme="1"/>
        <rFont val="標楷體"/>
        <family val="4"/>
        <charset val="136"/>
      </rPr>
      <t>扫描兼容性</t>
    </r>
    <r>
      <rPr>
        <sz val="10"/>
        <color theme="1"/>
        <rFont val="Calibri"/>
        <family val="2"/>
      </rPr>
      <t>+TypeN</t>
    </r>
  </si>
  <si>
    <r>
      <rPr>
        <sz val="10"/>
        <color theme="1"/>
        <rFont val="標楷體"/>
        <family val="4"/>
        <charset val="136"/>
      </rPr>
      <t>卸载</t>
    </r>
    <r>
      <rPr>
        <sz val="10"/>
        <color theme="1"/>
        <rFont val="Calibri"/>
        <family val="2"/>
      </rPr>
      <t>+Type1</t>
    </r>
  </si>
  <si>
    <t>2018-03-08</t>
    <phoneticPr fontId="15" type="noConversion"/>
  </si>
  <si>
    <t>05 Amazon Alexa+TypeN(EN Only)</t>
    <phoneticPr fontId="15" type="noConversion"/>
  </si>
  <si>
    <t>Amazon Alexa+TypeN(EN Only)</t>
    <phoneticPr fontId="15" type="noConversion"/>
  </si>
  <si>
    <t>2019-01-07</t>
    <phoneticPr fontId="15" type="noConversion"/>
  </si>
  <si>
    <t>06 WPS Office Type1</t>
    <phoneticPr fontId="15" type="noConversion"/>
  </si>
  <si>
    <t>WPS Office Type1</t>
    <phoneticPr fontId="15" type="noConversion"/>
  </si>
  <si>
    <t>2019-10-24</t>
    <phoneticPr fontId="15" type="noConversion"/>
  </si>
  <si>
    <r>
      <t xml:space="preserve">07 </t>
    </r>
    <r>
      <rPr>
        <sz val="10"/>
        <color theme="1"/>
        <rFont val="標楷體"/>
        <family val="4"/>
        <charset val="136"/>
      </rPr>
      <t>爱奇艺</t>
    </r>
    <r>
      <rPr>
        <sz val="10"/>
        <color theme="1"/>
        <rFont val="Calibri"/>
        <family val="2"/>
      </rPr>
      <t xml:space="preserve"> - TypeN</t>
    </r>
  </si>
  <si>
    <r>
      <rPr>
        <sz val="10"/>
        <color theme="1"/>
        <rFont val="標楷體"/>
        <family val="4"/>
        <charset val="136"/>
      </rPr>
      <t>爱奇艺</t>
    </r>
    <r>
      <rPr>
        <sz val="10"/>
        <color theme="1"/>
        <rFont val="Calibri"/>
        <family val="2"/>
      </rPr>
      <t xml:space="preserve"> - TypeN</t>
    </r>
  </si>
  <si>
    <t>2019-09-18</t>
    <phoneticPr fontId="15" type="noConversion"/>
  </si>
  <si>
    <r>
      <t xml:space="preserve">08 </t>
    </r>
    <r>
      <rPr>
        <sz val="10"/>
        <color theme="1"/>
        <rFont val="標楷體"/>
        <family val="4"/>
        <charset val="136"/>
      </rPr>
      <t>腾讯视频</t>
    </r>
    <r>
      <rPr>
        <sz val="10"/>
        <color theme="1"/>
        <rFont val="Calibri"/>
        <family val="2"/>
      </rPr>
      <t>-TypeN</t>
    </r>
  </si>
  <si>
    <r>
      <rPr>
        <sz val="10"/>
        <color theme="1"/>
        <rFont val="標楷體"/>
        <family val="4"/>
        <charset val="136"/>
      </rPr>
      <t>腾讯视频</t>
    </r>
    <r>
      <rPr>
        <sz val="10"/>
        <color theme="1"/>
        <rFont val="Calibri"/>
        <family val="2"/>
      </rPr>
      <t>-TypeN</t>
    </r>
  </si>
  <si>
    <t>09 Mirkat_Type1</t>
    <phoneticPr fontId="15" type="noConversion"/>
  </si>
  <si>
    <t>Pre-Installation_Type1</t>
    <phoneticPr fontId="15" type="noConversion"/>
  </si>
  <si>
    <t>2019-06-21</t>
    <phoneticPr fontId="15" type="noConversion"/>
  </si>
  <si>
    <t>Offline_Type1</t>
    <phoneticPr fontId="15" type="noConversion"/>
  </si>
  <si>
    <t>Sing up_Type1</t>
    <phoneticPr fontId="15" type="noConversion"/>
  </si>
  <si>
    <t>Dashboard_Type1</t>
    <phoneticPr fontId="15" type="noConversion"/>
  </si>
  <si>
    <t>Uninstallation_Type1</t>
    <phoneticPr fontId="15" type="noConversion"/>
  </si>
  <si>
    <t>10 Dolby Vision-Type1</t>
    <phoneticPr fontId="15" type="noConversion"/>
  </si>
  <si>
    <t>2019-06-26</t>
    <phoneticPr fontId="15" type="noConversion"/>
  </si>
  <si>
    <r>
      <rPr>
        <sz val="10"/>
        <color theme="1"/>
        <rFont val="標楷體"/>
        <family val="4"/>
        <charset val="136"/>
      </rPr>
      <t>调用</t>
    </r>
  </si>
  <si>
    <t>2018-12-14</t>
    <phoneticPr fontId="15" type="noConversion"/>
  </si>
  <si>
    <r>
      <rPr>
        <sz val="10"/>
        <color theme="1"/>
        <rFont val="標楷體"/>
        <family val="4"/>
        <charset val="136"/>
      </rPr>
      <t>功能检查</t>
    </r>
  </si>
  <si>
    <r>
      <rPr>
        <sz val="10"/>
        <color theme="1"/>
        <rFont val="標楷體"/>
        <family val="4"/>
        <charset val="136"/>
      </rPr>
      <t>系统状态兼容性</t>
    </r>
  </si>
  <si>
    <r>
      <rPr>
        <sz val="10"/>
        <color theme="1"/>
        <rFont val="標楷體"/>
        <family val="4"/>
        <charset val="136"/>
      </rPr>
      <t>扩展显示兼容性</t>
    </r>
  </si>
  <si>
    <t>11 Tobii Experience -TypeN</t>
    <phoneticPr fontId="15" type="noConversion"/>
  </si>
  <si>
    <t>2019-02-27</t>
    <phoneticPr fontId="15" type="noConversion"/>
  </si>
  <si>
    <t>GUI</t>
    <phoneticPr fontId="15" type="noConversion"/>
  </si>
  <si>
    <t>Power optimization</t>
    <phoneticPr fontId="15" type="noConversion"/>
  </si>
  <si>
    <t>Security and Privacy</t>
    <phoneticPr fontId="15" type="noConversion"/>
  </si>
  <si>
    <t>Mouse enhancements</t>
    <phoneticPr fontId="15" type="noConversion"/>
  </si>
  <si>
    <t>NLS Keyboard(NLS only)</t>
    <phoneticPr fontId="15" type="noConversion"/>
  </si>
  <si>
    <t>Power Status</t>
    <phoneticPr fontId="15" type="noConversion"/>
  </si>
  <si>
    <t>Camera Disabled</t>
    <phoneticPr fontId="15" type="noConversion"/>
  </si>
  <si>
    <t>Environment</t>
    <phoneticPr fontId="15" type="noConversion"/>
  </si>
  <si>
    <t>Multi-Desktop</t>
    <phoneticPr fontId="15" type="noConversion"/>
  </si>
  <si>
    <t>Long run</t>
    <phoneticPr fontId="15" type="noConversion"/>
  </si>
  <si>
    <t>04 Miscellaneous Test</t>
    <phoneticPr fontId="15" type="noConversion"/>
  </si>
  <si>
    <t>01  OKR 9.0 Win10/Win7--TypeN</t>
    <phoneticPr fontId="15" type="noConversion"/>
  </si>
  <si>
    <t>OKR 9.0 Win10/Win7--TypeN</t>
    <phoneticPr fontId="15" type="noConversion"/>
  </si>
  <si>
    <t>P1</t>
    <phoneticPr fontId="15" type="noConversion"/>
  </si>
  <si>
    <t>2019-06-05</t>
    <phoneticPr fontId="15" type="noConversion"/>
  </si>
  <si>
    <t>11 Common Stress</t>
    <phoneticPr fontId="15" type="noConversion"/>
  </si>
  <si>
    <t>11 Common Stress</t>
    <phoneticPr fontId="15" type="noConversion"/>
  </si>
  <si>
    <t>Overnight setting</t>
    <phoneticPr fontId="15" type="noConversion"/>
  </si>
  <si>
    <t>2010/7</t>
    <phoneticPr fontId="15" type="noConversion"/>
  </si>
  <si>
    <t>all sku</t>
    <phoneticPr fontId="15" type="noConversion"/>
  </si>
  <si>
    <t>Common stress</t>
    <phoneticPr fontId="15" type="noConversion"/>
  </si>
  <si>
    <t>Coldboot_250</t>
    <phoneticPr fontId="15" type="noConversion"/>
  </si>
  <si>
    <t>2018/3</t>
    <phoneticPr fontId="15" type="noConversion"/>
  </si>
  <si>
    <t>Warmboot_250</t>
    <phoneticPr fontId="15" type="noConversion"/>
  </si>
  <si>
    <t>S3_250</t>
    <phoneticPr fontId="15" type="noConversion"/>
  </si>
  <si>
    <t>S4_250</t>
    <phoneticPr fontId="15" type="noConversion"/>
  </si>
  <si>
    <t>Hybrid shut down_250</t>
    <phoneticPr fontId="15" type="noConversion"/>
  </si>
  <si>
    <t>S0i3_250</t>
    <phoneticPr fontId="15" type="noConversion"/>
  </si>
  <si>
    <t>Burnin</t>
    <phoneticPr fontId="15" type="noConversion"/>
  </si>
  <si>
    <t>Copy&amp;Compare</t>
    <phoneticPr fontId="15" type="noConversion"/>
  </si>
  <si>
    <t>2015/9</t>
    <phoneticPr fontId="15" type="noConversion"/>
  </si>
  <si>
    <t>Multi-task</t>
    <phoneticPr fontId="15" type="noConversion"/>
  </si>
  <si>
    <t>2009/4</t>
    <phoneticPr fontId="15" type="noConversion"/>
  </si>
  <si>
    <t>Play DVD</t>
    <phoneticPr fontId="15" type="noConversion"/>
  </si>
  <si>
    <t>12 Common Stress_DCT</t>
    <phoneticPr fontId="15" type="noConversion"/>
  </si>
  <si>
    <t>12 Common Stress_DCT</t>
    <phoneticPr fontId="15" type="noConversion"/>
  </si>
  <si>
    <t>Overnight setting_DCT1</t>
    <phoneticPr fontId="15" type="noConversion"/>
  </si>
  <si>
    <t>2019/9</t>
    <phoneticPr fontId="15" type="noConversion"/>
  </si>
  <si>
    <t>2019/1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</si>
</sst>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[$NT$-404]#,##0.00;[Red]\-[$NT$-404]#,##0.00"/>
    <numFmt numFmtId="165" formatCode="0_);[Red]\(0\)"/>
    <numFmt numFmtId="166" formatCode="[$-409]d/mmm/yy;@"/>
    <numFmt numFmtId="167" formatCode="yyyy/m/d\ h:mm;@"/>
    <numFmt numFmtId="168" formatCode="0.00_ "/>
    <numFmt numFmtId="169" formatCode="m/d;@"/>
    <numFmt numFmtId="170" formatCode="0.0_);[Red]\(0.0\)"/>
    <numFmt numFmtId="171" formatCode="0_);\(0\)"/>
    <numFmt numFmtId="172" formatCode="0.00_);[Red]\(0.00\)"/>
    <numFmt numFmtId="173" formatCode="d/mmm/yy;@"/>
    <numFmt numFmtId="174" formatCode="0.00_);\(0.00\)"/>
    <numFmt numFmtId="175" formatCode="0.00;[Red]0.00"/>
    <numFmt numFmtId="176" formatCode="yyyy/m/d;@"/>
    <numFmt numFmtId="177" formatCode="yyyy\-mm\-dd"/>
  </numFmts>
  <fonts count="64">
    <font>
      <sz val="12"/>
      <color theme="1"/>
      <name val="Calibri"/>
      <family val="2"/>
      <scheme val="minor"/>
    </font>
    <font>
      <i/>
      <sz val="12"/>
      <color rgb="FF7F7F7F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9"/>
      <name val="細明體"/>
      <family val="3"/>
      <charset val="136"/>
    </font>
    <font>
      <sz val="10"/>
      <color rgb="FF333333"/>
      <name val="宋体"/>
    </font>
    <font>
      <sz val="12"/>
      <name val="新細明體"/>
      <family val="1"/>
      <charset val="136"/>
    </font>
    <font>
      <b/>
      <sz val="10"/>
      <name val="Calibri"/>
      <family val="2"/>
    </font>
    <font>
      <sz val="10"/>
      <name val="Calibri"/>
      <family val="2"/>
    </font>
    <font>
      <sz val="12"/>
      <color indexed="55"/>
      <name val="Arial"/>
      <family val="2"/>
      <charset val="134"/>
    </font>
    <font>
      <sz val="10"/>
      <color theme="1"/>
      <name val="Calibri"/>
      <family val="2"/>
    </font>
    <font>
      <sz val="10"/>
      <name val="宋体"/>
    </font>
    <font>
      <sz val="10"/>
      <color theme="1"/>
      <name val="宋体"/>
    </font>
    <font>
      <sz val="9"/>
      <name val="Calibri"/>
      <family val="3"/>
      <charset val="136"/>
      <scheme val="minor"/>
    </font>
    <font>
      <sz val="11"/>
      <color theme="1"/>
      <name val="Calibri"/>
      <family val="3"/>
      <charset val="134"/>
      <scheme val="minor"/>
    </font>
    <font>
      <b/>
      <sz val="11"/>
      <color theme="0"/>
      <name val="Calibri"/>
      <family val="2"/>
    </font>
    <font>
      <b/>
      <sz val="11"/>
      <color rgb="FF333333"/>
      <name val="宋体"/>
    </font>
    <font>
      <b/>
      <sz val="9"/>
      <color theme="0"/>
      <name val="Calibri"/>
      <family val="2"/>
    </font>
    <font>
      <sz val="12"/>
      <color rgb="FF000000"/>
      <name val="Calibri"/>
      <family val="2"/>
    </font>
    <font>
      <sz val="12"/>
      <name val="Arial Unicode MS"/>
      <family val="2"/>
      <charset val="136"/>
    </font>
    <font>
      <sz val="10"/>
      <name val="Arial Unicode MS"/>
      <family val="2"/>
      <charset val="136"/>
    </font>
    <font>
      <sz val="10"/>
      <color rgb="FF333333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4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i/>
      <sz val="12"/>
      <color rgb="FF7F7F7F"/>
      <name val="Calibri"/>
      <family val="2"/>
      <charset val="136"/>
      <scheme val="minor"/>
    </font>
    <font>
      <sz val="16"/>
      <name val="Arial Unicode MS"/>
      <family val="2"/>
      <charset val="136"/>
    </font>
    <font>
      <b/>
      <sz val="10"/>
      <color theme="1"/>
      <name val="Calibri"/>
      <family val="2"/>
    </font>
    <font>
      <b/>
      <sz val="11"/>
      <color theme="0"/>
      <name val="標楷體"/>
      <family val="4"/>
      <charset val="136"/>
    </font>
    <font>
      <sz val="11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theme="1"/>
      <name val="Calibri"/>
      <family val="1"/>
      <charset val="136"/>
      <scheme val="minor"/>
    </font>
    <font>
      <sz val="12"/>
      <color theme="1"/>
      <name val="Calibri"/>
      <family val="1"/>
      <scheme val="minor"/>
    </font>
    <font>
      <sz val="12"/>
      <color rgb="FF000000"/>
      <name val="新細明體"/>
      <family val="2"/>
      <charset val="136"/>
    </font>
    <font>
      <b/>
      <sz val="9"/>
      <color indexed="81"/>
      <name val="Tahoma"/>
      <family val="2"/>
    </font>
    <font>
      <sz val="12"/>
      <color rgb="FF000000"/>
      <name val="新細明體"/>
    </font>
    <font>
      <b/>
      <sz val="18"/>
      <color rgb="FF0000FF"/>
      <name val="Calibri"/>
      <family val="2"/>
    </font>
    <font>
      <b/>
      <sz val="18"/>
      <color rgb="FFFF0000"/>
      <name val="Calibri"/>
      <family val="2"/>
    </font>
    <font>
      <b/>
      <sz val="16"/>
      <color rgb="FF993300"/>
      <name val="Calibri"/>
      <family val="2"/>
    </font>
    <font>
      <b/>
      <sz val="16"/>
      <color theme="1"/>
      <name val="Calibri"/>
      <family val="2"/>
    </font>
    <font>
      <sz val="12"/>
      <name val="Calibri"/>
      <family val="2"/>
    </font>
    <font>
      <b/>
      <sz val="12"/>
      <color rgb="FF993300"/>
      <name val="標楷體"/>
      <family val="4"/>
      <charset val="136"/>
    </font>
    <font>
      <b/>
      <sz val="12"/>
      <color rgb="FF993300"/>
      <name val="Calibri"/>
      <family val="2"/>
    </font>
    <font>
      <b/>
      <sz val="10"/>
      <color rgb="FF333333"/>
      <name val="Calibri"/>
      <family val="2"/>
    </font>
    <font>
      <sz val="10"/>
      <color rgb="FF000000"/>
      <name val="標楷體"/>
      <family val="4"/>
      <charset val="136"/>
    </font>
    <font>
      <sz val="10"/>
      <color rgb="FF000000"/>
      <name val="Calibri"/>
      <family val="2"/>
    </font>
    <font>
      <sz val="10"/>
      <name val="標楷體"/>
      <family val="4"/>
      <charset val="136"/>
    </font>
    <font>
      <sz val="10"/>
      <color theme="1"/>
      <name val="標楷體"/>
      <family val="4"/>
      <charset val="136"/>
    </font>
    <font>
      <sz val="10"/>
      <color rgb="FF000000"/>
      <name val="Calibri"/>
      <family val="2"/>
      <charset val="1"/>
    </font>
    <font>
      <sz val="10"/>
      <name val="Calibri"/>
      <family val="2"/>
      <charset val="1"/>
    </font>
    <font>
      <sz val="10"/>
      <color indexed="8"/>
      <name val="Calibri"/>
      <family val="2"/>
    </font>
    <font>
      <sz val="10"/>
      <color indexed="8"/>
      <name val="Calibri"/>
      <family val="2"/>
      <charset val="134"/>
    </font>
    <font>
      <sz val="10"/>
      <color indexed="8"/>
      <name val="標楷體"/>
      <family val="4"/>
      <charset val="136"/>
    </font>
    <font>
      <sz val="10"/>
      <name val="Calibri"/>
      <family val="2"/>
      <charset val="134"/>
    </font>
    <font>
      <b/>
      <sz val="10"/>
      <color indexed="8"/>
      <name val="Calibri"/>
      <family val="2"/>
      <charset val="134"/>
    </font>
    <font>
      <b/>
      <sz val="11"/>
      <color indexed="81"/>
      <name val="Calibri"/>
      <family val="2"/>
    </font>
    <font>
      <sz val="11"/>
      <color indexed="81"/>
      <name val="Calibri"/>
      <family val="2"/>
    </font>
    <font>
      <b/>
      <sz val="9"/>
      <color indexed="81"/>
      <name val="Calibri"/>
      <family val="2"/>
    </font>
    <font>
      <sz val="9"/>
      <color indexed="81"/>
      <name val="標楷體"/>
      <family val="4"/>
      <charset val="136"/>
    </font>
    <font>
      <sz val="11"/>
      <color indexed="81"/>
      <name val="標楷體"/>
      <family val="4"/>
      <charset val="136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color indexed="81"/>
      <name val="Calibri"/>
      <family val="2"/>
    </font>
    <font>
      <b/>
      <sz val="9"/>
      <color indexed="81"/>
      <name val="細明體"/>
      <family val="3"/>
      <charset val="136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rgb="FFCCFFFF"/>
      </patternFill>
    </fill>
    <fill>
      <patternFill patternType="solid">
        <fgColor theme="9"/>
        <bgColor rgb="FFCCFFFF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C0C0C0"/>
      </patternFill>
    </fill>
    <fill>
      <patternFill patternType="solid">
        <fgColor rgb="FF92D050"/>
        <bgColor rgb="FFC0C0C0"/>
      </patternFill>
    </fill>
    <fill>
      <patternFill patternType="solid">
        <fgColor rgb="FFFFC000"/>
        <bgColor rgb="FFC0C0C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249977111117893"/>
        <bgColor rgb="FFCCFFFF"/>
      </patternFill>
    </fill>
    <fill>
      <patternFill patternType="solid">
        <fgColor rgb="FF00B0F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FF"/>
        <bgColor rgb="FFCCFFFF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B2B2B2"/>
      </patternFill>
    </fill>
    <fill>
      <patternFill patternType="solid">
        <fgColor theme="0"/>
        <bgColor rgb="FFCCFFFF"/>
      </patternFill>
    </fill>
    <fill>
      <patternFill patternType="solid">
        <fgColor rgb="FFFFFFFF"/>
        <bgColor rgb="FFCCFFFF"/>
      </patternFill>
    </fill>
    <fill>
      <patternFill patternType="solid">
        <fgColor theme="0"/>
        <bgColor rgb="FFFFF200"/>
      </patternFill>
    </fill>
    <fill>
      <patternFill patternType="solid">
        <fgColor theme="0"/>
        <bgColor rgb="FFA6A6A6"/>
      </patternFill>
    </fill>
    <fill>
      <patternFill patternType="solid">
        <fgColor theme="0"/>
        <bgColor rgb="FFFFFF00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13"/>
      </patternFill>
    </fill>
    <fill>
      <patternFill patternType="solid">
        <fgColor theme="0"/>
        <bgColor indexed="22"/>
      </patternFill>
    </fill>
    <fill>
      <patternFill patternType="solid">
        <fgColor indexed="9"/>
        <bgColor indexed="26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7">
    <xf numFmtId="0" fontId="0" fillId="0" borderId="0"/>
    <xf numFmtId="0" fontId="1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164" fontId="8" fillId="0" borderId="0">
      <alignment vertical="center"/>
    </xf>
    <xf numFmtId="164" fontId="8" fillId="0" borderId="0">
      <alignment vertical="center"/>
    </xf>
    <xf numFmtId="166" fontId="13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166" fontId="5" fillId="0" borderId="0">
      <alignment vertical="center"/>
    </xf>
    <xf numFmtId="166" fontId="29" fillId="0" borderId="0">
      <alignment vertical="center"/>
    </xf>
    <xf numFmtId="0" fontId="30" fillId="0" borderId="0">
      <alignment vertical="center"/>
    </xf>
    <xf numFmtId="0" fontId="31" fillId="0" borderId="0"/>
    <xf numFmtId="0" fontId="31" fillId="0" borderId="0"/>
    <xf numFmtId="0" fontId="32" fillId="0" borderId="0"/>
    <xf numFmtId="0" fontId="33" fillId="0" borderId="0">
      <alignment vertical="center"/>
    </xf>
    <xf numFmtId="166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</cellStyleXfs>
  <cellXfs count="374">
    <xf numFmtId="0" fontId="0" fillId="0" borderId="0" xfId="0"/>
    <xf numFmtId="49" fontId="0" fillId="0" borderId="0" xfId="0" applyNumberFormat="1" applyAlignment="1">
      <alignment vertical="center"/>
    </xf>
    <xf numFmtId="49" fontId="15" fillId="0" borderId="0" xfId="1" applyNumberFormat="1" applyFont="1" applyBorder="1" applyAlignment="1">
      <alignment vertical="center"/>
    </xf>
    <xf numFmtId="49" fontId="10" fillId="0" borderId="0" xfId="1" applyNumberFormat="1" applyFont="1" applyBorder="1" applyAlignment="1">
      <alignment horizontal="left" vertical="center"/>
    </xf>
    <xf numFmtId="49" fontId="10" fillId="0" borderId="0" xfId="1" applyNumberFormat="1" applyFont="1" applyBorder="1" applyAlignment="1">
      <alignment vertical="center"/>
    </xf>
    <xf numFmtId="49" fontId="4" fillId="0" borderId="0" xfId="1" applyNumberFormat="1" applyFont="1" applyBorder="1" applyAlignment="1">
      <alignment horizontal="left" vertical="center"/>
    </xf>
    <xf numFmtId="49" fontId="4" fillId="0" borderId="0" xfId="1" applyNumberFormat="1" applyFont="1" applyBorder="1" applyAlignment="1">
      <alignment horizontal="center" vertical="center"/>
    </xf>
    <xf numFmtId="49" fontId="4" fillId="0" borderId="0" xfId="1" applyNumberFormat="1" applyFont="1" applyBorder="1" applyAlignment="1">
      <alignment horizontal="center" vertical="center" wrapText="1"/>
    </xf>
    <xf numFmtId="49" fontId="11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Border="1" applyAlignment="1">
      <alignment horizontal="left" vertical="center" wrapText="1"/>
    </xf>
    <xf numFmtId="0" fontId="19" fillId="0" borderId="0" xfId="1" applyNumberFormat="1" applyFont="1" applyBorder="1" applyAlignment="1">
      <alignment horizontal="left" vertical="center"/>
    </xf>
    <xf numFmtId="14" fontId="20" fillId="0" borderId="0" xfId="1" applyNumberFormat="1" applyFont="1" applyBorder="1" applyAlignment="1">
      <alignment horizontal="left" vertical="center"/>
    </xf>
    <xf numFmtId="164" fontId="20" fillId="0" borderId="0" xfId="1" applyNumberFormat="1" applyFont="1" applyBorder="1" applyAlignment="1">
      <alignment horizontal="left" vertical="center"/>
    </xf>
    <xf numFmtId="164" fontId="20" fillId="0" borderId="0" xfId="1" applyNumberFormat="1" applyFont="1" applyBorder="1" applyAlignment="1">
      <alignment horizontal="center" vertical="center"/>
    </xf>
    <xf numFmtId="165" fontId="20" fillId="0" borderId="0" xfId="1" applyNumberFormat="1" applyFont="1" applyBorder="1" applyAlignment="1">
      <alignment horizontal="center" vertical="center" wrapText="1"/>
    </xf>
    <xf numFmtId="165" fontId="21" fillId="0" borderId="0" xfId="1" applyNumberFormat="1" applyFont="1" applyBorder="1" applyAlignment="1">
      <alignment horizontal="center" vertical="center" wrapText="1"/>
    </xf>
    <xf numFmtId="164" fontId="20" fillId="0" borderId="0" xfId="1" applyNumberFormat="1" applyFont="1" applyBorder="1" applyAlignment="1">
      <alignment horizontal="center" vertical="center" wrapText="1"/>
    </xf>
    <xf numFmtId="164" fontId="20" fillId="0" borderId="0" xfId="1" applyNumberFormat="1" applyFont="1" applyBorder="1" applyAlignment="1">
      <alignment horizontal="left" vertical="center" wrapText="1"/>
    </xf>
    <xf numFmtId="0" fontId="18" fillId="0" borderId="0" xfId="0" applyFont="1" applyAlignment="1">
      <alignment vertical="center"/>
    </xf>
    <xf numFmtId="0" fontId="18" fillId="0" borderId="4" xfId="0" applyFont="1" applyBorder="1" applyAlignment="1">
      <alignment horizontal="center" vertical="center"/>
    </xf>
    <xf numFmtId="164" fontId="19" fillId="0" borderId="0" xfId="1" applyNumberFormat="1" applyFont="1" applyBorder="1" applyAlignment="1">
      <alignment horizontal="center" vertical="center"/>
    </xf>
    <xf numFmtId="164" fontId="19" fillId="0" borderId="9" xfId="1" applyNumberFormat="1" applyFont="1" applyBorder="1" applyAlignment="1">
      <alignment horizontal="center" vertical="center"/>
    </xf>
    <xf numFmtId="164" fontId="19" fillId="0" borderId="0" xfId="1" applyNumberFormat="1" applyFont="1" applyBorder="1" applyAlignment="1">
      <alignment horizontal="left" vertical="center"/>
    </xf>
    <xf numFmtId="164" fontId="19" fillId="0" borderId="9" xfId="1" applyNumberFormat="1" applyFont="1" applyBorder="1" applyAlignment="1">
      <alignment horizontal="left" vertical="center"/>
    </xf>
    <xf numFmtId="0" fontId="18" fillId="0" borderId="5" xfId="0" applyFont="1" applyBorder="1" applyAlignment="1">
      <alignment horizontal="center" vertical="center"/>
    </xf>
    <xf numFmtId="164" fontId="19" fillId="0" borderId="6" xfId="1" applyNumberFormat="1" applyFont="1" applyBorder="1" applyAlignment="1">
      <alignment horizontal="left" vertical="center"/>
    </xf>
    <xf numFmtId="164" fontId="19" fillId="0" borderId="10" xfId="1" applyNumberFormat="1" applyFont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164" fontId="19" fillId="0" borderId="0" xfId="1" applyNumberFormat="1" applyFont="1" applyBorder="1" applyAlignment="1">
      <alignment vertical="center"/>
    </xf>
    <xf numFmtId="164" fontId="23" fillId="0" borderId="0" xfId="1" applyNumberFormat="1" applyFont="1" applyBorder="1" applyAlignment="1">
      <alignment horizontal="left" vertical="center"/>
    </xf>
    <xf numFmtId="167" fontId="19" fillId="0" borderId="0" xfId="1" applyNumberFormat="1" applyFont="1" applyBorder="1" applyAlignment="1">
      <alignment horizontal="center" vertical="center"/>
    </xf>
    <xf numFmtId="0" fontId="19" fillId="0" borderId="0" xfId="1" applyNumberFormat="1" applyFont="1" applyBorder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6" fillId="5" borderId="7" xfId="0" applyFont="1" applyFill="1" applyBorder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6" fillId="5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left" vertical="center"/>
    </xf>
    <xf numFmtId="14" fontId="18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 wrapText="1"/>
    </xf>
    <xf numFmtId="168" fontId="27" fillId="6" borderId="1" xfId="0" applyNumberFormat="1" applyFont="1" applyFill="1" applyBorder="1" applyAlignment="1">
      <alignment horizontal="center" vertical="center"/>
    </xf>
    <xf numFmtId="165" fontId="9" fillId="0" borderId="1" xfId="7" applyNumberFormat="1" applyFont="1" applyFill="1" applyBorder="1" applyAlignment="1">
      <alignment horizontal="center" vertical="center"/>
    </xf>
    <xf numFmtId="166" fontId="9" fillId="0" borderId="1" xfId="8" applyFont="1" applyFill="1" applyBorder="1" applyAlignment="1">
      <alignment vertical="center"/>
    </xf>
    <xf numFmtId="166" fontId="9" fillId="0" borderId="1" xfId="8" applyNumberFormat="1" applyFont="1" applyFill="1" applyBorder="1" applyAlignment="1">
      <alignment vertical="center"/>
    </xf>
    <xf numFmtId="49" fontId="9" fillId="0" borderId="1" xfId="9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center" vertical="center"/>
    </xf>
    <xf numFmtId="168" fontId="9" fillId="0" borderId="1" xfId="0" applyNumberFormat="1" applyFont="1" applyFill="1" applyBorder="1" applyAlignment="1">
      <alignment horizontal="center" vertical="center"/>
    </xf>
    <xf numFmtId="168" fontId="9" fillId="2" borderId="1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165" fontId="7" fillId="0" borderId="1" xfId="6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165" fontId="7" fillId="2" borderId="1" xfId="6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165" fontId="0" fillId="0" borderId="0" xfId="0" applyNumberFormat="1" applyAlignment="1">
      <alignment vertical="center" wrapText="1"/>
    </xf>
    <xf numFmtId="166" fontId="27" fillId="6" borderId="2" xfId="7" applyFont="1" applyFill="1" applyBorder="1" applyAlignment="1">
      <alignment vertical="center"/>
    </xf>
    <xf numFmtId="49" fontId="27" fillId="6" borderId="2" xfId="7" applyNumberFormat="1" applyFont="1" applyFill="1" applyBorder="1" applyAlignment="1">
      <alignment vertical="center"/>
    </xf>
    <xf numFmtId="0" fontId="27" fillId="6" borderId="2" xfId="0" applyFont="1" applyFill="1" applyBorder="1" applyAlignment="1">
      <alignment vertical="center" wrapText="1"/>
    </xf>
    <xf numFmtId="168" fontId="27" fillId="6" borderId="2" xfId="0" applyNumberFormat="1" applyFont="1" applyFill="1" applyBorder="1" applyAlignment="1">
      <alignment vertical="center" wrapText="1"/>
    </xf>
    <xf numFmtId="165" fontId="27" fillId="6" borderId="2" xfId="0" applyNumberFormat="1" applyFont="1" applyFill="1" applyBorder="1" applyAlignment="1">
      <alignment vertical="center" wrapText="1"/>
    </xf>
    <xf numFmtId="165" fontId="6" fillId="7" borderId="2" xfId="6" applyNumberFormat="1" applyFont="1" applyFill="1" applyBorder="1" applyAlignment="1">
      <alignment vertical="center" wrapText="1"/>
    </xf>
    <xf numFmtId="165" fontId="6" fillId="8" borderId="2" xfId="6" applyNumberFormat="1" applyFont="1" applyFill="1" applyBorder="1" applyAlignment="1">
      <alignment vertical="center" wrapText="1"/>
    </xf>
    <xf numFmtId="165" fontId="6" fillId="9" borderId="2" xfId="6" applyNumberFormat="1" applyFont="1" applyFill="1" applyBorder="1" applyAlignment="1">
      <alignment vertical="center" wrapText="1"/>
    </xf>
    <xf numFmtId="164" fontId="14" fillId="3" borderId="2" xfId="6" applyNumberFormat="1" applyFont="1" applyFill="1" applyBorder="1" applyAlignment="1">
      <alignment vertical="center" wrapText="1"/>
    </xf>
    <xf numFmtId="165" fontId="14" fillId="3" borderId="2" xfId="6" applyNumberFormat="1" applyFont="1" applyFill="1" applyBorder="1" applyAlignment="1">
      <alignment vertical="center" wrapText="1"/>
    </xf>
    <xf numFmtId="165" fontId="14" fillId="4" borderId="2" xfId="6" applyNumberFormat="1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center" vertical="center"/>
    </xf>
    <xf numFmtId="164" fontId="22" fillId="0" borderId="9" xfId="1" applyNumberFormat="1" applyFont="1" applyBorder="1" applyAlignment="1">
      <alignment horizontal="center" vertical="center" wrapText="1"/>
    </xf>
    <xf numFmtId="164" fontId="22" fillId="0" borderId="10" xfId="1" applyNumberFormat="1" applyFont="1" applyBorder="1" applyAlignment="1">
      <alignment horizontal="center" vertical="center" wrapText="1"/>
    </xf>
    <xf numFmtId="164" fontId="36" fillId="0" borderId="0" xfId="6" applyNumberFormat="1" applyFont="1" applyFill="1" applyBorder="1" applyAlignment="1">
      <alignment horizontal="center" vertical="center" wrapText="1"/>
    </xf>
    <xf numFmtId="164" fontId="36" fillId="0" borderId="0" xfId="6" applyNumberFormat="1" applyFont="1" applyFill="1" applyBorder="1" applyAlignment="1">
      <alignment vertical="center" wrapText="1"/>
    </xf>
    <xf numFmtId="0" fontId="0" fillId="11" borderId="0" xfId="0" applyFill="1" applyAlignment="1">
      <alignment vertical="center" wrapText="1"/>
    </xf>
    <xf numFmtId="164" fontId="6" fillId="0" borderId="0" xfId="6" applyNumberFormat="1" applyFont="1" applyBorder="1" applyAlignment="1">
      <alignment horizontal="left" vertical="center"/>
    </xf>
    <xf numFmtId="164" fontId="38" fillId="0" borderId="0" xfId="6" applyNumberFormat="1" applyFont="1" applyFill="1" applyBorder="1" applyAlignment="1">
      <alignment horizontal="center" vertical="center" wrapText="1"/>
    </xf>
    <xf numFmtId="164" fontId="39" fillId="0" borderId="0" xfId="6" applyNumberFormat="1" applyFont="1" applyFill="1" applyBorder="1" applyAlignment="1">
      <alignment horizontal="center" vertical="center" wrapText="1"/>
    </xf>
    <xf numFmtId="0" fontId="40" fillId="0" borderId="0" xfId="2" applyFont="1" applyAlignment="1">
      <alignment horizontal="left" vertical="center"/>
    </xf>
    <xf numFmtId="0" fontId="6" fillId="0" borderId="0" xfId="6" applyNumberFormat="1" applyFont="1" applyBorder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40" fillId="0" borderId="0" xfId="2" applyNumberFormat="1" applyFont="1" applyAlignment="1">
      <alignment horizontal="left" vertical="center"/>
    </xf>
    <xf numFmtId="169" fontId="6" fillId="0" borderId="0" xfId="6" applyNumberFormat="1" applyFont="1" applyBorder="1" applyAlignment="1">
      <alignment horizontal="left" vertical="center"/>
    </xf>
    <xf numFmtId="0" fontId="38" fillId="0" borderId="0" xfId="6" applyNumberFormat="1" applyFont="1" applyFill="1" applyBorder="1" applyAlignment="1">
      <alignment horizontal="center" vertical="center" wrapText="1"/>
    </xf>
    <xf numFmtId="165" fontId="39" fillId="2" borderId="0" xfId="6" applyNumberFormat="1" applyFont="1" applyFill="1" applyBorder="1" applyAlignment="1">
      <alignment horizontal="center" vertical="center" wrapText="1"/>
    </xf>
    <xf numFmtId="164" fontId="41" fillId="0" borderId="0" xfId="6" applyNumberFormat="1" applyFont="1" applyFill="1" applyBorder="1" applyAlignment="1">
      <alignment vertical="center"/>
    </xf>
    <xf numFmtId="164" fontId="42" fillId="12" borderId="1" xfId="6" applyNumberFormat="1" applyFont="1" applyFill="1" applyBorder="1" applyAlignment="1">
      <alignment horizontal="center" vertical="center"/>
    </xf>
    <xf numFmtId="164" fontId="42" fillId="12" borderId="1" xfId="6" applyNumberFormat="1" applyFont="1" applyFill="1" applyBorder="1" applyAlignment="1">
      <alignment horizontal="center" vertical="center" wrapText="1"/>
    </xf>
    <xf numFmtId="164" fontId="42" fillId="13" borderId="1" xfId="6" applyNumberFormat="1" applyFont="1" applyFill="1" applyBorder="1" applyAlignment="1">
      <alignment horizontal="center" vertical="center"/>
    </xf>
    <xf numFmtId="164" fontId="42" fillId="12" borderId="1" xfId="6" applyNumberFormat="1" applyFont="1" applyFill="1" applyBorder="1" applyAlignment="1">
      <alignment horizontal="center" vertical="center"/>
    </xf>
    <xf numFmtId="164" fontId="42" fillId="13" borderId="11" xfId="6" applyNumberFormat="1" applyFont="1" applyFill="1" applyBorder="1" applyAlignment="1">
      <alignment horizontal="center" vertical="center"/>
    </xf>
    <xf numFmtId="164" fontId="42" fillId="13" borderId="12" xfId="6" applyNumberFormat="1" applyFont="1" applyFill="1" applyBorder="1" applyAlignment="1">
      <alignment horizontal="center" vertical="center"/>
    </xf>
    <xf numFmtId="164" fontId="42" fillId="13" borderId="13" xfId="6" applyNumberFormat="1" applyFont="1" applyFill="1" applyBorder="1" applyAlignment="1">
      <alignment horizontal="center" vertical="center"/>
    </xf>
    <xf numFmtId="166" fontId="27" fillId="6" borderId="1" xfId="7" applyFont="1" applyFill="1" applyBorder="1" applyAlignment="1">
      <alignment horizontal="center" vertical="center"/>
    </xf>
    <xf numFmtId="166" fontId="27" fillId="6" borderId="2" xfId="7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center" vertical="center"/>
    </xf>
    <xf numFmtId="165" fontId="27" fillId="6" borderId="2" xfId="0" applyNumberFormat="1" applyFont="1" applyFill="1" applyBorder="1" applyAlignment="1">
      <alignment horizontal="center" vertical="center" wrapText="1"/>
    </xf>
    <xf numFmtId="0" fontId="27" fillId="6" borderId="14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center" vertical="center"/>
    </xf>
    <xf numFmtId="165" fontId="6" fillId="7" borderId="2" xfId="6" applyNumberFormat="1" applyFont="1" applyFill="1" applyBorder="1" applyAlignment="1">
      <alignment horizontal="center" vertical="center" wrapText="1"/>
    </xf>
    <xf numFmtId="165" fontId="6" fillId="8" borderId="2" xfId="6" applyNumberFormat="1" applyFont="1" applyFill="1" applyBorder="1" applyAlignment="1">
      <alignment horizontal="center" vertical="center" wrapText="1"/>
    </xf>
    <xf numFmtId="165" fontId="6" fillId="9" borderId="2" xfId="6" applyNumberFormat="1" applyFont="1" applyFill="1" applyBorder="1" applyAlignment="1">
      <alignment horizontal="center" vertical="center" wrapText="1"/>
    </xf>
    <xf numFmtId="164" fontId="14" fillId="3" borderId="1" xfId="6" applyNumberFormat="1" applyFont="1" applyFill="1" applyBorder="1" applyAlignment="1">
      <alignment horizontal="center" vertical="center" wrapText="1"/>
    </xf>
    <xf numFmtId="165" fontId="14" fillId="3" borderId="1" xfId="6" applyNumberFormat="1" applyFont="1" applyFill="1" applyBorder="1" applyAlignment="1">
      <alignment horizontal="center" vertical="center" wrapText="1"/>
    </xf>
    <xf numFmtId="165" fontId="14" fillId="3" borderId="2" xfId="6" applyNumberFormat="1" applyFont="1" applyFill="1" applyBorder="1" applyAlignment="1">
      <alignment horizontal="center" vertical="center" wrapText="1"/>
    </xf>
    <xf numFmtId="164" fontId="14" fillId="14" borderId="1" xfId="6" applyNumberFormat="1" applyFont="1" applyFill="1" applyBorder="1" applyAlignment="1">
      <alignment horizontal="center" vertical="center" wrapText="1"/>
    </xf>
    <xf numFmtId="165" fontId="14" fillId="4" borderId="1" xfId="6" applyNumberFormat="1" applyFont="1" applyFill="1" applyBorder="1" applyAlignment="1">
      <alignment horizontal="center" vertical="center" wrapText="1"/>
    </xf>
    <xf numFmtId="166" fontId="27" fillId="6" borderId="17" xfId="7" applyFont="1" applyFill="1" applyBorder="1" applyAlignment="1">
      <alignment horizontal="center" vertical="center"/>
    </xf>
    <xf numFmtId="0" fontId="27" fillId="6" borderId="1" xfId="0" applyFont="1" applyFill="1" applyBorder="1" applyAlignment="1">
      <alignment horizontal="center" vertical="center" wrapText="1"/>
    </xf>
    <xf numFmtId="168" fontId="27" fillId="6" borderId="1" xfId="0" applyNumberFormat="1" applyFont="1" applyFill="1" applyBorder="1" applyAlignment="1">
      <alignment horizontal="center" vertical="center" wrapText="1"/>
    </xf>
    <xf numFmtId="168" fontId="27" fillId="6" borderId="2" xfId="0" applyNumberFormat="1" applyFont="1" applyFill="1" applyBorder="1" applyAlignment="1">
      <alignment horizontal="center" vertical="center" wrapText="1"/>
    </xf>
    <xf numFmtId="165" fontId="27" fillId="6" borderId="17" xfId="0" applyNumberFormat="1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0" xfId="0" applyFont="1" applyFill="1" applyBorder="1" applyAlignment="1">
      <alignment horizontal="center" vertical="center"/>
    </xf>
    <xf numFmtId="165" fontId="6" fillId="7" borderId="17" xfId="6" applyNumberFormat="1" applyFont="1" applyFill="1" applyBorder="1" applyAlignment="1">
      <alignment horizontal="center" vertical="center" wrapText="1"/>
    </xf>
    <xf numFmtId="165" fontId="6" fillId="8" borderId="17" xfId="6" applyNumberFormat="1" applyFont="1" applyFill="1" applyBorder="1" applyAlignment="1">
      <alignment horizontal="center" vertical="center" wrapText="1"/>
    </xf>
    <xf numFmtId="165" fontId="6" fillId="9" borderId="17" xfId="6" applyNumberFormat="1" applyFont="1" applyFill="1" applyBorder="1" applyAlignment="1">
      <alignment horizontal="center" vertical="center" wrapText="1"/>
    </xf>
    <xf numFmtId="165" fontId="14" fillId="3" borderId="17" xfId="6" applyNumberFormat="1" applyFont="1" applyFill="1" applyBorder="1" applyAlignment="1">
      <alignment horizontal="center" vertical="center" wrapText="1"/>
    </xf>
    <xf numFmtId="166" fontId="27" fillId="6" borderId="21" xfId="7" applyFont="1" applyFill="1" applyBorder="1" applyAlignment="1">
      <alignment horizontal="center" vertical="center"/>
    </xf>
    <xf numFmtId="168" fontId="27" fillId="6" borderId="21" xfId="0" applyNumberFormat="1" applyFont="1" applyFill="1" applyBorder="1" applyAlignment="1">
      <alignment horizontal="center" vertical="center" wrapText="1"/>
    </xf>
    <xf numFmtId="165" fontId="27" fillId="6" borderId="21" xfId="0" applyNumberFormat="1" applyFont="1" applyFill="1" applyBorder="1" applyAlignment="1">
      <alignment horizontal="center" vertical="center"/>
    </xf>
    <xf numFmtId="165" fontId="6" fillId="7" borderId="21" xfId="6" applyNumberFormat="1" applyFont="1" applyFill="1" applyBorder="1" applyAlignment="1">
      <alignment horizontal="center" vertical="center" wrapText="1"/>
    </xf>
    <xf numFmtId="165" fontId="6" fillId="8" borderId="21" xfId="6" applyNumberFormat="1" applyFont="1" applyFill="1" applyBorder="1" applyAlignment="1">
      <alignment horizontal="center" vertical="center" wrapText="1"/>
    </xf>
    <xf numFmtId="165" fontId="6" fillId="9" borderId="21" xfId="6" applyNumberFormat="1" applyFont="1" applyFill="1" applyBorder="1" applyAlignment="1">
      <alignment horizontal="center" vertical="center" wrapText="1"/>
    </xf>
    <xf numFmtId="165" fontId="14" fillId="3" borderId="21" xfId="6" applyNumberFormat="1" applyFont="1" applyFill="1" applyBorder="1" applyAlignment="1">
      <alignment horizontal="center" vertical="center" wrapText="1"/>
    </xf>
    <xf numFmtId="166" fontId="27" fillId="15" borderId="14" xfId="7" applyFont="1" applyFill="1" applyBorder="1" applyAlignment="1">
      <alignment horizontal="center" vertical="center"/>
    </xf>
    <xf numFmtId="166" fontId="27" fillId="15" borderId="15" xfId="7" applyFont="1" applyFill="1" applyBorder="1" applyAlignment="1">
      <alignment horizontal="center" vertical="center"/>
    </xf>
    <xf numFmtId="166" fontId="27" fillId="15" borderId="16" xfId="7" applyFont="1" applyFill="1" applyBorder="1" applyAlignment="1">
      <alignment horizontal="center" vertical="center"/>
    </xf>
    <xf numFmtId="166" fontId="27" fillId="15" borderId="1" xfId="7" applyFont="1" applyFill="1" applyBorder="1" applyAlignment="1">
      <alignment horizontal="center" vertical="center"/>
    </xf>
    <xf numFmtId="168" fontId="27" fillId="15" borderId="1" xfId="0" applyNumberFormat="1" applyFont="1" applyFill="1" applyBorder="1" applyAlignment="1">
      <alignment horizontal="center" vertical="center"/>
    </xf>
    <xf numFmtId="165" fontId="27" fillId="15" borderId="1" xfId="0" applyNumberFormat="1" applyFont="1" applyFill="1" applyBorder="1" applyAlignment="1">
      <alignment horizontal="center" vertical="center"/>
    </xf>
    <xf numFmtId="168" fontId="27" fillId="15" borderId="21" xfId="0" applyNumberFormat="1" applyFont="1" applyFill="1" applyBorder="1" applyAlignment="1">
      <alignment horizontal="center" vertical="center"/>
    </xf>
    <xf numFmtId="166" fontId="27" fillId="15" borderId="18" xfId="7" applyFont="1" applyFill="1" applyBorder="1" applyAlignment="1">
      <alignment horizontal="center" vertical="center"/>
    </xf>
    <xf numFmtId="166" fontId="27" fillId="15" borderId="19" xfId="7" applyFont="1" applyFill="1" applyBorder="1" applyAlignment="1">
      <alignment horizontal="center" vertical="center"/>
    </xf>
    <xf numFmtId="166" fontId="27" fillId="15" borderId="20" xfId="7" applyFont="1" applyFill="1" applyBorder="1" applyAlignment="1">
      <alignment horizontal="center" vertical="center"/>
    </xf>
    <xf numFmtId="166" fontId="27" fillId="16" borderId="14" xfId="7" applyFont="1" applyFill="1" applyBorder="1" applyAlignment="1">
      <alignment horizontal="center" vertical="center"/>
    </xf>
    <xf numFmtId="166" fontId="27" fillId="16" borderId="15" xfId="7" applyFont="1" applyFill="1" applyBorder="1" applyAlignment="1">
      <alignment horizontal="center" vertical="center"/>
    </xf>
    <xf numFmtId="166" fontId="27" fillId="16" borderId="16" xfId="7" applyFont="1" applyFill="1" applyBorder="1" applyAlignment="1">
      <alignment horizontal="center" vertical="center"/>
    </xf>
    <xf numFmtId="166" fontId="27" fillId="16" borderId="1" xfId="7" applyFont="1" applyFill="1" applyBorder="1" applyAlignment="1">
      <alignment horizontal="center" vertical="center"/>
    </xf>
    <xf numFmtId="170" fontId="43" fillId="17" borderId="1" xfId="6" applyNumberFormat="1" applyFont="1" applyFill="1" applyBorder="1" applyAlignment="1">
      <alignment horizontal="center" vertical="center" wrapText="1"/>
    </xf>
    <xf numFmtId="168" fontId="27" fillId="16" borderId="1" xfId="0" applyNumberFormat="1" applyFont="1" applyFill="1" applyBorder="1" applyAlignment="1">
      <alignment horizontal="center" vertical="center"/>
    </xf>
    <xf numFmtId="168" fontId="27" fillId="16" borderId="1" xfId="0" quotePrefix="1" applyNumberFormat="1" applyFont="1" applyFill="1" applyBorder="1" applyAlignment="1">
      <alignment horizontal="center" vertical="center"/>
    </xf>
    <xf numFmtId="165" fontId="27" fillId="16" borderId="1" xfId="0" quotePrefix="1" applyNumberFormat="1" applyFont="1" applyFill="1" applyBorder="1" applyAlignment="1">
      <alignment horizontal="center" vertical="center"/>
    </xf>
    <xf numFmtId="166" fontId="27" fillId="16" borderId="18" xfId="7" applyFont="1" applyFill="1" applyBorder="1" applyAlignment="1">
      <alignment horizontal="center" vertical="center"/>
    </xf>
    <xf numFmtId="166" fontId="27" fillId="16" borderId="19" xfId="7" applyFont="1" applyFill="1" applyBorder="1" applyAlignment="1">
      <alignment horizontal="center" vertical="center"/>
    </xf>
    <xf numFmtId="166" fontId="27" fillId="16" borderId="20" xfId="7" applyFont="1" applyFill="1" applyBorder="1" applyAlignment="1">
      <alignment horizontal="center" vertical="center"/>
    </xf>
    <xf numFmtId="165" fontId="43" fillId="17" borderId="1" xfId="6" applyNumberFormat="1" applyFont="1" applyFill="1" applyBorder="1" applyAlignment="1">
      <alignment horizontal="center" vertical="center" wrapText="1"/>
    </xf>
    <xf numFmtId="165" fontId="27" fillId="16" borderId="1" xfId="0" applyNumberFormat="1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/>
    </xf>
    <xf numFmtId="171" fontId="9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66" fontId="7" fillId="0" borderId="1" xfId="0" applyNumberFormat="1" applyFont="1" applyFill="1" applyBorder="1" applyAlignment="1">
      <alignment vertical="center"/>
    </xf>
    <xf numFmtId="166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172" fontId="9" fillId="0" borderId="1" xfId="0" applyNumberFormat="1" applyFont="1" applyFill="1" applyBorder="1" applyAlignment="1">
      <alignment horizontal="center" vertical="center"/>
    </xf>
    <xf numFmtId="166" fontId="9" fillId="0" borderId="1" xfId="10" applyNumberFormat="1" applyFont="1" applyFill="1" applyBorder="1" applyAlignment="1">
      <alignment horizontal="left" vertical="center"/>
    </xf>
    <xf numFmtId="49" fontId="9" fillId="0" borderId="1" xfId="10" applyNumberFormat="1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14" fontId="45" fillId="0" borderId="1" xfId="0" applyNumberFormat="1" applyFont="1" applyFill="1" applyBorder="1" applyAlignment="1">
      <alignment horizontal="center" vertical="center"/>
    </xf>
    <xf numFmtId="172" fontId="9" fillId="0" borderId="1" xfId="10" applyNumberFormat="1" applyFont="1" applyFill="1" applyBorder="1" applyAlignment="1">
      <alignment horizontal="center" vertical="center"/>
    </xf>
    <xf numFmtId="165" fontId="9" fillId="0" borderId="1" xfId="10" applyNumberFormat="1" applyFont="1" applyFill="1" applyBorder="1" applyAlignment="1">
      <alignment horizontal="center" vertical="center"/>
    </xf>
    <xf numFmtId="0" fontId="7" fillId="0" borderId="1" xfId="10" applyFont="1" applyFill="1" applyBorder="1" applyAlignment="1">
      <alignment horizontal="center" vertical="center"/>
    </xf>
    <xf numFmtId="49" fontId="7" fillId="0" borderId="1" xfId="9" applyNumberFormat="1" applyFont="1" applyFill="1" applyBorder="1" applyAlignment="1">
      <alignment vertical="center"/>
    </xf>
    <xf numFmtId="14" fontId="7" fillId="0" borderId="1" xfId="0" applyNumberFormat="1" applyFont="1" applyFill="1" applyBorder="1" applyAlignment="1">
      <alignment horizontal="center" vertical="center"/>
    </xf>
    <xf numFmtId="168" fontId="7" fillId="0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 vertical="center"/>
    </xf>
    <xf numFmtId="166" fontId="9" fillId="2" borderId="1" xfId="8" applyFont="1" applyFill="1" applyBorder="1" applyAlignment="1">
      <alignment vertical="center"/>
    </xf>
    <xf numFmtId="166" fontId="9" fillId="2" borderId="1" xfId="8" applyNumberFormat="1" applyFont="1" applyFill="1" applyBorder="1" applyAlignment="1">
      <alignment vertical="center"/>
    </xf>
    <xf numFmtId="49" fontId="9" fillId="2" borderId="1" xfId="9" applyNumberFormat="1" applyFont="1" applyFill="1" applyBorder="1" applyAlignment="1">
      <alignment vertical="center"/>
    </xf>
    <xf numFmtId="49" fontId="9" fillId="2" borderId="1" xfId="10" applyNumberFormat="1" applyFont="1" applyFill="1" applyBorder="1" applyAlignment="1">
      <alignment horizontal="center" vertical="center"/>
    </xf>
    <xf numFmtId="14" fontId="45" fillId="2" borderId="1" xfId="0" applyNumberFormat="1" applyFont="1" applyFill="1" applyBorder="1" applyAlignment="1">
      <alignment horizontal="center" vertical="center"/>
    </xf>
    <xf numFmtId="14" fontId="45" fillId="2" borderId="1" xfId="0" applyNumberFormat="1" applyFont="1" applyFill="1" applyBorder="1" applyAlignment="1">
      <alignment vertical="center"/>
    </xf>
    <xf numFmtId="172" fontId="7" fillId="2" borderId="1" xfId="10" applyNumberFormat="1" applyFont="1" applyFill="1" applyBorder="1" applyAlignment="1">
      <alignment horizontal="center" vertical="center"/>
    </xf>
    <xf numFmtId="165" fontId="7" fillId="0" borderId="1" xfId="10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vertical="center"/>
    </xf>
    <xf numFmtId="0" fontId="45" fillId="0" borderId="1" xfId="0" applyFont="1" applyFill="1" applyBorder="1" applyAlignment="1">
      <alignment vertical="center"/>
    </xf>
    <xf numFmtId="49" fontId="7" fillId="0" borderId="1" xfId="10" applyNumberFormat="1" applyFont="1" applyFill="1" applyBorder="1" applyAlignment="1">
      <alignment horizontal="center" vertical="center"/>
    </xf>
    <xf numFmtId="49" fontId="9" fillId="0" borderId="1" xfId="10" applyNumberFormat="1" applyFont="1" applyFill="1" applyBorder="1" applyAlignment="1">
      <alignment vertical="center"/>
    </xf>
    <xf numFmtId="0" fontId="9" fillId="0" borderId="1" xfId="10" applyFont="1" applyFill="1" applyBorder="1" applyAlignment="1">
      <alignment vertical="center"/>
    </xf>
    <xf numFmtId="49" fontId="7" fillId="0" borderId="1" xfId="11" applyNumberFormat="1" applyFont="1" applyFill="1" applyBorder="1" applyAlignment="1">
      <alignment vertical="center"/>
    </xf>
    <xf numFmtId="172" fontId="7" fillId="0" borderId="1" xfId="11" applyNumberFormat="1" applyFont="1" applyFill="1" applyBorder="1" applyAlignment="1">
      <alignment horizontal="center" vertical="center"/>
    </xf>
    <xf numFmtId="0" fontId="9" fillId="0" borderId="1" xfId="11" applyFont="1" applyFill="1" applyBorder="1" applyAlignment="1">
      <alignment horizontal="left" vertical="center"/>
    </xf>
    <xf numFmtId="49" fontId="9" fillId="0" borderId="1" xfId="11" applyNumberFormat="1" applyFont="1" applyFill="1" applyBorder="1" applyAlignment="1">
      <alignment vertical="center"/>
    </xf>
    <xf numFmtId="0" fontId="9" fillId="0" borderId="1" xfId="12" applyFont="1" applyFill="1" applyBorder="1" applyAlignment="1">
      <alignment horizontal="left" vertical="center"/>
    </xf>
    <xf numFmtId="49" fontId="9" fillId="0" borderId="1" xfId="12" applyNumberFormat="1" applyFont="1" applyFill="1" applyBorder="1" applyAlignment="1">
      <alignment vertical="center"/>
    </xf>
    <xf numFmtId="0" fontId="9" fillId="0" borderId="1" xfId="12" applyFont="1" applyFill="1" applyBorder="1" applyAlignment="1">
      <alignment horizontal="center" vertical="center"/>
    </xf>
    <xf numFmtId="172" fontId="9" fillId="0" borderId="1" xfId="12" applyNumberFormat="1" applyFont="1" applyFill="1" applyBorder="1" applyAlignment="1">
      <alignment horizontal="center" vertical="center"/>
    </xf>
    <xf numFmtId="49" fontId="9" fillId="0" borderId="1" xfId="12" applyNumberFormat="1" applyFont="1" applyFill="1" applyBorder="1" applyAlignment="1">
      <alignment horizontal="center" vertical="center"/>
    </xf>
    <xf numFmtId="166" fontId="9" fillId="0" borderId="1" xfId="12" applyNumberFormat="1" applyFont="1" applyFill="1" applyBorder="1" applyAlignment="1">
      <alignment vertical="center"/>
    </xf>
    <xf numFmtId="165" fontId="9" fillId="0" borderId="1" xfId="12" applyNumberFormat="1" applyFont="1" applyFill="1" applyBorder="1" applyAlignment="1">
      <alignment horizontal="center" vertical="center"/>
    </xf>
    <xf numFmtId="173" fontId="45" fillId="0" borderId="1" xfId="13" applyNumberFormat="1" applyFont="1" applyFill="1" applyBorder="1" applyAlignment="1">
      <alignment vertical="center"/>
    </xf>
    <xf numFmtId="0" fontId="45" fillId="0" borderId="1" xfId="13" applyFont="1" applyFill="1" applyBorder="1" applyAlignment="1">
      <alignment vertical="center"/>
    </xf>
    <xf numFmtId="0" fontId="45" fillId="0" borderId="1" xfId="13" applyFont="1" applyFill="1" applyBorder="1" applyAlignment="1">
      <alignment horizontal="left" vertical="center"/>
    </xf>
    <xf numFmtId="49" fontId="45" fillId="0" borderId="1" xfId="13" applyNumberFormat="1" applyFont="1" applyFill="1" applyBorder="1" applyAlignment="1">
      <alignment vertical="center"/>
    </xf>
    <xf numFmtId="49" fontId="7" fillId="0" borderId="1" xfId="13" applyNumberFormat="1" applyFont="1" applyFill="1" applyBorder="1" applyAlignment="1">
      <alignment horizontal="center" vertical="center"/>
    </xf>
    <xf numFmtId="14" fontId="45" fillId="0" borderId="1" xfId="13" applyNumberFormat="1" applyFont="1" applyFill="1" applyBorder="1" applyAlignment="1">
      <alignment horizontal="center" vertical="center"/>
    </xf>
    <xf numFmtId="168" fontId="45" fillId="0" borderId="1" xfId="13" applyNumberFormat="1" applyFont="1" applyFill="1" applyBorder="1" applyAlignment="1">
      <alignment horizontal="center" vertical="center"/>
    </xf>
    <xf numFmtId="172" fontId="45" fillId="0" borderId="1" xfId="13" applyNumberFormat="1" applyFont="1" applyFill="1" applyBorder="1" applyAlignment="1">
      <alignment horizontal="center" vertical="center"/>
    </xf>
    <xf numFmtId="49" fontId="45" fillId="0" borderId="1" xfId="13" applyNumberFormat="1" applyFont="1" applyFill="1" applyBorder="1" applyAlignment="1">
      <alignment horizontal="left" vertical="center"/>
    </xf>
    <xf numFmtId="173" fontId="45" fillId="0" borderId="1" xfId="0" applyNumberFormat="1" applyFont="1" applyFill="1" applyBorder="1" applyAlignment="1">
      <alignment vertical="center"/>
    </xf>
    <xf numFmtId="0" fontId="45" fillId="0" borderId="1" xfId="0" applyFont="1" applyFill="1" applyBorder="1" applyAlignment="1">
      <alignment horizontal="left" vertical="center"/>
    </xf>
    <xf numFmtId="49" fontId="45" fillId="0" borderId="1" xfId="0" applyNumberFormat="1" applyFont="1" applyFill="1" applyBorder="1" applyAlignment="1">
      <alignment vertical="center"/>
    </xf>
    <xf numFmtId="168" fontId="45" fillId="0" borderId="1" xfId="0" applyNumberFormat="1" applyFont="1" applyFill="1" applyBorder="1" applyAlignment="1">
      <alignment horizontal="center" vertical="center"/>
    </xf>
    <xf numFmtId="172" fontId="45" fillId="0" borderId="1" xfId="0" applyNumberFormat="1" applyFont="1" applyFill="1" applyBorder="1" applyAlignment="1">
      <alignment vertical="center"/>
    </xf>
    <xf numFmtId="49" fontId="45" fillId="0" borderId="1" xfId="0" applyNumberFormat="1" applyFont="1" applyFill="1" applyBorder="1" applyAlignment="1">
      <alignment horizontal="left" vertical="center"/>
    </xf>
    <xf numFmtId="165" fontId="7" fillId="0" borderId="1" xfId="6" applyNumberFormat="1" applyFont="1" applyFill="1" applyBorder="1" applyAlignment="1" applyProtection="1">
      <alignment horizontal="center" vertical="center"/>
    </xf>
    <xf numFmtId="172" fontId="45" fillId="0" borderId="1" xfId="0" applyNumberFormat="1" applyFont="1" applyFill="1" applyBorder="1" applyAlignment="1">
      <alignment horizontal="left" vertical="center"/>
    </xf>
    <xf numFmtId="172" fontId="45" fillId="0" borderId="1" xfId="0" applyNumberFormat="1" applyFont="1" applyFill="1" applyBorder="1" applyAlignment="1">
      <alignment horizontal="center" vertical="center"/>
    </xf>
    <xf numFmtId="166" fontId="7" fillId="2" borderId="1" xfId="8" applyFont="1" applyFill="1" applyBorder="1" applyAlignment="1">
      <alignment vertical="center"/>
    </xf>
    <xf numFmtId="166" fontId="7" fillId="2" borderId="1" xfId="8" applyNumberFormat="1" applyFont="1" applyFill="1" applyBorder="1" applyAlignment="1">
      <alignment vertical="center"/>
    </xf>
    <xf numFmtId="49" fontId="7" fillId="2" borderId="1" xfId="9" applyNumberFormat="1" applyFont="1" applyFill="1" applyBorder="1" applyAlignment="1">
      <alignment vertical="center"/>
    </xf>
    <xf numFmtId="49" fontId="7" fillId="2" borderId="1" xfId="0" applyNumberFormat="1" applyFont="1" applyFill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168" fontId="7" fillId="2" borderId="1" xfId="0" applyNumberFormat="1" applyFont="1" applyFill="1" applyBorder="1" applyAlignment="1">
      <alignment horizontal="center" vertical="center"/>
    </xf>
    <xf numFmtId="168" fontId="45" fillId="18" borderId="1" xfId="0" applyNumberFormat="1" applyFont="1" applyFill="1" applyBorder="1" applyAlignment="1">
      <alignment horizontal="center" vertical="center" wrapText="1"/>
    </xf>
    <xf numFmtId="174" fontId="45" fillId="18" borderId="1" xfId="0" applyNumberFormat="1" applyFont="1" applyFill="1" applyBorder="1" applyAlignment="1">
      <alignment horizontal="center" vertical="center" wrapText="1"/>
    </xf>
    <xf numFmtId="165" fontId="45" fillId="18" borderId="1" xfId="0" applyNumberFormat="1" applyFont="1" applyFill="1" applyBorder="1" applyAlignment="1">
      <alignment horizontal="center" vertical="center" wrapText="1"/>
    </xf>
    <xf numFmtId="174" fontId="9" fillId="2" borderId="1" xfId="0" applyNumberFormat="1" applyFont="1" applyFill="1" applyBorder="1" applyAlignment="1">
      <alignment horizontal="center" vertical="center" wrapText="1"/>
    </xf>
    <xf numFmtId="165" fontId="9" fillId="2" borderId="1" xfId="0" applyNumberFormat="1" applyFont="1" applyFill="1" applyBorder="1" applyAlignment="1">
      <alignment horizontal="center" vertical="center" wrapText="1"/>
    </xf>
    <xf numFmtId="172" fontId="9" fillId="2" borderId="1" xfId="14" applyNumberFormat="1" applyFont="1" applyFill="1" applyBorder="1" applyAlignment="1">
      <alignment horizontal="center" vertical="center" wrapText="1"/>
    </xf>
    <xf numFmtId="174" fontId="9" fillId="2" borderId="1" xfId="14" applyNumberFormat="1" applyFont="1" applyFill="1" applyBorder="1" applyAlignment="1">
      <alignment horizontal="center" vertical="center" wrapText="1"/>
    </xf>
    <xf numFmtId="165" fontId="9" fillId="2" borderId="1" xfId="14" applyNumberFormat="1" applyFont="1" applyFill="1" applyBorder="1" applyAlignment="1">
      <alignment horizontal="center" vertical="center" wrapText="1"/>
    </xf>
    <xf numFmtId="168" fontId="7" fillId="19" borderId="1" xfId="0" applyNumberFormat="1" applyFont="1" applyFill="1" applyBorder="1" applyAlignment="1">
      <alignment horizontal="center" vertical="center" wrapText="1"/>
    </xf>
    <xf numFmtId="165" fontId="7" fillId="19" borderId="1" xfId="0" applyNumberFormat="1" applyFont="1" applyFill="1" applyBorder="1" applyAlignment="1">
      <alignment horizontal="center" vertical="center" wrapText="1"/>
    </xf>
    <xf numFmtId="174" fontId="7" fillId="2" borderId="1" xfId="0" applyNumberFormat="1" applyFont="1" applyFill="1" applyBorder="1" applyAlignment="1">
      <alignment horizontal="center" vertical="center" wrapText="1"/>
    </xf>
    <xf numFmtId="165" fontId="7" fillId="2" borderId="1" xfId="0" applyNumberFormat="1" applyFont="1" applyFill="1" applyBorder="1" applyAlignment="1">
      <alignment horizontal="center" vertical="center" wrapText="1"/>
    </xf>
    <xf numFmtId="174" fontId="9" fillId="0" borderId="1" xfId="0" applyNumberFormat="1" applyFont="1" applyBorder="1" applyAlignment="1">
      <alignment horizontal="center" vertical="center" wrapText="1"/>
    </xf>
    <xf numFmtId="165" fontId="9" fillId="0" borderId="1" xfId="0" applyNumberFormat="1" applyFont="1" applyBorder="1" applyAlignment="1">
      <alignment horizontal="center" vertical="center" wrapText="1"/>
    </xf>
    <xf numFmtId="174" fontId="9" fillId="20" borderId="1" xfId="0" applyNumberFormat="1" applyFont="1" applyFill="1" applyBorder="1" applyAlignment="1">
      <alignment horizontal="center" vertical="center" wrapText="1"/>
    </xf>
    <xf numFmtId="165" fontId="9" fillId="20" borderId="1" xfId="0" applyNumberFormat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49" fontId="7" fillId="2" borderId="1" xfId="9" applyNumberFormat="1" applyFont="1" applyFill="1" applyBorder="1" applyAlignment="1">
      <alignment horizontal="left" vertical="center"/>
    </xf>
    <xf numFmtId="174" fontId="9" fillId="18" borderId="1" xfId="0" applyNumberFormat="1" applyFont="1" applyFill="1" applyBorder="1" applyAlignment="1">
      <alignment horizontal="center" vertical="center" wrapText="1"/>
    </xf>
    <xf numFmtId="165" fontId="9" fillId="18" borderId="1" xfId="0" applyNumberFormat="1" applyFont="1" applyFill="1" applyBorder="1" applyAlignment="1">
      <alignment horizontal="center" vertical="center" wrapText="1"/>
    </xf>
    <xf numFmtId="172" fontId="9" fillId="18" borderId="1" xfId="0" applyNumberFormat="1" applyFont="1" applyFill="1" applyBorder="1" applyAlignment="1">
      <alignment horizontal="center" vertical="center"/>
    </xf>
    <xf numFmtId="174" fontId="9" fillId="18" borderId="1" xfId="0" applyNumberFormat="1" applyFont="1" applyFill="1" applyBorder="1" applyAlignment="1">
      <alignment horizontal="center" vertical="center"/>
    </xf>
    <xf numFmtId="165" fontId="9" fillId="18" borderId="1" xfId="0" applyNumberFormat="1" applyFont="1" applyFill="1" applyBorder="1" applyAlignment="1">
      <alignment horizontal="center" vertical="center"/>
    </xf>
    <xf numFmtId="172" fontId="9" fillId="2" borderId="1" xfId="14" applyNumberFormat="1" applyFont="1" applyFill="1" applyBorder="1" applyAlignment="1">
      <alignment horizontal="center" vertical="center"/>
    </xf>
    <xf numFmtId="174" fontId="9" fillId="2" borderId="1" xfId="14" applyNumberFormat="1" applyFont="1" applyFill="1" applyBorder="1" applyAlignment="1">
      <alignment horizontal="center" vertical="center"/>
    </xf>
    <xf numFmtId="165" fontId="9" fillId="2" borderId="1" xfId="14" applyNumberFormat="1" applyFont="1" applyFill="1" applyBorder="1" applyAlignment="1">
      <alignment horizontal="center" vertical="center"/>
    </xf>
    <xf numFmtId="174" fontId="45" fillId="0" borderId="1" xfId="0" applyNumberFormat="1" applyFont="1" applyBorder="1" applyAlignment="1">
      <alignment horizontal="center" vertical="center" wrapText="1"/>
    </xf>
    <xf numFmtId="165" fontId="45" fillId="0" borderId="1" xfId="0" applyNumberFormat="1" applyFont="1" applyBorder="1" applyAlignment="1">
      <alignment horizontal="center" vertical="center" wrapText="1"/>
    </xf>
    <xf numFmtId="0" fontId="9" fillId="2" borderId="1" xfId="14" applyNumberFormat="1" applyFont="1" applyFill="1" applyBorder="1" applyAlignment="1">
      <alignment horizontal="center" vertical="center" wrapText="1"/>
    </xf>
    <xf numFmtId="4" fontId="45" fillId="18" borderId="1" xfId="0" applyNumberFormat="1" applyFont="1" applyFill="1" applyBorder="1" applyAlignment="1">
      <alignment horizontal="center" vertical="center" wrapText="1"/>
    </xf>
    <xf numFmtId="0" fontId="45" fillId="21" borderId="1" xfId="0" applyFont="1" applyFill="1" applyBorder="1" applyAlignment="1" applyProtection="1">
      <alignment vertical="center"/>
    </xf>
    <xf numFmtId="49" fontId="45" fillId="21" borderId="1" xfId="0" applyNumberFormat="1" applyFont="1" applyFill="1" applyBorder="1" applyAlignment="1" applyProtection="1">
      <alignment vertical="center"/>
    </xf>
    <xf numFmtId="14" fontId="45" fillId="22" borderId="1" xfId="0" applyNumberFormat="1" applyFont="1" applyFill="1" applyBorder="1" applyAlignment="1">
      <alignment horizontal="center" vertical="center"/>
    </xf>
    <xf numFmtId="168" fontId="9" fillId="2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 wrapText="1"/>
    </xf>
    <xf numFmtId="0" fontId="45" fillId="21" borderId="1" xfId="0" applyFont="1" applyFill="1" applyBorder="1" applyAlignment="1" applyProtection="1">
      <alignment horizontal="left" vertical="center"/>
    </xf>
    <xf numFmtId="14" fontId="45" fillId="22" borderId="1" xfId="0" applyNumberFormat="1" applyFont="1" applyFill="1" applyBorder="1" applyAlignment="1" applyProtection="1">
      <alignment horizontal="center" vertical="center"/>
    </xf>
    <xf numFmtId="172" fontId="9" fillId="2" borderId="1" xfId="0" applyNumberFormat="1" applyFont="1" applyFill="1" applyBorder="1" applyAlignment="1" applyProtection="1">
      <alignment horizontal="center" vertical="center" wrapText="1"/>
    </xf>
    <xf numFmtId="165" fontId="9" fillId="2" borderId="1" xfId="0" applyNumberFormat="1" applyFont="1" applyFill="1" applyBorder="1" applyAlignment="1" applyProtection="1">
      <alignment horizontal="center" vertical="center" wrapText="1"/>
    </xf>
    <xf numFmtId="172" fontId="48" fillId="23" borderId="1" xfId="0" applyNumberFormat="1" applyFont="1" applyFill="1" applyBorder="1" applyAlignment="1">
      <alignment horizontal="center" vertical="center" wrapText="1"/>
    </xf>
    <xf numFmtId="165" fontId="48" fillId="23" borderId="1" xfId="0" applyNumberFormat="1" applyFont="1" applyFill="1" applyBorder="1" applyAlignment="1">
      <alignment horizontal="center" vertical="center" wrapText="1"/>
    </xf>
    <xf numFmtId="172" fontId="9" fillId="2" borderId="1" xfId="9" applyNumberFormat="1" applyFont="1" applyFill="1" applyBorder="1" applyAlignment="1">
      <alignment horizontal="center" vertical="center" wrapText="1"/>
    </xf>
    <xf numFmtId="172" fontId="48" fillId="23" borderId="1" xfId="0" applyNumberFormat="1" applyFont="1" applyFill="1" applyBorder="1" applyAlignment="1" applyProtection="1">
      <alignment horizontal="center" vertical="center" wrapText="1"/>
    </xf>
    <xf numFmtId="165" fontId="48" fillId="23" borderId="1" xfId="0" applyNumberFormat="1" applyFont="1" applyFill="1" applyBorder="1" applyAlignment="1" applyProtection="1">
      <alignment horizontal="center" vertical="center" wrapText="1"/>
    </xf>
    <xf numFmtId="0" fontId="45" fillId="24" borderId="1" xfId="0" applyFont="1" applyFill="1" applyBorder="1" applyAlignment="1" applyProtection="1">
      <alignment vertical="center"/>
    </xf>
    <xf numFmtId="49" fontId="45" fillId="24" borderId="1" xfId="0" applyNumberFormat="1" applyFont="1" applyFill="1" applyBorder="1" applyAlignment="1">
      <alignment vertical="center"/>
    </xf>
    <xf numFmtId="14" fontId="45" fillId="24" borderId="1" xfId="0" applyNumberFormat="1" applyFont="1" applyFill="1" applyBorder="1" applyAlignment="1">
      <alignment horizontal="center" vertical="center"/>
    </xf>
    <xf numFmtId="49" fontId="7" fillId="25" borderId="1" xfId="0" applyNumberFormat="1" applyFont="1" applyFill="1" applyBorder="1" applyAlignment="1">
      <alignment vertical="center"/>
    </xf>
    <xf numFmtId="14" fontId="7" fillId="25" borderId="1" xfId="0" applyNumberFormat="1" applyFont="1" applyFill="1" applyBorder="1" applyAlignment="1">
      <alignment horizontal="center" vertical="center"/>
    </xf>
    <xf numFmtId="172" fontId="7" fillId="2" borderId="1" xfId="9" applyNumberFormat="1" applyFont="1" applyFill="1" applyBorder="1" applyAlignment="1">
      <alignment horizontal="center" vertical="center" wrapText="1"/>
    </xf>
    <xf numFmtId="0" fontId="48" fillId="23" borderId="1" xfId="0" applyFont="1" applyFill="1" applyBorder="1" applyAlignment="1">
      <alignment horizontal="center" vertical="center" wrapText="1"/>
    </xf>
    <xf numFmtId="49" fontId="45" fillId="22" borderId="1" xfId="0" applyNumberFormat="1" applyFont="1" applyFill="1" applyBorder="1" applyAlignment="1">
      <alignment vertical="center"/>
    </xf>
    <xf numFmtId="14" fontId="45" fillId="26" borderId="1" xfId="0" applyNumberFormat="1" applyFont="1" applyFill="1" applyBorder="1" applyAlignment="1">
      <alignment horizontal="center" vertical="center"/>
    </xf>
    <xf numFmtId="49" fontId="45" fillId="26" borderId="1" xfId="0" applyNumberFormat="1" applyFont="1" applyFill="1" applyBorder="1" applyAlignment="1">
      <alignment vertical="center"/>
    </xf>
    <xf numFmtId="49" fontId="45" fillId="26" borderId="1" xfId="0" applyNumberFormat="1" applyFont="1" applyFill="1" applyBorder="1" applyAlignment="1" applyProtection="1">
      <alignment vertical="center"/>
    </xf>
    <xf numFmtId="14" fontId="45" fillId="26" borderId="1" xfId="0" applyNumberFormat="1" applyFont="1" applyFill="1" applyBorder="1" applyAlignment="1" applyProtection="1">
      <alignment horizontal="center" vertical="center"/>
    </xf>
    <xf numFmtId="168" fontId="48" fillId="23" borderId="1" xfId="0" applyNumberFormat="1" applyFont="1" applyFill="1" applyBorder="1" applyAlignment="1">
      <alignment horizontal="center" vertical="center"/>
    </xf>
    <xf numFmtId="165" fontId="48" fillId="23" borderId="1" xfId="0" applyNumberFormat="1" applyFont="1" applyFill="1" applyBorder="1" applyAlignment="1">
      <alignment horizontal="center" vertical="center"/>
    </xf>
    <xf numFmtId="175" fontId="48" fillId="23" borderId="1" xfId="0" applyNumberFormat="1" applyFont="1" applyFill="1" applyBorder="1" applyAlignment="1">
      <alignment horizontal="center" vertical="center" wrapText="1"/>
    </xf>
    <xf numFmtId="0" fontId="7" fillId="21" borderId="1" xfId="0" applyFont="1" applyFill="1" applyBorder="1" applyAlignment="1" applyProtection="1">
      <alignment vertical="center"/>
    </xf>
    <xf numFmtId="49" fontId="7" fillId="21" borderId="1" xfId="0" applyNumberFormat="1" applyFont="1" applyFill="1" applyBorder="1" applyAlignment="1" applyProtection="1">
      <alignment vertical="center"/>
    </xf>
    <xf numFmtId="14" fontId="7" fillId="22" borderId="1" xfId="0" applyNumberFormat="1" applyFont="1" applyFill="1" applyBorder="1" applyAlignment="1">
      <alignment horizontal="center" vertical="center"/>
    </xf>
    <xf numFmtId="168" fontId="49" fillId="23" borderId="1" xfId="0" applyNumberFormat="1" applyFont="1" applyFill="1" applyBorder="1" applyAlignment="1">
      <alignment horizontal="center" vertical="center"/>
    </xf>
    <xf numFmtId="165" fontId="49" fillId="23" borderId="1" xfId="0" applyNumberFormat="1" applyFont="1" applyFill="1" applyBorder="1" applyAlignment="1">
      <alignment horizontal="center" vertical="center"/>
    </xf>
    <xf numFmtId="14" fontId="7" fillId="26" borderId="1" xfId="0" applyNumberFormat="1" applyFont="1" applyFill="1" applyBorder="1" applyAlignment="1">
      <alignment horizontal="center" vertical="center"/>
    </xf>
    <xf numFmtId="168" fontId="7" fillId="26" borderId="1" xfId="0" applyNumberFormat="1" applyFont="1" applyFill="1" applyBorder="1" applyAlignment="1">
      <alignment horizontal="center" vertical="center" wrapText="1"/>
    </xf>
    <xf numFmtId="165" fontId="7" fillId="26" borderId="1" xfId="0" applyNumberFormat="1" applyFont="1" applyFill="1" applyBorder="1" applyAlignment="1">
      <alignment horizontal="center" vertical="center" wrapText="1"/>
    </xf>
    <xf numFmtId="49" fontId="7" fillId="21" borderId="1" xfId="0" applyNumberFormat="1" applyFont="1" applyFill="1" applyBorder="1" applyAlignment="1">
      <alignment vertical="center"/>
    </xf>
    <xf numFmtId="166" fontId="50" fillId="2" borderId="1" xfId="8" applyFont="1" applyFill="1" applyBorder="1" applyAlignment="1">
      <alignment vertical="center"/>
    </xf>
    <xf numFmtId="166" fontId="50" fillId="2" borderId="1" xfId="8" applyNumberFormat="1" applyFont="1" applyFill="1" applyBorder="1" applyAlignment="1">
      <alignment vertical="center"/>
    </xf>
    <xf numFmtId="49" fontId="50" fillId="2" borderId="1" xfId="15" applyNumberFormat="1" applyFont="1" applyFill="1" applyBorder="1" applyAlignment="1">
      <alignment vertical="center"/>
    </xf>
    <xf numFmtId="14" fontId="50" fillId="2" borderId="1" xfId="8" applyNumberFormat="1" applyFont="1" applyFill="1" applyBorder="1" applyAlignment="1">
      <alignment horizontal="center" vertical="center"/>
    </xf>
    <xf numFmtId="175" fontId="51" fillId="27" borderId="1" xfId="8" applyNumberFormat="1" applyFont="1" applyFill="1" applyBorder="1" applyAlignment="1">
      <alignment horizontal="center" vertical="center" wrapText="1"/>
    </xf>
    <xf numFmtId="165" fontId="51" fillId="27" borderId="1" xfId="8" applyNumberFormat="1" applyFont="1" applyFill="1" applyBorder="1" applyAlignment="1">
      <alignment horizontal="center" vertical="center" wrapText="1"/>
    </xf>
    <xf numFmtId="49" fontId="50" fillId="2" borderId="1" xfId="9" applyNumberFormat="1" applyFont="1" applyFill="1" applyBorder="1" applyAlignment="1">
      <alignment vertical="center"/>
    </xf>
    <xf numFmtId="172" fontId="9" fillId="0" borderId="1" xfId="9" applyNumberFormat="1" applyFont="1" applyFill="1" applyBorder="1" applyAlignment="1">
      <alignment horizontal="center" vertical="center" wrapText="1"/>
    </xf>
    <xf numFmtId="174" fontId="9" fillId="0" borderId="1" xfId="0" applyNumberFormat="1" applyFont="1" applyFill="1" applyBorder="1" applyAlignment="1">
      <alignment horizontal="center" vertical="center" wrapText="1"/>
    </xf>
    <xf numFmtId="165" fontId="9" fillId="0" borderId="1" xfId="0" applyNumberFormat="1" applyFont="1" applyFill="1" applyBorder="1" applyAlignment="1">
      <alignment horizontal="center" vertical="center" wrapText="1"/>
    </xf>
    <xf numFmtId="49" fontId="50" fillId="2" borderId="1" xfId="8" applyNumberFormat="1" applyFont="1" applyFill="1" applyBorder="1" applyAlignment="1">
      <alignment vertical="center"/>
    </xf>
    <xf numFmtId="175" fontId="51" fillId="0" borderId="1" xfId="8" applyNumberFormat="1" applyFont="1" applyFill="1" applyBorder="1" applyAlignment="1">
      <alignment horizontal="center" vertical="center" wrapText="1"/>
    </xf>
    <xf numFmtId="165" fontId="51" fillId="0" borderId="1" xfId="8" applyNumberFormat="1" applyFont="1" applyFill="1" applyBorder="1" applyAlignment="1">
      <alignment horizontal="center" vertical="center" wrapText="1"/>
    </xf>
    <xf numFmtId="49" fontId="7" fillId="2" borderId="1" xfId="8" applyNumberFormat="1" applyFont="1" applyFill="1" applyBorder="1" applyAlignment="1">
      <alignment vertical="center"/>
    </xf>
    <xf numFmtId="49" fontId="7" fillId="2" borderId="1" xfId="15" applyNumberFormat="1" applyFont="1" applyFill="1" applyBorder="1" applyAlignment="1">
      <alignment vertical="center"/>
    </xf>
    <xf numFmtId="14" fontId="7" fillId="2" borderId="1" xfId="8" applyNumberFormat="1" applyFont="1" applyFill="1" applyBorder="1" applyAlignment="1">
      <alignment horizontal="center" vertical="center"/>
    </xf>
    <xf numFmtId="175" fontId="53" fillId="0" borderId="1" xfId="8" applyNumberFormat="1" applyFont="1" applyFill="1" applyBorder="1" applyAlignment="1">
      <alignment horizontal="center" vertical="center" wrapText="1"/>
    </xf>
    <xf numFmtId="165" fontId="53" fillId="0" borderId="1" xfId="8" applyNumberFormat="1" applyFont="1" applyFill="1" applyBorder="1" applyAlignment="1">
      <alignment horizontal="center" vertical="center" wrapText="1"/>
    </xf>
    <xf numFmtId="175" fontId="53" fillId="27" borderId="1" xfId="8" applyNumberFormat="1" applyFont="1" applyFill="1" applyBorder="1" applyAlignment="1">
      <alignment horizontal="center" vertical="center" wrapText="1"/>
    </xf>
    <xf numFmtId="165" fontId="53" fillId="27" borderId="1" xfId="8" applyNumberFormat="1" applyFont="1" applyFill="1" applyBorder="1" applyAlignment="1">
      <alignment horizontal="center" vertical="center" wrapText="1"/>
    </xf>
    <xf numFmtId="14" fontId="7" fillId="28" borderId="1" xfId="15" applyNumberFormat="1" applyFont="1" applyFill="1" applyBorder="1" applyAlignment="1">
      <alignment horizontal="center" vertical="center"/>
    </xf>
    <xf numFmtId="14" fontId="50" fillId="28" borderId="1" xfId="15" applyNumberFormat="1" applyFont="1" applyFill="1" applyBorder="1" applyAlignment="1">
      <alignment horizontal="center" vertical="center"/>
    </xf>
    <xf numFmtId="49" fontId="50" fillId="29" borderId="1" xfId="15" applyNumberFormat="1" applyFont="1" applyFill="1" applyBorder="1" applyAlignment="1">
      <alignment horizontal="left" vertical="center"/>
    </xf>
    <xf numFmtId="49" fontId="50" fillId="29" borderId="1" xfId="15" applyNumberFormat="1" applyFont="1" applyFill="1" applyBorder="1" applyAlignment="1">
      <alignment vertical="center"/>
    </xf>
    <xf numFmtId="49" fontId="50" fillId="2" borderId="1" xfId="15" applyNumberFormat="1" applyFont="1" applyFill="1" applyBorder="1" applyAlignment="1">
      <alignment horizontal="left" vertical="center"/>
    </xf>
    <xf numFmtId="0" fontId="50" fillId="29" borderId="1" xfId="15" applyFont="1" applyFill="1" applyBorder="1" applyAlignment="1">
      <alignment vertical="center"/>
    </xf>
    <xf numFmtId="49" fontId="50" fillId="30" borderId="1" xfId="15" applyNumberFormat="1" applyFont="1" applyFill="1" applyBorder="1" applyAlignment="1">
      <alignment vertical="center"/>
    </xf>
    <xf numFmtId="14" fontId="50" fillId="28" borderId="1" xfId="6" applyNumberFormat="1" applyFont="1" applyFill="1" applyBorder="1" applyAlignment="1">
      <alignment horizontal="center" vertical="center"/>
    </xf>
    <xf numFmtId="175" fontId="51" fillId="31" borderId="1" xfId="6" applyNumberFormat="1" applyFont="1" applyFill="1" applyBorder="1" applyAlignment="1">
      <alignment horizontal="center" vertical="center" wrapText="1"/>
    </xf>
    <xf numFmtId="165" fontId="51" fillId="31" borderId="1" xfId="6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14" fontId="50" fillId="2" borderId="1" xfId="6" applyNumberFormat="1" applyFont="1" applyFill="1" applyBorder="1" applyAlignment="1">
      <alignment horizontal="center" vertical="center"/>
    </xf>
    <xf numFmtId="0" fontId="9" fillId="2" borderId="1" xfId="9" applyFont="1" applyFill="1" applyBorder="1" applyAlignment="1">
      <alignment vertical="center"/>
    </xf>
    <xf numFmtId="0" fontId="9" fillId="2" borderId="1" xfId="9" applyFont="1" applyFill="1" applyBorder="1" applyAlignment="1">
      <alignment horizontal="left" vertical="center"/>
    </xf>
    <xf numFmtId="49" fontId="9" fillId="20" borderId="1" xfId="0" applyNumberFormat="1" applyFont="1" applyFill="1" applyBorder="1" applyAlignment="1">
      <alignment horizontal="center" vertical="center"/>
    </xf>
    <xf numFmtId="14" fontId="9" fillId="2" borderId="1" xfId="9" applyNumberFormat="1" applyFont="1" applyFill="1" applyBorder="1" applyAlignment="1">
      <alignment horizontal="center" vertical="center"/>
    </xf>
    <xf numFmtId="172" fontId="9" fillId="2" borderId="1" xfId="9" applyNumberFormat="1" applyFont="1" applyFill="1" applyBorder="1" applyAlignment="1">
      <alignment horizontal="center" vertical="center"/>
    </xf>
    <xf numFmtId="165" fontId="9" fillId="2" borderId="1" xfId="9" applyNumberFormat="1" applyFont="1" applyFill="1" applyBorder="1" applyAlignment="1">
      <alignment horizontal="center" vertical="center"/>
    </xf>
    <xf numFmtId="172" fontId="9" fillId="2" borderId="1" xfId="9" applyNumberFormat="1" applyFont="1" applyFill="1" applyBorder="1" applyAlignment="1">
      <alignment vertical="center"/>
    </xf>
    <xf numFmtId="0" fontId="9" fillId="2" borderId="1" xfId="9" applyNumberFormat="1" applyFont="1" applyFill="1" applyBorder="1" applyAlignment="1">
      <alignment horizontal="center" vertical="center"/>
    </xf>
    <xf numFmtId="172" fontId="9" fillId="27" borderId="1" xfId="9" applyNumberFormat="1" applyFont="1" applyFill="1" applyBorder="1" applyAlignment="1">
      <alignment horizontal="center" vertical="center"/>
    </xf>
    <xf numFmtId="165" fontId="9" fillId="27" borderId="1" xfId="9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 applyProtection="1">
      <alignment vertical="center"/>
    </xf>
    <xf numFmtId="49" fontId="9" fillId="2" borderId="1" xfId="0" applyNumberFormat="1" applyFont="1" applyFill="1" applyBorder="1" applyAlignment="1" applyProtection="1">
      <alignment vertical="center"/>
    </xf>
    <xf numFmtId="176" fontId="9" fillId="0" borderId="1" xfId="0" applyNumberFormat="1" applyFont="1" applyFill="1" applyBorder="1" applyAlignment="1">
      <alignment horizontal="center" vertical="center"/>
    </xf>
    <xf numFmtId="172" fontId="9" fillId="27" borderId="1" xfId="0" applyNumberFormat="1" applyFont="1" applyFill="1" applyBorder="1" applyAlignment="1">
      <alignment horizontal="center" vertical="center" wrapText="1"/>
    </xf>
    <xf numFmtId="165" fontId="9" fillId="27" borderId="1" xfId="0" applyNumberFormat="1" applyFont="1" applyFill="1" applyBorder="1" applyAlignment="1">
      <alignment horizontal="center" vertical="center" wrapText="1"/>
    </xf>
    <xf numFmtId="172" fontId="9" fillId="27" borderId="1" xfId="0" applyNumberFormat="1" applyFont="1" applyFill="1" applyBorder="1" applyAlignment="1">
      <alignment horizontal="center" vertical="center"/>
    </xf>
    <xf numFmtId="165" fontId="9" fillId="27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2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72" fontId="9" fillId="0" borderId="1" xfId="16" applyNumberFormat="1" applyFont="1" applyFill="1" applyBorder="1" applyAlignment="1" applyProtection="1">
      <alignment horizontal="center" vertical="center"/>
    </xf>
    <xf numFmtId="165" fontId="9" fillId="0" borderId="1" xfId="16" applyNumberFormat="1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>
      <alignment vertical="center"/>
    </xf>
    <xf numFmtId="168" fontId="9" fillId="0" borderId="21" xfId="0" applyNumberFormat="1" applyFont="1" applyFill="1" applyBorder="1" applyAlignment="1">
      <alignment horizontal="center" vertical="center" wrapText="1"/>
    </xf>
    <xf numFmtId="165" fontId="9" fillId="0" borderId="2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16" applyFont="1" applyBorder="1" applyAlignment="1">
      <alignment horizontal="center" vertical="center"/>
    </xf>
    <xf numFmtId="172" fontId="9" fillId="0" borderId="1" xfId="16" applyNumberFormat="1" applyFont="1" applyBorder="1" applyAlignment="1">
      <alignment horizontal="center" vertical="center"/>
    </xf>
    <xf numFmtId="165" fontId="9" fillId="0" borderId="1" xfId="16" applyNumberFormat="1" applyFont="1" applyBorder="1" applyAlignment="1">
      <alignment horizontal="center" vertical="center"/>
    </xf>
    <xf numFmtId="0" fontId="7" fillId="0" borderId="1" xfId="6" applyNumberFormat="1" applyFont="1" applyBorder="1" applyAlignment="1">
      <alignment horizontal="center" vertical="center"/>
    </xf>
    <xf numFmtId="177" fontId="7" fillId="0" borderId="1" xfId="6" applyNumberFormat="1" applyFont="1" applyBorder="1" applyAlignment="1">
      <alignment horizontal="center" vertical="center"/>
    </xf>
    <xf numFmtId="172" fontId="7" fillId="0" borderId="1" xfId="6" applyNumberFormat="1" applyFont="1" applyBorder="1" applyAlignment="1">
      <alignment horizontal="center" vertical="center"/>
    </xf>
    <xf numFmtId="165" fontId="7" fillId="0" borderId="1" xfId="6" applyNumberFormat="1" applyFont="1" applyBorder="1" applyAlignment="1">
      <alignment horizontal="center" vertical="center"/>
    </xf>
    <xf numFmtId="0" fontId="45" fillId="0" borderId="1" xfId="6" applyNumberFormat="1" applyFont="1" applyBorder="1" applyAlignment="1">
      <alignment horizontal="center" vertical="center"/>
    </xf>
    <xf numFmtId="177" fontId="45" fillId="0" borderId="1" xfId="6" applyNumberFormat="1" applyFont="1" applyBorder="1" applyAlignment="1">
      <alignment horizontal="center" vertical="center"/>
    </xf>
    <xf numFmtId="172" fontId="45" fillId="0" borderId="1" xfId="6" applyNumberFormat="1" applyFont="1" applyBorder="1" applyAlignment="1">
      <alignment horizontal="center" vertical="center"/>
    </xf>
    <xf numFmtId="165" fontId="45" fillId="0" borderId="1" xfId="6" applyNumberFormat="1" applyFont="1" applyBorder="1" applyAlignment="1">
      <alignment horizontal="center" vertical="center"/>
    </xf>
    <xf numFmtId="168" fontId="9" fillId="16" borderId="1" xfId="0" applyNumberFormat="1" applyFont="1" applyFill="1" applyBorder="1" applyAlignment="1">
      <alignment horizontal="center" vertical="center"/>
    </xf>
    <xf numFmtId="168" fontId="9" fillId="0" borderId="1" xfId="0" quotePrefix="1" applyNumberFormat="1" applyFont="1" applyFill="1" applyBorder="1" applyAlignment="1">
      <alignment horizontal="center" vertical="center"/>
    </xf>
    <xf numFmtId="49" fontId="9" fillId="0" borderId="1" xfId="9" applyNumberFormat="1" applyFont="1" applyFill="1" applyBorder="1" applyAlignment="1">
      <alignment horizontal="center" vertical="center"/>
    </xf>
    <xf numFmtId="49" fontId="9" fillId="0" borderId="1" xfId="9" applyNumberFormat="1" applyFont="1" applyFill="1" applyBorder="1" applyAlignment="1">
      <alignment horizontal="left" vertical="center"/>
    </xf>
    <xf numFmtId="49" fontId="9" fillId="2" borderId="21" xfId="9" applyNumberFormat="1" applyFont="1" applyFill="1" applyBorder="1" applyAlignment="1">
      <alignment horizontal="left" vertical="center" wrapText="1"/>
    </xf>
    <xf numFmtId="49" fontId="9" fillId="0" borderId="21" xfId="9" applyNumberFormat="1" applyFont="1" applyFill="1" applyBorder="1" applyAlignment="1">
      <alignment horizontal="left" vertical="center" wrapText="1"/>
    </xf>
    <xf numFmtId="168" fontId="9" fillId="0" borderId="21" xfId="0" quotePrefix="1" applyNumberFormat="1" applyFont="1" applyFill="1" applyBorder="1" applyAlignment="1">
      <alignment horizontal="center" vertical="center" wrapText="1"/>
    </xf>
    <xf numFmtId="49" fontId="9" fillId="2" borderId="1" xfId="9" applyNumberFormat="1" applyFont="1" applyFill="1" applyBorder="1" applyAlignment="1">
      <alignment horizontal="left" vertical="center"/>
    </xf>
    <xf numFmtId="166" fontId="9" fillId="2" borderId="21" xfId="8" applyFont="1" applyFill="1" applyBorder="1" applyAlignment="1">
      <alignment vertical="center"/>
    </xf>
    <xf numFmtId="166" fontId="9" fillId="2" borderId="21" xfId="8" applyNumberFormat="1" applyFont="1" applyFill="1" applyBorder="1" applyAlignment="1">
      <alignment vertical="center"/>
    </xf>
    <xf numFmtId="166" fontId="9" fillId="0" borderId="21" xfId="8" applyFont="1" applyFill="1" applyBorder="1" applyAlignment="1">
      <alignment vertical="center"/>
    </xf>
    <xf numFmtId="49" fontId="9" fillId="0" borderId="21" xfId="9" applyNumberFormat="1" applyFont="1" applyFill="1" applyBorder="1" applyAlignment="1">
      <alignment horizontal="left" vertical="center"/>
    </xf>
    <xf numFmtId="49" fontId="9" fillId="0" borderId="21" xfId="9" applyNumberFormat="1" applyFont="1" applyFill="1" applyBorder="1" applyAlignment="1">
      <alignment vertical="center"/>
    </xf>
    <xf numFmtId="49" fontId="7" fillId="0" borderId="2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5" fontId="7" fillId="2" borderId="21" xfId="6" applyNumberFormat="1" applyFont="1" applyFill="1" applyBorder="1" applyAlignment="1">
      <alignment horizontal="center" vertical="center"/>
    </xf>
  </cellXfs>
  <cellStyles count="17">
    <cellStyle name="Excel Built-in Explanatory Text" xfId="3"/>
    <cellStyle name="一般" xfId="0" builtinId="0"/>
    <cellStyle name="一般 11" xfId="10"/>
    <cellStyle name="一般 12" xfId="12"/>
    <cellStyle name="一般 13" xfId="11"/>
    <cellStyle name="一般 13 3" xfId="2"/>
    <cellStyle name="一般 14" xfId="13"/>
    <cellStyle name="一般 2" xfId="9"/>
    <cellStyle name="一般 3" xfId="15"/>
    <cellStyle name="一般 6" xfId="14"/>
    <cellStyle name="一般 6 2" xfId="7"/>
    <cellStyle name="一般 8" xfId="16"/>
    <cellStyle name="一般_Test_Planning_U3S_by_SDV_WW07_0216" xfId="8"/>
    <cellStyle name="常规 11" xfId="5"/>
    <cellStyle name="說明文字" xfId="1" builtinId="53"/>
    <cellStyle name="說明文字 2" xfId="4"/>
    <cellStyle name="說明文字 3" xfId="6"/>
  </cellStyles>
  <dxfs count="6057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theme="0" tint="-0.499984740745262"/>
        </patternFill>
      </fill>
    </dxf>
    <dxf>
      <font>
        <b/>
        <i val="0"/>
      </font>
      <fill>
        <patternFill patternType="solid">
          <bgColor theme="6" tint="0.3999145481734672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 patternType="solid">
          <bgColor theme="0" tint="-0.1499374370555742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4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5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6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7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8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9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0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69316</xdr:rowOff>
    </xdr:to>
    <xdr:sp macro="" textlink="">
      <xdr:nvSpPr>
        <xdr:cNvPr id="1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5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6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7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8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19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2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2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2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2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0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3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4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3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1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42</xdr:row>
      <xdr:rowOff>145092</xdr:rowOff>
    </xdr:to>
    <xdr:sp macro="" textlink="">
      <xdr:nvSpPr>
        <xdr:cNvPr id="42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1672104</xdr:colOff>
      <xdr:row>38</xdr:row>
      <xdr:rowOff>187002</xdr:rowOff>
    </xdr:to>
    <xdr:sp macro="" textlink="">
      <xdr:nvSpPr>
        <xdr:cNvPr id="4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59</xdr:row>
      <xdr:rowOff>169917</xdr:rowOff>
    </xdr:to>
    <xdr:sp macro="" textlink="">
      <xdr:nvSpPr>
        <xdr:cNvPr id="4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6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7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8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69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0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1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2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93958</xdr:rowOff>
    </xdr:to>
    <xdr:sp macro="" textlink="">
      <xdr:nvSpPr>
        <xdr:cNvPr id="47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4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0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3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4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1593787</xdr:colOff>
      <xdr:row>54</xdr:row>
      <xdr:rowOff>124197</xdr:rowOff>
    </xdr:to>
    <xdr:sp macro="" textlink="">
      <xdr:nvSpPr>
        <xdr:cNvPr id="5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8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599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0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1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2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3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4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5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6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7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8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09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10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28</xdr:col>
      <xdr:colOff>601953</xdr:colOff>
      <xdr:row>518</xdr:row>
      <xdr:rowOff>91308</xdr:rowOff>
    </xdr:to>
    <xdr:sp macro="" textlink="">
      <xdr:nvSpPr>
        <xdr:cNvPr id="610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0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1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2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3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4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5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6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7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8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19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0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1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2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2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2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899</xdr:row>
      <xdr:rowOff>16065</xdr:rowOff>
    </xdr:to>
    <xdr:sp macro="" textlink="">
      <xdr:nvSpPr>
        <xdr:cNvPr id="622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6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7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8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29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0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1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38</xdr:row>
      <xdr:rowOff>109532</xdr:rowOff>
    </xdr:to>
    <xdr:sp macro="" textlink="">
      <xdr:nvSpPr>
        <xdr:cNvPr id="63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6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7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8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39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0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1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1227604</xdr:colOff>
      <xdr:row>42</xdr:row>
      <xdr:rowOff>65082</xdr:rowOff>
    </xdr:to>
    <xdr:sp macro="" textlink="">
      <xdr:nvSpPr>
        <xdr:cNvPr id="64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49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0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3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4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5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42</xdr:row>
      <xdr:rowOff>144457</xdr:rowOff>
    </xdr:to>
    <xdr:sp macro="" textlink="">
      <xdr:nvSpPr>
        <xdr:cNvPr id="65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59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0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1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2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3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4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5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6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7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8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69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0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1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1592880</xdr:colOff>
      <xdr:row>59</xdr:row>
      <xdr:rowOff>144154</xdr:rowOff>
    </xdr:to>
    <xdr:sp macro="" textlink="">
      <xdr:nvSpPr>
        <xdr:cNvPr id="671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3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4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5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79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0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515134</xdr:colOff>
      <xdr:row>38</xdr:row>
      <xdr:rowOff>171127</xdr:rowOff>
    </xdr:to>
    <xdr:sp macro="" textlink="">
      <xdr:nvSpPr>
        <xdr:cNvPr id="68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30480</xdr:rowOff>
        </xdr:from>
        <xdr:to>
          <xdr:col>2</xdr:col>
          <xdr:colOff>1973580</xdr:colOff>
          <xdr:row>4</xdr:row>
          <xdr:rowOff>140970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</a:rPr>
                <a:t>資料整理用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49530</xdr:rowOff>
        </xdr:from>
        <xdr:to>
          <xdr:col>3</xdr:col>
          <xdr:colOff>1962150</xdr:colOff>
          <xdr:row>4</xdr:row>
          <xdr:rowOff>140970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</a:rPr>
                <a:t>導另一份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cs typeface="Calibri"/>
                </a:rPr>
                <a:t>上傳用</a:t>
              </a:r>
              <a:endParaRPr lang="en-US" sz="1200" b="0" i="0" u="none" strike="noStrike" baseline="0">
                <a:solidFill>
                  <a:srgbClr val="000000"/>
                </a:solidFill>
                <a:latin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87630</xdr:rowOff>
        </xdr:from>
        <xdr:to>
          <xdr:col>0</xdr:col>
          <xdr:colOff>1878330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</a:rPr>
                <a:t>清除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Raw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cs typeface="Calibri"/>
                </a:rPr>
                <a:t>與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Cal1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45720</xdr:rowOff>
        </xdr:from>
        <xdr:to>
          <xdr:col>2</xdr:col>
          <xdr:colOff>1943100</xdr:colOff>
          <xdr:row>8</xdr:row>
          <xdr:rowOff>160020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</a:rPr>
                <a:t>清除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CAL1 Sheets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cs typeface="Calibri"/>
                </a:rPr>
                <a:t>資料</a:t>
              </a:r>
              <a:endParaRPr lang="en-US" sz="1200" b="0" i="0" u="none" strike="noStrike" baseline="0">
                <a:solidFill>
                  <a:srgbClr val="000000"/>
                </a:solidFill>
                <a:latin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657374</xdr:colOff>
      <xdr:row>43</xdr:row>
      <xdr:rowOff>93022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4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5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6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7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8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19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0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1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1470174</xdr:colOff>
      <xdr:row>39</xdr:row>
      <xdr:rowOff>181922</xdr:rowOff>
    </xdr:to>
    <xdr:sp macro="" textlink="">
      <xdr:nvSpPr>
        <xdr:cNvPr id="2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ile\(C38_Notebook)%20LNV%20SW%20Test%20Planning%20Template%20v2.1_202005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Summary"/>
      <sheetName val="SW Test planning"/>
      <sheetName val="SW Test planning-FFRT"/>
      <sheetName val="Readme"/>
      <sheetName val="Phas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FF0000"/>
  </sheetPr>
  <dimension ref="B1:AX950"/>
  <sheetViews>
    <sheetView tabSelected="1" workbookViewId="0">
      <selection sqref="A1:XFD1048576"/>
    </sheetView>
  </sheetViews>
  <sheetFormatPr defaultColWidth="9" defaultRowHeight="15.6" outlineLevelCol="1"/>
  <cols>
    <col min="1" max="1" width="1.6484375" style="40" customWidth="1"/>
    <col min="2" max="2" width="6.09765625" style="40" bestFit="1" customWidth="1"/>
    <col min="3" max="3" width="22.44921875" style="37" customWidth="1"/>
    <col min="4" max="4" width="20.6484375" style="37" customWidth="1"/>
    <col min="5" max="5" width="25.6484375" style="37" customWidth="1"/>
    <col min="6" max="6" width="26" style="37" customWidth="1"/>
    <col min="7" max="7" width="6.796875" style="40" customWidth="1"/>
    <col min="8" max="8" width="11.19921875" style="40" bestFit="1" customWidth="1"/>
    <col min="9" max="9" width="9" style="40"/>
    <col min="10" max="13" width="9.44921875" style="40" customWidth="1"/>
    <col min="14" max="14" width="11.44921875" style="40" customWidth="1"/>
    <col min="15" max="15" width="11.6484375" style="40" customWidth="1"/>
    <col min="16" max="16" width="9.09765625" style="58" hidden="1" customWidth="1" outlineLevel="1"/>
    <col min="17" max="17" width="7.44921875" style="40" hidden="1" customWidth="1" outlineLevel="1"/>
    <col min="18" max="21" width="7" style="41" hidden="1" customWidth="1" outlineLevel="1"/>
    <col min="22" max="22" width="20.546875" style="41" hidden="1" customWidth="1" outlineLevel="1"/>
    <col min="23" max="23" width="7.6484375" style="41" customWidth="1" collapsed="1"/>
    <col min="24" max="24" width="8.796875" style="41" customWidth="1"/>
    <col min="25" max="25" width="9.6484375" style="40" customWidth="1"/>
    <col min="26" max="26" width="8.44921875" style="40" customWidth="1"/>
    <col min="27" max="32" width="13.19921875" style="41" customWidth="1"/>
    <col min="33" max="33" width="13.796875" style="40" customWidth="1"/>
    <col min="34" max="34" width="13.19921875" style="41" customWidth="1"/>
    <col min="35" max="35" width="26.6484375" style="40" customWidth="1"/>
    <col min="36" max="36" width="13.19921875" style="42" customWidth="1"/>
    <col min="37" max="37" width="13.19921875" style="41" customWidth="1"/>
    <col min="38" max="47" width="9" style="40"/>
    <col min="48" max="50" width="13.19921875" style="40" customWidth="1"/>
    <col min="51" max="16384" width="9" style="40"/>
  </cols>
  <sheetData>
    <row r="1" spans="2:50" ht="16.8" customHeight="1">
      <c r="C1" s="73" t="s">
        <v>87</v>
      </c>
      <c r="D1" s="73"/>
      <c r="E1" s="73"/>
      <c r="F1" s="73"/>
      <c r="G1" s="73"/>
      <c r="H1" s="73"/>
      <c r="I1" s="73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AI1" s="75"/>
    </row>
    <row r="2" spans="2:50" ht="20.399999999999999">
      <c r="C2" s="76" t="s">
        <v>88</v>
      </c>
      <c r="D2" s="76"/>
      <c r="E2" s="77"/>
      <c r="F2" s="77"/>
      <c r="G2" s="77"/>
      <c r="H2" s="77"/>
      <c r="I2" s="77"/>
      <c r="J2" s="77"/>
      <c r="K2" s="77"/>
      <c r="L2" s="78"/>
      <c r="M2" s="77"/>
      <c r="N2" s="77"/>
      <c r="O2" s="77"/>
      <c r="P2" s="77"/>
      <c r="Q2" s="77"/>
      <c r="R2" s="77"/>
      <c r="S2" s="77"/>
      <c r="T2" s="77"/>
    </row>
    <row r="3" spans="2:50" ht="20.399999999999999">
      <c r="C3" s="79" t="s">
        <v>89</v>
      </c>
      <c r="D3" s="80"/>
      <c r="E3" s="77"/>
      <c r="F3" s="77"/>
      <c r="G3" s="77"/>
      <c r="H3" s="77"/>
      <c r="I3" s="77"/>
      <c r="J3" s="77"/>
      <c r="K3" s="77"/>
      <c r="L3" s="78"/>
      <c r="M3" s="77"/>
      <c r="N3" s="77"/>
      <c r="O3" s="77"/>
      <c r="P3" s="77"/>
      <c r="Q3" s="77"/>
      <c r="R3" s="77"/>
      <c r="S3" s="77"/>
      <c r="T3" s="77"/>
      <c r="AA3" s="81"/>
      <c r="AB3" s="81"/>
    </row>
    <row r="4" spans="2:50" ht="27" customHeight="1">
      <c r="C4" s="82" t="s">
        <v>90</v>
      </c>
      <c r="D4" s="83"/>
      <c r="E4" s="84"/>
      <c r="F4" s="84"/>
      <c r="G4" s="84"/>
      <c r="H4" s="84"/>
      <c r="I4" s="84"/>
      <c r="J4" s="84"/>
      <c r="K4" s="84"/>
      <c r="L4" s="85"/>
      <c r="M4" s="84"/>
      <c r="N4" s="84"/>
      <c r="O4" s="84"/>
      <c r="P4" s="84"/>
      <c r="Q4" s="84"/>
      <c r="R4" s="84"/>
      <c r="S4" s="84"/>
      <c r="T4" s="84"/>
      <c r="AA4" s="41" t="s">
        <v>91</v>
      </c>
      <c r="AB4" s="41" t="s">
        <v>92</v>
      </c>
      <c r="AC4" s="41" t="s">
        <v>93</v>
      </c>
      <c r="AD4" s="41" t="s">
        <v>94</v>
      </c>
      <c r="AE4" s="41" t="s">
        <v>95</v>
      </c>
      <c r="AF4" s="41" t="s">
        <v>96</v>
      </c>
      <c r="AG4" s="41"/>
      <c r="AH4" s="41" t="s">
        <v>97</v>
      </c>
      <c r="AJ4" s="41" t="s">
        <v>98</v>
      </c>
      <c r="AK4" s="41" t="s">
        <v>99</v>
      </c>
      <c r="AL4" s="86"/>
      <c r="AM4" s="86"/>
      <c r="AN4" s="86"/>
      <c r="AO4" s="86"/>
      <c r="AP4" s="86"/>
      <c r="AQ4" s="86"/>
      <c r="AR4" s="86"/>
      <c r="AS4" s="86"/>
      <c r="AT4" s="86"/>
      <c r="AU4" s="86"/>
    </row>
    <row r="5" spans="2:50" ht="27" customHeight="1">
      <c r="J5" s="87" t="s">
        <v>100</v>
      </c>
      <c r="K5" s="87"/>
      <c r="L5" s="87"/>
      <c r="M5" s="87"/>
      <c r="N5" s="87"/>
      <c r="O5" s="87"/>
      <c r="P5" s="88" t="s">
        <v>101</v>
      </c>
      <c r="Q5" s="88"/>
      <c r="R5" s="88"/>
      <c r="S5" s="88"/>
      <c r="T5" s="88"/>
      <c r="U5" s="88"/>
      <c r="V5" s="88"/>
      <c r="W5" s="89" t="s">
        <v>102</v>
      </c>
      <c r="X5" s="90" t="s">
        <v>103</v>
      </c>
      <c r="Y5" s="89" t="s">
        <v>102</v>
      </c>
      <c r="Z5" s="89" t="s">
        <v>102</v>
      </c>
      <c r="AA5" s="90" t="s">
        <v>103</v>
      </c>
      <c r="AB5" s="90" t="s">
        <v>103</v>
      </c>
      <c r="AC5" s="90" t="s">
        <v>103</v>
      </c>
      <c r="AD5" s="90" t="s">
        <v>103</v>
      </c>
      <c r="AE5" s="90" t="s">
        <v>103</v>
      </c>
      <c r="AF5" s="90" t="s">
        <v>103</v>
      </c>
      <c r="AG5" s="90" t="s">
        <v>103</v>
      </c>
      <c r="AH5" s="90" t="s">
        <v>103</v>
      </c>
      <c r="AI5" s="89" t="s">
        <v>102</v>
      </c>
      <c r="AJ5" s="90" t="s">
        <v>103</v>
      </c>
      <c r="AK5" s="90" t="s">
        <v>103</v>
      </c>
      <c r="AL5" s="91" t="s">
        <v>102</v>
      </c>
      <c r="AM5" s="92"/>
      <c r="AN5" s="92"/>
      <c r="AO5" s="92"/>
      <c r="AP5" s="92"/>
      <c r="AQ5" s="92"/>
      <c r="AR5" s="92"/>
      <c r="AS5" s="92"/>
      <c r="AT5" s="92"/>
      <c r="AU5" s="93"/>
      <c r="AV5" s="89" t="s">
        <v>102</v>
      </c>
      <c r="AW5" s="89" t="s">
        <v>102</v>
      </c>
      <c r="AX5" s="89" t="s">
        <v>102</v>
      </c>
    </row>
    <row r="6" spans="2:50" ht="16.5" customHeight="1">
      <c r="B6" s="94" t="s">
        <v>104</v>
      </c>
      <c r="C6" s="94" t="s">
        <v>105</v>
      </c>
      <c r="D6" s="95" t="s">
        <v>106</v>
      </c>
      <c r="E6" s="95" t="s">
        <v>107</v>
      </c>
      <c r="F6" s="94" t="s">
        <v>108</v>
      </c>
      <c r="G6" s="94" t="s">
        <v>109</v>
      </c>
      <c r="H6" s="95" t="s">
        <v>110</v>
      </c>
      <c r="I6" s="95" t="s">
        <v>111</v>
      </c>
      <c r="J6" s="96" t="s">
        <v>112</v>
      </c>
      <c r="K6" s="96"/>
      <c r="L6" s="96"/>
      <c r="M6" s="96"/>
      <c r="N6" s="96" t="s">
        <v>113</v>
      </c>
      <c r="O6" s="96"/>
      <c r="P6" s="97" t="s">
        <v>114</v>
      </c>
      <c r="Q6" s="97" t="s">
        <v>115</v>
      </c>
      <c r="R6" s="98" t="s">
        <v>116</v>
      </c>
      <c r="S6" s="99"/>
      <c r="T6" s="99"/>
      <c r="U6" s="99"/>
      <c r="V6" s="100"/>
      <c r="W6" s="101" t="s">
        <v>117</v>
      </c>
      <c r="X6" s="102" t="s">
        <v>118</v>
      </c>
      <c r="Y6" s="103" t="s">
        <v>119</v>
      </c>
      <c r="Z6" s="103" t="s">
        <v>120</v>
      </c>
      <c r="AA6" s="104" t="s">
        <v>121</v>
      </c>
      <c r="AB6" s="104" t="s">
        <v>122</v>
      </c>
      <c r="AC6" s="104" t="s">
        <v>123</v>
      </c>
      <c r="AD6" s="105" t="s">
        <v>124</v>
      </c>
      <c r="AE6" s="104" t="s">
        <v>125</v>
      </c>
      <c r="AF6" s="105" t="s">
        <v>126</v>
      </c>
      <c r="AG6" s="104" t="s">
        <v>127</v>
      </c>
      <c r="AH6" s="105" t="s">
        <v>128</v>
      </c>
      <c r="AI6" s="103" t="s">
        <v>129</v>
      </c>
      <c r="AJ6" s="106" t="s">
        <v>130</v>
      </c>
      <c r="AK6" s="105" t="s">
        <v>131</v>
      </c>
      <c r="AL6" s="107" t="s">
        <v>132</v>
      </c>
      <c r="AM6" s="107"/>
      <c r="AN6" s="107"/>
      <c r="AO6" s="107"/>
      <c r="AP6" s="107"/>
      <c r="AQ6" s="107"/>
      <c r="AR6" s="107"/>
      <c r="AS6" s="107"/>
      <c r="AT6" s="107"/>
      <c r="AU6" s="107"/>
      <c r="AV6" s="108" t="s">
        <v>133</v>
      </c>
      <c r="AW6" s="108" t="s">
        <v>134</v>
      </c>
      <c r="AX6" s="108" t="s">
        <v>135</v>
      </c>
    </row>
    <row r="7" spans="2:50" ht="16.5" customHeight="1">
      <c r="B7" s="94"/>
      <c r="C7" s="94"/>
      <c r="D7" s="109"/>
      <c r="E7" s="109"/>
      <c r="F7" s="94"/>
      <c r="G7" s="94"/>
      <c r="H7" s="109"/>
      <c r="I7" s="109"/>
      <c r="J7" s="110" t="s">
        <v>136</v>
      </c>
      <c r="K7" s="111" t="s">
        <v>137</v>
      </c>
      <c r="L7" s="111" t="s">
        <v>138</v>
      </c>
      <c r="M7" s="111" t="s">
        <v>139</v>
      </c>
      <c r="N7" s="112" t="s">
        <v>140</v>
      </c>
      <c r="O7" s="112" t="s">
        <v>141</v>
      </c>
      <c r="P7" s="113"/>
      <c r="Q7" s="113"/>
      <c r="R7" s="114"/>
      <c r="S7" s="115"/>
      <c r="T7" s="115"/>
      <c r="U7" s="115"/>
      <c r="V7" s="116"/>
      <c r="W7" s="117"/>
      <c r="X7" s="118"/>
      <c r="Y7" s="119"/>
      <c r="Z7" s="119"/>
      <c r="AA7" s="104"/>
      <c r="AB7" s="104"/>
      <c r="AC7" s="104"/>
      <c r="AD7" s="105"/>
      <c r="AE7" s="104"/>
      <c r="AF7" s="105"/>
      <c r="AG7" s="104"/>
      <c r="AH7" s="105"/>
      <c r="AI7" s="119"/>
      <c r="AJ7" s="120"/>
      <c r="AK7" s="105"/>
      <c r="AL7" s="43" t="s">
        <v>142</v>
      </c>
      <c r="AM7" s="43" t="s">
        <v>142</v>
      </c>
      <c r="AN7" s="43" t="s">
        <v>142</v>
      </c>
      <c r="AO7" s="43" t="s">
        <v>142</v>
      </c>
      <c r="AP7" s="43" t="s">
        <v>142</v>
      </c>
      <c r="AQ7" s="43" t="s">
        <v>142</v>
      </c>
      <c r="AR7" s="43" t="s">
        <v>142</v>
      </c>
      <c r="AS7" s="43" t="s">
        <v>142</v>
      </c>
      <c r="AT7" s="43" t="s">
        <v>142</v>
      </c>
      <c r="AU7" s="43" t="s">
        <v>142</v>
      </c>
      <c r="AV7" s="108"/>
      <c r="AW7" s="108"/>
      <c r="AX7" s="108"/>
    </row>
    <row r="8" spans="2:50">
      <c r="B8" s="94"/>
      <c r="C8" s="94"/>
      <c r="D8" s="121"/>
      <c r="E8" s="121"/>
      <c r="F8" s="94"/>
      <c r="G8" s="94"/>
      <c r="H8" s="121"/>
      <c r="I8" s="121"/>
      <c r="J8" s="110"/>
      <c r="K8" s="111"/>
      <c r="L8" s="111"/>
      <c r="M8" s="111"/>
      <c r="N8" s="122"/>
      <c r="O8" s="122"/>
      <c r="P8" s="123"/>
      <c r="Q8" s="123"/>
      <c r="R8" s="44" t="s">
        <v>143</v>
      </c>
      <c r="S8" s="44" t="s">
        <v>144</v>
      </c>
      <c r="T8" s="44" t="s">
        <v>145</v>
      </c>
      <c r="U8" s="44" t="s">
        <v>146</v>
      </c>
      <c r="V8" s="44" t="s">
        <v>147</v>
      </c>
      <c r="W8" s="124"/>
      <c r="X8" s="125"/>
      <c r="Y8" s="126"/>
      <c r="Z8" s="126"/>
      <c r="AA8" s="104"/>
      <c r="AB8" s="104"/>
      <c r="AC8" s="104"/>
      <c r="AD8" s="105"/>
      <c r="AE8" s="104"/>
      <c r="AF8" s="105"/>
      <c r="AG8" s="104"/>
      <c r="AH8" s="105"/>
      <c r="AI8" s="126"/>
      <c r="AJ8" s="127"/>
      <c r="AK8" s="105"/>
      <c r="AL8" s="43" t="s">
        <v>148</v>
      </c>
      <c r="AM8" s="43" t="s">
        <v>1</v>
      </c>
      <c r="AN8" s="43" t="s">
        <v>15</v>
      </c>
      <c r="AO8" s="43" t="s">
        <v>16</v>
      </c>
      <c r="AP8" s="43" t="s">
        <v>17</v>
      </c>
      <c r="AQ8" s="43" t="s">
        <v>18</v>
      </c>
      <c r="AR8" s="43" t="s">
        <v>19</v>
      </c>
      <c r="AS8" s="43" t="s">
        <v>20</v>
      </c>
      <c r="AT8" s="43" t="s">
        <v>21</v>
      </c>
      <c r="AU8" s="43" t="s">
        <v>22</v>
      </c>
      <c r="AV8" s="108"/>
      <c r="AW8" s="108"/>
      <c r="AX8" s="108"/>
    </row>
    <row r="9" spans="2:50">
      <c r="B9" s="128" t="s">
        <v>149</v>
      </c>
      <c r="C9" s="129"/>
      <c r="D9" s="129"/>
      <c r="E9" s="129"/>
      <c r="F9" s="130"/>
      <c r="G9" s="128" t="s">
        <v>150</v>
      </c>
      <c r="H9" s="130"/>
      <c r="I9" s="131" t="s">
        <v>151</v>
      </c>
      <c r="J9" s="132">
        <f ca="1">SUM(K9:L9)</f>
        <v>5584.501666666667</v>
      </c>
      <c r="K9" s="132">
        <f ca="1">K11+K15+K101+K332+K486+K629+K766+K799+K832+K852+K926+K939</f>
        <v>1339.7116666666668</v>
      </c>
      <c r="L9" s="132">
        <f ca="1">L11+L15+L101+L332+L486+L629+L766+L799+L832+L852+L926+L939</f>
        <v>4244.79</v>
      </c>
      <c r="M9" s="132">
        <f ca="1">M11+M15+M101+M332+M486+M629+M766+M799+M832+M852+M926+M939</f>
        <v>59.5</v>
      </c>
      <c r="N9" s="132">
        <f ca="1">N11+N15+N101+N332+N486+N629+N766+N799+N832+N852+N926+N939</f>
        <v>1237.2100000000003</v>
      </c>
      <c r="O9" s="132">
        <f ca="1">O11+O15+O101+O332+O486+O629+O766+O799+O832+O852+O926+O939</f>
        <v>3284.4008333333336</v>
      </c>
      <c r="P9" s="133"/>
      <c r="Q9" s="134"/>
      <c r="R9" s="132"/>
      <c r="S9" s="132"/>
      <c r="T9" s="132"/>
      <c r="U9" s="132"/>
      <c r="V9" s="132"/>
      <c r="W9" s="134"/>
      <c r="X9" s="132">
        <f>X11+X15+X101+X332+X486+X629+X766+X799+X832+X852+X926+X939</f>
        <v>0</v>
      </c>
      <c r="Y9" s="134"/>
      <c r="Z9" s="134"/>
      <c r="AA9" s="134"/>
      <c r="AB9" s="132">
        <f>AB11+AB15+AB101+AB332+AB486+AB629+AB766+AB799+AB832+AB852+AB926+AB939</f>
        <v>0</v>
      </c>
      <c r="AC9" s="134"/>
      <c r="AD9" s="132">
        <f>AD11+AD15+AD101+AD332+AD486+AD629+AD766+AD799+AD832+AD852+AD926+AD939</f>
        <v>0</v>
      </c>
      <c r="AE9" s="134"/>
      <c r="AF9" s="132">
        <f>AF11+AF15+AF101+AF332+AF486+AF629+AF766+AF799+AF832+AF852+AF926+AF939</f>
        <v>0</v>
      </c>
      <c r="AG9" s="134"/>
      <c r="AH9" s="132">
        <f>AH11+AH15+AH101+AH332+AH486+AH629+AH766+AH799+AH832+AH852+AH926+AH939</f>
        <v>0</v>
      </c>
      <c r="AI9" s="134"/>
      <c r="AJ9" s="134"/>
      <c r="AK9" s="132">
        <f>AK11+AK15+AK101+AK332+AK486+AK629+AK766+AK799+AK832+AK852+AK926+AK939</f>
        <v>0</v>
      </c>
      <c r="AL9" s="132" t="s">
        <v>152</v>
      </c>
      <c r="AM9" s="132"/>
      <c r="AN9" s="132"/>
      <c r="AO9" s="132" t="s">
        <v>152</v>
      </c>
      <c r="AP9" s="132"/>
      <c r="AQ9" s="132"/>
      <c r="AR9" s="132" t="s">
        <v>152</v>
      </c>
      <c r="AS9" s="132"/>
      <c r="AT9" s="132"/>
      <c r="AU9" s="132"/>
      <c r="AV9" s="134"/>
      <c r="AW9" s="134"/>
      <c r="AX9" s="132">
        <f>AX11+AX15+AX101+AX332+AX486+AX629+AX766+AX799+AX832+AX852+AX926+AX939</f>
        <v>0</v>
      </c>
    </row>
    <row r="10" spans="2:50">
      <c r="B10" s="135"/>
      <c r="C10" s="136"/>
      <c r="D10" s="136"/>
      <c r="E10" s="136"/>
      <c r="F10" s="137"/>
      <c r="G10" s="135"/>
      <c r="H10" s="137"/>
      <c r="I10" s="131" t="s">
        <v>153</v>
      </c>
      <c r="J10" s="132">
        <f ca="1">SUM(K10:L10)</f>
        <v>325917.09999999998</v>
      </c>
      <c r="K10" s="132">
        <f ca="1">K12+K16+K102+K333+K487+K630+K767+K800+K833+K853+K927+K940</f>
        <v>80382.7</v>
      </c>
      <c r="L10" s="132">
        <f>L12+L102+L333+L487+L630+L767+L800+L833+L853+L927</f>
        <v>245534.4</v>
      </c>
      <c r="M10" s="132">
        <f>M12+M102+M333+M487+M630+M767+M800+M833+M853+M927</f>
        <v>3570</v>
      </c>
      <c r="N10" s="132">
        <f>N12+N102+N333+N487+N630+N767+N800+N833+N853+N927</f>
        <v>70278.60000000002</v>
      </c>
      <c r="O10" s="132">
        <f>O12+O102+O333+O487+O630+O767+O800+O833+O853+O927</f>
        <v>176453.01666666669</v>
      </c>
      <c r="P10" s="133"/>
      <c r="Q10" s="132"/>
      <c r="R10" s="132"/>
      <c r="S10" s="132"/>
      <c r="T10" s="132"/>
      <c r="U10" s="132"/>
      <c r="V10" s="132"/>
      <c r="W10" s="132"/>
      <c r="X10" s="132">
        <f>X12+X102+X333+X487+X630+X767+X800+X833+X853+X927</f>
        <v>0</v>
      </c>
      <c r="Y10" s="132"/>
      <c r="Z10" s="132"/>
      <c r="AA10" s="132"/>
      <c r="AB10" s="132">
        <f>AB102+AB333+AB487+AB630+AB767+AB800+AB833+AB853+AB927</f>
        <v>0</v>
      </c>
      <c r="AC10" s="132"/>
      <c r="AD10" s="132">
        <f>AD12+AD102+AD333+AD487+AD630+AD767+AD800+AD833+AD853+AD927</f>
        <v>0</v>
      </c>
      <c r="AE10" s="132"/>
      <c r="AF10" s="132">
        <f>AF12+AF102+AF333+AF487+AF630+AF767+AF800+AF833+AF853+AF927</f>
        <v>0</v>
      </c>
      <c r="AG10" s="132"/>
      <c r="AH10" s="132">
        <f>AH12+AH102+AH333+AH487+AH630+AH767+AH800+AH833+AH853+AH927</f>
        <v>0</v>
      </c>
      <c r="AI10" s="132"/>
      <c r="AJ10" s="132"/>
      <c r="AK10" s="132">
        <f>AK12+AK102+AK333+AK487+AK630+AK767+AK800+AK833+AK853+AK927</f>
        <v>0</v>
      </c>
      <c r="AL10" s="132"/>
      <c r="AM10" s="132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>
        <f>AX12+AX102+AX333+AX487+AX630+AX767+AX800+AX833+AX853+AX927</f>
        <v>0</v>
      </c>
    </row>
    <row r="11" spans="2:50">
      <c r="B11" s="138" t="s">
        <v>154</v>
      </c>
      <c r="C11" s="139"/>
      <c r="D11" s="139"/>
      <c r="E11" s="139"/>
      <c r="F11" s="140"/>
      <c r="G11" s="141"/>
      <c r="H11" s="141"/>
      <c r="I11" s="142" t="s">
        <v>151</v>
      </c>
      <c r="J11" s="143">
        <f t="shared" ref="J11:J74" si="0">SUM(K11:L11)</f>
        <v>8.3000000000000007</v>
      </c>
      <c r="K11" s="143">
        <f>K12/60</f>
        <v>8.3000000000000007</v>
      </c>
      <c r="L11" s="143">
        <f t="shared" ref="L11:M11" si="1">SUMIF($I13:$I14,"DQA",L13:L14)</f>
        <v>0</v>
      </c>
      <c r="M11" s="143">
        <f t="shared" si="1"/>
        <v>0</v>
      </c>
      <c r="N11" s="144">
        <f>SUMIF(I13:I14,"DQA",N13:N14)</f>
        <v>8.5</v>
      </c>
      <c r="O11" s="144">
        <f>SUMIF(K13:K14,"DQA",O13:O14)</f>
        <v>0</v>
      </c>
      <c r="P11" s="145"/>
      <c r="Q11" s="143"/>
      <c r="R11" s="143"/>
      <c r="S11" s="143"/>
      <c r="T11" s="143"/>
      <c r="U11" s="143"/>
      <c r="V11" s="143"/>
      <c r="W11" s="143"/>
      <c r="X11" s="143">
        <f>X12/60</f>
        <v>0</v>
      </c>
      <c r="Y11" s="143"/>
      <c r="Z11" s="143"/>
      <c r="AA11" s="143"/>
      <c r="AB11" s="143">
        <f t="shared" ref="AB11:AF11" si="2">AB12/60</f>
        <v>0</v>
      </c>
      <c r="AC11" s="143"/>
      <c r="AD11" s="143">
        <f t="shared" si="2"/>
        <v>0</v>
      </c>
      <c r="AE11" s="143"/>
      <c r="AF11" s="143">
        <f t="shared" si="2"/>
        <v>0</v>
      </c>
      <c r="AG11" s="143"/>
      <c r="AH11" s="143">
        <f>AH12/60</f>
        <v>0</v>
      </c>
      <c r="AI11" s="143"/>
      <c r="AJ11" s="143"/>
      <c r="AK11" s="143">
        <f>AK12/60</f>
        <v>0</v>
      </c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>
        <f>AX12/60</f>
        <v>0</v>
      </c>
    </row>
    <row r="12" spans="2:50">
      <c r="B12" s="146"/>
      <c r="C12" s="147"/>
      <c r="D12" s="147"/>
      <c r="E12" s="147"/>
      <c r="F12" s="148"/>
      <c r="G12" s="141"/>
      <c r="H12" s="141"/>
      <c r="I12" s="149" t="s">
        <v>153</v>
      </c>
      <c r="J12" s="143">
        <f t="shared" si="0"/>
        <v>498</v>
      </c>
      <c r="K12" s="143">
        <f>SUMIF($I13:$I14,"DQA",K13:K14)</f>
        <v>498</v>
      </c>
      <c r="L12" s="143">
        <f>SUMIF($I13:$I14,"DQA",L13:L14)</f>
        <v>0</v>
      </c>
      <c r="M12" s="143">
        <f>SUMIF($I13:$I14,"DQA",M13:M14)</f>
        <v>0</v>
      </c>
      <c r="N12" s="143">
        <f>N11*60</f>
        <v>510</v>
      </c>
      <c r="O12" s="143">
        <f t="shared" ref="O12" si="3">O11/60</f>
        <v>0</v>
      </c>
      <c r="P12" s="150"/>
      <c r="Q12" s="143"/>
      <c r="R12" s="143"/>
      <c r="S12" s="143"/>
      <c r="T12" s="143"/>
      <c r="U12" s="143"/>
      <c r="V12" s="143"/>
      <c r="W12" s="143"/>
      <c r="X12" s="143">
        <f>SUM(X13:X14)</f>
        <v>0</v>
      </c>
      <c r="Y12" s="143"/>
      <c r="Z12" s="143"/>
      <c r="AA12" s="143"/>
      <c r="AB12" s="143">
        <f t="shared" ref="AB12:AF12" si="4">SUM(AB13:AB14)</f>
        <v>0</v>
      </c>
      <c r="AC12" s="143"/>
      <c r="AD12" s="143">
        <f t="shared" si="4"/>
        <v>0</v>
      </c>
      <c r="AE12" s="143"/>
      <c r="AF12" s="143">
        <f t="shared" si="4"/>
        <v>0</v>
      </c>
      <c r="AG12" s="143"/>
      <c r="AH12" s="143">
        <f>SUM(AH13:AH14)</f>
        <v>0</v>
      </c>
      <c r="AI12" s="143"/>
      <c r="AJ12" s="143"/>
      <c r="AK12" s="143">
        <f>SUM(AK13:AK14)</f>
        <v>0</v>
      </c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>
        <f>SUM(AX13:AX14)</f>
        <v>0</v>
      </c>
    </row>
    <row r="13" spans="2:50">
      <c r="B13" s="45">
        <v>1</v>
      </c>
      <c r="C13" s="46" t="s">
        <v>155</v>
      </c>
      <c r="D13" s="47" t="s">
        <v>23</v>
      </c>
      <c r="E13" s="47" t="s">
        <v>23</v>
      </c>
      <c r="F13" s="48" t="s">
        <v>24</v>
      </c>
      <c r="G13" s="49" t="s">
        <v>156</v>
      </c>
      <c r="H13" s="151">
        <v>42814</v>
      </c>
      <c r="I13" s="50" t="s">
        <v>157</v>
      </c>
      <c r="J13" s="51">
        <f t="shared" si="0"/>
        <v>480</v>
      </c>
      <c r="K13" s="51">
        <v>480</v>
      </c>
      <c r="L13" s="51">
        <v>0</v>
      </c>
      <c r="M13" s="51"/>
      <c r="N13" s="51">
        <v>8</v>
      </c>
      <c r="O13" s="50">
        <v>0</v>
      </c>
      <c r="P13" s="52">
        <v>1</v>
      </c>
      <c r="Q13" s="53"/>
      <c r="R13" s="54" t="s">
        <v>158</v>
      </c>
      <c r="S13" s="54" t="s">
        <v>158</v>
      </c>
      <c r="T13" s="54" t="s">
        <v>158</v>
      </c>
      <c r="U13" s="54" t="s">
        <v>158</v>
      </c>
      <c r="V13" s="53" t="s">
        <v>159</v>
      </c>
      <c r="W13" s="53"/>
      <c r="X13" s="53">
        <f>SUMIF(W13,"Y",K13)</f>
        <v>0</v>
      </c>
      <c r="Y13" s="55"/>
      <c r="Z13" s="55"/>
      <c r="AA13" s="52">
        <f>(COUNTA(AL13:AU13)-COUNTIF(AL13:AU13, "X"))</f>
        <v>0</v>
      </c>
      <c r="AB13" s="53">
        <f>(COUNTA(AL13:AU13)-COUNTIF(AL13:AU13, "X"))*P13*K13</f>
        <v>0</v>
      </c>
      <c r="AC13" s="53">
        <f>COUNTIF(AL13:AU13,"A")</f>
        <v>0</v>
      </c>
      <c r="AD13" s="53">
        <f>COUNTIF(AL13:AU13,"V")*P13*M13</f>
        <v>0</v>
      </c>
      <c r="AE13" s="53">
        <f>COUNTIF(AL13:AU13,"L")</f>
        <v>0</v>
      </c>
      <c r="AF13" s="53">
        <f>COUNTIF(AL13:AU13,"L")*K13*P13</f>
        <v>0</v>
      </c>
      <c r="AG13" s="56">
        <f>IF(Q13="Y",1,0)</f>
        <v>0</v>
      </c>
      <c r="AH13" s="53">
        <f>IF(Q13="Y", AA13, 0)*K13*P13/2</f>
        <v>0</v>
      </c>
      <c r="AI13" s="55"/>
      <c r="AJ13" s="53">
        <f>COUNTIF(AL13:AU13, "V")</f>
        <v>0</v>
      </c>
      <c r="AK13" s="53">
        <f>AB13-AD13-AF13-AH13</f>
        <v>0</v>
      </c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7"/>
      <c r="AW13" s="57"/>
      <c r="AX13" s="57"/>
    </row>
    <row r="14" spans="2:50">
      <c r="B14" s="45">
        <v>2</v>
      </c>
      <c r="C14" s="46" t="s">
        <v>23</v>
      </c>
      <c r="D14" s="47" t="s">
        <v>160</v>
      </c>
      <c r="E14" s="47" t="s">
        <v>161</v>
      </c>
      <c r="F14" s="48" t="s">
        <v>162</v>
      </c>
      <c r="G14" s="49" t="s">
        <v>156</v>
      </c>
      <c r="H14" s="151">
        <v>43245</v>
      </c>
      <c r="I14" s="50" t="s">
        <v>157</v>
      </c>
      <c r="J14" s="50">
        <f t="shared" si="0"/>
        <v>18</v>
      </c>
      <c r="K14" s="50">
        <v>18</v>
      </c>
      <c r="L14" s="50">
        <v>0</v>
      </c>
      <c r="M14" s="50"/>
      <c r="N14" s="50">
        <v>0.5</v>
      </c>
      <c r="O14" s="50">
        <v>0</v>
      </c>
      <c r="P14" s="52">
        <v>1</v>
      </c>
      <c r="Q14" s="53"/>
      <c r="R14" s="54" t="s">
        <v>158</v>
      </c>
      <c r="S14" s="54" t="s">
        <v>158</v>
      </c>
      <c r="T14" s="54" t="s">
        <v>158</v>
      </c>
      <c r="U14" s="54" t="s">
        <v>158</v>
      </c>
      <c r="V14" s="53" t="s">
        <v>159</v>
      </c>
      <c r="W14" s="53"/>
      <c r="X14" s="53">
        <f>SUMIF(W14,"Y",K14)</f>
        <v>0</v>
      </c>
      <c r="Y14" s="55"/>
      <c r="Z14" s="55"/>
      <c r="AA14" s="52">
        <f>(COUNTA(AL14:AU14)-COUNTIF(AL14:AU14, "X"))</f>
        <v>0</v>
      </c>
      <c r="AB14" s="53">
        <f>(COUNTA(AL14:AU14)-COUNTIF(AL14:AU14, "X"))*P14*K14</f>
        <v>0</v>
      </c>
      <c r="AC14" s="53">
        <f>COUNTIF(AL14:AU14,"A")</f>
        <v>0</v>
      </c>
      <c r="AD14" s="53">
        <f>COUNTIF(AL14:AU14,"V")*P14*M14</f>
        <v>0</v>
      </c>
      <c r="AE14" s="53">
        <f>COUNTIF(AL14:AU14,"L")</f>
        <v>0</v>
      </c>
      <c r="AF14" s="53">
        <f>COUNTIF(AL14:AU14,"L")*K14*P14</f>
        <v>0</v>
      </c>
      <c r="AG14" s="56">
        <f>IF(Q14="Y",1,0)</f>
        <v>0</v>
      </c>
      <c r="AH14" s="53">
        <f>IF(Q14="Y", AA14, 0)*K14*P14/2</f>
        <v>0</v>
      </c>
      <c r="AI14" s="55"/>
      <c r="AJ14" s="53">
        <f>COUNTIF(AL14:AU14, "V")</f>
        <v>0</v>
      </c>
      <c r="AK14" s="53">
        <f>AB14-AD14-AF14-AH14</f>
        <v>0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  <c r="AW14" s="57"/>
      <c r="AX14" s="57"/>
    </row>
    <row r="15" spans="2:50">
      <c r="B15" s="138" t="s">
        <v>163</v>
      </c>
      <c r="C15" s="139"/>
      <c r="D15" s="139"/>
      <c r="E15" s="139"/>
      <c r="F15" s="140"/>
      <c r="G15" s="141"/>
      <c r="H15" s="141"/>
      <c r="I15" s="142" t="s">
        <v>151</v>
      </c>
      <c r="J15" s="143">
        <f t="shared" si="0"/>
        <v>107.75</v>
      </c>
      <c r="K15" s="143">
        <f>K16/60</f>
        <v>60.45</v>
      </c>
      <c r="L15" s="143">
        <f t="shared" ref="L15:M15" si="5">L16/60</f>
        <v>47.3</v>
      </c>
      <c r="M15" s="143">
        <f t="shared" si="5"/>
        <v>0</v>
      </c>
      <c r="N15" s="143">
        <f>SUMIF($I17:$I100,"DQA",N17:N100)</f>
        <v>65.900000000000034</v>
      </c>
      <c r="O15" s="143">
        <f>SUMIF($I17:$I100,"DQA",O17:O100)</f>
        <v>45.6</v>
      </c>
      <c r="P15" s="150"/>
      <c r="Q15" s="143"/>
      <c r="R15" s="143"/>
      <c r="S15" s="143"/>
      <c r="T15" s="143"/>
      <c r="U15" s="143"/>
      <c r="V15" s="143"/>
      <c r="W15" s="143"/>
      <c r="X15" s="143">
        <f>X16/60</f>
        <v>0</v>
      </c>
      <c r="Y15" s="143"/>
      <c r="Z15" s="143"/>
      <c r="AA15" s="143"/>
      <c r="AB15" s="143">
        <f t="shared" ref="AB15:AF15" si="6">AB16/60</f>
        <v>0</v>
      </c>
      <c r="AC15" s="143"/>
      <c r="AD15" s="143">
        <f t="shared" si="6"/>
        <v>0</v>
      </c>
      <c r="AE15" s="143"/>
      <c r="AF15" s="143">
        <f t="shared" si="6"/>
        <v>0</v>
      </c>
      <c r="AG15" s="143"/>
      <c r="AH15" s="143">
        <f>AH16/60</f>
        <v>0</v>
      </c>
      <c r="AI15" s="143"/>
      <c r="AJ15" s="143"/>
      <c r="AK15" s="143">
        <f>AK16/60</f>
        <v>0</v>
      </c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>
        <f>AX16/60</f>
        <v>0</v>
      </c>
    </row>
    <row r="16" spans="2:50">
      <c r="B16" s="146"/>
      <c r="C16" s="147"/>
      <c r="D16" s="147"/>
      <c r="E16" s="147"/>
      <c r="F16" s="148"/>
      <c r="G16" s="141"/>
      <c r="H16" s="141"/>
      <c r="I16" s="149" t="s">
        <v>153</v>
      </c>
      <c r="J16" s="143">
        <f t="shared" si="0"/>
        <v>6465</v>
      </c>
      <c r="K16" s="143">
        <f t="shared" ref="K16:M16" si="7">SUMIF($I17:$I100,"DQA",K17:K100)</f>
        <v>3627</v>
      </c>
      <c r="L16" s="143">
        <f t="shared" si="7"/>
        <v>2838</v>
      </c>
      <c r="M16" s="143">
        <f t="shared" si="7"/>
        <v>0</v>
      </c>
      <c r="N16" s="143">
        <f>N15*60</f>
        <v>3954.0000000000018</v>
      </c>
      <c r="O16" s="143">
        <f>O15*60</f>
        <v>2736</v>
      </c>
      <c r="P16" s="150"/>
      <c r="Q16" s="143"/>
      <c r="R16" s="143"/>
      <c r="S16" s="143"/>
      <c r="T16" s="143"/>
      <c r="U16" s="143"/>
      <c r="V16" s="143"/>
      <c r="W16" s="143"/>
      <c r="X16" s="143">
        <f>SUM(X17:X100)</f>
        <v>0</v>
      </c>
      <c r="Y16" s="143"/>
      <c r="Z16" s="143"/>
      <c r="AA16" s="143"/>
      <c r="AB16" s="143">
        <f t="shared" ref="AB16:AK16" si="8">SUM(AB17:AB100)</f>
        <v>0</v>
      </c>
      <c r="AC16" s="143"/>
      <c r="AD16" s="143">
        <f t="shared" si="8"/>
        <v>0</v>
      </c>
      <c r="AE16" s="143"/>
      <c r="AF16" s="143">
        <f t="shared" si="8"/>
        <v>0</v>
      </c>
      <c r="AG16" s="143"/>
      <c r="AH16" s="143">
        <f t="shared" si="8"/>
        <v>0</v>
      </c>
      <c r="AI16" s="143"/>
      <c r="AJ16" s="143"/>
      <c r="AK16" s="143">
        <f t="shared" si="8"/>
        <v>0</v>
      </c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>
        <f>SUM(AX17:AX100)</f>
        <v>0</v>
      </c>
    </row>
    <row r="17" spans="2:50">
      <c r="B17" s="45">
        <v>3</v>
      </c>
      <c r="C17" s="46" t="s">
        <v>163</v>
      </c>
      <c r="D17" s="47" t="s">
        <v>164</v>
      </c>
      <c r="E17" s="47" t="s">
        <v>165</v>
      </c>
      <c r="F17" s="48" t="s">
        <v>166</v>
      </c>
      <c r="G17" s="49" t="s">
        <v>156</v>
      </c>
      <c r="H17" s="151">
        <v>42272</v>
      </c>
      <c r="I17" s="50" t="s">
        <v>157</v>
      </c>
      <c r="J17" s="50">
        <f t="shared" si="0"/>
        <v>6</v>
      </c>
      <c r="K17" s="50">
        <v>6</v>
      </c>
      <c r="L17" s="50">
        <v>0</v>
      </c>
      <c r="M17" s="50"/>
      <c r="N17" s="50">
        <v>0.1</v>
      </c>
      <c r="O17" s="50">
        <v>0</v>
      </c>
      <c r="P17" s="52">
        <v>1</v>
      </c>
      <c r="Q17" s="53"/>
      <c r="R17" s="54" t="s">
        <v>158</v>
      </c>
      <c r="S17" s="54" t="s">
        <v>158</v>
      </c>
      <c r="T17" s="54" t="s">
        <v>158</v>
      </c>
      <c r="U17" s="54" t="s">
        <v>158</v>
      </c>
      <c r="V17" s="53" t="s">
        <v>167</v>
      </c>
      <c r="W17" s="53"/>
      <c r="X17" s="53">
        <f t="shared" ref="X17:X80" si="9">SUMIF(W17,"Y",K17)</f>
        <v>0</v>
      </c>
      <c r="Y17" s="55"/>
      <c r="Z17" s="55"/>
      <c r="AA17" s="52">
        <f t="shared" ref="AA17:AA80" si="10">(COUNTA(AL17:AU17)-COUNTIF(AL17:AU17, "X"))</f>
        <v>0</v>
      </c>
      <c r="AB17" s="53">
        <f t="shared" ref="AB17:AB80" si="11">(COUNTA(AL17:AU17)-COUNTIF(AL17:AU17, "X"))*P17*K17</f>
        <v>0</v>
      </c>
      <c r="AC17" s="53">
        <f t="shared" ref="AC17:AC80" si="12">COUNTIF(AL17:AU17,"A")</f>
        <v>0</v>
      </c>
      <c r="AD17" s="53">
        <f t="shared" ref="AD17:AD80" si="13">COUNTIF(AL17:AU17,"V")*P17*M17</f>
        <v>0</v>
      </c>
      <c r="AE17" s="53">
        <f t="shared" ref="AE17:AE80" si="14">COUNTIF(AL17:AU17,"L")</f>
        <v>0</v>
      </c>
      <c r="AF17" s="53">
        <f t="shared" ref="AF17:AF80" si="15">COUNTIF(AL17:AU17,"L")*K17*P17</f>
        <v>0</v>
      </c>
      <c r="AG17" s="56">
        <f t="shared" ref="AG17:AG80" si="16">IF(Q17="Y",1,0)</f>
        <v>0</v>
      </c>
      <c r="AH17" s="53">
        <f t="shared" ref="AH17:AH80" si="17">IF(Q17="Y", AA17, 0)*K17*P17/2</f>
        <v>0</v>
      </c>
      <c r="AI17" s="55"/>
      <c r="AJ17" s="53">
        <f t="shared" ref="AJ17:AJ80" si="18">COUNTIF(AL17:AU17, "V")</f>
        <v>0</v>
      </c>
      <c r="AK17" s="152">
        <f t="shared" ref="AK17:AK80" si="19">AB17-AD17-AF17-AH17</f>
        <v>0</v>
      </c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7"/>
      <c r="AW17" s="57"/>
      <c r="AX17" s="57"/>
    </row>
    <row r="18" spans="2:50">
      <c r="B18" s="45">
        <v>4</v>
      </c>
      <c r="C18" s="46" t="s">
        <v>168</v>
      </c>
      <c r="D18" s="47" t="s">
        <v>169</v>
      </c>
      <c r="E18" s="47" t="s">
        <v>170</v>
      </c>
      <c r="F18" s="48" t="s">
        <v>171</v>
      </c>
      <c r="G18" s="153" t="s">
        <v>156</v>
      </c>
      <c r="H18" s="151">
        <v>42977</v>
      </c>
      <c r="I18" s="50" t="s">
        <v>157</v>
      </c>
      <c r="J18" s="50">
        <f t="shared" si="0"/>
        <v>54</v>
      </c>
      <c r="K18" s="50">
        <v>54</v>
      </c>
      <c r="L18" s="50">
        <v>0</v>
      </c>
      <c r="M18" s="50"/>
      <c r="N18" s="50">
        <v>0.9</v>
      </c>
      <c r="O18" s="50">
        <v>0</v>
      </c>
      <c r="P18" s="52">
        <v>1</v>
      </c>
      <c r="Q18" s="53"/>
      <c r="R18" s="54" t="s">
        <v>158</v>
      </c>
      <c r="S18" s="54" t="s">
        <v>158</v>
      </c>
      <c r="T18" s="54" t="s">
        <v>158</v>
      </c>
      <c r="U18" s="54" t="s">
        <v>158</v>
      </c>
      <c r="V18" s="53" t="s">
        <v>167</v>
      </c>
      <c r="W18" s="53"/>
      <c r="X18" s="53">
        <f t="shared" si="9"/>
        <v>0</v>
      </c>
      <c r="Y18" s="55"/>
      <c r="Z18" s="55"/>
      <c r="AA18" s="52">
        <f t="shared" si="10"/>
        <v>0</v>
      </c>
      <c r="AB18" s="53">
        <f t="shared" si="11"/>
        <v>0</v>
      </c>
      <c r="AC18" s="53">
        <f t="shared" si="12"/>
        <v>0</v>
      </c>
      <c r="AD18" s="53">
        <f t="shared" si="13"/>
        <v>0</v>
      </c>
      <c r="AE18" s="53">
        <f t="shared" si="14"/>
        <v>0</v>
      </c>
      <c r="AF18" s="53">
        <f t="shared" si="15"/>
        <v>0</v>
      </c>
      <c r="AG18" s="56">
        <f t="shared" si="16"/>
        <v>0</v>
      </c>
      <c r="AH18" s="53">
        <f t="shared" si="17"/>
        <v>0</v>
      </c>
      <c r="AI18" s="55"/>
      <c r="AJ18" s="53">
        <f t="shared" si="18"/>
        <v>0</v>
      </c>
      <c r="AK18" s="53">
        <f t="shared" si="19"/>
        <v>0</v>
      </c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7"/>
      <c r="AW18" s="57"/>
      <c r="AX18" s="57"/>
    </row>
    <row r="19" spans="2:50">
      <c r="B19" s="45">
        <v>5</v>
      </c>
      <c r="C19" s="154" t="s">
        <v>168</v>
      </c>
      <c r="D19" s="154" t="s">
        <v>172</v>
      </c>
      <c r="E19" s="155" t="s">
        <v>173</v>
      </c>
      <c r="F19" s="156" t="s">
        <v>174</v>
      </c>
      <c r="G19" s="49" t="s">
        <v>156</v>
      </c>
      <c r="H19" s="151">
        <v>42992</v>
      </c>
      <c r="I19" s="50" t="s">
        <v>157</v>
      </c>
      <c r="J19" s="50">
        <f t="shared" si="0"/>
        <v>66</v>
      </c>
      <c r="K19" s="50">
        <v>66</v>
      </c>
      <c r="L19" s="50">
        <v>0</v>
      </c>
      <c r="M19" s="50"/>
      <c r="N19" s="50">
        <v>1.1000000000000001</v>
      </c>
      <c r="O19" s="50">
        <v>0</v>
      </c>
      <c r="P19" s="52">
        <v>1</v>
      </c>
      <c r="Q19" s="53"/>
      <c r="R19" s="54" t="s">
        <v>158</v>
      </c>
      <c r="S19" s="54" t="s">
        <v>158</v>
      </c>
      <c r="T19" s="54" t="s">
        <v>158</v>
      </c>
      <c r="U19" s="54" t="s">
        <v>158</v>
      </c>
      <c r="V19" s="53" t="s">
        <v>167</v>
      </c>
      <c r="W19" s="53"/>
      <c r="X19" s="53">
        <f t="shared" si="9"/>
        <v>0</v>
      </c>
      <c r="Y19" s="55"/>
      <c r="Z19" s="55"/>
      <c r="AA19" s="52">
        <f t="shared" si="10"/>
        <v>0</v>
      </c>
      <c r="AB19" s="53">
        <f t="shared" si="11"/>
        <v>0</v>
      </c>
      <c r="AC19" s="53">
        <f t="shared" si="12"/>
        <v>0</v>
      </c>
      <c r="AD19" s="53">
        <f t="shared" si="13"/>
        <v>0</v>
      </c>
      <c r="AE19" s="53">
        <f t="shared" si="14"/>
        <v>0</v>
      </c>
      <c r="AF19" s="53">
        <f t="shared" si="15"/>
        <v>0</v>
      </c>
      <c r="AG19" s="56">
        <f t="shared" si="16"/>
        <v>0</v>
      </c>
      <c r="AH19" s="53">
        <f t="shared" si="17"/>
        <v>0</v>
      </c>
      <c r="AI19" s="55"/>
      <c r="AJ19" s="53">
        <f t="shared" si="18"/>
        <v>0</v>
      </c>
      <c r="AK19" s="53">
        <f t="shared" si="19"/>
        <v>0</v>
      </c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7"/>
      <c r="AW19" s="57"/>
      <c r="AX19" s="57"/>
    </row>
    <row r="20" spans="2:50">
      <c r="B20" s="45">
        <v>6</v>
      </c>
      <c r="C20" s="154" t="s">
        <v>168</v>
      </c>
      <c r="D20" s="154" t="s">
        <v>172</v>
      </c>
      <c r="E20" s="155" t="s">
        <v>173</v>
      </c>
      <c r="F20" s="156" t="s">
        <v>175</v>
      </c>
      <c r="G20" s="49" t="s">
        <v>156</v>
      </c>
      <c r="H20" s="151">
        <v>42983</v>
      </c>
      <c r="I20" s="50" t="s">
        <v>157</v>
      </c>
      <c r="J20" s="50">
        <f t="shared" si="0"/>
        <v>246</v>
      </c>
      <c r="K20" s="50">
        <v>6</v>
      </c>
      <c r="L20" s="50">
        <v>240</v>
      </c>
      <c r="M20" s="50"/>
      <c r="N20" s="50">
        <v>0.1</v>
      </c>
      <c r="O20" s="50">
        <v>4</v>
      </c>
      <c r="P20" s="52">
        <v>1</v>
      </c>
      <c r="Q20" s="53"/>
      <c r="R20" s="54" t="s">
        <v>158</v>
      </c>
      <c r="S20" s="54" t="s">
        <v>158</v>
      </c>
      <c r="T20" s="54" t="s">
        <v>158</v>
      </c>
      <c r="U20" s="54" t="s">
        <v>158</v>
      </c>
      <c r="V20" s="53" t="s">
        <v>167</v>
      </c>
      <c r="W20" s="53"/>
      <c r="X20" s="53">
        <f t="shared" si="9"/>
        <v>0</v>
      </c>
      <c r="Y20" s="55"/>
      <c r="Z20" s="55"/>
      <c r="AA20" s="52">
        <f t="shared" si="10"/>
        <v>0</v>
      </c>
      <c r="AB20" s="53">
        <f t="shared" si="11"/>
        <v>0</v>
      </c>
      <c r="AC20" s="53">
        <f t="shared" si="12"/>
        <v>0</v>
      </c>
      <c r="AD20" s="53">
        <f t="shared" si="13"/>
        <v>0</v>
      </c>
      <c r="AE20" s="53">
        <f t="shared" si="14"/>
        <v>0</v>
      </c>
      <c r="AF20" s="53">
        <f t="shared" si="15"/>
        <v>0</v>
      </c>
      <c r="AG20" s="56">
        <f t="shared" si="16"/>
        <v>0</v>
      </c>
      <c r="AH20" s="53">
        <f t="shared" si="17"/>
        <v>0</v>
      </c>
      <c r="AI20" s="55"/>
      <c r="AJ20" s="53">
        <f t="shared" si="18"/>
        <v>0</v>
      </c>
      <c r="AK20" s="53">
        <f t="shared" si="19"/>
        <v>0</v>
      </c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7"/>
      <c r="AW20" s="57"/>
      <c r="AX20" s="57"/>
    </row>
    <row r="21" spans="2:50">
      <c r="B21" s="45">
        <v>7</v>
      </c>
      <c r="C21" s="154" t="s">
        <v>168</v>
      </c>
      <c r="D21" s="154" t="s">
        <v>172</v>
      </c>
      <c r="E21" s="155" t="s">
        <v>173</v>
      </c>
      <c r="F21" s="156" t="s">
        <v>176</v>
      </c>
      <c r="G21" s="49" t="s">
        <v>156</v>
      </c>
      <c r="H21" s="151">
        <v>42323</v>
      </c>
      <c r="I21" s="50" t="s">
        <v>157</v>
      </c>
      <c r="J21" s="50">
        <f t="shared" si="0"/>
        <v>234</v>
      </c>
      <c r="K21" s="50">
        <v>222</v>
      </c>
      <c r="L21" s="50">
        <v>12</v>
      </c>
      <c r="M21" s="50"/>
      <c r="N21" s="50">
        <v>3.7</v>
      </c>
      <c r="O21" s="50">
        <v>0.2</v>
      </c>
      <c r="P21" s="52">
        <v>1</v>
      </c>
      <c r="Q21" s="53"/>
      <c r="R21" s="54" t="s">
        <v>158</v>
      </c>
      <c r="S21" s="54" t="s">
        <v>158</v>
      </c>
      <c r="T21" s="54" t="s">
        <v>158</v>
      </c>
      <c r="U21" s="54" t="s">
        <v>158</v>
      </c>
      <c r="V21" s="53" t="s">
        <v>167</v>
      </c>
      <c r="W21" s="53"/>
      <c r="X21" s="53">
        <f t="shared" si="9"/>
        <v>0</v>
      </c>
      <c r="Y21" s="55"/>
      <c r="Z21" s="55"/>
      <c r="AA21" s="52">
        <f t="shared" si="10"/>
        <v>0</v>
      </c>
      <c r="AB21" s="53">
        <f t="shared" si="11"/>
        <v>0</v>
      </c>
      <c r="AC21" s="53">
        <f t="shared" si="12"/>
        <v>0</v>
      </c>
      <c r="AD21" s="53">
        <f t="shared" si="13"/>
        <v>0</v>
      </c>
      <c r="AE21" s="53">
        <f t="shared" si="14"/>
        <v>0</v>
      </c>
      <c r="AF21" s="53">
        <f t="shared" si="15"/>
        <v>0</v>
      </c>
      <c r="AG21" s="56">
        <f t="shared" si="16"/>
        <v>0</v>
      </c>
      <c r="AH21" s="53">
        <f t="shared" si="17"/>
        <v>0</v>
      </c>
      <c r="AI21" s="55"/>
      <c r="AJ21" s="53">
        <f t="shared" si="18"/>
        <v>0</v>
      </c>
      <c r="AK21" s="53">
        <f t="shared" si="19"/>
        <v>0</v>
      </c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7"/>
      <c r="AW21" s="57"/>
      <c r="AX21" s="57"/>
    </row>
    <row r="22" spans="2:50">
      <c r="B22" s="45">
        <v>8</v>
      </c>
      <c r="C22" s="154" t="s">
        <v>168</v>
      </c>
      <c r="D22" s="154" t="s">
        <v>172</v>
      </c>
      <c r="E22" s="155" t="s">
        <v>173</v>
      </c>
      <c r="F22" s="156" t="s">
        <v>177</v>
      </c>
      <c r="G22" s="49" t="s">
        <v>156</v>
      </c>
      <c r="H22" s="151">
        <v>42323</v>
      </c>
      <c r="I22" s="50" t="s">
        <v>157</v>
      </c>
      <c r="J22" s="50">
        <f t="shared" si="0"/>
        <v>2520</v>
      </c>
      <c r="K22" s="50">
        <v>360</v>
      </c>
      <c r="L22" s="50">
        <v>2160</v>
      </c>
      <c r="M22" s="50"/>
      <c r="N22" s="50">
        <v>6</v>
      </c>
      <c r="O22" s="50">
        <v>36</v>
      </c>
      <c r="P22" s="52">
        <v>1</v>
      </c>
      <c r="Q22" s="53"/>
      <c r="R22" s="54" t="s">
        <v>158</v>
      </c>
      <c r="S22" s="54" t="s">
        <v>158</v>
      </c>
      <c r="T22" s="54" t="s">
        <v>158</v>
      </c>
      <c r="U22" s="54" t="s">
        <v>158</v>
      </c>
      <c r="V22" s="53" t="s">
        <v>167</v>
      </c>
      <c r="W22" s="53"/>
      <c r="X22" s="53">
        <f t="shared" si="9"/>
        <v>0</v>
      </c>
      <c r="Y22" s="55"/>
      <c r="Z22" s="55"/>
      <c r="AA22" s="52">
        <f t="shared" si="10"/>
        <v>0</v>
      </c>
      <c r="AB22" s="53">
        <f t="shared" si="11"/>
        <v>0</v>
      </c>
      <c r="AC22" s="53">
        <f t="shared" si="12"/>
        <v>0</v>
      </c>
      <c r="AD22" s="53">
        <f t="shared" si="13"/>
        <v>0</v>
      </c>
      <c r="AE22" s="53">
        <f t="shared" si="14"/>
        <v>0</v>
      </c>
      <c r="AF22" s="53">
        <f t="shared" si="15"/>
        <v>0</v>
      </c>
      <c r="AG22" s="56">
        <f t="shared" si="16"/>
        <v>0</v>
      </c>
      <c r="AH22" s="53">
        <f t="shared" si="17"/>
        <v>0</v>
      </c>
      <c r="AI22" s="55"/>
      <c r="AJ22" s="53">
        <f t="shared" si="18"/>
        <v>0</v>
      </c>
      <c r="AK22" s="53">
        <f t="shared" si="19"/>
        <v>0</v>
      </c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7"/>
      <c r="AW22" s="57"/>
      <c r="AX22" s="57"/>
    </row>
    <row r="23" spans="2:50">
      <c r="B23" s="45">
        <v>9</v>
      </c>
      <c r="C23" s="154" t="s">
        <v>168</v>
      </c>
      <c r="D23" s="154" t="s">
        <v>172</v>
      </c>
      <c r="E23" s="155" t="s">
        <v>178</v>
      </c>
      <c r="F23" s="154" t="s">
        <v>179</v>
      </c>
      <c r="G23" s="49" t="s">
        <v>156</v>
      </c>
      <c r="H23" s="151">
        <v>42985</v>
      </c>
      <c r="I23" s="50" t="s">
        <v>157</v>
      </c>
      <c r="J23" s="50">
        <f t="shared" si="0"/>
        <v>24</v>
      </c>
      <c r="K23" s="50">
        <v>6</v>
      </c>
      <c r="L23" s="50">
        <v>18</v>
      </c>
      <c r="M23" s="50"/>
      <c r="N23" s="50">
        <v>0.1</v>
      </c>
      <c r="O23" s="50">
        <v>0.3</v>
      </c>
      <c r="P23" s="52">
        <v>1</v>
      </c>
      <c r="Q23" s="53"/>
      <c r="R23" s="54" t="s">
        <v>158</v>
      </c>
      <c r="S23" s="54" t="s">
        <v>158</v>
      </c>
      <c r="T23" s="54" t="s">
        <v>158</v>
      </c>
      <c r="U23" s="54" t="s">
        <v>158</v>
      </c>
      <c r="V23" s="53" t="s">
        <v>167</v>
      </c>
      <c r="W23" s="53"/>
      <c r="X23" s="53">
        <f t="shared" si="9"/>
        <v>0</v>
      </c>
      <c r="Y23" s="55"/>
      <c r="Z23" s="55"/>
      <c r="AA23" s="52">
        <f t="shared" si="10"/>
        <v>0</v>
      </c>
      <c r="AB23" s="53">
        <f t="shared" si="11"/>
        <v>0</v>
      </c>
      <c r="AC23" s="53">
        <f t="shared" si="12"/>
        <v>0</v>
      </c>
      <c r="AD23" s="53">
        <f t="shared" si="13"/>
        <v>0</v>
      </c>
      <c r="AE23" s="53">
        <f t="shared" si="14"/>
        <v>0</v>
      </c>
      <c r="AF23" s="53">
        <f t="shared" si="15"/>
        <v>0</v>
      </c>
      <c r="AG23" s="56">
        <f t="shared" si="16"/>
        <v>0</v>
      </c>
      <c r="AH23" s="53">
        <f t="shared" si="17"/>
        <v>0</v>
      </c>
      <c r="AI23" s="55"/>
      <c r="AJ23" s="53">
        <f t="shared" si="18"/>
        <v>0</v>
      </c>
      <c r="AK23" s="53">
        <f t="shared" si="19"/>
        <v>0</v>
      </c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7"/>
      <c r="AW23" s="57"/>
      <c r="AX23" s="57"/>
    </row>
    <row r="24" spans="2:50">
      <c r="B24" s="45">
        <v>10</v>
      </c>
      <c r="C24" s="154" t="s">
        <v>168</v>
      </c>
      <c r="D24" s="154" t="s">
        <v>172</v>
      </c>
      <c r="E24" s="155" t="s">
        <v>180</v>
      </c>
      <c r="F24" s="154" t="s">
        <v>181</v>
      </c>
      <c r="G24" s="49" t="s">
        <v>156</v>
      </c>
      <c r="H24" s="151">
        <v>43713</v>
      </c>
      <c r="I24" s="50" t="s">
        <v>157</v>
      </c>
      <c r="J24" s="50">
        <f t="shared" si="0"/>
        <v>24</v>
      </c>
      <c r="K24" s="50">
        <v>6</v>
      </c>
      <c r="L24" s="50">
        <v>18</v>
      </c>
      <c r="M24" s="50"/>
      <c r="N24" s="50">
        <v>0.1</v>
      </c>
      <c r="O24" s="50">
        <v>0.3</v>
      </c>
      <c r="P24" s="52">
        <v>1</v>
      </c>
      <c r="Q24" s="53"/>
      <c r="R24" s="54" t="s">
        <v>158</v>
      </c>
      <c r="S24" s="54" t="s">
        <v>158</v>
      </c>
      <c r="T24" s="54" t="s">
        <v>158</v>
      </c>
      <c r="U24" s="54" t="s">
        <v>158</v>
      </c>
      <c r="V24" s="53" t="s">
        <v>167</v>
      </c>
      <c r="W24" s="53"/>
      <c r="X24" s="53">
        <f t="shared" si="9"/>
        <v>0</v>
      </c>
      <c r="Y24" s="55"/>
      <c r="Z24" s="55"/>
      <c r="AA24" s="52">
        <f t="shared" si="10"/>
        <v>0</v>
      </c>
      <c r="AB24" s="53">
        <f t="shared" si="11"/>
        <v>0</v>
      </c>
      <c r="AC24" s="53">
        <f t="shared" si="12"/>
        <v>0</v>
      </c>
      <c r="AD24" s="53">
        <f t="shared" si="13"/>
        <v>0</v>
      </c>
      <c r="AE24" s="53">
        <f t="shared" si="14"/>
        <v>0</v>
      </c>
      <c r="AF24" s="53">
        <f t="shared" si="15"/>
        <v>0</v>
      </c>
      <c r="AG24" s="56">
        <f t="shared" si="16"/>
        <v>0</v>
      </c>
      <c r="AH24" s="53">
        <f t="shared" si="17"/>
        <v>0</v>
      </c>
      <c r="AI24" s="55"/>
      <c r="AJ24" s="53">
        <f t="shared" si="18"/>
        <v>0</v>
      </c>
      <c r="AK24" s="53">
        <f t="shared" si="19"/>
        <v>0</v>
      </c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7"/>
      <c r="AW24" s="57"/>
      <c r="AX24" s="57"/>
    </row>
    <row r="25" spans="2:50">
      <c r="B25" s="45">
        <v>11</v>
      </c>
      <c r="C25" s="154" t="s">
        <v>168</v>
      </c>
      <c r="D25" s="154" t="s">
        <v>172</v>
      </c>
      <c r="E25" s="155" t="s">
        <v>182</v>
      </c>
      <c r="F25" s="154" t="s">
        <v>183</v>
      </c>
      <c r="G25" s="49" t="s">
        <v>156</v>
      </c>
      <c r="H25" s="151">
        <v>43020</v>
      </c>
      <c r="I25" s="50" t="s">
        <v>157</v>
      </c>
      <c r="J25" s="50">
        <f t="shared" si="0"/>
        <v>24</v>
      </c>
      <c r="K25" s="50">
        <v>12</v>
      </c>
      <c r="L25" s="50">
        <v>12</v>
      </c>
      <c r="M25" s="50"/>
      <c r="N25" s="50">
        <v>0.2</v>
      </c>
      <c r="O25" s="50">
        <v>0.2</v>
      </c>
      <c r="P25" s="52">
        <v>1</v>
      </c>
      <c r="Q25" s="53"/>
      <c r="R25" s="54" t="s">
        <v>158</v>
      </c>
      <c r="S25" s="54" t="s">
        <v>158</v>
      </c>
      <c r="T25" s="54" t="s">
        <v>158</v>
      </c>
      <c r="U25" s="54" t="s">
        <v>158</v>
      </c>
      <c r="V25" s="53" t="s">
        <v>167</v>
      </c>
      <c r="W25" s="53"/>
      <c r="X25" s="53">
        <f t="shared" si="9"/>
        <v>0</v>
      </c>
      <c r="Y25" s="55"/>
      <c r="Z25" s="55"/>
      <c r="AA25" s="52">
        <f t="shared" si="10"/>
        <v>0</v>
      </c>
      <c r="AB25" s="53">
        <f t="shared" si="11"/>
        <v>0</v>
      </c>
      <c r="AC25" s="53">
        <f t="shared" si="12"/>
        <v>0</v>
      </c>
      <c r="AD25" s="53">
        <f t="shared" si="13"/>
        <v>0</v>
      </c>
      <c r="AE25" s="53">
        <f t="shared" si="14"/>
        <v>0</v>
      </c>
      <c r="AF25" s="53">
        <f t="shared" si="15"/>
        <v>0</v>
      </c>
      <c r="AG25" s="56">
        <f t="shared" si="16"/>
        <v>0</v>
      </c>
      <c r="AH25" s="53">
        <f t="shared" si="17"/>
        <v>0</v>
      </c>
      <c r="AI25" s="55"/>
      <c r="AJ25" s="53">
        <f t="shared" si="18"/>
        <v>0</v>
      </c>
      <c r="AK25" s="53">
        <f t="shared" si="19"/>
        <v>0</v>
      </c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7"/>
      <c r="AW25" s="57"/>
      <c r="AX25" s="57"/>
    </row>
    <row r="26" spans="2:50">
      <c r="B26" s="45">
        <v>12</v>
      </c>
      <c r="C26" s="154" t="s">
        <v>168</v>
      </c>
      <c r="D26" s="154" t="s">
        <v>172</v>
      </c>
      <c r="E26" s="155" t="s">
        <v>182</v>
      </c>
      <c r="F26" s="154" t="s">
        <v>184</v>
      </c>
      <c r="G26" s="49" t="s">
        <v>156</v>
      </c>
      <c r="H26" s="151">
        <v>43713</v>
      </c>
      <c r="I26" s="50" t="s">
        <v>157</v>
      </c>
      <c r="J26" s="50">
        <f t="shared" si="0"/>
        <v>60</v>
      </c>
      <c r="K26" s="50">
        <v>60</v>
      </c>
      <c r="L26" s="50">
        <v>0</v>
      </c>
      <c r="M26" s="50"/>
      <c r="N26" s="50">
        <v>1</v>
      </c>
      <c r="O26" s="50">
        <v>0</v>
      </c>
      <c r="P26" s="52">
        <v>1</v>
      </c>
      <c r="Q26" s="53"/>
      <c r="R26" s="54" t="s">
        <v>158</v>
      </c>
      <c r="S26" s="54" t="s">
        <v>158</v>
      </c>
      <c r="T26" s="54" t="s">
        <v>158</v>
      </c>
      <c r="U26" s="54" t="s">
        <v>158</v>
      </c>
      <c r="V26" s="53" t="s">
        <v>167</v>
      </c>
      <c r="W26" s="53"/>
      <c r="X26" s="53">
        <f t="shared" si="9"/>
        <v>0</v>
      </c>
      <c r="Y26" s="55"/>
      <c r="Z26" s="55"/>
      <c r="AA26" s="52">
        <f t="shared" si="10"/>
        <v>0</v>
      </c>
      <c r="AB26" s="53">
        <f t="shared" si="11"/>
        <v>0</v>
      </c>
      <c r="AC26" s="53">
        <f t="shared" si="12"/>
        <v>0</v>
      </c>
      <c r="AD26" s="53">
        <f t="shared" si="13"/>
        <v>0</v>
      </c>
      <c r="AE26" s="53">
        <f t="shared" si="14"/>
        <v>0</v>
      </c>
      <c r="AF26" s="53">
        <f t="shared" si="15"/>
        <v>0</v>
      </c>
      <c r="AG26" s="56">
        <f t="shared" si="16"/>
        <v>0</v>
      </c>
      <c r="AH26" s="53">
        <f t="shared" si="17"/>
        <v>0</v>
      </c>
      <c r="AI26" s="55"/>
      <c r="AJ26" s="53">
        <f t="shared" si="18"/>
        <v>0</v>
      </c>
      <c r="AK26" s="53">
        <f t="shared" si="19"/>
        <v>0</v>
      </c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7"/>
      <c r="AW26" s="57"/>
      <c r="AX26" s="57"/>
    </row>
    <row r="27" spans="2:50">
      <c r="B27" s="45">
        <v>13</v>
      </c>
      <c r="C27" s="154" t="s">
        <v>168</v>
      </c>
      <c r="D27" s="154" t="s">
        <v>172</v>
      </c>
      <c r="E27" s="155" t="s">
        <v>185</v>
      </c>
      <c r="F27" s="154" t="s">
        <v>186</v>
      </c>
      <c r="G27" s="153" t="s">
        <v>187</v>
      </c>
      <c r="H27" s="151">
        <v>42986</v>
      </c>
      <c r="I27" s="50" t="s">
        <v>157</v>
      </c>
      <c r="J27" s="50">
        <f t="shared" si="0"/>
        <v>156</v>
      </c>
      <c r="K27" s="50">
        <v>24</v>
      </c>
      <c r="L27" s="50">
        <v>132</v>
      </c>
      <c r="M27" s="50"/>
      <c r="N27" s="50">
        <v>0.4</v>
      </c>
      <c r="O27" s="50">
        <v>2.2000000000000002</v>
      </c>
      <c r="P27" s="52">
        <v>1</v>
      </c>
      <c r="Q27" s="53"/>
      <c r="R27" s="54" t="s">
        <v>158</v>
      </c>
      <c r="S27" s="54" t="s">
        <v>158</v>
      </c>
      <c r="T27" s="54" t="s">
        <v>158</v>
      </c>
      <c r="U27" s="54" t="s">
        <v>158</v>
      </c>
      <c r="V27" s="53" t="s">
        <v>188</v>
      </c>
      <c r="W27" s="53"/>
      <c r="X27" s="53">
        <f t="shared" si="9"/>
        <v>0</v>
      </c>
      <c r="Y27" s="55"/>
      <c r="Z27" s="55"/>
      <c r="AA27" s="52">
        <f t="shared" si="10"/>
        <v>0</v>
      </c>
      <c r="AB27" s="53">
        <f t="shared" si="11"/>
        <v>0</v>
      </c>
      <c r="AC27" s="53">
        <f t="shared" si="12"/>
        <v>0</v>
      </c>
      <c r="AD27" s="53">
        <f t="shared" si="13"/>
        <v>0</v>
      </c>
      <c r="AE27" s="53">
        <f t="shared" si="14"/>
        <v>0</v>
      </c>
      <c r="AF27" s="53">
        <f t="shared" si="15"/>
        <v>0</v>
      </c>
      <c r="AG27" s="56">
        <f t="shared" si="16"/>
        <v>0</v>
      </c>
      <c r="AH27" s="53">
        <f t="shared" si="17"/>
        <v>0</v>
      </c>
      <c r="AI27" s="55"/>
      <c r="AJ27" s="53">
        <f t="shared" si="18"/>
        <v>0</v>
      </c>
      <c r="AK27" s="53">
        <f t="shared" si="19"/>
        <v>0</v>
      </c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7"/>
      <c r="AW27" s="57"/>
      <c r="AX27" s="57"/>
    </row>
    <row r="28" spans="2:50">
      <c r="B28" s="45">
        <v>14</v>
      </c>
      <c r="C28" s="154" t="s">
        <v>168</v>
      </c>
      <c r="D28" s="154" t="s">
        <v>172</v>
      </c>
      <c r="E28" s="155" t="s">
        <v>185</v>
      </c>
      <c r="F28" s="154" t="s">
        <v>189</v>
      </c>
      <c r="G28" s="153" t="s">
        <v>190</v>
      </c>
      <c r="H28" s="151">
        <v>43712</v>
      </c>
      <c r="I28" s="50" t="s">
        <v>157</v>
      </c>
      <c r="J28" s="50">
        <f t="shared" si="0"/>
        <v>48</v>
      </c>
      <c r="K28" s="50">
        <v>30</v>
      </c>
      <c r="L28" s="50">
        <v>18</v>
      </c>
      <c r="M28" s="50"/>
      <c r="N28" s="50">
        <v>0.5</v>
      </c>
      <c r="O28" s="50">
        <v>0.3</v>
      </c>
      <c r="P28" s="52">
        <v>1</v>
      </c>
      <c r="Q28" s="53"/>
      <c r="R28" s="54" t="s">
        <v>158</v>
      </c>
      <c r="S28" s="54" t="s">
        <v>158</v>
      </c>
      <c r="T28" s="54" t="s">
        <v>158</v>
      </c>
      <c r="U28" s="54" t="s">
        <v>158</v>
      </c>
      <c r="V28" s="53" t="s">
        <v>191</v>
      </c>
      <c r="W28" s="53"/>
      <c r="X28" s="53">
        <f t="shared" si="9"/>
        <v>0</v>
      </c>
      <c r="Y28" s="55"/>
      <c r="Z28" s="55"/>
      <c r="AA28" s="52">
        <f t="shared" si="10"/>
        <v>0</v>
      </c>
      <c r="AB28" s="53">
        <f t="shared" si="11"/>
        <v>0</v>
      </c>
      <c r="AC28" s="53">
        <f t="shared" si="12"/>
        <v>0</v>
      </c>
      <c r="AD28" s="53">
        <f t="shared" si="13"/>
        <v>0</v>
      </c>
      <c r="AE28" s="53">
        <f t="shared" si="14"/>
        <v>0</v>
      </c>
      <c r="AF28" s="53">
        <f t="shared" si="15"/>
        <v>0</v>
      </c>
      <c r="AG28" s="56">
        <f t="shared" si="16"/>
        <v>0</v>
      </c>
      <c r="AH28" s="53">
        <f t="shared" si="17"/>
        <v>0</v>
      </c>
      <c r="AI28" s="55"/>
      <c r="AJ28" s="53">
        <f t="shared" si="18"/>
        <v>0</v>
      </c>
      <c r="AK28" s="53">
        <f t="shared" si="19"/>
        <v>0</v>
      </c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7"/>
      <c r="AW28" s="57"/>
      <c r="AX28" s="57"/>
    </row>
    <row r="29" spans="2:50">
      <c r="B29" s="45">
        <v>15</v>
      </c>
      <c r="C29" s="154" t="s">
        <v>168</v>
      </c>
      <c r="D29" s="154" t="s">
        <v>172</v>
      </c>
      <c r="E29" s="155" t="s">
        <v>192</v>
      </c>
      <c r="F29" s="154" t="s">
        <v>193</v>
      </c>
      <c r="G29" s="49" t="s">
        <v>156</v>
      </c>
      <c r="H29" s="151">
        <v>42291</v>
      </c>
      <c r="I29" s="50" t="s">
        <v>157</v>
      </c>
      <c r="J29" s="50">
        <f t="shared" si="0"/>
        <v>66</v>
      </c>
      <c r="K29" s="50">
        <v>6</v>
      </c>
      <c r="L29" s="50">
        <v>60</v>
      </c>
      <c r="M29" s="50"/>
      <c r="N29" s="50">
        <v>0.1</v>
      </c>
      <c r="O29" s="50">
        <v>1</v>
      </c>
      <c r="P29" s="52">
        <v>1</v>
      </c>
      <c r="Q29" s="53"/>
      <c r="R29" s="54" t="s">
        <v>158</v>
      </c>
      <c r="S29" s="54" t="s">
        <v>158</v>
      </c>
      <c r="T29" s="54" t="s">
        <v>158</v>
      </c>
      <c r="U29" s="54" t="s">
        <v>158</v>
      </c>
      <c r="V29" s="157" t="s">
        <v>194</v>
      </c>
      <c r="W29" s="53"/>
      <c r="X29" s="53">
        <f t="shared" si="9"/>
        <v>0</v>
      </c>
      <c r="Y29" s="55"/>
      <c r="Z29" s="55"/>
      <c r="AA29" s="52">
        <f t="shared" si="10"/>
        <v>0</v>
      </c>
      <c r="AB29" s="53">
        <f t="shared" si="11"/>
        <v>0</v>
      </c>
      <c r="AC29" s="53">
        <f t="shared" si="12"/>
        <v>0</v>
      </c>
      <c r="AD29" s="53">
        <f t="shared" si="13"/>
        <v>0</v>
      </c>
      <c r="AE29" s="53">
        <f t="shared" si="14"/>
        <v>0</v>
      </c>
      <c r="AF29" s="53">
        <f t="shared" si="15"/>
        <v>0</v>
      </c>
      <c r="AG29" s="56">
        <f t="shared" si="16"/>
        <v>0</v>
      </c>
      <c r="AH29" s="53">
        <f t="shared" si="17"/>
        <v>0</v>
      </c>
      <c r="AI29" s="55"/>
      <c r="AJ29" s="53">
        <f t="shared" si="18"/>
        <v>0</v>
      </c>
      <c r="AK29" s="53">
        <f t="shared" si="19"/>
        <v>0</v>
      </c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7"/>
      <c r="AW29" s="57"/>
      <c r="AX29" s="57"/>
    </row>
    <row r="30" spans="2:50">
      <c r="B30" s="45">
        <v>16</v>
      </c>
      <c r="C30" s="154" t="s">
        <v>168</v>
      </c>
      <c r="D30" s="154" t="s">
        <v>172</v>
      </c>
      <c r="E30" s="155" t="s">
        <v>192</v>
      </c>
      <c r="F30" s="154" t="s">
        <v>195</v>
      </c>
      <c r="G30" s="49" t="s">
        <v>156</v>
      </c>
      <c r="H30" s="151">
        <v>43027</v>
      </c>
      <c r="I30" s="50" t="s">
        <v>157</v>
      </c>
      <c r="J30" s="50">
        <f t="shared" si="0"/>
        <v>6</v>
      </c>
      <c r="K30" s="50">
        <v>6</v>
      </c>
      <c r="L30" s="50">
        <v>0</v>
      </c>
      <c r="M30" s="50"/>
      <c r="N30" s="50">
        <v>0.1</v>
      </c>
      <c r="O30" s="50">
        <v>0</v>
      </c>
      <c r="P30" s="52">
        <v>1</v>
      </c>
      <c r="Q30" s="53"/>
      <c r="R30" s="54" t="s">
        <v>158</v>
      </c>
      <c r="S30" s="54" t="s">
        <v>158</v>
      </c>
      <c r="T30" s="54" t="s">
        <v>158</v>
      </c>
      <c r="U30" s="54" t="s">
        <v>158</v>
      </c>
      <c r="V30" s="157" t="s">
        <v>194</v>
      </c>
      <c r="W30" s="53"/>
      <c r="X30" s="53">
        <f t="shared" si="9"/>
        <v>0</v>
      </c>
      <c r="Y30" s="55"/>
      <c r="Z30" s="55"/>
      <c r="AA30" s="52">
        <f t="shared" si="10"/>
        <v>0</v>
      </c>
      <c r="AB30" s="53">
        <f t="shared" si="11"/>
        <v>0</v>
      </c>
      <c r="AC30" s="53">
        <f t="shared" si="12"/>
        <v>0</v>
      </c>
      <c r="AD30" s="53">
        <f t="shared" si="13"/>
        <v>0</v>
      </c>
      <c r="AE30" s="53">
        <f t="shared" si="14"/>
        <v>0</v>
      </c>
      <c r="AF30" s="53">
        <f t="shared" si="15"/>
        <v>0</v>
      </c>
      <c r="AG30" s="56">
        <f t="shared" si="16"/>
        <v>0</v>
      </c>
      <c r="AH30" s="53">
        <f t="shared" si="17"/>
        <v>0</v>
      </c>
      <c r="AI30" s="55"/>
      <c r="AJ30" s="53">
        <f t="shared" si="18"/>
        <v>0</v>
      </c>
      <c r="AK30" s="53">
        <f t="shared" si="19"/>
        <v>0</v>
      </c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7"/>
      <c r="AW30" s="57"/>
      <c r="AX30" s="57"/>
    </row>
    <row r="31" spans="2:50">
      <c r="B31" s="45">
        <v>17</v>
      </c>
      <c r="C31" s="154" t="s">
        <v>168</v>
      </c>
      <c r="D31" s="154" t="s">
        <v>172</v>
      </c>
      <c r="E31" s="155" t="s">
        <v>192</v>
      </c>
      <c r="F31" s="154" t="s">
        <v>196</v>
      </c>
      <c r="G31" s="49" t="s">
        <v>156</v>
      </c>
      <c r="H31" s="151">
        <v>43789</v>
      </c>
      <c r="I31" s="50" t="s">
        <v>157</v>
      </c>
      <c r="J31" s="50">
        <f t="shared" si="0"/>
        <v>126</v>
      </c>
      <c r="K31" s="50">
        <v>126</v>
      </c>
      <c r="L31" s="50">
        <v>0</v>
      </c>
      <c r="M31" s="50"/>
      <c r="N31" s="50">
        <v>1.4</v>
      </c>
      <c r="O31" s="50">
        <v>0</v>
      </c>
      <c r="P31" s="52">
        <v>1</v>
      </c>
      <c r="Q31" s="53"/>
      <c r="R31" s="54" t="s">
        <v>158</v>
      </c>
      <c r="S31" s="54" t="s">
        <v>158</v>
      </c>
      <c r="T31" s="54" t="s">
        <v>158</v>
      </c>
      <c r="U31" s="54" t="s">
        <v>158</v>
      </c>
      <c r="V31" s="157" t="s">
        <v>194</v>
      </c>
      <c r="W31" s="53"/>
      <c r="X31" s="53">
        <f t="shared" si="9"/>
        <v>0</v>
      </c>
      <c r="Y31" s="55"/>
      <c r="Z31" s="55"/>
      <c r="AA31" s="52">
        <f t="shared" si="10"/>
        <v>0</v>
      </c>
      <c r="AB31" s="53">
        <f t="shared" si="11"/>
        <v>0</v>
      </c>
      <c r="AC31" s="53">
        <f t="shared" si="12"/>
        <v>0</v>
      </c>
      <c r="AD31" s="53">
        <f t="shared" si="13"/>
        <v>0</v>
      </c>
      <c r="AE31" s="53">
        <f t="shared" si="14"/>
        <v>0</v>
      </c>
      <c r="AF31" s="53">
        <f t="shared" si="15"/>
        <v>0</v>
      </c>
      <c r="AG31" s="56">
        <f t="shared" si="16"/>
        <v>0</v>
      </c>
      <c r="AH31" s="53">
        <f t="shared" si="17"/>
        <v>0</v>
      </c>
      <c r="AI31" s="55"/>
      <c r="AJ31" s="53">
        <f t="shared" si="18"/>
        <v>0</v>
      </c>
      <c r="AK31" s="53">
        <f t="shared" si="19"/>
        <v>0</v>
      </c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7"/>
      <c r="AW31" s="57"/>
      <c r="AX31" s="57"/>
    </row>
    <row r="32" spans="2:50">
      <c r="B32" s="45">
        <v>18</v>
      </c>
      <c r="C32" s="154" t="s">
        <v>168</v>
      </c>
      <c r="D32" s="154" t="s">
        <v>172</v>
      </c>
      <c r="E32" s="155" t="s">
        <v>192</v>
      </c>
      <c r="F32" s="154" t="s">
        <v>197</v>
      </c>
      <c r="G32" s="49" t="s">
        <v>187</v>
      </c>
      <c r="H32" s="151">
        <v>43783</v>
      </c>
      <c r="I32" s="50" t="s">
        <v>157</v>
      </c>
      <c r="J32" s="50">
        <f t="shared" si="0"/>
        <v>108</v>
      </c>
      <c r="K32" s="50">
        <v>96</v>
      </c>
      <c r="L32" s="50">
        <v>12</v>
      </c>
      <c r="M32" s="50"/>
      <c r="N32" s="50">
        <v>1.6</v>
      </c>
      <c r="O32" s="50">
        <v>0.2</v>
      </c>
      <c r="P32" s="52">
        <v>1</v>
      </c>
      <c r="Q32" s="53"/>
      <c r="R32" s="54" t="s">
        <v>158</v>
      </c>
      <c r="S32" s="54" t="s">
        <v>158</v>
      </c>
      <c r="T32" s="54" t="s">
        <v>158</v>
      </c>
      <c r="U32" s="54" t="s">
        <v>158</v>
      </c>
      <c r="V32" s="157" t="s">
        <v>194</v>
      </c>
      <c r="W32" s="53"/>
      <c r="X32" s="53">
        <f t="shared" si="9"/>
        <v>0</v>
      </c>
      <c r="Y32" s="55"/>
      <c r="Z32" s="55"/>
      <c r="AA32" s="52">
        <f t="shared" si="10"/>
        <v>0</v>
      </c>
      <c r="AB32" s="53">
        <f t="shared" si="11"/>
        <v>0</v>
      </c>
      <c r="AC32" s="53">
        <f t="shared" si="12"/>
        <v>0</v>
      </c>
      <c r="AD32" s="53">
        <f t="shared" si="13"/>
        <v>0</v>
      </c>
      <c r="AE32" s="53">
        <f t="shared" si="14"/>
        <v>0</v>
      </c>
      <c r="AF32" s="53">
        <f t="shared" si="15"/>
        <v>0</v>
      </c>
      <c r="AG32" s="56">
        <f t="shared" si="16"/>
        <v>0</v>
      </c>
      <c r="AH32" s="53">
        <f t="shared" si="17"/>
        <v>0</v>
      </c>
      <c r="AI32" s="55"/>
      <c r="AJ32" s="53">
        <f t="shared" si="18"/>
        <v>0</v>
      </c>
      <c r="AK32" s="53">
        <f t="shared" si="19"/>
        <v>0</v>
      </c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7"/>
      <c r="AW32" s="57"/>
      <c r="AX32" s="57"/>
    </row>
    <row r="33" spans="2:50">
      <c r="B33" s="45">
        <v>19</v>
      </c>
      <c r="C33" s="154" t="s">
        <v>168</v>
      </c>
      <c r="D33" s="154" t="s">
        <v>172</v>
      </c>
      <c r="E33" s="155" t="s">
        <v>192</v>
      </c>
      <c r="F33" s="154" t="s">
        <v>198</v>
      </c>
      <c r="G33" s="49" t="s">
        <v>156</v>
      </c>
      <c r="H33" s="151">
        <v>43713</v>
      </c>
      <c r="I33" s="50" t="s">
        <v>157</v>
      </c>
      <c r="J33" s="50">
        <f t="shared" si="0"/>
        <v>60</v>
      </c>
      <c r="K33" s="50">
        <v>60</v>
      </c>
      <c r="L33" s="50">
        <v>0</v>
      </c>
      <c r="M33" s="50"/>
      <c r="N33" s="50">
        <v>1</v>
      </c>
      <c r="O33" s="50">
        <v>0</v>
      </c>
      <c r="P33" s="52">
        <v>1</v>
      </c>
      <c r="Q33" s="53"/>
      <c r="R33" s="54" t="s">
        <v>158</v>
      </c>
      <c r="S33" s="54" t="s">
        <v>158</v>
      </c>
      <c r="T33" s="54" t="s">
        <v>158</v>
      </c>
      <c r="U33" s="54" t="s">
        <v>158</v>
      </c>
      <c r="V33" s="157" t="s">
        <v>194</v>
      </c>
      <c r="W33" s="53"/>
      <c r="X33" s="53">
        <f t="shared" si="9"/>
        <v>0</v>
      </c>
      <c r="Y33" s="55"/>
      <c r="Z33" s="55"/>
      <c r="AA33" s="52">
        <f t="shared" si="10"/>
        <v>0</v>
      </c>
      <c r="AB33" s="53">
        <f t="shared" si="11"/>
        <v>0</v>
      </c>
      <c r="AC33" s="53">
        <f t="shared" si="12"/>
        <v>0</v>
      </c>
      <c r="AD33" s="53">
        <f t="shared" si="13"/>
        <v>0</v>
      </c>
      <c r="AE33" s="53">
        <f t="shared" si="14"/>
        <v>0</v>
      </c>
      <c r="AF33" s="53">
        <f t="shared" si="15"/>
        <v>0</v>
      </c>
      <c r="AG33" s="56">
        <f t="shared" si="16"/>
        <v>0</v>
      </c>
      <c r="AH33" s="53">
        <f t="shared" si="17"/>
        <v>0</v>
      </c>
      <c r="AI33" s="55"/>
      <c r="AJ33" s="53">
        <f t="shared" si="18"/>
        <v>0</v>
      </c>
      <c r="AK33" s="53">
        <f t="shared" si="19"/>
        <v>0</v>
      </c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7"/>
      <c r="AW33" s="57"/>
      <c r="AX33" s="57"/>
    </row>
    <row r="34" spans="2:50">
      <c r="B34" s="45">
        <v>20</v>
      </c>
      <c r="C34" s="154" t="s">
        <v>168</v>
      </c>
      <c r="D34" s="154" t="s">
        <v>172</v>
      </c>
      <c r="E34" s="155" t="s">
        <v>192</v>
      </c>
      <c r="F34" s="154" t="s">
        <v>199</v>
      </c>
      <c r="G34" s="49" t="s">
        <v>156</v>
      </c>
      <c r="H34" s="151">
        <v>42291</v>
      </c>
      <c r="I34" s="50" t="s">
        <v>157</v>
      </c>
      <c r="J34" s="50">
        <f t="shared" si="0"/>
        <v>90</v>
      </c>
      <c r="K34" s="50">
        <v>90</v>
      </c>
      <c r="L34" s="50">
        <v>0</v>
      </c>
      <c r="M34" s="50"/>
      <c r="N34" s="50">
        <v>1.5</v>
      </c>
      <c r="O34" s="50">
        <v>0</v>
      </c>
      <c r="P34" s="52">
        <v>1</v>
      </c>
      <c r="Q34" s="53"/>
      <c r="R34" s="54" t="s">
        <v>158</v>
      </c>
      <c r="S34" s="54" t="s">
        <v>158</v>
      </c>
      <c r="T34" s="54" t="s">
        <v>158</v>
      </c>
      <c r="U34" s="54" t="s">
        <v>158</v>
      </c>
      <c r="V34" s="157" t="s">
        <v>194</v>
      </c>
      <c r="W34" s="53"/>
      <c r="X34" s="53">
        <f t="shared" si="9"/>
        <v>0</v>
      </c>
      <c r="Y34" s="55"/>
      <c r="Z34" s="55"/>
      <c r="AA34" s="52">
        <f t="shared" si="10"/>
        <v>0</v>
      </c>
      <c r="AB34" s="53">
        <f t="shared" si="11"/>
        <v>0</v>
      </c>
      <c r="AC34" s="53">
        <f t="shared" si="12"/>
        <v>0</v>
      </c>
      <c r="AD34" s="53">
        <f t="shared" si="13"/>
        <v>0</v>
      </c>
      <c r="AE34" s="53">
        <f t="shared" si="14"/>
        <v>0</v>
      </c>
      <c r="AF34" s="53">
        <f t="shared" si="15"/>
        <v>0</v>
      </c>
      <c r="AG34" s="56">
        <f t="shared" si="16"/>
        <v>0</v>
      </c>
      <c r="AH34" s="53">
        <f t="shared" si="17"/>
        <v>0</v>
      </c>
      <c r="AI34" s="55"/>
      <c r="AJ34" s="53">
        <f t="shared" si="18"/>
        <v>0</v>
      </c>
      <c r="AK34" s="53">
        <f t="shared" si="19"/>
        <v>0</v>
      </c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7"/>
      <c r="AW34" s="57"/>
      <c r="AX34" s="57"/>
    </row>
    <row r="35" spans="2:50">
      <c r="B35" s="45">
        <v>21</v>
      </c>
      <c r="C35" s="154" t="s">
        <v>168</v>
      </c>
      <c r="D35" s="154" t="s">
        <v>172</v>
      </c>
      <c r="E35" s="155" t="s">
        <v>192</v>
      </c>
      <c r="F35" s="154" t="s">
        <v>200</v>
      </c>
      <c r="G35" s="49" t="s">
        <v>156</v>
      </c>
      <c r="H35" s="151">
        <v>42985</v>
      </c>
      <c r="I35" s="50" t="s">
        <v>157</v>
      </c>
      <c r="J35" s="50">
        <f t="shared" si="0"/>
        <v>72</v>
      </c>
      <c r="K35" s="50">
        <v>72</v>
      </c>
      <c r="L35" s="50">
        <v>0</v>
      </c>
      <c r="M35" s="50"/>
      <c r="N35" s="50">
        <v>1.2</v>
      </c>
      <c r="O35" s="50">
        <v>0</v>
      </c>
      <c r="P35" s="52">
        <v>1</v>
      </c>
      <c r="Q35" s="53"/>
      <c r="R35" s="54" t="s">
        <v>158</v>
      </c>
      <c r="S35" s="54" t="s">
        <v>158</v>
      </c>
      <c r="T35" s="54" t="s">
        <v>158</v>
      </c>
      <c r="U35" s="54" t="s">
        <v>158</v>
      </c>
      <c r="V35" s="157" t="s">
        <v>194</v>
      </c>
      <c r="W35" s="53"/>
      <c r="X35" s="53">
        <f t="shared" si="9"/>
        <v>0</v>
      </c>
      <c r="Y35" s="55"/>
      <c r="Z35" s="55"/>
      <c r="AA35" s="52">
        <f t="shared" si="10"/>
        <v>0</v>
      </c>
      <c r="AB35" s="53">
        <f t="shared" si="11"/>
        <v>0</v>
      </c>
      <c r="AC35" s="53">
        <f t="shared" si="12"/>
        <v>0</v>
      </c>
      <c r="AD35" s="53">
        <f t="shared" si="13"/>
        <v>0</v>
      </c>
      <c r="AE35" s="53">
        <f t="shared" si="14"/>
        <v>0</v>
      </c>
      <c r="AF35" s="53">
        <f t="shared" si="15"/>
        <v>0</v>
      </c>
      <c r="AG35" s="56">
        <f t="shared" si="16"/>
        <v>0</v>
      </c>
      <c r="AH35" s="53">
        <f t="shared" si="17"/>
        <v>0</v>
      </c>
      <c r="AI35" s="55"/>
      <c r="AJ35" s="53">
        <f t="shared" si="18"/>
        <v>0</v>
      </c>
      <c r="AK35" s="53">
        <f t="shared" si="19"/>
        <v>0</v>
      </c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7"/>
      <c r="AW35" s="57"/>
      <c r="AX35" s="57"/>
    </row>
    <row r="36" spans="2:50">
      <c r="B36" s="45">
        <v>22</v>
      </c>
      <c r="C36" s="154" t="s">
        <v>168</v>
      </c>
      <c r="D36" s="154" t="s">
        <v>172</v>
      </c>
      <c r="E36" s="155" t="s">
        <v>201</v>
      </c>
      <c r="F36" s="154" t="s">
        <v>202</v>
      </c>
      <c r="G36" s="49" t="s">
        <v>156</v>
      </c>
      <c r="H36" s="151">
        <v>43350</v>
      </c>
      <c r="I36" s="50" t="s">
        <v>157</v>
      </c>
      <c r="J36" s="50">
        <f t="shared" si="0"/>
        <v>132</v>
      </c>
      <c r="K36" s="50">
        <v>12</v>
      </c>
      <c r="L36" s="50">
        <v>120</v>
      </c>
      <c r="M36" s="50"/>
      <c r="N36" s="50">
        <v>0.2</v>
      </c>
      <c r="O36" s="50">
        <v>0.5</v>
      </c>
      <c r="P36" s="52">
        <v>1</v>
      </c>
      <c r="Q36" s="53"/>
      <c r="R36" s="54" t="s">
        <v>158</v>
      </c>
      <c r="S36" s="54" t="s">
        <v>158</v>
      </c>
      <c r="T36" s="54" t="s">
        <v>158</v>
      </c>
      <c r="U36" s="54" t="s">
        <v>158</v>
      </c>
      <c r="V36" s="157" t="s">
        <v>203</v>
      </c>
      <c r="W36" s="53"/>
      <c r="X36" s="53">
        <f t="shared" si="9"/>
        <v>0</v>
      </c>
      <c r="Y36" s="55"/>
      <c r="Z36" s="55"/>
      <c r="AA36" s="52">
        <f t="shared" si="10"/>
        <v>0</v>
      </c>
      <c r="AB36" s="53">
        <f t="shared" si="11"/>
        <v>0</v>
      </c>
      <c r="AC36" s="53">
        <f t="shared" si="12"/>
        <v>0</v>
      </c>
      <c r="AD36" s="53">
        <f t="shared" si="13"/>
        <v>0</v>
      </c>
      <c r="AE36" s="53">
        <f t="shared" si="14"/>
        <v>0</v>
      </c>
      <c r="AF36" s="53">
        <f t="shared" si="15"/>
        <v>0</v>
      </c>
      <c r="AG36" s="56">
        <f t="shared" si="16"/>
        <v>0</v>
      </c>
      <c r="AH36" s="53">
        <f t="shared" si="17"/>
        <v>0</v>
      </c>
      <c r="AI36" s="55"/>
      <c r="AJ36" s="53">
        <f t="shared" si="18"/>
        <v>0</v>
      </c>
      <c r="AK36" s="53">
        <f t="shared" si="19"/>
        <v>0</v>
      </c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7"/>
      <c r="AW36" s="57"/>
      <c r="AX36" s="57"/>
    </row>
    <row r="37" spans="2:50">
      <c r="B37" s="45">
        <v>23</v>
      </c>
      <c r="C37" s="154" t="s">
        <v>168</v>
      </c>
      <c r="D37" s="154" t="s">
        <v>172</v>
      </c>
      <c r="E37" s="158" t="s">
        <v>204</v>
      </c>
      <c r="F37" s="156" t="s">
        <v>205</v>
      </c>
      <c r="G37" s="49" t="s">
        <v>156</v>
      </c>
      <c r="H37" s="151">
        <v>42752</v>
      </c>
      <c r="I37" s="50" t="s">
        <v>157</v>
      </c>
      <c r="J37" s="50">
        <f t="shared" si="0"/>
        <v>54</v>
      </c>
      <c r="K37" s="50">
        <v>54</v>
      </c>
      <c r="L37" s="50">
        <v>0</v>
      </c>
      <c r="M37" s="50"/>
      <c r="N37" s="50">
        <v>0.89999999999999991</v>
      </c>
      <c r="O37" s="50">
        <v>0</v>
      </c>
      <c r="P37" s="52">
        <v>1</v>
      </c>
      <c r="Q37" s="53"/>
      <c r="R37" s="54" t="s">
        <v>158</v>
      </c>
      <c r="S37" s="54" t="s">
        <v>158</v>
      </c>
      <c r="T37" s="54" t="s">
        <v>158</v>
      </c>
      <c r="U37" s="54" t="s">
        <v>158</v>
      </c>
      <c r="V37" s="53" t="s">
        <v>206</v>
      </c>
      <c r="W37" s="53"/>
      <c r="X37" s="53">
        <f t="shared" si="9"/>
        <v>0</v>
      </c>
      <c r="Y37" s="55"/>
      <c r="Z37" s="55"/>
      <c r="AA37" s="52">
        <f t="shared" si="10"/>
        <v>0</v>
      </c>
      <c r="AB37" s="53">
        <f t="shared" si="11"/>
        <v>0</v>
      </c>
      <c r="AC37" s="53">
        <f t="shared" si="12"/>
        <v>0</v>
      </c>
      <c r="AD37" s="53">
        <f t="shared" si="13"/>
        <v>0</v>
      </c>
      <c r="AE37" s="53">
        <f t="shared" si="14"/>
        <v>0</v>
      </c>
      <c r="AF37" s="53">
        <f t="shared" si="15"/>
        <v>0</v>
      </c>
      <c r="AG37" s="56">
        <f t="shared" si="16"/>
        <v>0</v>
      </c>
      <c r="AH37" s="53">
        <f t="shared" si="17"/>
        <v>0</v>
      </c>
      <c r="AI37" s="55"/>
      <c r="AJ37" s="53">
        <f t="shared" si="18"/>
        <v>0</v>
      </c>
      <c r="AK37" s="53">
        <f t="shared" si="19"/>
        <v>0</v>
      </c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7"/>
      <c r="AW37" s="57"/>
      <c r="AX37" s="57"/>
    </row>
    <row r="38" spans="2:50">
      <c r="B38" s="45">
        <v>24</v>
      </c>
      <c r="C38" s="154" t="s">
        <v>168</v>
      </c>
      <c r="D38" s="154" t="s">
        <v>172</v>
      </c>
      <c r="E38" s="158" t="s">
        <v>204</v>
      </c>
      <c r="F38" s="156" t="s">
        <v>207</v>
      </c>
      <c r="G38" s="49" t="s">
        <v>156</v>
      </c>
      <c r="H38" s="151">
        <v>43712</v>
      </c>
      <c r="I38" s="50" t="s">
        <v>157</v>
      </c>
      <c r="J38" s="50">
        <f t="shared" si="0"/>
        <v>120</v>
      </c>
      <c r="K38" s="50">
        <v>120</v>
      </c>
      <c r="L38" s="50">
        <v>0</v>
      </c>
      <c r="M38" s="50"/>
      <c r="N38" s="50">
        <v>2</v>
      </c>
      <c r="O38" s="50">
        <v>0</v>
      </c>
      <c r="P38" s="52">
        <v>1</v>
      </c>
      <c r="Q38" s="53"/>
      <c r="R38" s="54" t="s">
        <v>158</v>
      </c>
      <c r="S38" s="54" t="s">
        <v>158</v>
      </c>
      <c r="T38" s="54" t="s">
        <v>158</v>
      </c>
      <c r="U38" s="54" t="s">
        <v>158</v>
      </c>
      <c r="V38" s="53" t="s">
        <v>206</v>
      </c>
      <c r="W38" s="53"/>
      <c r="X38" s="53">
        <f t="shared" si="9"/>
        <v>0</v>
      </c>
      <c r="Y38" s="55"/>
      <c r="Z38" s="55"/>
      <c r="AA38" s="52">
        <f t="shared" si="10"/>
        <v>0</v>
      </c>
      <c r="AB38" s="53">
        <f t="shared" si="11"/>
        <v>0</v>
      </c>
      <c r="AC38" s="53">
        <f t="shared" si="12"/>
        <v>0</v>
      </c>
      <c r="AD38" s="53">
        <f t="shared" si="13"/>
        <v>0</v>
      </c>
      <c r="AE38" s="53">
        <f t="shared" si="14"/>
        <v>0</v>
      </c>
      <c r="AF38" s="53">
        <f t="shared" si="15"/>
        <v>0</v>
      </c>
      <c r="AG38" s="56">
        <f t="shared" si="16"/>
        <v>0</v>
      </c>
      <c r="AH38" s="53">
        <f t="shared" si="17"/>
        <v>0</v>
      </c>
      <c r="AI38" s="55"/>
      <c r="AJ38" s="53">
        <f t="shared" si="18"/>
        <v>0</v>
      </c>
      <c r="AK38" s="53">
        <f t="shared" si="19"/>
        <v>0</v>
      </c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7"/>
      <c r="AW38" s="57"/>
      <c r="AX38" s="57"/>
    </row>
    <row r="39" spans="2:50">
      <c r="B39" s="45">
        <v>25</v>
      </c>
      <c r="C39" s="154" t="s">
        <v>168</v>
      </c>
      <c r="D39" s="154" t="s">
        <v>172</v>
      </c>
      <c r="E39" s="158" t="s">
        <v>204</v>
      </c>
      <c r="F39" s="156" t="s">
        <v>208</v>
      </c>
      <c r="G39" s="49" t="s">
        <v>156</v>
      </c>
      <c r="H39" s="151">
        <v>42758</v>
      </c>
      <c r="I39" s="50" t="s">
        <v>157</v>
      </c>
      <c r="J39" s="50">
        <f t="shared" si="0"/>
        <v>48</v>
      </c>
      <c r="K39" s="50">
        <v>48</v>
      </c>
      <c r="L39" s="50">
        <v>0</v>
      </c>
      <c r="M39" s="50"/>
      <c r="N39" s="50">
        <v>0.8</v>
      </c>
      <c r="O39" s="50">
        <v>0</v>
      </c>
      <c r="P39" s="52">
        <v>1</v>
      </c>
      <c r="Q39" s="53"/>
      <c r="R39" s="54" t="s">
        <v>158</v>
      </c>
      <c r="S39" s="54" t="s">
        <v>158</v>
      </c>
      <c r="T39" s="54" t="s">
        <v>158</v>
      </c>
      <c r="U39" s="54" t="s">
        <v>158</v>
      </c>
      <c r="V39" s="53" t="s">
        <v>206</v>
      </c>
      <c r="W39" s="53"/>
      <c r="X39" s="53">
        <f t="shared" si="9"/>
        <v>0</v>
      </c>
      <c r="Y39" s="55"/>
      <c r="Z39" s="55"/>
      <c r="AA39" s="52">
        <f t="shared" si="10"/>
        <v>0</v>
      </c>
      <c r="AB39" s="53">
        <f t="shared" si="11"/>
        <v>0</v>
      </c>
      <c r="AC39" s="53">
        <f t="shared" si="12"/>
        <v>0</v>
      </c>
      <c r="AD39" s="53">
        <f t="shared" si="13"/>
        <v>0</v>
      </c>
      <c r="AE39" s="53">
        <f t="shared" si="14"/>
        <v>0</v>
      </c>
      <c r="AF39" s="53">
        <f t="shared" si="15"/>
        <v>0</v>
      </c>
      <c r="AG39" s="56">
        <f t="shared" si="16"/>
        <v>0</v>
      </c>
      <c r="AH39" s="53">
        <f t="shared" si="17"/>
        <v>0</v>
      </c>
      <c r="AI39" s="55"/>
      <c r="AJ39" s="53">
        <f t="shared" si="18"/>
        <v>0</v>
      </c>
      <c r="AK39" s="53">
        <f t="shared" si="19"/>
        <v>0</v>
      </c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7"/>
      <c r="AW39" s="57"/>
      <c r="AX39" s="57"/>
    </row>
    <row r="40" spans="2:50">
      <c r="B40" s="45">
        <v>26</v>
      </c>
      <c r="C40" s="154" t="s">
        <v>168</v>
      </c>
      <c r="D40" s="154" t="s">
        <v>172</v>
      </c>
      <c r="E40" s="158" t="s">
        <v>204</v>
      </c>
      <c r="F40" s="156" t="s">
        <v>209</v>
      </c>
      <c r="G40" s="49" t="s">
        <v>156</v>
      </c>
      <c r="H40" s="151">
        <v>42758</v>
      </c>
      <c r="I40" s="50" t="s">
        <v>157</v>
      </c>
      <c r="J40" s="50">
        <f t="shared" si="0"/>
        <v>54</v>
      </c>
      <c r="K40" s="50">
        <v>54</v>
      </c>
      <c r="L40" s="50">
        <v>0</v>
      </c>
      <c r="M40" s="50"/>
      <c r="N40" s="50">
        <v>0.9</v>
      </c>
      <c r="O40" s="50">
        <v>0</v>
      </c>
      <c r="P40" s="52">
        <v>1</v>
      </c>
      <c r="Q40" s="53"/>
      <c r="R40" s="54" t="s">
        <v>158</v>
      </c>
      <c r="S40" s="54" t="s">
        <v>158</v>
      </c>
      <c r="T40" s="54" t="s">
        <v>158</v>
      </c>
      <c r="U40" s="54" t="s">
        <v>158</v>
      </c>
      <c r="V40" s="53" t="s">
        <v>206</v>
      </c>
      <c r="W40" s="53"/>
      <c r="X40" s="53">
        <f t="shared" si="9"/>
        <v>0</v>
      </c>
      <c r="Y40" s="55"/>
      <c r="Z40" s="55"/>
      <c r="AA40" s="52">
        <f t="shared" si="10"/>
        <v>0</v>
      </c>
      <c r="AB40" s="53">
        <f t="shared" si="11"/>
        <v>0</v>
      </c>
      <c r="AC40" s="53">
        <f t="shared" si="12"/>
        <v>0</v>
      </c>
      <c r="AD40" s="53">
        <f t="shared" si="13"/>
        <v>0</v>
      </c>
      <c r="AE40" s="53">
        <f t="shared" si="14"/>
        <v>0</v>
      </c>
      <c r="AF40" s="53">
        <f t="shared" si="15"/>
        <v>0</v>
      </c>
      <c r="AG40" s="56">
        <f t="shared" si="16"/>
        <v>0</v>
      </c>
      <c r="AH40" s="53">
        <f t="shared" si="17"/>
        <v>0</v>
      </c>
      <c r="AI40" s="55"/>
      <c r="AJ40" s="53">
        <f t="shared" si="18"/>
        <v>0</v>
      </c>
      <c r="AK40" s="53">
        <f t="shared" si="19"/>
        <v>0</v>
      </c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7"/>
      <c r="AW40" s="57"/>
      <c r="AX40" s="57"/>
    </row>
    <row r="41" spans="2:50">
      <c r="B41" s="45">
        <v>27</v>
      </c>
      <c r="C41" s="154" t="s">
        <v>168</v>
      </c>
      <c r="D41" s="154" t="s">
        <v>172</v>
      </c>
      <c r="E41" s="158" t="s">
        <v>204</v>
      </c>
      <c r="F41" s="156" t="s">
        <v>210</v>
      </c>
      <c r="G41" s="49" t="s">
        <v>156</v>
      </c>
      <c r="H41" s="151">
        <v>42296</v>
      </c>
      <c r="I41" s="50" t="s">
        <v>157</v>
      </c>
      <c r="J41" s="50">
        <f t="shared" si="0"/>
        <v>66</v>
      </c>
      <c r="K41" s="50">
        <v>66</v>
      </c>
      <c r="L41" s="50">
        <v>0</v>
      </c>
      <c r="M41" s="50"/>
      <c r="N41" s="50">
        <v>1.1000000000000001</v>
      </c>
      <c r="O41" s="50">
        <v>0</v>
      </c>
      <c r="P41" s="52">
        <v>1</v>
      </c>
      <c r="Q41" s="53"/>
      <c r="R41" s="54" t="s">
        <v>158</v>
      </c>
      <c r="S41" s="54" t="s">
        <v>158</v>
      </c>
      <c r="T41" s="54" t="s">
        <v>158</v>
      </c>
      <c r="U41" s="54" t="s">
        <v>158</v>
      </c>
      <c r="V41" s="53" t="s">
        <v>206</v>
      </c>
      <c r="W41" s="53"/>
      <c r="X41" s="53">
        <f t="shared" si="9"/>
        <v>0</v>
      </c>
      <c r="Y41" s="55"/>
      <c r="Z41" s="55"/>
      <c r="AA41" s="52">
        <f t="shared" si="10"/>
        <v>0</v>
      </c>
      <c r="AB41" s="53">
        <f t="shared" si="11"/>
        <v>0</v>
      </c>
      <c r="AC41" s="53">
        <f t="shared" si="12"/>
        <v>0</v>
      </c>
      <c r="AD41" s="53">
        <f t="shared" si="13"/>
        <v>0</v>
      </c>
      <c r="AE41" s="53">
        <f t="shared" si="14"/>
        <v>0</v>
      </c>
      <c r="AF41" s="53">
        <f t="shared" si="15"/>
        <v>0</v>
      </c>
      <c r="AG41" s="56">
        <f t="shared" si="16"/>
        <v>0</v>
      </c>
      <c r="AH41" s="53">
        <f t="shared" si="17"/>
        <v>0</v>
      </c>
      <c r="AI41" s="55"/>
      <c r="AJ41" s="53">
        <f t="shared" si="18"/>
        <v>0</v>
      </c>
      <c r="AK41" s="53">
        <f t="shared" si="19"/>
        <v>0</v>
      </c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7"/>
      <c r="AW41" s="57"/>
      <c r="AX41" s="57"/>
    </row>
    <row r="42" spans="2:50">
      <c r="B42" s="45">
        <v>28</v>
      </c>
      <c r="C42" s="154" t="s">
        <v>168</v>
      </c>
      <c r="D42" s="154" t="s">
        <v>172</v>
      </c>
      <c r="E42" s="158" t="s">
        <v>204</v>
      </c>
      <c r="F42" s="156" t="s">
        <v>211</v>
      </c>
      <c r="G42" s="49" t="s">
        <v>156</v>
      </c>
      <c r="H42" s="151">
        <v>42296</v>
      </c>
      <c r="I42" s="50" t="s">
        <v>157</v>
      </c>
      <c r="J42" s="50">
        <f t="shared" si="0"/>
        <v>72</v>
      </c>
      <c r="K42" s="50">
        <v>36</v>
      </c>
      <c r="L42" s="50">
        <v>36</v>
      </c>
      <c r="M42" s="50"/>
      <c r="N42" s="50">
        <v>0.60000000000000009</v>
      </c>
      <c r="O42" s="50">
        <v>0.4</v>
      </c>
      <c r="P42" s="52">
        <v>1</v>
      </c>
      <c r="Q42" s="53"/>
      <c r="R42" s="54" t="s">
        <v>158</v>
      </c>
      <c r="S42" s="54" t="s">
        <v>158</v>
      </c>
      <c r="T42" s="54" t="s">
        <v>158</v>
      </c>
      <c r="U42" s="54" t="s">
        <v>158</v>
      </c>
      <c r="V42" s="53" t="s">
        <v>206</v>
      </c>
      <c r="W42" s="53"/>
      <c r="X42" s="53">
        <f t="shared" si="9"/>
        <v>0</v>
      </c>
      <c r="Y42" s="55"/>
      <c r="Z42" s="55"/>
      <c r="AA42" s="52">
        <f t="shared" si="10"/>
        <v>0</v>
      </c>
      <c r="AB42" s="53">
        <f t="shared" si="11"/>
        <v>0</v>
      </c>
      <c r="AC42" s="53">
        <f t="shared" si="12"/>
        <v>0</v>
      </c>
      <c r="AD42" s="53">
        <f t="shared" si="13"/>
        <v>0</v>
      </c>
      <c r="AE42" s="53">
        <f t="shared" si="14"/>
        <v>0</v>
      </c>
      <c r="AF42" s="53">
        <f t="shared" si="15"/>
        <v>0</v>
      </c>
      <c r="AG42" s="56">
        <f t="shared" si="16"/>
        <v>0</v>
      </c>
      <c r="AH42" s="53">
        <f t="shared" si="17"/>
        <v>0</v>
      </c>
      <c r="AI42" s="55"/>
      <c r="AJ42" s="53">
        <f t="shared" si="18"/>
        <v>0</v>
      </c>
      <c r="AK42" s="53">
        <f t="shared" si="19"/>
        <v>0</v>
      </c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7"/>
      <c r="AW42" s="57"/>
      <c r="AX42" s="57"/>
    </row>
    <row r="43" spans="2:50">
      <c r="B43" s="45">
        <v>29</v>
      </c>
      <c r="C43" s="154" t="s">
        <v>168</v>
      </c>
      <c r="D43" s="154" t="s">
        <v>172</v>
      </c>
      <c r="E43" s="158" t="s">
        <v>204</v>
      </c>
      <c r="F43" s="156" t="s">
        <v>212</v>
      </c>
      <c r="G43" s="49" t="s">
        <v>156</v>
      </c>
      <c r="H43" s="151">
        <v>42299</v>
      </c>
      <c r="I43" s="50" t="s">
        <v>157</v>
      </c>
      <c r="J43" s="50">
        <f t="shared" si="0"/>
        <v>168</v>
      </c>
      <c r="K43" s="50">
        <v>168</v>
      </c>
      <c r="L43" s="50">
        <v>0</v>
      </c>
      <c r="M43" s="50"/>
      <c r="N43" s="50">
        <v>2.8</v>
      </c>
      <c r="O43" s="50">
        <v>0</v>
      </c>
      <c r="P43" s="52">
        <v>1</v>
      </c>
      <c r="Q43" s="53"/>
      <c r="R43" s="54" t="s">
        <v>158</v>
      </c>
      <c r="S43" s="54" t="s">
        <v>158</v>
      </c>
      <c r="T43" s="54" t="s">
        <v>158</v>
      </c>
      <c r="U43" s="54" t="s">
        <v>158</v>
      </c>
      <c r="V43" s="53" t="s">
        <v>206</v>
      </c>
      <c r="W43" s="53"/>
      <c r="X43" s="53">
        <f t="shared" si="9"/>
        <v>0</v>
      </c>
      <c r="Y43" s="55"/>
      <c r="Z43" s="55"/>
      <c r="AA43" s="52">
        <f t="shared" si="10"/>
        <v>0</v>
      </c>
      <c r="AB43" s="53">
        <f t="shared" si="11"/>
        <v>0</v>
      </c>
      <c r="AC43" s="53">
        <f t="shared" si="12"/>
        <v>0</v>
      </c>
      <c r="AD43" s="53">
        <f t="shared" si="13"/>
        <v>0</v>
      </c>
      <c r="AE43" s="53">
        <f t="shared" si="14"/>
        <v>0</v>
      </c>
      <c r="AF43" s="53">
        <f t="shared" si="15"/>
        <v>0</v>
      </c>
      <c r="AG43" s="56">
        <f t="shared" si="16"/>
        <v>0</v>
      </c>
      <c r="AH43" s="53">
        <f t="shared" si="17"/>
        <v>0</v>
      </c>
      <c r="AI43" s="55"/>
      <c r="AJ43" s="53">
        <f t="shared" si="18"/>
        <v>0</v>
      </c>
      <c r="AK43" s="53">
        <f t="shared" si="19"/>
        <v>0</v>
      </c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7"/>
      <c r="AW43" s="57"/>
      <c r="AX43" s="57"/>
    </row>
    <row r="44" spans="2:50">
      <c r="B44" s="45">
        <v>30</v>
      </c>
      <c r="C44" s="154" t="s">
        <v>213</v>
      </c>
      <c r="D44" s="158" t="s">
        <v>214</v>
      </c>
      <c r="E44" s="158" t="s">
        <v>215</v>
      </c>
      <c r="F44" s="156" t="s">
        <v>216</v>
      </c>
      <c r="G44" s="49" t="s">
        <v>156</v>
      </c>
      <c r="H44" s="151">
        <v>42992</v>
      </c>
      <c r="I44" s="50" t="s">
        <v>157</v>
      </c>
      <c r="J44" s="50">
        <f t="shared" si="0"/>
        <v>6</v>
      </c>
      <c r="K44" s="50">
        <v>6</v>
      </c>
      <c r="L44" s="50">
        <v>0</v>
      </c>
      <c r="M44" s="50"/>
      <c r="N44" s="50">
        <v>0.1</v>
      </c>
      <c r="O44" s="50">
        <v>0</v>
      </c>
      <c r="P44" s="52">
        <v>1</v>
      </c>
      <c r="Q44" s="53"/>
      <c r="R44" s="54" t="s">
        <v>158</v>
      </c>
      <c r="S44" s="54" t="s">
        <v>158</v>
      </c>
      <c r="T44" s="54" t="s">
        <v>158</v>
      </c>
      <c r="U44" s="54" t="s">
        <v>158</v>
      </c>
      <c r="V44" s="53" t="s">
        <v>159</v>
      </c>
      <c r="W44" s="53"/>
      <c r="X44" s="53">
        <f t="shared" si="9"/>
        <v>0</v>
      </c>
      <c r="Y44" s="55"/>
      <c r="Z44" s="55"/>
      <c r="AA44" s="52">
        <f t="shared" si="10"/>
        <v>0</v>
      </c>
      <c r="AB44" s="53">
        <f t="shared" si="11"/>
        <v>0</v>
      </c>
      <c r="AC44" s="53">
        <f t="shared" si="12"/>
        <v>0</v>
      </c>
      <c r="AD44" s="53">
        <f t="shared" si="13"/>
        <v>0</v>
      </c>
      <c r="AE44" s="53">
        <f t="shared" si="14"/>
        <v>0</v>
      </c>
      <c r="AF44" s="53">
        <f t="shared" si="15"/>
        <v>0</v>
      </c>
      <c r="AG44" s="56">
        <f t="shared" si="16"/>
        <v>0</v>
      </c>
      <c r="AH44" s="53">
        <f t="shared" si="17"/>
        <v>0</v>
      </c>
      <c r="AI44" s="55"/>
      <c r="AJ44" s="53">
        <f t="shared" si="18"/>
        <v>0</v>
      </c>
      <c r="AK44" s="53">
        <f t="shared" si="19"/>
        <v>0</v>
      </c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7"/>
      <c r="AW44" s="57"/>
      <c r="AX44" s="57"/>
    </row>
    <row r="45" spans="2:50">
      <c r="B45" s="45">
        <v>31</v>
      </c>
      <c r="C45" s="154" t="s">
        <v>213</v>
      </c>
      <c r="D45" s="158" t="s">
        <v>214</v>
      </c>
      <c r="E45" s="158" t="s">
        <v>215</v>
      </c>
      <c r="F45" s="156" t="s">
        <v>217</v>
      </c>
      <c r="G45" s="49" t="s">
        <v>156</v>
      </c>
      <c r="H45" s="151">
        <v>43712</v>
      </c>
      <c r="I45" s="50" t="s">
        <v>157</v>
      </c>
      <c r="J45" s="50">
        <f t="shared" si="0"/>
        <v>30</v>
      </c>
      <c r="K45" s="50">
        <v>30</v>
      </c>
      <c r="L45" s="50">
        <v>0</v>
      </c>
      <c r="M45" s="50"/>
      <c r="N45" s="50">
        <v>0.4</v>
      </c>
      <c r="O45" s="50">
        <v>0</v>
      </c>
      <c r="P45" s="52">
        <v>1</v>
      </c>
      <c r="Q45" s="53"/>
      <c r="R45" s="54" t="s">
        <v>158</v>
      </c>
      <c r="S45" s="54" t="s">
        <v>158</v>
      </c>
      <c r="T45" s="54" t="s">
        <v>158</v>
      </c>
      <c r="U45" s="54" t="s">
        <v>158</v>
      </c>
      <c r="V45" s="53" t="s">
        <v>159</v>
      </c>
      <c r="W45" s="53"/>
      <c r="X45" s="53">
        <f t="shared" si="9"/>
        <v>0</v>
      </c>
      <c r="Y45" s="55"/>
      <c r="Z45" s="55"/>
      <c r="AA45" s="52">
        <f t="shared" si="10"/>
        <v>0</v>
      </c>
      <c r="AB45" s="53">
        <f t="shared" si="11"/>
        <v>0</v>
      </c>
      <c r="AC45" s="53">
        <f t="shared" si="12"/>
        <v>0</v>
      </c>
      <c r="AD45" s="53">
        <f t="shared" si="13"/>
        <v>0</v>
      </c>
      <c r="AE45" s="53">
        <f t="shared" si="14"/>
        <v>0</v>
      </c>
      <c r="AF45" s="53">
        <f t="shared" si="15"/>
        <v>0</v>
      </c>
      <c r="AG45" s="56">
        <f t="shared" si="16"/>
        <v>0</v>
      </c>
      <c r="AH45" s="53">
        <f t="shared" si="17"/>
        <v>0</v>
      </c>
      <c r="AI45" s="55"/>
      <c r="AJ45" s="53">
        <f t="shared" si="18"/>
        <v>0</v>
      </c>
      <c r="AK45" s="53">
        <f t="shared" si="19"/>
        <v>0</v>
      </c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7"/>
      <c r="AW45" s="57"/>
      <c r="AX45" s="57"/>
    </row>
    <row r="46" spans="2:50">
      <c r="B46" s="45">
        <v>32</v>
      </c>
      <c r="C46" s="154" t="s">
        <v>213</v>
      </c>
      <c r="D46" s="158" t="s">
        <v>214</v>
      </c>
      <c r="E46" s="158" t="s">
        <v>215</v>
      </c>
      <c r="F46" s="156" t="s">
        <v>218</v>
      </c>
      <c r="G46" s="49" t="s">
        <v>156</v>
      </c>
      <c r="H46" s="151">
        <v>43713</v>
      </c>
      <c r="I46" s="50" t="s">
        <v>157</v>
      </c>
      <c r="J46" s="50">
        <f t="shared" si="0"/>
        <v>18</v>
      </c>
      <c r="K46" s="50">
        <v>18</v>
      </c>
      <c r="L46" s="50">
        <v>0</v>
      </c>
      <c r="M46" s="50"/>
      <c r="N46" s="50">
        <v>0.30000000000000004</v>
      </c>
      <c r="O46" s="50">
        <v>0</v>
      </c>
      <c r="P46" s="52">
        <v>1</v>
      </c>
      <c r="Q46" s="53"/>
      <c r="R46" s="54" t="s">
        <v>158</v>
      </c>
      <c r="S46" s="54" t="s">
        <v>158</v>
      </c>
      <c r="T46" s="54" t="s">
        <v>158</v>
      </c>
      <c r="U46" s="54" t="s">
        <v>158</v>
      </c>
      <c r="V46" s="53" t="s">
        <v>219</v>
      </c>
      <c r="W46" s="53"/>
      <c r="X46" s="53">
        <f t="shared" si="9"/>
        <v>0</v>
      </c>
      <c r="Y46" s="55"/>
      <c r="Z46" s="55"/>
      <c r="AA46" s="52">
        <f t="shared" si="10"/>
        <v>0</v>
      </c>
      <c r="AB46" s="53">
        <f t="shared" si="11"/>
        <v>0</v>
      </c>
      <c r="AC46" s="53">
        <f t="shared" si="12"/>
        <v>0</v>
      </c>
      <c r="AD46" s="53">
        <f t="shared" si="13"/>
        <v>0</v>
      </c>
      <c r="AE46" s="53">
        <f t="shared" si="14"/>
        <v>0</v>
      </c>
      <c r="AF46" s="53">
        <f t="shared" si="15"/>
        <v>0</v>
      </c>
      <c r="AG46" s="56">
        <f t="shared" si="16"/>
        <v>0</v>
      </c>
      <c r="AH46" s="53">
        <f t="shared" si="17"/>
        <v>0</v>
      </c>
      <c r="AI46" s="55"/>
      <c r="AJ46" s="53">
        <f t="shared" si="18"/>
        <v>0</v>
      </c>
      <c r="AK46" s="53">
        <f t="shared" si="19"/>
        <v>0</v>
      </c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7"/>
      <c r="AW46" s="57"/>
      <c r="AX46" s="57"/>
    </row>
    <row r="47" spans="2:50">
      <c r="B47" s="45">
        <v>33</v>
      </c>
      <c r="C47" s="154" t="s">
        <v>213</v>
      </c>
      <c r="D47" s="158" t="s">
        <v>214</v>
      </c>
      <c r="E47" s="158" t="s">
        <v>215</v>
      </c>
      <c r="F47" s="156" t="s">
        <v>220</v>
      </c>
      <c r="G47" s="49" t="s">
        <v>156</v>
      </c>
      <c r="H47" s="151">
        <v>42992</v>
      </c>
      <c r="I47" s="50" t="s">
        <v>157</v>
      </c>
      <c r="J47" s="50">
        <f t="shared" si="0"/>
        <v>6</v>
      </c>
      <c r="K47" s="50">
        <v>6</v>
      </c>
      <c r="L47" s="50">
        <v>0</v>
      </c>
      <c r="M47" s="50"/>
      <c r="N47" s="50">
        <v>0.1</v>
      </c>
      <c r="O47" s="50">
        <v>0</v>
      </c>
      <c r="P47" s="52">
        <v>1</v>
      </c>
      <c r="Q47" s="53"/>
      <c r="R47" s="54" t="s">
        <v>158</v>
      </c>
      <c r="S47" s="54" t="s">
        <v>158</v>
      </c>
      <c r="T47" s="54" t="s">
        <v>158</v>
      </c>
      <c r="U47" s="54" t="s">
        <v>158</v>
      </c>
      <c r="V47" s="53" t="s">
        <v>167</v>
      </c>
      <c r="W47" s="53"/>
      <c r="X47" s="53">
        <f t="shared" si="9"/>
        <v>0</v>
      </c>
      <c r="Y47" s="55"/>
      <c r="Z47" s="55"/>
      <c r="AA47" s="52">
        <f t="shared" si="10"/>
        <v>0</v>
      </c>
      <c r="AB47" s="53">
        <f t="shared" si="11"/>
        <v>0</v>
      </c>
      <c r="AC47" s="53">
        <f t="shared" si="12"/>
        <v>0</v>
      </c>
      <c r="AD47" s="53">
        <f t="shared" si="13"/>
        <v>0</v>
      </c>
      <c r="AE47" s="53">
        <f t="shared" si="14"/>
        <v>0</v>
      </c>
      <c r="AF47" s="53">
        <f t="shared" si="15"/>
        <v>0</v>
      </c>
      <c r="AG47" s="56">
        <f t="shared" si="16"/>
        <v>0</v>
      </c>
      <c r="AH47" s="53">
        <f t="shared" si="17"/>
        <v>0</v>
      </c>
      <c r="AI47" s="55"/>
      <c r="AJ47" s="53">
        <f t="shared" si="18"/>
        <v>0</v>
      </c>
      <c r="AK47" s="53">
        <f t="shared" si="19"/>
        <v>0</v>
      </c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7"/>
      <c r="AW47" s="57"/>
      <c r="AX47" s="57"/>
    </row>
    <row r="48" spans="2:50">
      <c r="B48" s="45">
        <v>34</v>
      </c>
      <c r="C48" s="154" t="s">
        <v>213</v>
      </c>
      <c r="D48" s="158" t="s">
        <v>214</v>
      </c>
      <c r="E48" s="158" t="s">
        <v>215</v>
      </c>
      <c r="F48" s="156" t="s">
        <v>221</v>
      </c>
      <c r="G48" s="49" t="s">
        <v>156</v>
      </c>
      <c r="H48" s="151">
        <v>42992</v>
      </c>
      <c r="I48" s="50" t="s">
        <v>157</v>
      </c>
      <c r="J48" s="50">
        <f t="shared" si="0"/>
        <v>6</v>
      </c>
      <c r="K48" s="50">
        <v>6</v>
      </c>
      <c r="L48" s="50">
        <v>0</v>
      </c>
      <c r="M48" s="50"/>
      <c r="N48" s="50">
        <v>0.1</v>
      </c>
      <c r="O48" s="50">
        <v>0</v>
      </c>
      <c r="P48" s="52">
        <v>1</v>
      </c>
      <c r="Q48" s="53"/>
      <c r="R48" s="54" t="s">
        <v>158</v>
      </c>
      <c r="S48" s="54" t="s">
        <v>158</v>
      </c>
      <c r="T48" s="54" t="s">
        <v>158</v>
      </c>
      <c r="U48" s="54" t="s">
        <v>158</v>
      </c>
      <c r="V48" s="53" t="s">
        <v>222</v>
      </c>
      <c r="W48" s="53"/>
      <c r="X48" s="53">
        <f t="shared" si="9"/>
        <v>0</v>
      </c>
      <c r="Y48" s="55"/>
      <c r="Z48" s="55"/>
      <c r="AA48" s="52">
        <f t="shared" si="10"/>
        <v>0</v>
      </c>
      <c r="AB48" s="53">
        <f t="shared" si="11"/>
        <v>0</v>
      </c>
      <c r="AC48" s="53">
        <f t="shared" si="12"/>
        <v>0</v>
      </c>
      <c r="AD48" s="53">
        <f t="shared" si="13"/>
        <v>0</v>
      </c>
      <c r="AE48" s="53">
        <f t="shared" si="14"/>
        <v>0</v>
      </c>
      <c r="AF48" s="53">
        <f t="shared" si="15"/>
        <v>0</v>
      </c>
      <c r="AG48" s="56">
        <f t="shared" si="16"/>
        <v>0</v>
      </c>
      <c r="AH48" s="53">
        <f t="shared" si="17"/>
        <v>0</v>
      </c>
      <c r="AI48" s="55"/>
      <c r="AJ48" s="53">
        <f t="shared" si="18"/>
        <v>0</v>
      </c>
      <c r="AK48" s="53">
        <f t="shared" si="19"/>
        <v>0</v>
      </c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7"/>
      <c r="AW48" s="57"/>
      <c r="AX48" s="57"/>
    </row>
    <row r="49" spans="2:50">
      <c r="B49" s="45">
        <v>35</v>
      </c>
      <c r="C49" s="154" t="s">
        <v>213</v>
      </c>
      <c r="D49" s="158" t="s">
        <v>214</v>
      </c>
      <c r="E49" s="158" t="s">
        <v>215</v>
      </c>
      <c r="F49" s="159" t="s">
        <v>223</v>
      </c>
      <c r="G49" s="49" t="s">
        <v>156</v>
      </c>
      <c r="H49" s="151">
        <v>42992</v>
      </c>
      <c r="I49" s="50" t="s">
        <v>157</v>
      </c>
      <c r="J49" s="50">
        <f t="shared" si="0"/>
        <v>6</v>
      </c>
      <c r="K49" s="50">
        <v>6</v>
      </c>
      <c r="L49" s="50">
        <v>0</v>
      </c>
      <c r="M49" s="50"/>
      <c r="N49" s="50">
        <v>0.1</v>
      </c>
      <c r="O49" s="50">
        <v>0</v>
      </c>
      <c r="P49" s="52">
        <v>1</v>
      </c>
      <c r="Q49" s="53"/>
      <c r="R49" s="54" t="s">
        <v>158</v>
      </c>
      <c r="S49" s="54" t="s">
        <v>158</v>
      </c>
      <c r="T49" s="54" t="s">
        <v>158</v>
      </c>
      <c r="U49" s="54" t="s">
        <v>158</v>
      </c>
      <c r="V49" s="53" t="s">
        <v>167</v>
      </c>
      <c r="W49" s="53"/>
      <c r="X49" s="53">
        <f t="shared" si="9"/>
        <v>0</v>
      </c>
      <c r="Y49" s="55"/>
      <c r="Z49" s="55"/>
      <c r="AA49" s="52">
        <f t="shared" si="10"/>
        <v>0</v>
      </c>
      <c r="AB49" s="53">
        <f t="shared" si="11"/>
        <v>0</v>
      </c>
      <c r="AC49" s="53">
        <f t="shared" si="12"/>
        <v>0</v>
      </c>
      <c r="AD49" s="53">
        <f t="shared" si="13"/>
        <v>0</v>
      </c>
      <c r="AE49" s="53">
        <f t="shared" si="14"/>
        <v>0</v>
      </c>
      <c r="AF49" s="53">
        <f t="shared" si="15"/>
        <v>0</v>
      </c>
      <c r="AG49" s="56">
        <f t="shared" si="16"/>
        <v>0</v>
      </c>
      <c r="AH49" s="53">
        <f t="shared" si="17"/>
        <v>0</v>
      </c>
      <c r="AI49" s="55"/>
      <c r="AJ49" s="53">
        <f t="shared" si="18"/>
        <v>0</v>
      </c>
      <c r="AK49" s="53">
        <f t="shared" si="19"/>
        <v>0</v>
      </c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7"/>
      <c r="AW49" s="57"/>
      <c r="AX49" s="57"/>
    </row>
    <row r="50" spans="2:50">
      <c r="B50" s="45">
        <v>36</v>
      </c>
      <c r="C50" s="154" t="s">
        <v>213</v>
      </c>
      <c r="D50" s="158" t="s">
        <v>214</v>
      </c>
      <c r="E50" s="158" t="s">
        <v>215</v>
      </c>
      <c r="F50" s="156" t="s">
        <v>224</v>
      </c>
      <c r="G50" s="49" t="s">
        <v>156</v>
      </c>
      <c r="H50" s="151">
        <v>42992</v>
      </c>
      <c r="I50" s="50" t="s">
        <v>157</v>
      </c>
      <c r="J50" s="50">
        <f t="shared" si="0"/>
        <v>6</v>
      </c>
      <c r="K50" s="50">
        <v>6</v>
      </c>
      <c r="L50" s="50">
        <v>0</v>
      </c>
      <c r="M50" s="50"/>
      <c r="N50" s="50">
        <v>0.1</v>
      </c>
      <c r="O50" s="50">
        <v>0</v>
      </c>
      <c r="P50" s="52">
        <v>1</v>
      </c>
      <c r="Q50" s="53"/>
      <c r="R50" s="54" t="s">
        <v>158</v>
      </c>
      <c r="S50" s="54" t="s">
        <v>158</v>
      </c>
      <c r="T50" s="54" t="s">
        <v>158</v>
      </c>
      <c r="U50" s="54" t="s">
        <v>158</v>
      </c>
      <c r="V50" s="53" t="s">
        <v>167</v>
      </c>
      <c r="W50" s="53"/>
      <c r="X50" s="53">
        <f t="shared" si="9"/>
        <v>0</v>
      </c>
      <c r="Y50" s="55"/>
      <c r="Z50" s="55"/>
      <c r="AA50" s="52">
        <f t="shared" si="10"/>
        <v>0</v>
      </c>
      <c r="AB50" s="53">
        <f t="shared" si="11"/>
        <v>0</v>
      </c>
      <c r="AC50" s="53">
        <f t="shared" si="12"/>
        <v>0</v>
      </c>
      <c r="AD50" s="53">
        <f t="shared" si="13"/>
        <v>0</v>
      </c>
      <c r="AE50" s="53">
        <f t="shared" si="14"/>
        <v>0</v>
      </c>
      <c r="AF50" s="53">
        <f t="shared" si="15"/>
        <v>0</v>
      </c>
      <c r="AG50" s="56">
        <f t="shared" si="16"/>
        <v>0</v>
      </c>
      <c r="AH50" s="53">
        <f t="shared" si="17"/>
        <v>0</v>
      </c>
      <c r="AI50" s="55"/>
      <c r="AJ50" s="53">
        <f t="shared" si="18"/>
        <v>0</v>
      </c>
      <c r="AK50" s="53">
        <f t="shared" si="19"/>
        <v>0</v>
      </c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7"/>
      <c r="AW50" s="57"/>
      <c r="AX50" s="57"/>
    </row>
    <row r="51" spans="2:50">
      <c r="B51" s="45">
        <v>37</v>
      </c>
      <c r="C51" s="154" t="s">
        <v>213</v>
      </c>
      <c r="D51" s="158" t="s">
        <v>214</v>
      </c>
      <c r="E51" s="158" t="s">
        <v>215</v>
      </c>
      <c r="F51" s="156" t="s">
        <v>225</v>
      </c>
      <c r="G51" s="49" t="s">
        <v>156</v>
      </c>
      <c r="H51" s="151">
        <v>42992</v>
      </c>
      <c r="I51" s="50" t="s">
        <v>157</v>
      </c>
      <c r="J51" s="50">
        <f t="shared" si="0"/>
        <v>6</v>
      </c>
      <c r="K51" s="50">
        <v>6</v>
      </c>
      <c r="L51" s="50">
        <v>0</v>
      </c>
      <c r="M51" s="50"/>
      <c r="N51" s="50">
        <v>0.1</v>
      </c>
      <c r="O51" s="50">
        <v>0</v>
      </c>
      <c r="P51" s="52">
        <v>1</v>
      </c>
      <c r="Q51" s="53"/>
      <c r="R51" s="54" t="s">
        <v>158</v>
      </c>
      <c r="S51" s="54" t="s">
        <v>158</v>
      </c>
      <c r="T51" s="54" t="s">
        <v>158</v>
      </c>
      <c r="U51" s="54" t="s">
        <v>158</v>
      </c>
      <c r="V51" s="53" t="s">
        <v>167</v>
      </c>
      <c r="W51" s="53"/>
      <c r="X51" s="53">
        <f t="shared" si="9"/>
        <v>0</v>
      </c>
      <c r="Y51" s="55"/>
      <c r="Z51" s="55"/>
      <c r="AA51" s="52">
        <f t="shared" si="10"/>
        <v>0</v>
      </c>
      <c r="AB51" s="53">
        <f t="shared" si="11"/>
        <v>0</v>
      </c>
      <c r="AC51" s="53">
        <f t="shared" si="12"/>
        <v>0</v>
      </c>
      <c r="AD51" s="53">
        <f t="shared" si="13"/>
        <v>0</v>
      </c>
      <c r="AE51" s="53">
        <f t="shared" si="14"/>
        <v>0</v>
      </c>
      <c r="AF51" s="53">
        <f t="shared" si="15"/>
        <v>0</v>
      </c>
      <c r="AG51" s="56">
        <f t="shared" si="16"/>
        <v>0</v>
      </c>
      <c r="AH51" s="53">
        <f t="shared" si="17"/>
        <v>0</v>
      </c>
      <c r="AI51" s="55"/>
      <c r="AJ51" s="53">
        <f t="shared" si="18"/>
        <v>0</v>
      </c>
      <c r="AK51" s="53">
        <f t="shared" si="19"/>
        <v>0</v>
      </c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7"/>
      <c r="AW51" s="57"/>
      <c r="AX51" s="57"/>
    </row>
    <row r="52" spans="2:50">
      <c r="B52" s="45">
        <v>38</v>
      </c>
      <c r="C52" s="154" t="s">
        <v>213</v>
      </c>
      <c r="D52" s="158" t="s">
        <v>214</v>
      </c>
      <c r="E52" s="158" t="s">
        <v>215</v>
      </c>
      <c r="F52" s="156" t="s">
        <v>226</v>
      </c>
      <c r="G52" s="49" t="s">
        <v>156</v>
      </c>
      <c r="H52" s="151">
        <v>42992</v>
      </c>
      <c r="I52" s="50" t="s">
        <v>157</v>
      </c>
      <c r="J52" s="50">
        <f t="shared" si="0"/>
        <v>6</v>
      </c>
      <c r="K52" s="50">
        <v>6</v>
      </c>
      <c r="L52" s="50">
        <v>0</v>
      </c>
      <c r="M52" s="50"/>
      <c r="N52" s="50">
        <v>0.1</v>
      </c>
      <c r="O52" s="50">
        <v>0</v>
      </c>
      <c r="P52" s="52">
        <v>1</v>
      </c>
      <c r="Q52" s="53"/>
      <c r="R52" s="54" t="s">
        <v>158</v>
      </c>
      <c r="S52" s="54" t="s">
        <v>158</v>
      </c>
      <c r="T52" s="54" t="s">
        <v>158</v>
      </c>
      <c r="U52" s="54" t="s">
        <v>158</v>
      </c>
      <c r="V52" s="53" t="s">
        <v>167</v>
      </c>
      <c r="W52" s="53"/>
      <c r="X52" s="53">
        <f t="shared" si="9"/>
        <v>0</v>
      </c>
      <c r="Y52" s="55"/>
      <c r="Z52" s="55"/>
      <c r="AA52" s="52">
        <f t="shared" si="10"/>
        <v>0</v>
      </c>
      <c r="AB52" s="53">
        <f t="shared" si="11"/>
        <v>0</v>
      </c>
      <c r="AC52" s="53">
        <f t="shared" si="12"/>
        <v>0</v>
      </c>
      <c r="AD52" s="53">
        <f t="shared" si="13"/>
        <v>0</v>
      </c>
      <c r="AE52" s="53">
        <f t="shared" si="14"/>
        <v>0</v>
      </c>
      <c r="AF52" s="53">
        <f t="shared" si="15"/>
        <v>0</v>
      </c>
      <c r="AG52" s="56">
        <f t="shared" si="16"/>
        <v>0</v>
      </c>
      <c r="AH52" s="53">
        <f t="shared" si="17"/>
        <v>0</v>
      </c>
      <c r="AI52" s="55"/>
      <c r="AJ52" s="53">
        <f t="shared" si="18"/>
        <v>0</v>
      </c>
      <c r="AK52" s="53">
        <f t="shared" si="19"/>
        <v>0</v>
      </c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7"/>
      <c r="AW52" s="57"/>
      <c r="AX52" s="57"/>
    </row>
    <row r="53" spans="2:50">
      <c r="B53" s="45">
        <v>39</v>
      </c>
      <c r="C53" s="154" t="s">
        <v>213</v>
      </c>
      <c r="D53" s="158" t="s">
        <v>214</v>
      </c>
      <c r="E53" s="158" t="s">
        <v>215</v>
      </c>
      <c r="F53" s="156" t="s">
        <v>227</v>
      </c>
      <c r="G53" s="49" t="s">
        <v>156</v>
      </c>
      <c r="H53" s="151">
        <v>42992</v>
      </c>
      <c r="I53" s="50" t="s">
        <v>157</v>
      </c>
      <c r="J53" s="50">
        <f t="shared" si="0"/>
        <v>12</v>
      </c>
      <c r="K53" s="50">
        <v>12</v>
      </c>
      <c r="L53" s="50">
        <v>0</v>
      </c>
      <c r="M53" s="50"/>
      <c r="N53" s="50">
        <v>0.2</v>
      </c>
      <c r="O53" s="50">
        <v>0</v>
      </c>
      <c r="P53" s="52">
        <v>1</v>
      </c>
      <c r="Q53" s="53"/>
      <c r="R53" s="54" t="s">
        <v>158</v>
      </c>
      <c r="S53" s="54" t="s">
        <v>158</v>
      </c>
      <c r="T53" s="54" t="s">
        <v>158</v>
      </c>
      <c r="U53" s="54" t="s">
        <v>158</v>
      </c>
      <c r="V53" s="53" t="s">
        <v>167</v>
      </c>
      <c r="W53" s="53"/>
      <c r="X53" s="53">
        <f t="shared" si="9"/>
        <v>0</v>
      </c>
      <c r="Y53" s="55"/>
      <c r="Z53" s="55"/>
      <c r="AA53" s="52">
        <f t="shared" si="10"/>
        <v>0</v>
      </c>
      <c r="AB53" s="53">
        <f t="shared" si="11"/>
        <v>0</v>
      </c>
      <c r="AC53" s="53">
        <f t="shared" si="12"/>
        <v>0</v>
      </c>
      <c r="AD53" s="53">
        <f t="shared" si="13"/>
        <v>0</v>
      </c>
      <c r="AE53" s="53">
        <f t="shared" si="14"/>
        <v>0</v>
      </c>
      <c r="AF53" s="53">
        <f t="shared" si="15"/>
        <v>0</v>
      </c>
      <c r="AG53" s="56">
        <f t="shared" si="16"/>
        <v>0</v>
      </c>
      <c r="AH53" s="53">
        <f t="shared" si="17"/>
        <v>0</v>
      </c>
      <c r="AI53" s="55"/>
      <c r="AJ53" s="53">
        <f t="shared" si="18"/>
        <v>0</v>
      </c>
      <c r="AK53" s="53">
        <f t="shared" si="19"/>
        <v>0</v>
      </c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7"/>
      <c r="AW53" s="57"/>
      <c r="AX53" s="57"/>
    </row>
    <row r="54" spans="2:50">
      <c r="B54" s="45">
        <v>40</v>
      </c>
      <c r="C54" s="154" t="s">
        <v>213</v>
      </c>
      <c r="D54" s="158" t="s">
        <v>214</v>
      </c>
      <c r="E54" s="158" t="s">
        <v>215</v>
      </c>
      <c r="F54" s="156" t="s">
        <v>228</v>
      </c>
      <c r="G54" s="49" t="s">
        <v>156</v>
      </c>
      <c r="H54" s="151">
        <v>43713</v>
      </c>
      <c r="I54" s="50" t="s">
        <v>157</v>
      </c>
      <c r="J54" s="50">
        <f t="shared" si="0"/>
        <v>30</v>
      </c>
      <c r="K54" s="50">
        <v>30</v>
      </c>
      <c r="L54" s="50">
        <v>0</v>
      </c>
      <c r="M54" s="50"/>
      <c r="N54" s="50">
        <v>0.5</v>
      </c>
      <c r="O54" s="50">
        <v>0</v>
      </c>
      <c r="P54" s="52">
        <v>1</v>
      </c>
      <c r="Q54" s="53"/>
      <c r="R54" s="54" t="s">
        <v>158</v>
      </c>
      <c r="S54" s="54" t="s">
        <v>158</v>
      </c>
      <c r="T54" s="54" t="s">
        <v>158</v>
      </c>
      <c r="U54" s="54" t="s">
        <v>158</v>
      </c>
      <c r="V54" s="53" t="s">
        <v>167</v>
      </c>
      <c r="W54" s="53"/>
      <c r="X54" s="53">
        <f t="shared" si="9"/>
        <v>0</v>
      </c>
      <c r="Y54" s="55"/>
      <c r="Z54" s="55"/>
      <c r="AA54" s="52">
        <f t="shared" si="10"/>
        <v>0</v>
      </c>
      <c r="AB54" s="53">
        <f t="shared" si="11"/>
        <v>0</v>
      </c>
      <c r="AC54" s="53">
        <f t="shared" si="12"/>
        <v>0</v>
      </c>
      <c r="AD54" s="53">
        <f t="shared" si="13"/>
        <v>0</v>
      </c>
      <c r="AE54" s="53">
        <f t="shared" si="14"/>
        <v>0</v>
      </c>
      <c r="AF54" s="53">
        <f t="shared" si="15"/>
        <v>0</v>
      </c>
      <c r="AG54" s="56">
        <f t="shared" si="16"/>
        <v>0</v>
      </c>
      <c r="AH54" s="53">
        <f t="shared" si="17"/>
        <v>0</v>
      </c>
      <c r="AI54" s="55"/>
      <c r="AJ54" s="53">
        <f t="shared" si="18"/>
        <v>0</v>
      </c>
      <c r="AK54" s="53">
        <f t="shared" si="19"/>
        <v>0</v>
      </c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7"/>
      <c r="AW54" s="57"/>
      <c r="AX54" s="57"/>
    </row>
    <row r="55" spans="2:50">
      <c r="B55" s="45">
        <v>41</v>
      </c>
      <c r="C55" s="154" t="s">
        <v>168</v>
      </c>
      <c r="D55" s="159" t="s">
        <v>229</v>
      </c>
      <c r="E55" s="158" t="s">
        <v>230</v>
      </c>
      <c r="F55" s="159" t="s">
        <v>231</v>
      </c>
      <c r="G55" s="49" t="s">
        <v>156</v>
      </c>
      <c r="H55" s="151">
        <v>43712</v>
      </c>
      <c r="I55" s="50" t="s">
        <v>157</v>
      </c>
      <c r="J55" s="50">
        <f t="shared" si="0"/>
        <v>324</v>
      </c>
      <c r="K55" s="50">
        <v>324</v>
      </c>
      <c r="L55" s="50">
        <v>0</v>
      </c>
      <c r="M55" s="50"/>
      <c r="N55" s="50">
        <v>5.4</v>
      </c>
      <c r="O55" s="50">
        <v>0</v>
      </c>
      <c r="P55" s="52">
        <v>1</v>
      </c>
      <c r="Q55" s="53"/>
      <c r="R55" s="54" t="s">
        <v>158</v>
      </c>
      <c r="S55" s="54" t="s">
        <v>158</v>
      </c>
      <c r="T55" s="54" t="s">
        <v>158</v>
      </c>
      <c r="U55" s="54" t="s">
        <v>158</v>
      </c>
      <c r="V55" s="53" t="s">
        <v>232</v>
      </c>
      <c r="W55" s="53"/>
      <c r="X55" s="53">
        <f t="shared" si="9"/>
        <v>0</v>
      </c>
      <c r="Y55" s="55"/>
      <c r="Z55" s="55"/>
      <c r="AA55" s="52">
        <f t="shared" si="10"/>
        <v>0</v>
      </c>
      <c r="AB55" s="53">
        <f t="shared" si="11"/>
        <v>0</v>
      </c>
      <c r="AC55" s="53">
        <f t="shared" si="12"/>
        <v>0</v>
      </c>
      <c r="AD55" s="53">
        <f t="shared" si="13"/>
        <v>0</v>
      </c>
      <c r="AE55" s="53">
        <f t="shared" si="14"/>
        <v>0</v>
      </c>
      <c r="AF55" s="53">
        <f t="shared" si="15"/>
        <v>0</v>
      </c>
      <c r="AG55" s="56">
        <f t="shared" si="16"/>
        <v>0</v>
      </c>
      <c r="AH55" s="53">
        <f t="shared" si="17"/>
        <v>0</v>
      </c>
      <c r="AI55" s="55"/>
      <c r="AJ55" s="53">
        <f t="shared" si="18"/>
        <v>0</v>
      </c>
      <c r="AK55" s="53">
        <f t="shared" si="19"/>
        <v>0</v>
      </c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7"/>
      <c r="AW55" s="57"/>
      <c r="AX55" s="57"/>
    </row>
    <row r="56" spans="2:50">
      <c r="B56" s="45">
        <v>42</v>
      </c>
      <c r="C56" s="154" t="s">
        <v>168</v>
      </c>
      <c r="D56" s="159" t="s">
        <v>233</v>
      </c>
      <c r="E56" s="155" t="s">
        <v>234</v>
      </c>
      <c r="F56" s="156" t="s">
        <v>235</v>
      </c>
      <c r="G56" s="49" t="s">
        <v>156</v>
      </c>
      <c r="H56" s="151">
        <v>42290</v>
      </c>
      <c r="I56" s="50" t="s">
        <v>157</v>
      </c>
      <c r="J56" s="50">
        <f t="shared" si="0"/>
        <v>12</v>
      </c>
      <c r="K56" s="50">
        <v>12</v>
      </c>
      <c r="L56" s="50">
        <v>0</v>
      </c>
      <c r="M56" s="50"/>
      <c r="N56" s="50">
        <v>0.2</v>
      </c>
      <c r="O56" s="50">
        <v>0</v>
      </c>
      <c r="P56" s="52">
        <v>2</v>
      </c>
      <c r="Q56" s="53"/>
      <c r="R56" s="54" t="s">
        <v>158</v>
      </c>
      <c r="S56" s="54" t="s">
        <v>158</v>
      </c>
      <c r="T56" s="54" t="s">
        <v>158</v>
      </c>
      <c r="U56" s="54" t="s">
        <v>158</v>
      </c>
      <c r="V56" s="53" t="s">
        <v>236</v>
      </c>
      <c r="W56" s="53"/>
      <c r="X56" s="53">
        <f t="shared" si="9"/>
        <v>0</v>
      </c>
      <c r="Y56" s="55"/>
      <c r="Z56" s="55"/>
      <c r="AA56" s="52">
        <f t="shared" si="10"/>
        <v>0</v>
      </c>
      <c r="AB56" s="53">
        <f t="shared" si="11"/>
        <v>0</v>
      </c>
      <c r="AC56" s="53">
        <f t="shared" si="12"/>
        <v>0</v>
      </c>
      <c r="AD56" s="53">
        <f t="shared" si="13"/>
        <v>0</v>
      </c>
      <c r="AE56" s="53">
        <f t="shared" si="14"/>
        <v>0</v>
      </c>
      <c r="AF56" s="53">
        <f t="shared" si="15"/>
        <v>0</v>
      </c>
      <c r="AG56" s="56">
        <f t="shared" si="16"/>
        <v>0</v>
      </c>
      <c r="AH56" s="53">
        <f t="shared" si="17"/>
        <v>0</v>
      </c>
      <c r="AI56" s="55"/>
      <c r="AJ56" s="53">
        <f t="shared" si="18"/>
        <v>0</v>
      </c>
      <c r="AK56" s="53">
        <f t="shared" si="19"/>
        <v>0</v>
      </c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7"/>
      <c r="AW56" s="57"/>
      <c r="AX56" s="57"/>
    </row>
    <row r="57" spans="2:50">
      <c r="B57" s="45">
        <v>43</v>
      </c>
      <c r="C57" s="154" t="s">
        <v>168</v>
      </c>
      <c r="D57" s="159" t="s">
        <v>233</v>
      </c>
      <c r="E57" s="155" t="s">
        <v>234</v>
      </c>
      <c r="F57" s="156" t="s">
        <v>237</v>
      </c>
      <c r="G57" s="49" t="s">
        <v>156</v>
      </c>
      <c r="H57" s="151">
        <v>42992</v>
      </c>
      <c r="I57" s="50" t="s">
        <v>157</v>
      </c>
      <c r="J57" s="50">
        <f t="shared" si="0"/>
        <v>6</v>
      </c>
      <c r="K57" s="50">
        <v>6</v>
      </c>
      <c r="L57" s="50">
        <v>0</v>
      </c>
      <c r="M57" s="50"/>
      <c r="N57" s="50">
        <v>0.2</v>
      </c>
      <c r="O57" s="50">
        <v>0</v>
      </c>
      <c r="P57" s="52">
        <v>2</v>
      </c>
      <c r="Q57" s="53"/>
      <c r="R57" s="54" t="s">
        <v>158</v>
      </c>
      <c r="S57" s="54" t="s">
        <v>158</v>
      </c>
      <c r="T57" s="54" t="s">
        <v>158</v>
      </c>
      <c r="U57" s="54" t="s">
        <v>158</v>
      </c>
      <c r="V57" s="53" t="s">
        <v>236</v>
      </c>
      <c r="W57" s="53"/>
      <c r="X57" s="53">
        <f t="shared" si="9"/>
        <v>0</v>
      </c>
      <c r="Y57" s="55"/>
      <c r="Z57" s="55"/>
      <c r="AA57" s="52">
        <f t="shared" si="10"/>
        <v>0</v>
      </c>
      <c r="AB57" s="53">
        <f t="shared" si="11"/>
        <v>0</v>
      </c>
      <c r="AC57" s="53">
        <f t="shared" si="12"/>
        <v>0</v>
      </c>
      <c r="AD57" s="53">
        <f t="shared" si="13"/>
        <v>0</v>
      </c>
      <c r="AE57" s="53">
        <f t="shared" si="14"/>
        <v>0</v>
      </c>
      <c r="AF57" s="53">
        <f t="shared" si="15"/>
        <v>0</v>
      </c>
      <c r="AG57" s="56">
        <f t="shared" si="16"/>
        <v>0</v>
      </c>
      <c r="AH57" s="53">
        <f t="shared" si="17"/>
        <v>0</v>
      </c>
      <c r="AI57" s="55"/>
      <c r="AJ57" s="53">
        <f t="shared" si="18"/>
        <v>0</v>
      </c>
      <c r="AK57" s="53">
        <f t="shared" si="19"/>
        <v>0</v>
      </c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7"/>
      <c r="AW57" s="57"/>
      <c r="AX57" s="57"/>
    </row>
    <row r="58" spans="2:50">
      <c r="B58" s="45">
        <v>44</v>
      </c>
      <c r="C58" s="154" t="s">
        <v>168</v>
      </c>
      <c r="D58" s="159" t="s">
        <v>229</v>
      </c>
      <c r="E58" s="155" t="s">
        <v>238</v>
      </c>
      <c r="F58" s="156" t="s">
        <v>239</v>
      </c>
      <c r="G58" s="153" t="s">
        <v>156</v>
      </c>
      <c r="H58" s="151">
        <v>43637</v>
      </c>
      <c r="I58" s="50" t="s">
        <v>157</v>
      </c>
      <c r="J58" s="50">
        <f t="shared" si="0"/>
        <v>6</v>
      </c>
      <c r="K58" s="50">
        <v>6</v>
      </c>
      <c r="L58" s="50">
        <v>0</v>
      </c>
      <c r="M58" s="50"/>
      <c r="N58" s="50">
        <v>6</v>
      </c>
      <c r="O58" s="50">
        <v>0</v>
      </c>
      <c r="P58" s="52">
        <v>1</v>
      </c>
      <c r="Q58" s="53"/>
      <c r="R58" s="54" t="s">
        <v>158</v>
      </c>
      <c r="S58" s="54" t="s">
        <v>158</v>
      </c>
      <c r="T58" s="54" t="s">
        <v>158</v>
      </c>
      <c r="U58" s="54" t="s">
        <v>158</v>
      </c>
      <c r="V58" s="53" t="s">
        <v>240</v>
      </c>
      <c r="W58" s="53"/>
      <c r="X58" s="53">
        <f t="shared" si="9"/>
        <v>0</v>
      </c>
      <c r="Y58" s="55"/>
      <c r="Z58" s="55"/>
      <c r="AA58" s="52">
        <f t="shared" si="10"/>
        <v>0</v>
      </c>
      <c r="AB58" s="53">
        <f t="shared" si="11"/>
        <v>0</v>
      </c>
      <c r="AC58" s="53">
        <f t="shared" si="12"/>
        <v>0</v>
      </c>
      <c r="AD58" s="53">
        <f t="shared" si="13"/>
        <v>0</v>
      </c>
      <c r="AE58" s="53">
        <f t="shared" si="14"/>
        <v>0</v>
      </c>
      <c r="AF58" s="53">
        <f t="shared" si="15"/>
        <v>0</v>
      </c>
      <c r="AG58" s="56">
        <f t="shared" si="16"/>
        <v>0</v>
      </c>
      <c r="AH58" s="53">
        <f t="shared" si="17"/>
        <v>0</v>
      </c>
      <c r="AI58" s="55"/>
      <c r="AJ58" s="53">
        <f t="shared" si="18"/>
        <v>0</v>
      </c>
      <c r="AK58" s="53">
        <f t="shared" si="19"/>
        <v>0</v>
      </c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7"/>
      <c r="AW58" s="57"/>
      <c r="AX58" s="57"/>
    </row>
    <row r="59" spans="2:50">
      <c r="B59" s="45">
        <v>45</v>
      </c>
      <c r="C59" s="154" t="s">
        <v>168</v>
      </c>
      <c r="D59" s="158" t="s">
        <v>241</v>
      </c>
      <c r="E59" s="158" t="s">
        <v>242</v>
      </c>
      <c r="F59" s="156" t="s">
        <v>243</v>
      </c>
      <c r="G59" s="49" t="s">
        <v>156</v>
      </c>
      <c r="H59" s="151">
        <v>42816</v>
      </c>
      <c r="I59" s="50" t="s">
        <v>244</v>
      </c>
      <c r="J59" s="50">
        <f t="shared" si="0"/>
        <v>132</v>
      </c>
      <c r="K59" s="50">
        <v>108</v>
      </c>
      <c r="L59" s="50">
        <v>24</v>
      </c>
      <c r="M59" s="50"/>
      <c r="N59" s="50">
        <v>1.7999999999999998</v>
      </c>
      <c r="O59" s="50">
        <v>0.4</v>
      </c>
      <c r="P59" s="52">
        <v>1</v>
      </c>
      <c r="Q59" s="53"/>
      <c r="R59" s="54" t="s">
        <v>158</v>
      </c>
      <c r="S59" s="54" t="s">
        <v>158</v>
      </c>
      <c r="T59" s="54" t="s">
        <v>158</v>
      </c>
      <c r="U59" s="54" t="s">
        <v>158</v>
      </c>
      <c r="V59" s="157" t="s">
        <v>245</v>
      </c>
      <c r="W59" s="53"/>
      <c r="X59" s="53">
        <f t="shared" si="9"/>
        <v>0</v>
      </c>
      <c r="Y59" s="55"/>
      <c r="Z59" s="55"/>
      <c r="AA59" s="52">
        <f t="shared" si="10"/>
        <v>0</v>
      </c>
      <c r="AB59" s="53">
        <f t="shared" si="11"/>
        <v>0</v>
      </c>
      <c r="AC59" s="53">
        <f t="shared" si="12"/>
        <v>0</v>
      </c>
      <c r="AD59" s="53">
        <f t="shared" si="13"/>
        <v>0</v>
      </c>
      <c r="AE59" s="53">
        <f t="shared" si="14"/>
        <v>0</v>
      </c>
      <c r="AF59" s="53">
        <f t="shared" si="15"/>
        <v>0</v>
      </c>
      <c r="AG59" s="56">
        <f t="shared" si="16"/>
        <v>0</v>
      </c>
      <c r="AH59" s="53">
        <f t="shared" si="17"/>
        <v>0</v>
      </c>
      <c r="AI59" s="55"/>
      <c r="AJ59" s="53">
        <f t="shared" si="18"/>
        <v>0</v>
      </c>
      <c r="AK59" s="53">
        <f t="shared" si="19"/>
        <v>0</v>
      </c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7"/>
      <c r="AW59" s="57"/>
      <c r="AX59" s="57"/>
    </row>
    <row r="60" spans="2:50">
      <c r="B60" s="45">
        <v>46</v>
      </c>
      <c r="C60" s="154" t="s">
        <v>168</v>
      </c>
      <c r="D60" s="154" t="s">
        <v>246</v>
      </c>
      <c r="E60" s="155" t="s">
        <v>247</v>
      </c>
      <c r="F60" s="156" t="s">
        <v>248</v>
      </c>
      <c r="G60" s="49" t="s">
        <v>156</v>
      </c>
      <c r="H60" s="151">
        <v>43615</v>
      </c>
      <c r="I60" s="50" t="s">
        <v>157</v>
      </c>
      <c r="J60" s="50">
        <f t="shared" si="0"/>
        <v>372</v>
      </c>
      <c r="K60" s="50">
        <v>372</v>
      </c>
      <c r="L60" s="50">
        <v>0</v>
      </c>
      <c r="M60" s="50"/>
      <c r="N60" s="50">
        <v>6.2</v>
      </c>
      <c r="O60" s="50">
        <v>0</v>
      </c>
      <c r="P60" s="52">
        <v>1</v>
      </c>
      <c r="Q60" s="53"/>
      <c r="R60" s="54" t="s">
        <v>158</v>
      </c>
      <c r="S60" s="54" t="s">
        <v>158</v>
      </c>
      <c r="T60" s="54" t="s">
        <v>158</v>
      </c>
      <c r="U60" s="54" t="s">
        <v>158</v>
      </c>
      <c r="V60" s="157" t="s">
        <v>249</v>
      </c>
      <c r="W60" s="53"/>
      <c r="X60" s="53">
        <f t="shared" si="9"/>
        <v>0</v>
      </c>
      <c r="Y60" s="55"/>
      <c r="Z60" s="55"/>
      <c r="AA60" s="52">
        <f t="shared" si="10"/>
        <v>0</v>
      </c>
      <c r="AB60" s="53">
        <f t="shared" si="11"/>
        <v>0</v>
      </c>
      <c r="AC60" s="53">
        <f t="shared" si="12"/>
        <v>0</v>
      </c>
      <c r="AD60" s="53">
        <f t="shared" si="13"/>
        <v>0</v>
      </c>
      <c r="AE60" s="53">
        <f t="shared" si="14"/>
        <v>0</v>
      </c>
      <c r="AF60" s="53">
        <f t="shared" si="15"/>
        <v>0</v>
      </c>
      <c r="AG60" s="56">
        <f t="shared" si="16"/>
        <v>0</v>
      </c>
      <c r="AH60" s="53">
        <f t="shared" si="17"/>
        <v>0</v>
      </c>
      <c r="AI60" s="55"/>
      <c r="AJ60" s="53">
        <f t="shared" si="18"/>
        <v>0</v>
      </c>
      <c r="AK60" s="53">
        <f t="shared" si="19"/>
        <v>0</v>
      </c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7"/>
      <c r="AW60" s="57"/>
      <c r="AX60" s="57"/>
    </row>
    <row r="61" spans="2:50">
      <c r="B61" s="45">
        <v>47</v>
      </c>
      <c r="C61" s="154" t="s">
        <v>168</v>
      </c>
      <c r="D61" s="154" t="s">
        <v>246</v>
      </c>
      <c r="E61" s="155" t="s">
        <v>247</v>
      </c>
      <c r="F61" s="154" t="s">
        <v>250</v>
      </c>
      <c r="G61" s="49" t="s">
        <v>187</v>
      </c>
      <c r="H61" s="151">
        <v>43160</v>
      </c>
      <c r="I61" s="50" t="s">
        <v>157</v>
      </c>
      <c r="J61" s="50">
        <f t="shared" si="0"/>
        <v>66</v>
      </c>
      <c r="K61" s="50">
        <v>66</v>
      </c>
      <c r="L61" s="50">
        <v>0</v>
      </c>
      <c r="M61" s="50"/>
      <c r="N61" s="50">
        <v>1.1000000000000001</v>
      </c>
      <c r="O61" s="50">
        <v>0</v>
      </c>
      <c r="P61" s="52">
        <v>1</v>
      </c>
      <c r="Q61" s="53"/>
      <c r="R61" s="54" t="s">
        <v>158</v>
      </c>
      <c r="S61" s="54" t="s">
        <v>158</v>
      </c>
      <c r="T61" s="54" t="s">
        <v>158</v>
      </c>
      <c r="U61" s="54" t="s">
        <v>158</v>
      </c>
      <c r="V61" s="157" t="s">
        <v>249</v>
      </c>
      <c r="W61" s="53"/>
      <c r="X61" s="53">
        <f t="shared" si="9"/>
        <v>0</v>
      </c>
      <c r="Y61" s="55"/>
      <c r="Z61" s="55"/>
      <c r="AA61" s="52">
        <f t="shared" si="10"/>
        <v>0</v>
      </c>
      <c r="AB61" s="53">
        <f t="shared" si="11"/>
        <v>0</v>
      </c>
      <c r="AC61" s="53">
        <f t="shared" si="12"/>
        <v>0</v>
      </c>
      <c r="AD61" s="53">
        <f t="shared" si="13"/>
        <v>0</v>
      </c>
      <c r="AE61" s="53">
        <f t="shared" si="14"/>
        <v>0</v>
      </c>
      <c r="AF61" s="53">
        <f t="shared" si="15"/>
        <v>0</v>
      </c>
      <c r="AG61" s="56">
        <f t="shared" si="16"/>
        <v>0</v>
      </c>
      <c r="AH61" s="53">
        <f t="shared" si="17"/>
        <v>0</v>
      </c>
      <c r="AI61" s="55"/>
      <c r="AJ61" s="53">
        <f t="shared" si="18"/>
        <v>0</v>
      </c>
      <c r="AK61" s="53">
        <f t="shared" si="19"/>
        <v>0</v>
      </c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7"/>
      <c r="AW61" s="57"/>
      <c r="AX61" s="57"/>
    </row>
    <row r="62" spans="2:50">
      <c r="B62" s="45">
        <v>48</v>
      </c>
      <c r="C62" s="154" t="s">
        <v>168</v>
      </c>
      <c r="D62" s="154" t="s">
        <v>246</v>
      </c>
      <c r="E62" s="155" t="s">
        <v>251</v>
      </c>
      <c r="F62" s="156" t="s">
        <v>252</v>
      </c>
      <c r="G62" s="49" t="s">
        <v>187</v>
      </c>
      <c r="H62" s="151">
        <v>42307</v>
      </c>
      <c r="I62" s="50" t="s">
        <v>157</v>
      </c>
      <c r="J62" s="50">
        <f t="shared" si="0"/>
        <v>15</v>
      </c>
      <c r="K62" s="50">
        <v>15</v>
      </c>
      <c r="L62" s="50">
        <v>0</v>
      </c>
      <c r="M62" s="50"/>
      <c r="N62" s="50">
        <v>0.25</v>
      </c>
      <c r="O62" s="50">
        <v>0</v>
      </c>
      <c r="P62" s="52">
        <v>1</v>
      </c>
      <c r="Q62" s="53"/>
      <c r="R62" s="54" t="s">
        <v>158</v>
      </c>
      <c r="S62" s="54" t="s">
        <v>158</v>
      </c>
      <c r="T62" s="54" t="s">
        <v>158</v>
      </c>
      <c r="U62" s="54" t="s">
        <v>158</v>
      </c>
      <c r="V62" s="53" t="s">
        <v>253</v>
      </c>
      <c r="W62" s="53"/>
      <c r="X62" s="53">
        <f t="shared" si="9"/>
        <v>0</v>
      </c>
      <c r="Y62" s="55"/>
      <c r="Z62" s="55"/>
      <c r="AA62" s="52">
        <f t="shared" si="10"/>
        <v>0</v>
      </c>
      <c r="AB62" s="53">
        <f t="shared" si="11"/>
        <v>0</v>
      </c>
      <c r="AC62" s="53">
        <f t="shared" si="12"/>
        <v>0</v>
      </c>
      <c r="AD62" s="53">
        <f t="shared" si="13"/>
        <v>0</v>
      </c>
      <c r="AE62" s="53">
        <f t="shared" si="14"/>
        <v>0</v>
      </c>
      <c r="AF62" s="53">
        <f t="shared" si="15"/>
        <v>0</v>
      </c>
      <c r="AG62" s="56">
        <f t="shared" si="16"/>
        <v>0</v>
      </c>
      <c r="AH62" s="53">
        <f t="shared" si="17"/>
        <v>0</v>
      </c>
      <c r="AI62" s="55"/>
      <c r="AJ62" s="53">
        <f t="shared" si="18"/>
        <v>0</v>
      </c>
      <c r="AK62" s="53">
        <f t="shared" si="19"/>
        <v>0</v>
      </c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7"/>
      <c r="AW62" s="57"/>
      <c r="AX62" s="57"/>
    </row>
    <row r="63" spans="2:50">
      <c r="B63" s="45">
        <v>49</v>
      </c>
      <c r="C63" s="154" t="s">
        <v>168</v>
      </c>
      <c r="D63" s="154" t="s">
        <v>254</v>
      </c>
      <c r="E63" s="158" t="s">
        <v>255</v>
      </c>
      <c r="F63" s="159" t="s">
        <v>256</v>
      </c>
      <c r="G63" s="49" t="s">
        <v>156</v>
      </c>
      <c r="H63" s="151">
        <v>42290</v>
      </c>
      <c r="I63" s="50" t="s">
        <v>157</v>
      </c>
      <c r="J63" s="160">
        <f t="shared" si="0"/>
        <v>42</v>
      </c>
      <c r="K63" s="160">
        <v>42</v>
      </c>
      <c r="L63" s="160">
        <v>0</v>
      </c>
      <c r="M63" s="160"/>
      <c r="N63" s="160">
        <v>0.7</v>
      </c>
      <c r="O63" s="160">
        <v>0</v>
      </c>
      <c r="P63" s="52">
        <v>1</v>
      </c>
      <c r="Q63" s="53" t="s">
        <v>257</v>
      </c>
      <c r="R63" s="54" t="s">
        <v>158</v>
      </c>
      <c r="S63" s="54" t="s">
        <v>158</v>
      </c>
      <c r="T63" s="54" t="s">
        <v>158</v>
      </c>
      <c r="U63" s="54" t="s">
        <v>158</v>
      </c>
      <c r="V63" s="53" t="s">
        <v>258</v>
      </c>
      <c r="W63" s="53"/>
      <c r="X63" s="53">
        <f t="shared" si="9"/>
        <v>0</v>
      </c>
      <c r="Y63" s="55"/>
      <c r="Z63" s="55"/>
      <c r="AA63" s="52">
        <f t="shared" si="10"/>
        <v>0</v>
      </c>
      <c r="AB63" s="53">
        <f t="shared" si="11"/>
        <v>0</v>
      </c>
      <c r="AC63" s="53">
        <f t="shared" si="12"/>
        <v>0</v>
      </c>
      <c r="AD63" s="53">
        <f t="shared" si="13"/>
        <v>0</v>
      </c>
      <c r="AE63" s="53">
        <f t="shared" si="14"/>
        <v>0</v>
      </c>
      <c r="AF63" s="53">
        <f t="shared" si="15"/>
        <v>0</v>
      </c>
      <c r="AG63" s="56">
        <f t="shared" si="16"/>
        <v>1</v>
      </c>
      <c r="AH63" s="53">
        <f t="shared" si="17"/>
        <v>0</v>
      </c>
      <c r="AI63" s="55"/>
      <c r="AJ63" s="53">
        <f t="shared" si="18"/>
        <v>0</v>
      </c>
      <c r="AK63" s="53">
        <f t="shared" si="19"/>
        <v>0</v>
      </c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7"/>
      <c r="AW63" s="57"/>
      <c r="AX63" s="57"/>
    </row>
    <row r="64" spans="2:50">
      <c r="B64" s="45">
        <v>50</v>
      </c>
      <c r="C64" s="154" t="s">
        <v>168</v>
      </c>
      <c r="D64" s="154" t="s">
        <v>254</v>
      </c>
      <c r="E64" s="158" t="s">
        <v>255</v>
      </c>
      <c r="F64" s="156" t="s">
        <v>259</v>
      </c>
      <c r="G64" s="49" t="s">
        <v>187</v>
      </c>
      <c r="H64" s="151">
        <v>42296</v>
      </c>
      <c r="I64" s="50" t="s">
        <v>157</v>
      </c>
      <c r="J64" s="160">
        <f t="shared" si="0"/>
        <v>36</v>
      </c>
      <c r="K64" s="160">
        <v>36</v>
      </c>
      <c r="L64" s="160">
        <v>0</v>
      </c>
      <c r="M64" s="160"/>
      <c r="N64" s="160">
        <v>0.6</v>
      </c>
      <c r="O64" s="160">
        <v>0</v>
      </c>
      <c r="P64" s="52">
        <v>1</v>
      </c>
      <c r="Q64" s="53" t="s">
        <v>257</v>
      </c>
      <c r="R64" s="54" t="s">
        <v>158</v>
      </c>
      <c r="S64" s="54" t="s">
        <v>158</v>
      </c>
      <c r="T64" s="54" t="s">
        <v>158</v>
      </c>
      <c r="U64" s="54" t="s">
        <v>158</v>
      </c>
      <c r="V64" s="53" t="s">
        <v>258</v>
      </c>
      <c r="W64" s="53"/>
      <c r="X64" s="53">
        <f t="shared" si="9"/>
        <v>0</v>
      </c>
      <c r="Y64" s="55"/>
      <c r="Z64" s="55"/>
      <c r="AA64" s="52">
        <f t="shared" si="10"/>
        <v>0</v>
      </c>
      <c r="AB64" s="53">
        <f t="shared" si="11"/>
        <v>0</v>
      </c>
      <c r="AC64" s="53">
        <f t="shared" si="12"/>
        <v>0</v>
      </c>
      <c r="AD64" s="53">
        <f t="shared" si="13"/>
        <v>0</v>
      </c>
      <c r="AE64" s="53">
        <f t="shared" si="14"/>
        <v>0</v>
      </c>
      <c r="AF64" s="53">
        <f t="shared" si="15"/>
        <v>0</v>
      </c>
      <c r="AG64" s="56">
        <f t="shared" si="16"/>
        <v>1</v>
      </c>
      <c r="AH64" s="53">
        <f t="shared" si="17"/>
        <v>0</v>
      </c>
      <c r="AI64" s="55"/>
      <c r="AJ64" s="53">
        <f t="shared" si="18"/>
        <v>0</v>
      </c>
      <c r="AK64" s="53">
        <f t="shared" si="19"/>
        <v>0</v>
      </c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7"/>
      <c r="AW64" s="57"/>
      <c r="AX64" s="57"/>
    </row>
    <row r="65" spans="2:50">
      <c r="B65" s="45">
        <v>51</v>
      </c>
      <c r="C65" s="154" t="s">
        <v>168</v>
      </c>
      <c r="D65" s="154" t="s">
        <v>254</v>
      </c>
      <c r="E65" s="158" t="s">
        <v>255</v>
      </c>
      <c r="F65" s="159" t="s">
        <v>260</v>
      </c>
      <c r="G65" s="49" t="s">
        <v>187</v>
      </c>
      <c r="H65" s="151">
        <v>42422</v>
      </c>
      <c r="I65" s="50" t="s">
        <v>157</v>
      </c>
      <c r="J65" s="160">
        <f t="shared" si="0"/>
        <v>42</v>
      </c>
      <c r="K65" s="160">
        <v>42</v>
      </c>
      <c r="L65" s="160">
        <v>0</v>
      </c>
      <c r="M65" s="160"/>
      <c r="N65" s="160">
        <v>0.7</v>
      </c>
      <c r="O65" s="160">
        <v>0</v>
      </c>
      <c r="P65" s="52">
        <v>1</v>
      </c>
      <c r="Q65" s="53" t="s">
        <v>257</v>
      </c>
      <c r="R65" s="54" t="s">
        <v>158</v>
      </c>
      <c r="S65" s="54" t="s">
        <v>158</v>
      </c>
      <c r="T65" s="54" t="s">
        <v>158</v>
      </c>
      <c r="U65" s="54" t="s">
        <v>158</v>
      </c>
      <c r="V65" s="53" t="s">
        <v>258</v>
      </c>
      <c r="W65" s="53"/>
      <c r="X65" s="53">
        <f t="shared" si="9"/>
        <v>0</v>
      </c>
      <c r="Y65" s="55"/>
      <c r="Z65" s="55"/>
      <c r="AA65" s="52">
        <f t="shared" si="10"/>
        <v>0</v>
      </c>
      <c r="AB65" s="53">
        <f t="shared" si="11"/>
        <v>0</v>
      </c>
      <c r="AC65" s="53">
        <f t="shared" si="12"/>
        <v>0</v>
      </c>
      <c r="AD65" s="53">
        <f t="shared" si="13"/>
        <v>0</v>
      </c>
      <c r="AE65" s="53">
        <f t="shared" si="14"/>
        <v>0</v>
      </c>
      <c r="AF65" s="53">
        <f t="shared" si="15"/>
        <v>0</v>
      </c>
      <c r="AG65" s="56">
        <f t="shared" si="16"/>
        <v>1</v>
      </c>
      <c r="AH65" s="53">
        <f t="shared" si="17"/>
        <v>0</v>
      </c>
      <c r="AI65" s="55"/>
      <c r="AJ65" s="53">
        <f t="shared" si="18"/>
        <v>0</v>
      </c>
      <c r="AK65" s="53">
        <f t="shared" si="19"/>
        <v>0</v>
      </c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7"/>
      <c r="AW65" s="57"/>
      <c r="AX65" s="57"/>
    </row>
    <row r="66" spans="2:50">
      <c r="B66" s="45">
        <v>52</v>
      </c>
      <c r="C66" s="154" t="s">
        <v>168</v>
      </c>
      <c r="D66" s="154" t="s">
        <v>254</v>
      </c>
      <c r="E66" s="158" t="s">
        <v>255</v>
      </c>
      <c r="F66" s="156" t="s">
        <v>261</v>
      </c>
      <c r="G66" s="49" t="s">
        <v>187</v>
      </c>
      <c r="H66" s="151">
        <v>42296</v>
      </c>
      <c r="I66" s="50" t="s">
        <v>157</v>
      </c>
      <c r="J66" s="160">
        <f t="shared" si="0"/>
        <v>126</v>
      </c>
      <c r="K66" s="160">
        <v>126</v>
      </c>
      <c r="L66" s="160">
        <v>0</v>
      </c>
      <c r="M66" s="160"/>
      <c r="N66" s="160">
        <v>2.1000000000000005</v>
      </c>
      <c r="O66" s="160">
        <v>0</v>
      </c>
      <c r="P66" s="52">
        <v>1</v>
      </c>
      <c r="Q66" s="53"/>
      <c r="R66" s="54" t="s">
        <v>158</v>
      </c>
      <c r="S66" s="54" t="s">
        <v>158</v>
      </c>
      <c r="T66" s="54" t="s">
        <v>158</v>
      </c>
      <c r="U66" s="54" t="s">
        <v>158</v>
      </c>
      <c r="V66" s="53" t="s">
        <v>258</v>
      </c>
      <c r="W66" s="53"/>
      <c r="X66" s="53">
        <f t="shared" si="9"/>
        <v>0</v>
      </c>
      <c r="Y66" s="55"/>
      <c r="Z66" s="55"/>
      <c r="AA66" s="52">
        <f t="shared" si="10"/>
        <v>0</v>
      </c>
      <c r="AB66" s="53">
        <f t="shared" si="11"/>
        <v>0</v>
      </c>
      <c r="AC66" s="53">
        <f t="shared" si="12"/>
        <v>0</v>
      </c>
      <c r="AD66" s="53">
        <f t="shared" si="13"/>
        <v>0</v>
      </c>
      <c r="AE66" s="53">
        <f t="shared" si="14"/>
        <v>0</v>
      </c>
      <c r="AF66" s="53">
        <f t="shared" si="15"/>
        <v>0</v>
      </c>
      <c r="AG66" s="56">
        <f t="shared" si="16"/>
        <v>0</v>
      </c>
      <c r="AH66" s="53">
        <f t="shared" si="17"/>
        <v>0</v>
      </c>
      <c r="AI66" s="55"/>
      <c r="AJ66" s="53">
        <f t="shared" si="18"/>
        <v>0</v>
      </c>
      <c r="AK66" s="53">
        <f t="shared" si="19"/>
        <v>0</v>
      </c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7"/>
      <c r="AW66" s="57"/>
      <c r="AX66" s="57"/>
    </row>
    <row r="67" spans="2:50">
      <c r="B67" s="45">
        <v>53</v>
      </c>
      <c r="C67" s="154" t="s">
        <v>168</v>
      </c>
      <c r="D67" s="154" t="s">
        <v>254</v>
      </c>
      <c r="E67" s="158" t="s">
        <v>255</v>
      </c>
      <c r="F67" s="156" t="s">
        <v>262</v>
      </c>
      <c r="G67" s="49" t="s">
        <v>187</v>
      </c>
      <c r="H67" s="151">
        <v>42296</v>
      </c>
      <c r="I67" s="50" t="s">
        <v>157</v>
      </c>
      <c r="J67" s="160">
        <f t="shared" si="0"/>
        <v>6</v>
      </c>
      <c r="K67" s="160">
        <v>6</v>
      </c>
      <c r="L67" s="160">
        <v>0</v>
      </c>
      <c r="M67" s="160"/>
      <c r="N67" s="160">
        <v>0.1</v>
      </c>
      <c r="O67" s="160">
        <v>0</v>
      </c>
      <c r="P67" s="52">
        <v>1</v>
      </c>
      <c r="Q67" s="53"/>
      <c r="R67" s="54" t="s">
        <v>158</v>
      </c>
      <c r="S67" s="54" t="s">
        <v>158</v>
      </c>
      <c r="T67" s="54" t="s">
        <v>158</v>
      </c>
      <c r="U67" s="54" t="s">
        <v>158</v>
      </c>
      <c r="V67" s="53" t="s">
        <v>258</v>
      </c>
      <c r="W67" s="53"/>
      <c r="X67" s="53">
        <f t="shared" si="9"/>
        <v>0</v>
      </c>
      <c r="Y67" s="55"/>
      <c r="Z67" s="55"/>
      <c r="AA67" s="52">
        <f t="shared" si="10"/>
        <v>0</v>
      </c>
      <c r="AB67" s="53">
        <f t="shared" si="11"/>
        <v>0</v>
      </c>
      <c r="AC67" s="53">
        <f t="shared" si="12"/>
        <v>0</v>
      </c>
      <c r="AD67" s="53">
        <f t="shared" si="13"/>
        <v>0</v>
      </c>
      <c r="AE67" s="53">
        <f t="shared" si="14"/>
        <v>0</v>
      </c>
      <c r="AF67" s="53">
        <f t="shared" si="15"/>
        <v>0</v>
      </c>
      <c r="AG67" s="56">
        <f t="shared" si="16"/>
        <v>0</v>
      </c>
      <c r="AH67" s="53">
        <f t="shared" si="17"/>
        <v>0</v>
      </c>
      <c r="AI67" s="55"/>
      <c r="AJ67" s="53">
        <f t="shared" si="18"/>
        <v>0</v>
      </c>
      <c r="AK67" s="53">
        <f t="shared" si="19"/>
        <v>0</v>
      </c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7"/>
      <c r="AW67" s="57"/>
      <c r="AX67" s="57"/>
    </row>
    <row r="68" spans="2:50">
      <c r="B68" s="45">
        <v>54</v>
      </c>
      <c r="C68" s="154" t="s">
        <v>168</v>
      </c>
      <c r="D68" s="154" t="s">
        <v>254</v>
      </c>
      <c r="E68" s="158" t="s">
        <v>255</v>
      </c>
      <c r="F68" s="159" t="s">
        <v>263</v>
      </c>
      <c r="G68" s="49" t="s">
        <v>187</v>
      </c>
      <c r="H68" s="151">
        <v>42296</v>
      </c>
      <c r="I68" s="50" t="s">
        <v>157</v>
      </c>
      <c r="J68" s="160">
        <f t="shared" si="0"/>
        <v>6</v>
      </c>
      <c r="K68" s="160">
        <v>6</v>
      </c>
      <c r="L68" s="160">
        <v>0</v>
      </c>
      <c r="M68" s="160"/>
      <c r="N68" s="160">
        <v>0.1</v>
      </c>
      <c r="O68" s="160">
        <v>0</v>
      </c>
      <c r="P68" s="52">
        <v>1</v>
      </c>
      <c r="Q68" s="53" t="s">
        <v>257</v>
      </c>
      <c r="R68" s="54" t="s">
        <v>158</v>
      </c>
      <c r="S68" s="54" t="s">
        <v>158</v>
      </c>
      <c r="T68" s="54" t="s">
        <v>158</v>
      </c>
      <c r="U68" s="54" t="s">
        <v>158</v>
      </c>
      <c r="V68" s="53" t="s">
        <v>258</v>
      </c>
      <c r="W68" s="53"/>
      <c r="X68" s="53">
        <f t="shared" si="9"/>
        <v>0</v>
      </c>
      <c r="Y68" s="55"/>
      <c r="Z68" s="55"/>
      <c r="AA68" s="52">
        <f t="shared" si="10"/>
        <v>0</v>
      </c>
      <c r="AB68" s="53">
        <f t="shared" si="11"/>
        <v>0</v>
      </c>
      <c r="AC68" s="53">
        <f t="shared" si="12"/>
        <v>0</v>
      </c>
      <c r="AD68" s="53">
        <f t="shared" si="13"/>
        <v>0</v>
      </c>
      <c r="AE68" s="53">
        <f t="shared" si="14"/>
        <v>0</v>
      </c>
      <c r="AF68" s="53">
        <f t="shared" si="15"/>
        <v>0</v>
      </c>
      <c r="AG68" s="56">
        <f t="shared" si="16"/>
        <v>1</v>
      </c>
      <c r="AH68" s="53">
        <f t="shared" si="17"/>
        <v>0</v>
      </c>
      <c r="AI68" s="55"/>
      <c r="AJ68" s="53">
        <f t="shared" si="18"/>
        <v>0</v>
      </c>
      <c r="AK68" s="53">
        <f t="shared" si="19"/>
        <v>0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  <c r="AW68" s="57"/>
      <c r="AX68" s="57"/>
    </row>
    <row r="69" spans="2:50">
      <c r="B69" s="45">
        <v>55</v>
      </c>
      <c r="C69" s="154" t="s">
        <v>168</v>
      </c>
      <c r="D69" s="154" t="s">
        <v>254</v>
      </c>
      <c r="E69" s="158" t="s">
        <v>255</v>
      </c>
      <c r="F69" s="159" t="s">
        <v>264</v>
      </c>
      <c r="G69" s="49" t="s">
        <v>156</v>
      </c>
      <c r="H69" s="151">
        <v>42296</v>
      </c>
      <c r="I69" s="50" t="s">
        <v>157</v>
      </c>
      <c r="J69" s="160">
        <f t="shared" si="0"/>
        <v>6</v>
      </c>
      <c r="K69" s="160">
        <v>6</v>
      </c>
      <c r="L69" s="160">
        <v>0</v>
      </c>
      <c r="M69" s="160"/>
      <c r="N69" s="160">
        <v>0.1</v>
      </c>
      <c r="O69" s="160">
        <v>0</v>
      </c>
      <c r="P69" s="52">
        <v>1</v>
      </c>
      <c r="Q69" s="53" t="s">
        <v>257</v>
      </c>
      <c r="R69" s="54" t="s">
        <v>158</v>
      </c>
      <c r="S69" s="54" t="s">
        <v>158</v>
      </c>
      <c r="T69" s="54" t="s">
        <v>158</v>
      </c>
      <c r="U69" s="54" t="s">
        <v>158</v>
      </c>
      <c r="V69" s="53" t="s">
        <v>258</v>
      </c>
      <c r="W69" s="53"/>
      <c r="X69" s="53">
        <f t="shared" si="9"/>
        <v>0</v>
      </c>
      <c r="Y69" s="55"/>
      <c r="Z69" s="55"/>
      <c r="AA69" s="52">
        <f t="shared" si="10"/>
        <v>0</v>
      </c>
      <c r="AB69" s="53">
        <f t="shared" si="11"/>
        <v>0</v>
      </c>
      <c r="AC69" s="53">
        <f t="shared" si="12"/>
        <v>0</v>
      </c>
      <c r="AD69" s="53">
        <f t="shared" si="13"/>
        <v>0</v>
      </c>
      <c r="AE69" s="53">
        <f t="shared" si="14"/>
        <v>0</v>
      </c>
      <c r="AF69" s="53">
        <f t="shared" si="15"/>
        <v>0</v>
      </c>
      <c r="AG69" s="56">
        <f t="shared" si="16"/>
        <v>1</v>
      </c>
      <c r="AH69" s="53">
        <f t="shared" si="17"/>
        <v>0</v>
      </c>
      <c r="AI69" s="55"/>
      <c r="AJ69" s="53">
        <f t="shared" si="18"/>
        <v>0</v>
      </c>
      <c r="AK69" s="53">
        <f t="shared" si="19"/>
        <v>0</v>
      </c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7"/>
      <c r="AW69" s="57"/>
      <c r="AX69" s="57"/>
    </row>
    <row r="70" spans="2:50">
      <c r="B70" s="45">
        <v>56</v>
      </c>
      <c r="C70" s="154" t="s">
        <v>168</v>
      </c>
      <c r="D70" s="154" t="s">
        <v>254</v>
      </c>
      <c r="E70" s="158" t="s">
        <v>255</v>
      </c>
      <c r="F70" s="159" t="s">
        <v>265</v>
      </c>
      <c r="G70" s="49" t="s">
        <v>156</v>
      </c>
      <c r="H70" s="151">
        <v>42296</v>
      </c>
      <c r="I70" s="50" t="s">
        <v>157</v>
      </c>
      <c r="J70" s="160">
        <f t="shared" si="0"/>
        <v>12</v>
      </c>
      <c r="K70" s="160">
        <v>12</v>
      </c>
      <c r="L70" s="160">
        <v>0</v>
      </c>
      <c r="M70" s="160"/>
      <c r="N70" s="160">
        <v>0.2</v>
      </c>
      <c r="O70" s="160">
        <v>0</v>
      </c>
      <c r="P70" s="52">
        <v>1</v>
      </c>
      <c r="Q70" s="53" t="s">
        <v>257</v>
      </c>
      <c r="R70" s="54" t="s">
        <v>158</v>
      </c>
      <c r="S70" s="54" t="s">
        <v>158</v>
      </c>
      <c r="T70" s="54" t="s">
        <v>158</v>
      </c>
      <c r="U70" s="54" t="s">
        <v>158</v>
      </c>
      <c r="V70" s="53" t="s">
        <v>258</v>
      </c>
      <c r="W70" s="53"/>
      <c r="X70" s="53">
        <f t="shared" si="9"/>
        <v>0</v>
      </c>
      <c r="Y70" s="55"/>
      <c r="Z70" s="55"/>
      <c r="AA70" s="52">
        <f t="shared" si="10"/>
        <v>0</v>
      </c>
      <c r="AB70" s="53">
        <f t="shared" si="11"/>
        <v>0</v>
      </c>
      <c r="AC70" s="53">
        <f t="shared" si="12"/>
        <v>0</v>
      </c>
      <c r="AD70" s="53">
        <f t="shared" si="13"/>
        <v>0</v>
      </c>
      <c r="AE70" s="53">
        <f t="shared" si="14"/>
        <v>0</v>
      </c>
      <c r="AF70" s="53">
        <f t="shared" si="15"/>
        <v>0</v>
      </c>
      <c r="AG70" s="56">
        <f t="shared" si="16"/>
        <v>1</v>
      </c>
      <c r="AH70" s="53">
        <f t="shared" si="17"/>
        <v>0</v>
      </c>
      <c r="AI70" s="55"/>
      <c r="AJ70" s="53">
        <f t="shared" si="18"/>
        <v>0</v>
      </c>
      <c r="AK70" s="53">
        <f t="shared" si="19"/>
        <v>0</v>
      </c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7"/>
      <c r="AW70" s="57"/>
      <c r="AX70" s="57"/>
    </row>
    <row r="71" spans="2:50">
      <c r="B71" s="45">
        <v>57</v>
      </c>
      <c r="C71" s="154" t="s">
        <v>168</v>
      </c>
      <c r="D71" s="154" t="s">
        <v>254</v>
      </c>
      <c r="E71" s="158" t="s">
        <v>255</v>
      </c>
      <c r="F71" s="159" t="s">
        <v>266</v>
      </c>
      <c r="G71" s="49" t="s">
        <v>156</v>
      </c>
      <c r="H71" s="151">
        <v>42296</v>
      </c>
      <c r="I71" s="50" t="s">
        <v>157</v>
      </c>
      <c r="J71" s="160">
        <f t="shared" si="0"/>
        <v>18</v>
      </c>
      <c r="K71" s="160">
        <v>18</v>
      </c>
      <c r="L71" s="160">
        <v>0</v>
      </c>
      <c r="M71" s="160"/>
      <c r="N71" s="160">
        <v>0.30000000000000004</v>
      </c>
      <c r="O71" s="160">
        <v>0</v>
      </c>
      <c r="P71" s="52">
        <v>1</v>
      </c>
      <c r="Q71" s="53" t="s">
        <v>257</v>
      </c>
      <c r="R71" s="54" t="s">
        <v>158</v>
      </c>
      <c r="S71" s="54" t="s">
        <v>158</v>
      </c>
      <c r="T71" s="54" t="s">
        <v>158</v>
      </c>
      <c r="U71" s="54" t="s">
        <v>158</v>
      </c>
      <c r="V71" s="53" t="s">
        <v>258</v>
      </c>
      <c r="W71" s="53"/>
      <c r="X71" s="53">
        <f t="shared" si="9"/>
        <v>0</v>
      </c>
      <c r="Y71" s="55"/>
      <c r="Z71" s="55"/>
      <c r="AA71" s="52">
        <f t="shared" si="10"/>
        <v>0</v>
      </c>
      <c r="AB71" s="53">
        <f t="shared" si="11"/>
        <v>0</v>
      </c>
      <c r="AC71" s="53">
        <f t="shared" si="12"/>
        <v>0</v>
      </c>
      <c r="AD71" s="53">
        <f t="shared" si="13"/>
        <v>0</v>
      </c>
      <c r="AE71" s="53">
        <f t="shared" si="14"/>
        <v>0</v>
      </c>
      <c r="AF71" s="53">
        <f t="shared" si="15"/>
        <v>0</v>
      </c>
      <c r="AG71" s="56">
        <f t="shared" si="16"/>
        <v>1</v>
      </c>
      <c r="AH71" s="53">
        <f t="shared" si="17"/>
        <v>0</v>
      </c>
      <c r="AI71" s="55"/>
      <c r="AJ71" s="53">
        <f t="shared" si="18"/>
        <v>0</v>
      </c>
      <c r="AK71" s="53">
        <f t="shared" si="19"/>
        <v>0</v>
      </c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7"/>
      <c r="AW71" s="57"/>
      <c r="AX71" s="57"/>
    </row>
    <row r="72" spans="2:50">
      <c r="B72" s="45">
        <v>58</v>
      </c>
      <c r="C72" s="154" t="s">
        <v>168</v>
      </c>
      <c r="D72" s="154" t="s">
        <v>254</v>
      </c>
      <c r="E72" s="158" t="s">
        <v>255</v>
      </c>
      <c r="F72" s="159" t="s">
        <v>267</v>
      </c>
      <c r="G72" s="49" t="s">
        <v>156</v>
      </c>
      <c r="H72" s="151">
        <v>42296</v>
      </c>
      <c r="I72" s="50" t="s">
        <v>157</v>
      </c>
      <c r="J72" s="160">
        <f t="shared" si="0"/>
        <v>12</v>
      </c>
      <c r="K72" s="160">
        <v>12</v>
      </c>
      <c r="L72" s="160">
        <v>0</v>
      </c>
      <c r="M72" s="160"/>
      <c r="N72" s="160">
        <v>0.2</v>
      </c>
      <c r="O72" s="160">
        <v>0</v>
      </c>
      <c r="P72" s="52">
        <v>1</v>
      </c>
      <c r="Q72" s="53" t="s">
        <v>257</v>
      </c>
      <c r="R72" s="54" t="s">
        <v>158</v>
      </c>
      <c r="S72" s="54" t="s">
        <v>158</v>
      </c>
      <c r="T72" s="54" t="s">
        <v>158</v>
      </c>
      <c r="U72" s="54" t="s">
        <v>158</v>
      </c>
      <c r="V72" s="53" t="s">
        <v>258</v>
      </c>
      <c r="W72" s="53"/>
      <c r="X72" s="53">
        <f t="shared" si="9"/>
        <v>0</v>
      </c>
      <c r="Y72" s="55"/>
      <c r="Z72" s="55"/>
      <c r="AA72" s="52">
        <f t="shared" si="10"/>
        <v>0</v>
      </c>
      <c r="AB72" s="53">
        <f t="shared" si="11"/>
        <v>0</v>
      </c>
      <c r="AC72" s="53">
        <f t="shared" si="12"/>
        <v>0</v>
      </c>
      <c r="AD72" s="53">
        <f t="shared" si="13"/>
        <v>0</v>
      </c>
      <c r="AE72" s="53">
        <f t="shared" si="14"/>
        <v>0</v>
      </c>
      <c r="AF72" s="53">
        <f t="shared" si="15"/>
        <v>0</v>
      </c>
      <c r="AG72" s="56">
        <f t="shared" si="16"/>
        <v>1</v>
      </c>
      <c r="AH72" s="53">
        <f t="shared" si="17"/>
        <v>0</v>
      </c>
      <c r="AI72" s="55"/>
      <c r="AJ72" s="53">
        <f t="shared" si="18"/>
        <v>0</v>
      </c>
      <c r="AK72" s="53">
        <f t="shared" si="19"/>
        <v>0</v>
      </c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7"/>
      <c r="AW72" s="57"/>
      <c r="AX72" s="57"/>
    </row>
    <row r="73" spans="2:50">
      <c r="B73" s="45">
        <v>59</v>
      </c>
      <c r="C73" s="154" t="s">
        <v>168</v>
      </c>
      <c r="D73" s="154" t="s">
        <v>254</v>
      </c>
      <c r="E73" s="158" t="s">
        <v>255</v>
      </c>
      <c r="F73" s="159" t="s">
        <v>268</v>
      </c>
      <c r="G73" s="49" t="s">
        <v>187</v>
      </c>
      <c r="H73" s="151">
        <v>42296</v>
      </c>
      <c r="I73" s="50" t="s">
        <v>157</v>
      </c>
      <c r="J73" s="160">
        <f t="shared" si="0"/>
        <v>6</v>
      </c>
      <c r="K73" s="160">
        <v>6</v>
      </c>
      <c r="L73" s="160">
        <v>0</v>
      </c>
      <c r="M73" s="160"/>
      <c r="N73" s="160">
        <v>0.1</v>
      </c>
      <c r="O73" s="160">
        <v>0</v>
      </c>
      <c r="P73" s="52">
        <v>1</v>
      </c>
      <c r="Q73" s="53"/>
      <c r="R73" s="54" t="s">
        <v>158</v>
      </c>
      <c r="S73" s="54" t="s">
        <v>158</v>
      </c>
      <c r="T73" s="54" t="s">
        <v>158</v>
      </c>
      <c r="U73" s="54" t="s">
        <v>158</v>
      </c>
      <c r="V73" s="53" t="s">
        <v>258</v>
      </c>
      <c r="W73" s="53"/>
      <c r="X73" s="53">
        <f t="shared" si="9"/>
        <v>0</v>
      </c>
      <c r="Y73" s="55"/>
      <c r="Z73" s="55"/>
      <c r="AA73" s="52">
        <f t="shared" si="10"/>
        <v>0</v>
      </c>
      <c r="AB73" s="53">
        <f t="shared" si="11"/>
        <v>0</v>
      </c>
      <c r="AC73" s="53">
        <f t="shared" si="12"/>
        <v>0</v>
      </c>
      <c r="AD73" s="53">
        <f t="shared" si="13"/>
        <v>0</v>
      </c>
      <c r="AE73" s="53">
        <f t="shared" si="14"/>
        <v>0</v>
      </c>
      <c r="AF73" s="53">
        <f t="shared" si="15"/>
        <v>0</v>
      </c>
      <c r="AG73" s="56">
        <f t="shared" si="16"/>
        <v>0</v>
      </c>
      <c r="AH73" s="53">
        <f t="shared" si="17"/>
        <v>0</v>
      </c>
      <c r="AI73" s="55"/>
      <c r="AJ73" s="53">
        <f t="shared" si="18"/>
        <v>0</v>
      </c>
      <c r="AK73" s="53">
        <f t="shared" si="19"/>
        <v>0</v>
      </c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7"/>
      <c r="AW73" s="57"/>
      <c r="AX73" s="57"/>
    </row>
    <row r="74" spans="2:50">
      <c r="B74" s="45">
        <v>60</v>
      </c>
      <c r="C74" s="154" t="s">
        <v>168</v>
      </c>
      <c r="D74" s="154" t="s">
        <v>254</v>
      </c>
      <c r="E74" s="158" t="s">
        <v>255</v>
      </c>
      <c r="F74" s="159" t="s">
        <v>269</v>
      </c>
      <c r="G74" s="49" t="s">
        <v>156</v>
      </c>
      <c r="H74" s="151">
        <v>42296</v>
      </c>
      <c r="I74" s="50" t="s">
        <v>157</v>
      </c>
      <c r="J74" s="160">
        <f t="shared" si="0"/>
        <v>6</v>
      </c>
      <c r="K74" s="160">
        <v>6</v>
      </c>
      <c r="L74" s="160">
        <v>0</v>
      </c>
      <c r="M74" s="160"/>
      <c r="N74" s="160">
        <v>0.1</v>
      </c>
      <c r="O74" s="160">
        <v>0</v>
      </c>
      <c r="P74" s="52">
        <v>1</v>
      </c>
      <c r="Q74" s="53"/>
      <c r="R74" s="54" t="s">
        <v>158</v>
      </c>
      <c r="S74" s="54" t="s">
        <v>158</v>
      </c>
      <c r="T74" s="54" t="s">
        <v>158</v>
      </c>
      <c r="U74" s="54" t="s">
        <v>158</v>
      </c>
      <c r="V74" s="53" t="s">
        <v>258</v>
      </c>
      <c r="W74" s="53"/>
      <c r="X74" s="53">
        <f t="shared" si="9"/>
        <v>0</v>
      </c>
      <c r="Y74" s="55"/>
      <c r="Z74" s="55"/>
      <c r="AA74" s="52">
        <f t="shared" si="10"/>
        <v>0</v>
      </c>
      <c r="AB74" s="53">
        <f t="shared" si="11"/>
        <v>0</v>
      </c>
      <c r="AC74" s="53">
        <f t="shared" si="12"/>
        <v>0</v>
      </c>
      <c r="AD74" s="53">
        <f t="shared" si="13"/>
        <v>0</v>
      </c>
      <c r="AE74" s="53">
        <f t="shared" si="14"/>
        <v>0</v>
      </c>
      <c r="AF74" s="53">
        <f t="shared" si="15"/>
        <v>0</v>
      </c>
      <c r="AG74" s="56">
        <f t="shared" si="16"/>
        <v>0</v>
      </c>
      <c r="AH74" s="53">
        <f t="shared" si="17"/>
        <v>0</v>
      </c>
      <c r="AI74" s="55"/>
      <c r="AJ74" s="53">
        <f t="shared" si="18"/>
        <v>0</v>
      </c>
      <c r="AK74" s="53">
        <f t="shared" si="19"/>
        <v>0</v>
      </c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7"/>
      <c r="AW74" s="57"/>
      <c r="AX74" s="57"/>
    </row>
    <row r="75" spans="2:50">
      <c r="B75" s="45">
        <v>61</v>
      </c>
      <c r="C75" s="154" t="s">
        <v>168</v>
      </c>
      <c r="D75" s="154" t="s">
        <v>254</v>
      </c>
      <c r="E75" s="158" t="s">
        <v>255</v>
      </c>
      <c r="F75" s="159" t="s">
        <v>270</v>
      </c>
      <c r="G75" s="49" t="s">
        <v>156</v>
      </c>
      <c r="H75" s="151">
        <v>42296</v>
      </c>
      <c r="I75" s="50" t="s">
        <v>157</v>
      </c>
      <c r="J75" s="160">
        <f t="shared" ref="J75:J138" si="20">SUM(K75:L75)</f>
        <v>36</v>
      </c>
      <c r="K75" s="160">
        <v>36</v>
      </c>
      <c r="L75" s="160">
        <v>0</v>
      </c>
      <c r="M75" s="160"/>
      <c r="N75" s="160">
        <v>0.6</v>
      </c>
      <c r="O75" s="160">
        <v>0</v>
      </c>
      <c r="P75" s="52">
        <v>1</v>
      </c>
      <c r="Q75" s="53" t="s">
        <v>257</v>
      </c>
      <c r="R75" s="54" t="s">
        <v>158</v>
      </c>
      <c r="S75" s="54" t="s">
        <v>158</v>
      </c>
      <c r="T75" s="54" t="s">
        <v>158</v>
      </c>
      <c r="U75" s="54" t="s">
        <v>158</v>
      </c>
      <c r="V75" s="53" t="s">
        <v>258</v>
      </c>
      <c r="W75" s="53"/>
      <c r="X75" s="53">
        <f t="shared" si="9"/>
        <v>0</v>
      </c>
      <c r="Y75" s="55"/>
      <c r="Z75" s="55"/>
      <c r="AA75" s="52">
        <f t="shared" si="10"/>
        <v>0</v>
      </c>
      <c r="AB75" s="53">
        <f t="shared" si="11"/>
        <v>0</v>
      </c>
      <c r="AC75" s="53">
        <f t="shared" si="12"/>
        <v>0</v>
      </c>
      <c r="AD75" s="53">
        <f t="shared" si="13"/>
        <v>0</v>
      </c>
      <c r="AE75" s="53">
        <f t="shared" si="14"/>
        <v>0</v>
      </c>
      <c r="AF75" s="53">
        <f t="shared" si="15"/>
        <v>0</v>
      </c>
      <c r="AG75" s="56">
        <f t="shared" si="16"/>
        <v>1</v>
      </c>
      <c r="AH75" s="53">
        <f t="shared" si="17"/>
        <v>0</v>
      </c>
      <c r="AI75" s="55"/>
      <c r="AJ75" s="53">
        <f t="shared" si="18"/>
        <v>0</v>
      </c>
      <c r="AK75" s="53">
        <f t="shared" si="19"/>
        <v>0</v>
      </c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7"/>
      <c r="AW75" s="57"/>
      <c r="AX75" s="57"/>
    </row>
    <row r="76" spans="2:50">
      <c r="B76" s="45">
        <v>62</v>
      </c>
      <c r="C76" s="154" t="s">
        <v>168</v>
      </c>
      <c r="D76" s="154" t="s">
        <v>254</v>
      </c>
      <c r="E76" s="158" t="s">
        <v>255</v>
      </c>
      <c r="F76" s="159" t="s">
        <v>271</v>
      </c>
      <c r="G76" s="49" t="s">
        <v>156</v>
      </c>
      <c r="H76" s="151">
        <v>42296</v>
      </c>
      <c r="I76" s="50" t="s">
        <v>157</v>
      </c>
      <c r="J76" s="160">
        <f t="shared" si="20"/>
        <v>30</v>
      </c>
      <c r="K76" s="160">
        <v>30</v>
      </c>
      <c r="L76" s="160">
        <v>0</v>
      </c>
      <c r="M76" s="160"/>
      <c r="N76" s="160">
        <v>0.5</v>
      </c>
      <c r="O76" s="160">
        <v>0</v>
      </c>
      <c r="P76" s="52">
        <v>1</v>
      </c>
      <c r="Q76" s="53"/>
      <c r="R76" s="54" t="s">
        <v>158</v>
      </c>
      <c r="S76" s="54" t="s">
        <v>158</v>
      </c>
      <c r="T76" s="54" t="s">
        <v>158</v>
      </c>
      <c r="U76" s="54" t="s">
        <v>158</v>
      </c>
      <c r="V76" s="53" t="s">
        <v>258</v>
      </c>
      <c r="W76" s="53"/>
      <c r="X76" s="53">
        <f t="shared" si="9"/>
        <v>0</v>
      </c>
      <c r="Y76" s="55"/>
      <c r="Z76" s="55"/>
      <c r="AA76" s="52">
        <f t="shared" si="10"/>
        <v>0</v>
      </c>
      <c r="AB76" s="53">
        <f t="shared" si="11"/>
        <v>0</v>
      </c>
      <c r="AC76" s="53">
        <f t="shared" si="12"/>
        <v>0</v>
      </c>
      <c r="AD76" s="53">
        <f t="shared" si="13"/>
        <v>0</v>
      </c>
      <c r="AE76" s="53">
        <f t="shared" si="14"/>
        <v>0</v>
      </c>
      <c r="AF76" s="53">
        <f t="shared" si="15"/>
        <v>0</v>
      </c>
      <c r="AG76" s="56">
        <f t="shared" si="16"/>
        <v>0</v>
      </c>
      <c r="AH76" s="53">
        <f t="shared" si="17"/>
        <v>0</v>
      </c>
      <c r="AI76" s="55"/>
      <c r="AJ76" s="53">
        <f t="shared" si="18"/>
        <v>0</v>
      </c>
      <c r="AK76" s="53">
        <f t="shared" si="19"/>
        <v>0</v>
      </c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7"/>
      <c r="AW76" s="57"/>
      <c r="AX76" s="57"/>
    </row>
    <row r="77" spans="2:50">
      <c r="B77" s="45">
        <v>63</v>
      </c>
      <c r="C77" s="154" t="s">
        <v>168</v>
      </c>
      <c r="D77" s="154" t="s">
        <v>254</v>
      </c>
      <c r="E77" s="158" t="s">
        <v>255</v>
      </c>
      <c r="F77" s="159" t="s">
        <v>272</v>
      </c>
      <c r="G77" s="49" t="s">
        <v>156</v>
      </c>
      <c r="H77" s="151">
        <v>42296</v>
      </c>
      <c r="I77" s="50" t="s">
        <v>157</v>
      </c>
      <c r="J77" s="160">
        <f t="shared" si="20"/>
        <v>24</v>
      </c>
      <c r="K77" s="160">
        <v>24</v>
      </c>
      <c r="L77" s="160">
        <v>0</v>
      </c>
      <c r="M77" s="160"/>
      <c r="N77" s="160">
        <v>0.4</v>
      </c>
      <c r="O77" s="160">
        <v>0</v>
      </c>
      <c r="P77" s="52">
        <v>1</v>
      </c>
      <c r="Q77" s="53"/>
      <c r="R77" s="54" t="s">
        <v>158</v>
      </c>
      <c r="S77" s="54" t="s">
        <v>158</v>
      </c>
      <c r="T77" s="54" t="s">
        <v>158</v>
      </c>
      <c r="U77" s="54" t="s">
        <v>158</v>
      </c>
      <c r="V77" s="53" t="s">
        <v>258</v>
      </c>
      <c r="W77" s="53"/>
      <c r="X77" s="53">
        <f t="shared" si="9"/>
        <v>0</v>
      </c>
      <c r="Y77" s="55"/>
      <c r="Z77" s="55"/>
      <c r="AA77" s="52">
        <f t="shared" si="10"/>
        <v>0</v>
      </c>
      <c r="AB77" s="53">
        <f t="shared" si="11"/>
        <v>0</v>
      </c>
      <c r="AC77" s="53">
        <f t="shared" si="12"/>
        <v>0</v>
      </c>
      <c r="AD77" s="53">
        <f t="shared" si="13"/>
        <v>0</v>
      </c>
      <c r="AE77" s="53">
        <f t="shared" si="14"/>
        <v>0</v>
      </c>
      <c r="AF77" s="53">
        <f t="shared" si="15"/>
        <v>0</v>
      </c>
      <c r="AG77" s="56">
        <f t="shared" si="16"/>
        <v>0</v>
      </c>
      <c r="AH77" s="53">
        <f t="shared" si="17"/>
        <v>0</v>
      </c>
      <c r="AI77" s="55"/>
      <c r="AJ77" s="53">
        <f t="shared" si="18"/>
        <v>0</v>
      </c>
      <c r="AK77" s="53">
        <f t="shared" si="19"/>
        <v>0</v>
      </c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7"/>
      <c r="AW77" s="57"/>
      <c r="AX77" s="57"/>
    </row>
    <row r="78" spans="2:50">
      <c r="B78" s="45">
        <v>64</v>
      </c>
      <c r="C78" s="154" t="s">
        <v>168</v>
      </c>
      <c r="D78" s="154" t="s">
        <v>254</v>
      </c>
      <c r="E78" s="158" t="s">
        <v>255</v>
      </c>
      <c r="F78" s="159" t="s">
        <v>273</v>
      </c>
      <c r="G78" s="49" t="s">
        <v>156</v>
      </c>
      <c r="H78" s="151">
        <v>42296</v>
      </c>
      <c r="I78" s="50" t="s">
        <v>157</v>
      </c>
      <c r="J78" s="160">
        <f t="shared" si="20"/>
        <v>6</v>
      </c>
      <c r="K78" s="160">
        <v>6</v>
      </c>
      <c r="L78" s="160">
        <v>0</v>
      </c>
      <c r="M78" s="160"/>
      <c r="N78" s="160">
        <v>0.1</v>
      </c>
      <c r="O78" s="160">
        <v>0</v>
      </c>
      <c r="P78" s="52">
        <v>1</v>
      </c>
      <c r="Q78" s="53" t="s">
        <v>257</v>
      </c>
      <c r="R78" s="54" t="s">
        <v>158</v>
      </c>
      <c r="S78" s="54" t="s">
        <v>158</v>
      </c>
      <c r="T78" s="54" t="s">
        <v>158</v>
      </c>
      <c r="U78" s="54" t="s">
        <v>158</v>
      </c>
      <c r="V78" s="53" t="s">
        <v>258</v>
      </c>
      <c r="W78" s="53"/>
      <c r="X78" s="53">
        <f t="shared" si="9"/>
        <v>0</v>
      </c>
      <c r="Y78" s="55"/>
      <c r="Z78" s="55"/>
      <c r="AA78" s="52">
        <f t="shared" si="10"/>
        <v>0</v>
      </c>
      <c r="AB78" s="53">
        <f t="shared" si="11"/>
        <v>0</v>
      </c>
      <c r="AC78" s="53">
        <f t="shared" si="12"/>
        <v>0</v>
      </c>
      <c r="AD78" s="53">
        <f t="shared" si="13"/>
        <v>0</v>
      </c>
      <c r="AE78" s="53">
        <f t="shared" si="14"/>
        <v>0</v>
      </c>
      <c r="AF78" s="53">
        <f t="shared" si="15"/>
        <v>0</v>
      </c>
      <c r="AG78" s="56">
        <f t="shared" si="16"/>
        <v>1</v>
      </c>
      <c r="AH78" s="53">
        <f t="shared" si="17"/>
        <v>0</v>
      </c>
      <c r="AI78" s="55"/>
      <c r="AJ78" s="53">
        <f t="shared" si="18"/>
        <v>0</v>
      </c>
      <c r="AK78" s="53">
        <f t="shared" si="19"/>
        <v>0</v>
      </c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7"/>
      <c r="AW78" s="57"/>
      <c r="AX78" s="57"/>
    </row>
    <row r="79" spans="2:50">
      <c r="B79" s="45">
        <v>65</v>
      </c>
      <c r="C79" s="154" t="s">
        <v>168</v>
      </c>
      <c r="D79" s="154" t="s">
        <v>254</v>
      </c>
      <c r="E79" s="158" t="s">
        <v>255</v>
      </c>
      <c r="F79" s="159" t="s">
        <v>274</v>
      </c>
      <c r="G79" s="49" t="s">
        <v>156</v>
      </c>
      <c r="H79" s="151">
        <v>42296</v>
      </c>
      <c r="I79" s="50" t="s">
        <v>157</v>
      </c>
      <c r="J79" s="160">
        <f t="shared" si="20"/>
        <v>6</v>
      </c>
      <c r="K79" s="160">
        <v>6</v>
      </c>
      <c r="L79" s="160">
        <v>0</v>
      </c>
      <c r="M79" s="160"/>
      <c r="N79" s="160">
        <v>0.1</v>
      </c>
      <c r="O79" s="160">
        <v>0</v>
      </c>
      <c r="P79" s="52">
        <v>1</v>
      </c>
      <c r="Q79" s="53"/>
      <c r="R79" s="54" t="s">
        <v>158</v>
      </c>
      <c r="S79" s="54" t="s">
        <v>158</v>
      </c>
      <c r="T79" s="54" t="s">
        <v>158</v>
      </c>
      <c r="U79" s="54" t="s">
        <v>158</v>
      </c>
      <c r="V79" s="53" t="s">
        <v>258</v>
      </c>
      <c r="W79" s="53"/>
      <c r="X79" s="53">
        <f t="shared" si="9"/>
        <v>0</v>
      </c>
      <c r="Y79" s="55"/>
      <c r="Z79" s="55"/>
      <c r="AA79" s="52">
        <f t="shared" si="10"/>
        <v>0</v>
      </c>
      <c r="AB79" s="53">
        <f t="shared" si="11"/>
        <v>0</v>
      </c>
      <c r="AC79" s="53">
        <f t="shared" si="12"/>
        <v>0</v>
      </c>
      <c r="AD79" s="53">
        <f t="shared" si="13"/>
        <v>0</v>
      </c>
      <c r="AE79" s="53">
        <f t="shared" si="14"/>
        <v>0</v>
      </c>
      <c r="AF79" s="53">
        <f t="shared" si="15"/>
        <v>0</v>
      </c>
      <c r="AG79" s="56">
        <f t="shared" si="16"/>
        <v>0</v>
      </c>
      <c r="AH79" s="53">
        <f t="shared" si="17"/>
        <v>0</v>
      </c>
      <c r="AI79" s="55"/>
      <c r="AJ79" s="53">
        <f t="shared" si="18"/>
        <v>0</v>
      </c>
      <c r="AK79" s="53">
        <f t="shared" si="19"/>
        <v>0</v>
      </c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7"/>
      <c r="AW79" s="57"/>
      <c r="AX79" s="57"/>
    </row>
    <row r="80" spans="2:50">
      <c r="B80" s="45">
        <v>66</v>
      </c>
      <c r="C80" s="154" t="s">
        <v>168</v>
      </c>
      <c r="D80" s="154" t="s">
        <v>254</v>
      </c>
      <c r="E80" s="158" t="s">
        <v>255</v>
      </c>
      <c r="F80" s="159" t="s">
        <v>275</v>
      </c>
      <c r="G80" s="49" t="s">
        <v>156</v>
      </c>
      <c r="H80" s="151">
        <v>42296</v>
      </c>
      <c r="I80" s="50" t="s">
        <v>157</v>
      </c>
      <c r="J80" s="160">
        <f t="shared" si="20"/>
        <v>6</v>
      </c>
      <c r="K80" s="160">
        <v>6</v>
      </c>
      <c r="L80" s="160">
        <v>0</v>
      </c>
      <c r="M80" s="160"/>
      <c r="N80" s="160">
        <v>0.1</v>
      </c>
      <c r="O80" s="160">
        <v>0</v>
      </c>
      <c r="P80" s="52">
        <v>1</v>
      </c>
      <c r="Q80" s="53" t="s">
        <v>257</v>
      </c>
      <c r="R80" s="54" t="s">
        <v>158</v>
      </c>
      <c r="S80" s="54" t="s">
        <v>158</v>
      </c>
      <c r="T80" s="54" t="s">
        <v>158</v>
      </c>
      <c r="U80" s="54" t="s">
        <v>158</v>
      </c>
      <c r="V80" s="53" t="s">
        <v>258</v>
      </c>
      <c r="W80" s="53"/>
      <c r="X80" s="53">
        <f t="shared" si="9"/>
        <v>0</v>
      </c>
      <c r="Y80" s="55"/>
      <c r="Z80" s="55"/>
      <c r="AA80" s="52">
        <f t="shared" si="10"/>
        <v>0</v>
      </c>
      <c r="AB80" s="53">
        <f t="shared" si="11"/>
        <v>0</v>
      </c>
      <c r="AC80" s="53">
        <f t="shared" si="12"/>
        <v>0</v>
      </c>
      <c r="AD80" s="53">
        <f t="shared" si="13"/>
        <v>0</v>
      </c>
      <c r="AE80" s="53">
        <f t="shared" si="14"/>
        <v>0</v>
      </c>
      <c r="AF80" s="53">
        <f t="shared" si="15"/>
        <v>0</v>
      </c>
      <c r="AG80" s="56">
        <f t="shared" si="16"/>
        <v>1</v>
      </c>
      <c r="AH80" s="53">
        <f t="shared" si="17"/>
        <v>0</v>
      </c>
      <c r="AI80" s="55"/>
      <c r="AJ80" s="53">
        <f t="shared" si="18"/>
        <v>0</v>
      </c>
      <c r="AK80" s="53">
        <f t="shared" si="19"/>
        <v>0</v>
      </c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7"/>
      <c r="AW80" s="57"/>
      <c r="AX80" s="57"/>
    </row>
    <row r="81" spans="2:50">
      <c r="B81" s="45">
        <v>67</v>
      </c>
      <c r="C81" s="154" t="s">
        <v>168</v>
      </c>
      <c r="D81" s="154" t="s">
        <v>254</v>
      </c>
      <c r="E81" s="158" t="s">
        <v>255</v>
      </c>
      <c r="F81" s="159" t="s">
        <v>276</v>
      </c>
      <c r="G81" s="49" t="s">
        <v>156</v>
      </c>
      <c r="H81" s="151">
        <v>42296</v>
      </c>
      <c r="I81" s="50" t="s">
        <v>157</v>
      </c>
      <c r="J81" s="160">
        <f t="shared" si="20"/>
        <v>6</v>
      </c>
      <c r="K81" s="160">
        <v>6</v>
      </c>
      <c r="L81" s="160">
        <v>0</v>
      </c>
      <c r="M81" s="160"/>
      <c r="N81" s="160">
        <v>0.1</v>
      </c>
      <c r="O81" s="160">
        <v>0</v>
      </c>
      <c r="P81" s="52">
        <v>1</v>
      </c>
      <c r="Q81" s="53" t="s">
        <v>257</v>
      </c>
      <c r="R81" s="54" t="s">
        <v>158</v>
      </c>
      <c r="S81" s="54" t="s">
        <v>158</v>
      </c>
      <c r="T81" s="54" t="s">
        <v>158</v>
      </c>
      <c r="U81" s="54" t="s">
        <v>158</v>
      </c>
      <c r="V81" s="53" t="s">
        <v>258</v>
      </c>
      <c r="W81" s="53"/>
      <c r="X81" s="53">
        <f t="shared" ref="X81:X100" si="21">SUMIF(W81,"Y",K81)</f>
        <v>0</v>
      </c>
      <c r="Y81" s="55"/>
      <c r="Z81" s="55"/>
      <c r="AA81" s="52">
        <f t="shared" ref="AA81:AA100" si="22">(COUNTA(AL81:AU81)-COUNTIF(AL81:AU81, "X"))</f>
        <v>0</v>
      </c>
      <c r="AB81" s="53">
        <f t="shared" ref="AB81:AB100" si="23">(COUNTA(AL81:AU81)-COUNTIF(AL81:AU81, "X"))*P81*K81</f>
        <v>0</v>
      </c>
      <c r="AC81" s="53">
        <f t="shared" ref="AC81:AC100" si="24">COUNTIF(AL81:AU81,"A")</f>
        <v>0</v>
      </c>
      <c r="AD81" s="53">
        <f t="shared" ref="AD81:AD100" si="25">COUNTIF(AL81:AU81,"V")*P81*M81</f>
        <v>0</v>
      </c>
      <c r="AE81" s="53">
        <f t="shared" ref="AE81:AE100" si="26">COUNTIF(AL81:AU81,"L")</f>
        <v>0</v>
      </c>
      <c r="AF81" s="53">
        <f t="shared" ref="AF81:AF100" si="27">COUNTIF(AL81:AU81,"L")*K81*P81</f>
        <v>0</v>
      </c>
      <c r="AG81" s="56">
        <f t="shared" ref="AG81:AG100" si="28">IF(Q81="Y",1,0)</f>
        <v>1</v>
      </c>
      <c r="AH81" s="53">
        <f t="shared" ref="AH81:AH100" si="29">IF(Q81="Y", AA81, 0)*K81*P81/2</f>
        <v>0</v>
      </c>
      <c r="AI81" s="55"/>
      <c r="AJ81" s="53">
        <f t="shared" ref="AJ81:AJ100" si="30">COUNTIF(AL81:AU81, "V")</f>
        <v>0</v>
      </c>
      <c r="AK81" s="53">
        <f t="shared" ref="AK81:AK100" si="31">AB81-AD81-AF81-AH81</f>
        <v>0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  <c r="AW81" s="57"/>
      <c r="AX81" s="57"/>
    </row>
    <row r="82" spans="2:50">
      <c r="B82" s="45">
        <v>68</v>
      </c>
      <c r="C82" s="154" t="s">
        <v>168</v>
      </c>
      <c r="D82" s="154" t="s">
        <v>254</v>
      </c>
      <c r="E82" s="158" t="s">
        <v>255</v>
      </c>
      <c r="F82" s="159" t="s">
        <v>277</v>
      </c>
      <c r="G82" s="49" t="s">
        <v>187</v>
      </c>
      <c r="H82" s="151">
        <v>42296</v>
      </c>
      <c r="I82" s="50" t="s">
        <v>157</v>
      </c>
      <c r="J82" s="160">
        <f t="shared" si="20"/>
        <v>6</v>
      </c>
      <c r="K82" s="160">
        <v>6</v>
      </c>
      <c r="L82" s="160">
        <v>0</v>
      </c>
      <c r="M82" s="160"/>
      <c r="N82" s="160">
        <v>0.1</v>
      </c>
      <c r="O82" s="160">
        <v>0</v>
      </c>
      <c r="P82" s="52">
        <v>1</v>
      </c>
      <c r="Q82" s="53" t="s">
        <v>257</v>
      </c>
      <c r="R82" s="54" t="s">
        <v>158</v>
      </c>
      <c r="S82" s="54" t="s">
        <v>158</v>
      </c>
      <c r="T82" s="54" t="s">
        <v>158</v>
      </c>
      <c r="U82" s="54" t="s">
        <v>158</v>
      </c>
      <c r="V82" s="53" t="s">
        <v>258</v>
      </c>
      <c r="W82" s="53"/>
      <c r="X82" s="53">
        <f t="shared" si="21"/>
        <v>0</v>
      </c>
      <c r="Y82" s="55"/>
      <c r="Z82" s="55"/>
      <c r="AA82" s="52">
        <f t="shared" si="22"/>
        <v>0</v>
      </c>
      <c r="AB82" s="53">
        <f t="shared" si="23"/>
        <v>0</v>
      </c>
      <c r="AC82" s="53">
        <f t="shared" si="24"/>
        <v>0</v>
      </c>
      <c r="AD82" s="53">
        <f t="shared" si="25"/>
        <v>0</v>
      </c>
      <c r="AE82" s="53">
        <f t="shared" si="26"/>
        <v>0</v>
      </c>
      <c r="AF82" s="53">
        <f t="shared" si="27"/>
        <v>0</v>
      </c>
      <c r="AG82" s="56">
        <f t="shared" si="28"/>
        <v>1</v>
      </c>
      <c r="AH82" s="53">
        <f t="shared" si="29"/>
        <v>0</v>
      </c>
      <c r="AI82" s="55"/>
      <c r="AJ82" s="53">
        <f t="shared" si="30"/>
        <v>0</v>
      </c>
      <c r="AK82" s="53">
        <f t="shared" si="31"/>
        <v>0</v>
      </c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7"/>
      <c r="AW82" s="57"/>
      <c r="AX82" s="57"/>
    </row>
    <row r="83" spans="2:50">
      <c r="B83" s="45">
        <v>69</v>
      </c>
      <c r="C83" s="154" t="s">
        <v>168</v>
      </c>
      <c r="D83" s="154" t="s">
        <v>254</v>
      </c>
      <c r="E83" s="158" t="s">
        <v>255</v>
      </c>
      <c r="F83" s="156" t="s">
        <v>278</v>
      </c>
      <c r="G83" s="49" t="s">
        <v>187</v>
      </c>
      <c r="H83" s="151">
        <v>42296</v>
      </c>
      <c r="I83" s="50" t="s">
        <v>157</v>
      </c>
      <c r="J83" s="160">
        <f t="shared" si="20"/>
        <v>48</v>
      </c>
      <c r="K83" s="160">
        <v>48</v>
      </c>
      <c r="L83" s="160">
        <v>0</v>
      </c>
      <c r="M83" s="160"/>
      <c r="N83" s="160">
        <v>0.79999999999999993</v>
      </c>
      <c r="O83" s="160">
        <v>0</v>
      </c>
      <c r="P83" s="52">
        <v>1</v>
      </c>
      <c r="Q83" s="53" t="s">
        <v>257</v>
      </c>
      <c r="R83" s="54" t="s">
        <v>158</v>
      </c>
      <c r="S83" s="54" t="s">
        <v>158</v>
      </c>
      <c r="T83" s="54" t="s">
        <v>158</v>
      </c>
      <c r="U83" s="54" t="s">
        <v>158</v>
      </c>
      <c r="V83" s="53" t="s">
        <v>258</v>
      </c>
      <c r="W83" s="53"/>
      <c r="X83" s="53">
        <f t="shared" si="21"/>
        <v>0</v>
      </c>
      <c r="Y83" s="55"/>
      <c r="Z83" s="55"/>
      <c r="AA83" s="52">
        <f t="shared" si="22"/>
        <v>0</v>
      </c>
      <c r="AB83" s="53">
        <f t="shared" si="23"/>
        <v>0</v>
      </c>
      <c r="AC83" s="53">
        <f t="shared" si="24"/>
        <v>0</v>
      </c>
      <c r="AD83" s="53">
        <f t="shared" si="25"/>
        <v>0</v>
      </c>
      <c r="AE83" s="53">
        <f t="shared" si="26"/>
        <v>0</v>
      </c>
      <c r="AF83" s="53">
        <f t="shared" si="27"/>
        <v>0</v>
      </c>
      <c r="AG83" s="56">
        <f t="shared" si="28"/>
        <v>1</v>
      </c>
      <c r="AH83" s="53">
        <f t="shared" si="29"/>
        <v>0</v>
      </c>
      <c r="AI83" s="55"/>
      <c r="AJ83" s="53">
        <f t="shared" si="30"/>
        <v>0</v>
      </c>
      <c r="AK83" s="53">
        <f t="shared" si="31"/>
        <v>0</v>
      </c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7"/>
      <c r="AW83" s="57"/>
      <c r="AX83" s="57"/>
    </row>
    <row r="84" spans="2:50">
      <c r="B84" s="45">
        <v>70</v>
      </c>
      <c r="C84" s="154" t="s">
        <v>168</v>
      </c>
      <c r="D84" s="154" t="s">
        <v>254</v>
      </c>
      <c r="E84" s="158" t="s">
        <v>255</v>
      </c>
      <c r="F84" s="159" t="s">
        <v>279</v>
      </c>
      <c r="G84" s="49" t="s">
        <v>187</v>
      </c>
      <c r="H84" s="151">
        <v>42296</v>
      </c>
      <c r="I84" s="50" t="s">
        <v>157</v>
      </c>
      <c r="J84" s="160">
        <f t="shared" si="20"/>
        <v>36</v>
      </c>
      <c r="K84" s="160">
        <v>36</v>
      </c>
      <c r="L84" s="160">
        <v>0</v>
      </c>
      <c r="M84" s="160"/>
      <c r="N84" s="160">
        <v>0.6</v>
      </c>
      <c r="O84" s="160">
        <v>0</v>
      </c>
      <c r="P84" s="52">
        <v>1</v>
      </c>
      <c r="Q84" s="53" t="s">
        <v>257</v>
      </c>
      <c r="R84" s="54" t="s">
        <v>158</v>
      </c>
      <c r="S84" s="54" t="s">
        <v>158</v>
      </c>
      <c r="T84" s="54" t="s">
        <v>158</v>
      </c>
      <c r="U84" s="54" t="s">
        <v>158</v>
      </c>
      <c r="V84" s="53" t="s">
        <v>258</v>
      </c>
      <c r="W84" s="53"/>
      <c r="X84" s="53">
        <f t="shared" si="21"/>
        <v>0</v>
      </c>
      <c r="Y84" s="55"/>
      <c r="Z84" s="55"/>
      <c r="AA84" s="52">
        <f t="shared" si="22"/>
        <v>0</v>
      </c>
      <c r="AB84" s="53">
        <f t="shared" si="23"/>
        <v>0</v>
      </c>
      <c r="AC84" s="53">
        <f t="shared" si="24"/>
        <v>0</v>
      </c>
      <c r="AD84" s="53">
        <f t="shared" si="25"/>
        <v>0</v>
      </c>
      <c r="AE84" s="53">
        <f t="shared" si="26"/>
        <v>0</v>
      </c>
      <c r="AF84" s="53">
        <f t="shared" si="27"/>
        <v>0</v>
      </c>
      <c r="AG84" s="56">
        <f t="shared" si="28"/>
        <v>1</v>
      </c>
      <c r="AH84" s="53">
        <f t="shared" si="29"/>
        <v>0</v>
      </c>
      <c r="AI84" s="55"/>
      <c r="AJ84" s="53">
        <f t="shared" si="30"/>
        <v>0</v>
      </c>
      <c r="AK84" s="53">
        <f t="shared" si="31"/>
        <v>0</v>
      </c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7"/>
      <c r="AW84" s="57"/>
      <c r="AX84" s="57"/>
    </row>
    <row r="85" spans="2:50">
      <c r="B85" s="45">
        <v>71</v>
      </c>
      <c r="C85" s="154" t="s">
        <v>168</v>
      </c>
      <c r="D85" s="154" t="s">
        <v>254</v>
      </c>
      <c r="E85" s="158" t="s">
        <v>255</v>
      </c>
      <c r="F85" s="159" t="s">
        <v>280</v>
      </c>
      <c r="G85" s="49" t="s">
        <v>187</v>
      </c>
      <c r="H85" s="151">
        <v>42296</v>
      </c>
      <c r="I85" s="50" t="s">
        <v>157</v>
      </c>
      <c r="J85" s="160">
        <f t="shared" si="20"/>
        <v>9</v>
      </c>
      <c r="K85" s="160">
        <v>9</v>
      </c>
      <c r="L85" s="160">
        <v>0</v>
      </c>
      <c r="M85" s="160"/>
      <c r="N85" s="160">
        <v>0.2</v>
      </c>
      <c r="O85" s="160">
        <v>0</v>
      </c>
      <c r="P85" s="52">
        <v>1</v>
      </c>
      <c r="Q85" s="53"/>
      <c r="R85" s="54" t="s">
        <v>158</v>
      </c>
      <c r="S85" s="54" t="s">
        <v>158</v>
      </c>
      <c r="T85" s="54" t="s">
        <v>158</v>
      </c>
      <c r="U85" s="54" t="s">
        <v>158</v>
      </c>
      <c r="V85" s="53" t="s">
        <v>258</v>
      </c>
      <c r="W85" s="53"/>
      <c r="X85" s="53">
        <f t="shared" si="21"/>
        <v>0</v>
      </c>
      <c r="Y85" s="55"/>
      <c r="Z85" s="55"/>
      <c r="AA85" s="52">
        <f t="shared" si="22"/>
        <v>0</v>
      </c>
      <c r="AB85" s="53">
        <f t="shared" si="23"/>
        <v>0</v>
      </c>
      <c r="AC85" s="53">
        <f t="shared" si="24"/>
        <v>0</v>
      </c>
      <c r="AD85" s="53">
        <f t="shared" si="25"/>
        <v>0</v>
      </c>
      <c r="AE85" s="53">
        <f t="shared" si="26"/>
        <v>0</v>
      </c>
      <c r="AF85" s="53">
        <f t="shared" si="27"/>
        <v>0</v>
      </c>
      <c r="AG85" s="56">
        <f t="shared" si="28"/>
        <v>0</v>
      </c>
      <c r="AH85" s="53">
        <f t="shared" si="29"/>
        <v>0</v>
      </c>
      <c r="AI85" s="55"/>
      <c r="AJ85" s="53">
        <f t="shared" si="30"/>
        <v>0</v>
      </c>
      <c r="AK85" s="53">
        <f t="shared" si="31"/>
        <v>0</v>
      </c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7"/>
      <c r="AW85" s="57"/>
      <c r="AX85" s="57"/>
    </row>
    <row r="86" spans="2:50">
      <c r="B86" s="45">
        <v>72</v>
      </c>
      <c r="C86" s="154" t="s">
        <v>168</v>
      </c>
      <c r="D86" s="154" t="s">
        <v>254</v>
      </c>
      <c r="E86" s="158" t="s">
        <v>255</v>
      </c>
      <c r="F86" s="159" t="s">
        <v>281</v>
      </c>
      <c r="G86" s="49" t="s">
        <v>187</v>
      </c>
      <c r="H86" s="151">
        <v>42296</v>
      </c>
      <c r="I86" s="50" t="s">
        <v>157</v>
      </c>
      <c r="J86" s="160">
        <f t="shared" si="20"/>
        <v>42</v>
      </c>
      <c r="K86" s="160">
        <v>42</v>
      </c>
      <c r="L86" s="160">
        <v>0</v>
      </c>
      <c r="M86" s="160"/>
      <c r="N86" s="160">
        <v>0.79999999999999993</v>
      </c>
      <c r="O86" s="160">
        <v>0</v>
      </c>
      <c r="P86" s="52">
        <v>1</v>
      </c>
      <c r="Q86" s="53" t="s">
        <v>257</v>
      </c>
      <c r="R86" s="54" t="s">
        <v>158</v>
      </c>
      <c r="S86" s="54" t="s">
        <v>158</v>
      </c>
      <c r="T86" s="54" t="s">
        <v>158</v>
      </c>
      <c r="U86" s="54" t="s">
        <v>158</v>
      </c>
      <c r="V86" s="53" t="s">
        <v>258</v>
      </c>
      <c r="W86" s="53"/>
      <c r="X86" s="53">
        <f t="shared" si="21"/>
        <v>0</v>
      </c>
      <c r="Y86" s="55"/>
      <c r="Z86" s="55"/>
      <c r="AA86" s="52">
        <f t="shared" si="22"/>
        <v>0</v>
      </c>
      <c r="AB86" s="53">
        <f t="shared" si="23"/>
        <v>0</v>
      </c>
      <c r="AC86" s="53">
        <f t="shared" si="24"/>
        <v>0</v>
      </c>
      <c r="AD86" s="53">
        <f t="shared" si="25"/>
        <v>0</v>
      </c>
      <c r="AE86" s="53">
        <f t="shared" si="26"/>
        <v>0</v>
      </c>
      <c r="AF86" s="53">
        <f t="shared" si="27"/>
        <v>0</v>
      </c>
      <c r="AG86" s="56">
        <f t="shared" si="28"/>
        <v>1</v>
      </c>
      <c r="AH86" s="53">
        <f t="shared" si="29"/>
        <v>0</v>
      </c>
      <c r="AI86" s="55"/>
      <c r="AJ86" s="53">
        <f t="shared" si="30"/>
        <v>0</v>
      </c>
      <c r="AK86" s="53">
        <f t="shared" si="31"/>
        <v>0</v>
      </c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7"/>
      <c r="AW86" s="57"/>
      <c r="AX86" s="57"/>
    </row>
    <row r="87" spans="2:50">
      <c r="B87" s="45">
        <v>73</v>
      </c>
      <c r="C87" s="154" t="s">
        <v>168</v>
      </c>
      <c r="D87" s="154" t="s">
        <v>254</v>
      </c>
      <c r="E87" s="158" t="s">
        <v>255</v>
      </c>
      <c r="F87" s="159" t="s">
        <v>282</v>
      </c>
      <c r="G87" s="49" t="s">
        <v>187</v>
      </c>
      <c r="H87" s="151">
        <v>42296</v>
      </c>
      <c r="I87" s="50" t="s">
        <v>157</v>
      </c>
      <c r="J87" s="160">
        <f t="shared" si="20"/>
        <v>27</v>
      </c>
      <c r="K87" s="160">
        <v>27</v>
      </c>
      <c r="L87" s="160">
        <v>0</v>
      </c>
      <c r="M87" s="160"/>
      <c r="N87" s="160">
        <v>0.5</v>
      </c>
      <c r="O87" s="160">
        <v>0</v>
      </c>
      <c r="P87" s="52">
        <v>1</v>
      </c>
      <c r="Q87" s="53" t="s">
        <v>257</v>
      </c>
      <c r="R87" s="54" t="s">
        <v>158</v>
      </c>
      <c r="S87" s="54" t="s">
        <v>158</v>
      </c>
      <c r="T87" s="54" t="s">
        <v>158</v>
      </c>
      <c r="U87" s="54" t="s">
        <v>158</v>
      </c>
      <c r="V87" s="53" t="s">
        <v>258</v>
      </c>
      <c r="W87" s="53"/>
      <c r="X87" s="53">
        <f t="shared" si="21"/>
        <v>0</v>
      </c>
      <c r="Y87" s="55"/>
      <c r="Z87" s="55"/>
      <c r="AA87" s="52">
        <f t="shared" si="22"/>
        <v>0</v>
      </c>
      <c r="AB87" s="53">
        <f t="shared" si="23"/>
        <v>0</v>
      </c>
      <c r="AC87" s="53">
        <f t="shared" si="24"/>
        <v>0</v>
      </c>
      <c r="AD87" s="53">
        <f t="shared" si="25"/>
        <v>0</v>
      </c>
      <c r="AE87" s="53">
        <f t="shared" si="26"/>
        <v>0</v>
      </c>
      <c r="AF87" s="53">
        <f t="shared" si="27"/>
        <v>0</v>
      </c>
      <c r="AG87" s="56">
        <f t="shared" si="28"/>
        <v>1</v>
      </c>
      <c r="AH87" s="53">
        <f t="shared" si="29"/>
        <v>0</v>
      </c>
      <c r="AI87" s="55"/>
      <c r="AJ87" s="53">
        <f t="shared" si="30"/>
        <v>0</v>
      </c>
      <c r="AK87" s="53">
        <f t="shared" si="31"/>
        <v>0</v>
      </c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7"/>
      <c r="AW87" s="57"/>
      <c r="AX87" s="57"/>
    </row>
    <row r="88" spans="2:50">
      <c r="B88" s="45">
        <v>74</v>
      </c>
      <c r="C88" s="154" t="s">
        <v>168</v>
      </c>
      <c r="D88" s="154" t="s">
        <v>254</v>
      </c>
      <c r="E88" s="158" t="s">
        <v>255</v>
      </c>
      <c r="F88" s="159" t="s">
        <v>283</v>
      </c>
      <c r="G88" s="49" t="s">
        <v>187</v>
      </c>
      <c r="H88" s="151">
        <v>42296</v>
      </c>
      <c r="I88" s="50" t="s">
        <v>157</v>
      </c>
      <c r="J88" s="160">
        <f t="shared" si="20"/>
        <v>6</v>
      </c>
      <c r="K88" s="160">
        <v>6</v>
      </c>
      <c r="L88" s="160">
        <v>0</v>
      </c>
      <c r="M88" s="160"/>
      <c r="N88" s="160">
        <v>0.1</v>
      </c>
      <c r="O88" s="160">
        <v>0</v>
      </c>
      <c r="P88" s="52">
        <v>1</v>
      </c>
      <c r="Q88" s="53" t="s">
        <v>257</v>
      </c>
      <c r="R88" s="54" t="s">
        <v>158</v>
      </c>
      <c r="S88" s="54" t="s">
        <v>158</v>
      </c>
      <c r="T88" s="54" t="s">
        <v>158</v>
      </c>
      <c r="U88" s="54" t="s">
        <v>158</v>
      </c>
      <c r="V88" s="53" t="s">
        <v>258</v>
      </c>
      <c r="W88" s="53"/>
      <c r="X88" s="53">
        <f t="shared" si="21"/>
        <v>0</v>
      </c>
      <c r="Y88" s="55"/>
      <c r="Z88" s="55"/>
      <c r="AA88" s="52">
        <f t="shared" si="22"/>
        <v>0</v>
      </c>
      <c r="AB88" s="53">
        <f t="shared" si="23"/>
        <v>0</v>
      </c>
      <c r="AC88" s="53">
        <f t="shared" si="24"/>
        <v>0</v>
      </c>
      <c r="AD88" s="53">
        <f t="shared" si="25"/>
        <v>0</v>
      </c>
      <c r="AE88" s="53">
        <f t="shared" si="26"/>
        <v>0</v>
      </c>
      <c r="AF88" s="53">
        <f t="shared" si="27"/>
        <v>0</v>
      </c>
      <c r="AG88" s="56">
        <f t="shared" si="28"/>
        <v>1</v>
      </c>
      <c r="AH88" s="53">
        <f t="shared" si="29"/>
        <v>0</v>
      </c>
      <c r="AI88" s="55"/>
      <c r="AJ88" s="53">
        <f t="shared" si="30"/>
        <v>0</v>
      </c>
      <c r="AK88" s="53">
        <f t="shared" si="31"/>
        <v>0</v>
      </c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7"/>
      <c r="AW88" s="57"/>
      <c r="AX88" s="57"/>
    </row>
    <row r="89" spans="2:50">
      <c r="B89" s="45">
        <v>75</v>
      </c>
      <c r="C89" s="154" t="s">
        <v>168</v>
      </c>
      <c r="D89" s="154" t="s">
        <v>254</v>
      </c>
      <c r="E89" s="158" t="s">
        <v>255</v>
      </c>
      <c r="F89" s="159" t="s">
        <v>284</v>
      </c>
      <c r="G89" s="49" t="s">
        <v>187</v>
      </c>
      <c r="H89" s="151">
        <v>42296</v>
      </c>
      <c r="I89" s="50" t="s">
        <v>157</v>
      </c>
      <c r="J89" s="160">
        <f t="shared" si="20"/>
        <v>6</v>
      </c>
      <c r="K89" s="160">
        <v>6</v>
      </c>
      <c r="L89" s="160">
        <v>0</v>
      </c>
      <c r="M89" s="160"/>
      <c r="N89" s="160">
        <v>0.1</v>
      </c>
      <c r="O89" s="160">
        <v>0</v>
      </c>
      <c r="P89" s="52">
        <v>1</v>
      </c>
      <c r="Q89" s="53" t="s">
        <v>257</v>
      </c>
      <c r="R89" s="54" t="s">
        <v>158</v>
      </c>
      <c r="S89" s="54" t="s">
        <v>158</v>
      </c>
      <c r="T89" s="54" t="s">
        <v>158</v>
      </c>
      <c r="U89" s="54" t="s">
        <v>158</v>
      </c>
      <c r="V89" s="53" t="s">
        <v>258</v>
      </c>
      <c r="W89" s="53"/>
      <c r="X89" s="53">
        <f t="shared" si="21"/>
        <v>0</v>
      </c>
      <c r="Y89" s="55"/>
      <c r="Z89" s="55"/>
      <c r="AA89" s="52">
        <f t="shared" si="22"/>
        <v>0</v>
      </c>
      <c r="AB89" s="53">
        <f t="shared" si="23"/>
        <v>0</v>
      </c>
      <c r="AC89" s="53">
        <f t="shared" si="24"/>
        <v>0</v>
      </c>
      <c r="AD89" s="53">
        <f t="shared" si="25"/>
        <v>0</v>
      </c>
      <c r="AE89" s="53">
        <f t="shared" si="26"/>
        <v>0</v>
      </c>
      <c r="AF89" s="53">
        <f t="shared" si="27"/>
        <v>0</v>
      </c>
      <c r="AG89" s="56">
        <f t="shared" si="28"/>
        <v>1</v>
      </c>
      <c r="AH89" s="53">
        <f t="shared" si="29"/>
        <v>0</v>
      </c>
      <c r="AI89" s="55"/>
      <c r="AJ89" s="53">
        <f t="shared" si="30"/>
        <v>0</v>
      </c>
      <c r="AK89" s="53">
        <f t="shared" si="31"/>
        <v>0</v>
      </c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7"/>
      <c r="AW89" s="57"/>
      <c r="AX89" s="57"/>
    </row>
    <row r="90" spans="2:50">
      <c r="B90" s="45">
        <v>76</v>
      </c>
      <c r="C90" s="154" t="s">
        <v>168</v>
      </c>
      <c r="D90" s="154" t="s">
        <v>254</v>
      </c>
      <c r="E90" s="158" t="s">
        <v>255</v>
      </c>
      <c r="F90" s="159" t="s">
        <v>285</v>
      </c>
      <c r="G90" s="49" t="s">
        <v>187</v>
      </c>
      <c r="H90" s="151">
        <v>42296</v>
      </c>
      <c r="I90" s="50" t="s">
        <v>157</v>
      </c>
      <c r="J90" s="160">
        <f t="shared" si="20"/>
        <v>39</v>
      </c>
      <c r="K90" s="160">
        <v>39</v>
      </c>
      <c r="L90" s="160">
        <v>0</v>
      </c>
      <c r="M90" s="160"/>
      <c r="N90" s="160">
        <v>0.7</v>
      </c>
      <c r="O90" s="160">
        <v>0</v>
      </c>
      <c r="P90" s="52">
        <v>1</v>
      </c>
      <c r="Q90" s="53" t="s">
        <v>257</v>
      </c>
      <c r="R90" s="54" t="s">
        <v>158</v>
      </c>
      <c r="S90" s="54" t="s">
        <v>158</v>
      </c>
      <c r="T90" s="54" t="s">
        <v>158</v>
      </c>
      <c r="U90" s="54" t="s">
        <v>158</v>
      </c>
      <c r="V90" s="53" t="s">
        <v>258</v>
      </c>
      <c r="W90" s="53"/>
      <c r="X90" s="53">
        <f t="shared" si="21"/>
        <v>0</v>
      </c>
      <c r="Y90" s="55"/>
      <c r="Z90" s="55"/>
      <c r="AA90" s="52">
        <f t="shared" si="22"/>
        <v>0</v>
      </c>
      <c r="AB90" s="53">
        <f t="shared" si="23"/>
        <v>0</v>
      </c>
      <c r="AC90" s="53">
        <f t="shared" si="24"/>
        <v>0</v>
      </c>
      <c r="AD90" s="53">
        <f t="shared" si="25"/>
        <v>0</v>
      </c>
      <c r="AE90" s="53">
        <f t="shared" si="26"/>
        <v>0</v>
      </c>
      <c r="AF90" s="53">
        <f t="shared" si="27"/>
        <v>0</v>
      </c>
      <c r="AG90" s="56">
        <f t="shared" si="28"/>
        <v>1</v>
      </c>
      <c r="AH90" s="53">
        <f t="shared" si="29"/>
        <v>0</v>
      </c>
      <c r="AI90" s="55"/>
      <c r="AJ90" s="53">
        <f t="shared" si="30"/>
        <v>0</v>
      </c>
      <c r="AK90" s="53">
        <f t="shared" si="31"/>
        <v>0</v>
      </c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7"/>
      <c r="AW90" s="57"/>
      <c r="AX90" s="57"/>
    </row>
    <row r="91" spans="2:50">
      <c r="B91" s="45">
        <v>77</v>
      </c>
      <c r="C91" s="154" t="s">
        <v>168</v>
      </c>
      <c r="D91" s="154" t="s">
        <v>254</v>
      </c>
      <c r="E91" s="158" t="s">
        <v>255</v>
      </c>
      <c r="F91" s="159" t="s">
        <v>286</v>
      </c>
      <c r="G91" s="49" t="s">
        <v>187</v>
      </c>
      <c r="H91" s="151">
        <v>42296</v>
      </c>
      <c r="I91" s="50" t="s">
        <v>157</v>
      </c>
      <c r="J91" s="160">
        <f t="shared" si="20"/>
        <v>18</v>
      </c>
      <c r="K91" s="160">
        <v>18</v>
      </c>
      <c r="L91" s="160">
        <v>0</v>
      </c>
      <c r="M91" s="160"/>
      <c r="N91" s="160">
        <v>0.30000000000000004</v>
      </c>
      <c r="O91" s="160">
        <v>0</v>
      </c>
      <c r="P91" s="52">
        <v>1</v>
      </c>
      <c r="Q91" s="53" t="s">
        <v>257</v>
      </c>
      <c r="R91" s="54" t="s">
        <v>158</v>
      </c>
      <c r="S91" s="54" t="s">
        <v>158</v>
      </c>
      <c r="T91" s="54" t="s">
        <v>158</v>
      </c>
      <c r="U91" s="54" t="s">
        <v>158</v>
      </c>
      <c r="V91" s="53" t="s">
        <v>258</v>
      </c>
      <c r="W91" s="53"/>
      <c r="X91" s="53">
        <f t="shared" si="21"/>
        <v>0</v>
      </c>
      <c r="Y91" s="55"/>
      <c r="Z91" s="55"/>
      <c r="AA91" s="52">
        <f t="shared" si="22"/>
        <v>0</v>
      </c>
      <c r="AB91" s="53">
        <f t="shared" si="23"/>
        <v>0</v>
      </c>
      <c r="AC91" s="53">
        <f t="shared" si="24"/>
        <v>0</v>
      </c>
      <c r="AD91" s="53">
        <f t="shared" si="25"/>
        <v>0</v>
      </c>
      <c r="AE91" s="53">
        <f t="shared" si="26"/>
        <v>0</v>
      </c>
      <c r="AF91" s="53">
        <f t="shared" si="27"/>
        <v>0</v>
      </c>
      <c r="AG91" s="56">
        <f t="shared" si="28"/>
        <v>1</v>
      </c>
      <c r="AH91" s="53">
        <f t="shared" si="29"/>
        <v>0</v>
      </c>
      <c r="AI91" s="55"/>
      <c r="AJ91" s="53">
        <f t="shared" si="30"/>
        <v>0</v>
      </c>
      <c r="AK91" s="53">
        <f t="shared" si="31"/>
        <v>0</v>
      </c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7"/>
      <c r="AW91" s="57"/>
      <c r="AX91" s="57"/>
    </row>
    <row r="92" spans="2:50">
      <c r="B92" s="45">
        <v>78</v>
      </c>
      <c r="C92" s="154" t="s">
        <v>168</v>
      </c>
      <c r="D92" s="154" t="s">
        <v>254</v>
      </c>
      <c r="E92" s="158" t="s">
        <v>255</v>
      </c>
      <c r="F92" s="159" t="s">
        <v>287</v>
      </c>
      <c r="G92" s="49" t="s">
        <v>187</v>
      </c>
      <c r="H92" s="151">
        <v>42296</v>
      </c>
      <c r="I92" s="50" t="s">
        <v>157</v>
      </c>
      <c r="J92" s="160">
        <f t="shared" si="20"/>
        <v>12</v>
      </c>
      <c r="K92" s="160">
        <v>12</v>
      </c>
      <c r="L92" s="160">
        <v>0</v>
      </c>
      <c r="M92" s="160"/>
      <c r="N92" s="160">
        <v>0.2</v>
      </c>
      <c r="O92" s="160">
        <v>0</v>
      </c>
      <c r="P92" s="52">
        <v>1</v>
      </c>
      <c r="Q92" s="53"/>
      <c r="R92" s="54" t="s">
        <v>158</v>
      </c>
      <c r="S92" s="54" t="s">
        <v>158</v>
      </c>
      <c r="T92" s="54" t="s">
        <v>158</v>
      </c>
      <c r="U92" s="54" t="s">
        <v>158</v>
      </c>
      <c r="V92" s="53" t="s">
        <v>258</v>
      </c>
      <c r="W92" s="53"/>
      <c r="X92" s="53">
        <f t="shared" si="21"/>
        <v>0</v>
      </c>
      <c r="Y92" s="55"/>
      <c r="Z92" s="55"/>
      <c r="AA92" s="52">
        <f t="shared" si="22"/>
        <v>0</v>
      </c>
      <c r="AB92" s="53">
        <f t="shared" si="23"/>
        <v>0</v>
      </c>
      <c r="AC92" s="53">
        <f t="shared" si="24"/>
        <v>0</v>
      </c>
      <c r="AD92" s="53">
        <f t="shared" si="25"/>
        <v>0</v>
      </c>
      <c r="AE92" s="53">
        <f t="shared" si="26"/>
        <v>0</v>
      </c>
      <c r="AF92" s="53">
        <f t="shared" si="27"/>
        <v>0</v>
      </c>
      <c r="AG92" s="56">
        <f t="shared" si="28"/>
        <v>0</v>
      </c>
      <c r="AH92" s="53">
        <f t="shared" si="29"/>
        <v>0</v>
      </c>
      <c r="AI92" s="55"/>
      <c r="AJ92" s="53">
        <f t="shared" si="30"/>
        <v>0</v>
      </c>
      <c r="AK92" s="53">
        <f t="shared" si="31"/>
        <v>0</v>
      </c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7"/>
      <c r="AW92" s="57"/>
      <c r="AX92" s="57"/>
    </row>
    <row r="93" spans="2:50">
      <c r="B93" s="45">
        <v>79</v>
      </c>
      <c r="C93" s="154" t="s">
        <v>168</v>
      </c>
      <c r="D93" s="154" t="s">
        <v>254</v>
      </c>
      <c r="E93" s="158" t="s">
        <v>255</v>
      </c>
      <c r="F93" s="159" t="s">
        <v>288</v>
      </c>
      <c r="G93" s="49" t="s">
        <v>187</v>
      </c>
      <c r="H93" s="151">
        <v>42296</v>
      </c>
      <c r="I93" s="50" t="s">
        <v>157</v>
      </c>
      <c r="J93" s="160">
        <f t="shared" si="20"/>
        <v>15</v>
      </c>
      <c r="K93" s="160">
        <v>15</v>
      </c>
      <c r="L93" s="160">
        <v>0</v>
      </c>
      <c r="M93" s="160"/>
      <c r="N93" s="160">
        <v>0.25</v>
      </c>
      <c r="O93" s="160">
        <v>0</v>
      </c>
      <c r="P93" s="52">
        <v>1</v>
      </c>
      <c r="Q93" s="53"/>
      <c r="R93" s="54" t="s">
        <v>158</v>
      </c>
      <c r="S93" s="54" t="s">
        <v>158</v>
      </c>
      <c r="T93" s="54" t="s">
        <v>158</v>
      </c>
      <c r="U93" s="54" t="s">
        <v>158</v>
      </c>
      <c r="V93" s="53" t="s">
        <v>258</v>
      </c>
      <c r="W93" s="53"/>
      <c r="X93" s="53">
        <f t="shared" si="21"/>
        <v>0</v>
      </c>
      <c r="Y93" s="55"/>
      <c r="Z93" s="55"/>
      <c r="AA93" s="52">
        <f t="shared" si="22"/>
        <v>0</v>
      </c>
      <c r="AB93" s="53">
        <f t="shared" si="23"/>
        <v>0</v>
      </c>
      <c r="AC93" s="53">
        <f t="shared" si="24"/>
        <v>0</v>
      </c>
      <c r="AD93" s="53">
        <f t="shared" si="25"/>
        <v>0</v>
      </c>
      <c r="AE93" s="53">
        <f t="shared" si="26"/>
        <v>0</v>
      </c>
      <c r="AF93" s="53">
        <f t="shared" si="27"/>
        <v>0</v>
      </c>
      <c r="AG93" s="56">
        <f t="shared" si="28"/>
        <v>0</v>
      </c>
      <c r="AH93" s="53">
        <f t="shared" si="29"/>
        <v>0</v>
      </c>
      <c r="AI93" s="55"/>
      <c r="AJ93" s="53">
        <f t="shared" si="30"/>
        <v>0</v>
      </c>
      <c r="AK93" s="53">
        <f t="shared" si="31"/>
        <v>0</v>
      </c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7"/>
      <c r="AW93" s="57"/>
      <c r="AX93" s="57"/>
    </row>
    <row r="94" spans="2:50">
      <c r="B94" s="45">
        <v>80</v>
      </c>
      <c r="C94" s="154" t="s">
        <v>168</v>
      </c>
      <c r="D94" s="154" t="s">
        <v>254</v>
      </c>
      <c r="E94" s="158" t="s">
        <v>255</v>
      </c>
      <c r="F94" s="159" t="s">
        <v>289</v>
      </c>
      <c r="G94" s="49" t="s">
        <v>187</v>
      </c>
      <c r="H94" s="151">
        <v>42296</v>
      </c>
      <c r="I94" s="50" t="s">
        <v>157</v>
      </c>
      <c r="J94" s="160">
        <f t="shared" si="20"/>
        <v>30</v>
      </c>
      <c r="K94" s="160">
        <v>30</v>
      </c>
      <c r="L94" s="160">
        <v>0</v>
      </c>
      <c r="M94" s="160"/>
      <c r="N94" s="160">
        <v>0.5</v>
      </c>
      <c r="O94" s="160">
        <v>0</v>
      </c>
      <c r="P94" s="52">
        <v>1</v>
      </c>
      <c r="Q94" s="53"/>
      <c r="R94" s="54" t="s">
        <v>158</v>
      </c>
      <c r="S94" s="54" t="s">
        <v>158</v>
      </c>
      <c r="T94" s="54" t="s">
        <v>158</v>
      </c>
      <c r="U94" s="54" t="s">
        <v>158</v>
      </c>
      <c r="V94" s="53" t="s">
        <v>258</v>
      </c>
      <c r="W94" s="53"/>
      <c r="X94" s="53">
        <f t="shared" si="21"/>
        <v>0</v>
      </c>
      <c r="Y94" s="55"/>
      <c r="Z94" s="55"/>
      <c r="AA94" s="52">
        <f t="shared" si="22"/>
        <v>0</v>
      </c>
      <c r="AB94" s="53">
        <f t="shared" si="23"/>
        <v>0</v>
      </c>
      <c r="AC94" s="53">
        <f t="shared" si="24"/>
        <v>0</v>
      </c>
      <c r="AD94" s="53">
        <f t="shared" si="25"/>
        <v>0</v>
      </c>
      <c r="AE94" s="53">
        <f t="shared" si="26"/>
        <v>0</v>
      </c>
      <c r="AF94" s="53">
        <f t="shared" si="27"/>
        <v>0</v>
      </c>
      <c r="AG94" s="56">
        <f t="shared" si="28"/>
        <v>0</v>
      </c>
      <c r="AH94" s="53">
        <f t="shared" si="29"/>
        <v>0</v>
      </c>
      <c r="AI94" s="55"/>
      <c r="AJ94" s="53">
        <f t="shared" si="30"/>
        <v>0</v>
      </c>
      <c r="AK94" s="53">
        <f t="shared" si="31"/>
        <v>0</v>
      </c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7"/>
      <c r="AW94" s="57"/>
      <c r="AX94" s="57"/>
    </row>
    <row r="95" spans="2:50">
      <c r="B95" s="45">
        <v>81</v>
      </c>
      <c r="C95" s="154" t="s">
        <v>168</v>
      </c>
      <c r="D95" s="154" t="s">
        <v>254</v>
      </c>
      <c r="E95" s="158" t="s">
        <v>255</v>
      </c>
      <c r="F95" s="159" t="s">
        <v>290</v>
      </c>
      <c r="G95" s="49" t="s">
        <v>187</v>
      </c>
      <c r="H95" s="151">
        <v>42296</v>
      </c>
      <c r="I95" s="50" t="s">
        <v>157</v>
      </c>
      <c r="J95" s="160">
        <f t="shared" si="20"/>
        <v>24</v>
      </c>
      <c r="K95" s="160">
        <v>24</v>
      </c>
      <c r="L95" s="160">
        <v>0</v>
      </c>
      <c r="M95" s="160"/>
      <c r="N95" s="160">
        <v>0.4</v>
      </c>
      <c r="O95" s="160">
        <v>0</v>
      </c>
      <c r="P95" s="52">
        <v>1</v>
      </c>
      <c r="Q95" s="53" t="s">
        <v>257</v>
      </c>
      <c r="R95" s="54" t="s">
        <v>158</v>
      </c>
      <c r="S95" s="54" t="s">
        <v>158</v>
      </c>
      <c r="T95" s="54" t="s">
        <v>158</v>
      </c>
      <c r="U95" s="54" t="s">
        <v>158</v>
      </c>
      <c r="V95" s="53" t="s">
        <v>258</v>
      </c>
      <c r="W95" s="53"/>
      <c r="X95" s="53">
        <f t="shared" si="21"/>
        <v>0</v>
      </c>
      <c r="Y95" s="55"/>
      <c r="Z95" s="55"/>
      <c r="AA95" s="52">
        <f t="shared" si="22"/>
        <v>0</v>
      </c>
      <c r="AB95" s="53">
        <f t="shared" si="23"/>
        <v>0</v>
      </c>
      <c r="AC95" s="53">
        <f t="shared" si="24"/>
        <v>0</v>
      </c>
      <c r="AD95" s="53">
        <f t="shared" si="25"/>
        <v>0</v>
      </c>
      <c r="AE95" s="53">
        <f t="shared" si="26"/>
        <v>0</v>
      </c>
      <c r="AF95" s="53">
        <f t="shared" si="27"/>
        <v>0</v>
      </c>
      <c r="AG95" s="56">
        <f t="shared" si="28"/>
        <v>1</v>
      </c>
      <c r="AH95" s="53">
        <f t="shared" si="29"/>
        <v>0</v>
      </c>
      <c r="AI95" s="55"/>
      <c r="AJ95" s="53">
        <f t="shared" si="30"/>
        <v>0</v>
      </c>
      <c r="AK95" s="53">
        <f t="shared" si="31"/>
        <v>0</v>
      </c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7"/>
      <c r="AW95" s="57"/>
      <c r="AX95" s="57"/>
    </row>
    <row r="96" spans="2:50">
      <c r="B96" s="45">
        <v>82</v>
      </c>
      <c r="C96" s="154" t="s">
        <v>168</v>
      </c>
      <c r="D96" s="154" t="s">
        <v>254</v>
      </c>
      <c r="E96" s="158" t="s">
        <v>255</v>
      </c>
      <c r="F96" s="159" t="s">
        <v>291</v>
      </c>
      <c r="G96" s="49" t="s">
        <v>187</v>
      </c>
      <c r="H96" s="151">
        <v>42296</v>
      </c>
      <c r="I96" s="50" t="s">
        <v>157</v>
      </c>
      <c r="J96" s="160">
        <f t="shared" si="20"/>
        <v>6</v>
      </c>
      <c r="K96" s="160">
        <v>6</v>
      </c>
      <c r="L96" s="160">
        <v>0</v>
      </c>
      <c r="M96" s="160"/>
      <c r="N96" s="160">
        <v>0.1</v>
      </c>
      <c r="O96" s="160">
        <v>0</v>
      </c>
      <c r="P96" s="52">
        <v>1</v>
      </c>
      <c r="Q96" s="53"/>
      <c r="R96" s="54" t="s">
        <v>158</v>
      </c>
      <c r="S96" s="54" t="s">
        <v>158</v>
      </c>
      <c r="T96" s="54" t="s">
        <v>158</v>
      </c>
      <c r="U96" s="54" t="s">
        <v>158</v>
      </c>
      <c r="V96" s="53" t="s">
        <v>258</v>
      </c>
      <c r="W96" s="53"/>
      <c r="X96" s="53">
        <f t="shared" si="21"/>
        <v>0</v>
      </c>
      <c r="Y96" s="55"/>
      <c r="Z96" s="55"/>
      <c r="AA96" s="52">
        <f t="shared" si="22"/>
        <v>0</v>
      </c>
      <c r="AB96" s="53">
        <f t="shared" si="23"/>
        <v>0</v>
      </c>
      <c r="AC96" s="53">
        <f t="shared" si="24"/>
        <v>0</v>
      </c>
      <c r="AD96" s="53">
        <f t="shared" si="25"/>
        <v>0</v>
      </c>
      <c r="AE96" s="53">
        <f t="shared" si="26"/>
        <v>0</v>
      </c>
      <c r="AF96" s="53">
        <f t="shared" si="27"/>
        <v>0</v>
      </c>
      <c r="AG96" s="56">
        <f t="shared" si="28"/>
        <v>0</v>
      </c>
      <c r="AH96" s="53">
        <f t="shared" si="29"/>
        <v>0</v>
      </c>
      <c r="AI96" s="55"/>
      <c r="AJ96" s="53">
        <f t="shared" si="30"/>
        <v>0</v>
      </c>
      <c r="AK96" s="53">
        <f t="shared" si="31"/>
        <v>0</v>
      </c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7"/>
      <c r="AW96" s="57"/>
      <c r="AX96" s="57"/>
    </row>
    <row r="97" spans="2:50">
      <c r="B97" s="45">
        <v>83</v>
      </c>
      <c r="C97" s="154" t="s">
        <v>168</v>
      </c>
      <c r="D97" s="154" t="s">
        <v>254</v>
      </c>
      <c r="E97" s="158" t="s">
        <v>255</v>
      </c>
      <c r="F97" s="159" t="s">
        <v>292</v>
      </c>
      <c r="G97" s="49" t="s">
        <v>187</v>
      </c>
      <c r="H97" s="151">
        <v>42296</v>
      </c>
      <c r="I97" s="50" t="s">
        <v>157</v>
      </c>
      <c r="J97" s="160">
        <f t="shared" si="20"/>
        <v>6</v>
      </c>
      <c r="K97" s="160">
        <v>6</v>
      </c>
      <c r="L97" s="160">
        <v>0</v>
      </c>
      <c r="M97" s="160"/>
      <c r="N97" s="160">
        <v>0.1</v>
      </c>
      <c r="O97" s="160">
        <v>0</v>
      </c>
      <c r="P97" s="52">
        <v>1</v>
      </c>
      <c r="Q97" s="53"/>
      <c r="R97" s="54" t="s">
        <v>158</v>
      </c>
      <c r="S97" s="54" t="s">
        <v>158</v>
      </c>
      <c r="T97" s="54" t="s">
        <v>158</v>
      </c>
      <c r="U97" s="54" t="s">
        <v>158</v>
      </c>
      <c r="V97" s="53" t="s">
        <v>258</v>
      </c>
      <c r="W97" s="53"/>
      <c r="X97" s="53">
        <f t="shared" si="21"/>
        <v>0</v>
      </c>
      <c r="Y97" s="55"/>
      <c r="Z97" s="55"/>
      <c r="AA97" s="52">
        <f t="shared" si="22"/>
        <v>0</v>
      </c>
      <c r="AB97" s="53">
        <f t="shared" si="23"/>
        <v>0</v>
      </c>
      <c r="AC97" s="53">
        <f t="shared" si="24"/>
        <v>0</v>
      </c>
      <c r="AD97" s="53">
        <f t="shared" si="25"/>
        <v>0</v>
      </c>
      <c r="AE97" s="53">
        <f t="shared" si="26"/>
        <v>0</v>
      </c>
      <c r="AF97" s="53">
        <f t="shared" si="27"/>
        <v>0</v>
      </c>
      <c r="AG97" s="56">
        <f t="shared" si="28"/>
        <v>0</v>
      </c>
      <c r="AH97" s="53">
        <f t="shared" si="29"/>
        <v>0</v>
      </c>
      <c r="AI97" s="55"/>
      <c r="AJ97" s="53">
        <f t="shared" si="30"/>
        <v>0</v>
      </c>
      <c r="AK97" s="53">
        <f t="shared" si="31"/>
        <v>0</v>
      </c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7"/>
      <c r="AW97" s="57"/>
      <c r="AX97" s="57"/>
    </row>
    <row r="98" spans="2:50">
      <c r="B98" s="45">
        <v>84</v>
      </c>
      <c r="C98" s="154" t="s">
        <v>168</v>
      </c>
      <c r="D98" s="154" t="s">
        <v>254</v>
      </c>
      <c r="E98" s="158" t="s">
        <v>255</v>
      </c>
      <c r="F98" s="156" t="s">
        <v>293</v>
      </c>
      <c r="G98" s="49" t="s">
        <v>187</v>
      </c>
      <c r="H98" s="151">
        <v>42296</v>
      </c>
      <c r="I98" s="50" t="s">
        <v>157</v>
      </c>
      <c r="J98" s="160">
        <f t="shared" si="20"/>
        <v>36</v>
      </c>
      <c r="K98" s="160">
        <v>36</v>
      </c>
      <c r="L98" s="160">
        <v>0</v>
      </c>
      <c r="M98" s="160"/>
      <c r="N98" s="160">
        <v>0.6</v>
      </c>
      <c r="O98" s="160">
        <v>0</v>
      </c>
      <c r="P98" s="52">
        <v>1</v>
      </c>
      <c r="Q98" s="53" t="s">
        <v>257</v>
      </c>
      <c r="R98" s="54" t="s">
        <v>158</v>
      </c>
      <c r="S98" s="54" t="s">
        <v>158</v>
      </c>
      <c r="T98" s="54" t="s">
        <v>158</v>
      </c>
      <c r="U98" s="54" t="s">
        <v>158</v>
      </c>
      <c r="V98" s="53" t="s">
        <v>258</v>
      </c>
      <c r="W98" s="53"/>
      <c r="X98" s="53">
        <f t="shared" si="21"/>
        <v>0</v>
      </c>
      <c r="Y98" s="55"/>
      <c r="Z98" s="55"/>
      <c r="AA98" s="52">
        <f t="shared" si="22"/>
        <v>0</v>
      </c>
      <c r="AB98" s="53">
        <f t="shared" si="23"/>
        <v>0</v>
      </c>
      <c r="AC98" s="53">
        <f t="shared" si="24"/>
        <v>0</v>
      </c>
      <c r="AD98" s="53">
        <f t="shared" si="25"/>
        <v>0</v>
      </c>
      <c r="AE98" s="53">
        <f t="shared" si="26"/>
        <v>0</v>
      </c>
      <c r="AF98" s="53">
        <f t="shared" si="27"/>
        <v>0</v>
      </c>
      <c r="AG98" s="56">
        <f t="shared" si="28"/>
        <v>1</v>
      </c>
      <c r="AH98" s="53">
        <f t="shared" si="29"/>
        <v>0</v>
      </c>
      <c r="AI98" s="55"/>
      <c r="AJ98" s="53">
        <f t="shared" si="30"/>
        <v>0</v>
      </c>
      <c r="AK98" s="53">
        <f t="shared" si="31"/>
        <v>0</v>
      </c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7"/>
      <c r="AW98" s="57"/>
      <c r="AX98" s="57"/>
    </row>
    <row r="99" spans="2:50">
      <c r="B99" s="45">
        <v>85</v>
      </c>
      <c r="C99" s="154" t="s">
        <v>168</v>
      </c>
      <c r="D99" s="154" t="s">
        <v>254</v>
      </c>
      <c r="E99" s="158" t="s">
        <v>255</v>
      </c>
      <c r="F99" s="159" t="s">
        <v>294</v>
      </c>
      <c r="G99" s="49" t="s">
        <v>187</v>
      </c>
      <c r="H99" s="151">
        <v>42296</v>
      </c>
      <c r="I99" s="50" t="s">
        <v>157</v>
      </c>
      <c r="J99" s="160">
        <f t="shared" si="20"/>
        <v>24</v>
      </c>
      <c r="K99" s="160">
        <v>24</v>
      </c>
      <c r="L99" s="160">
        <v>0</v>
      </c>
      <c r="M99" s="160"/>
      <c r="N99" s="160">
        <v>0.4</v>
      </c>
      <c r="O99" s="160">
        <v>0</v>
      </c>
      <c r="P99" s="52">
        <v>1</v>
      </c>
      <c r="Q99" s="53" t="s">
        <v>257</v>
      </c>
      <c r="R99" s="54" t="s">
        <v>158</v>
      </c>
      <c r="S99" s="54" t="s">
        <v>158</v>
      </c>
      <c r="T99" s="54" t="s">
        <v>158</v>
      </c>
      <c r="U99" s="54" t="s">
        <v>158</v>
      </c>
      <c r="V99" s="53" t="s">
        <v>258</v>
      </c>
      <c r="W99" s="53"/>
      <c r="X99" s="53">
        <f t="shared" si="21"/>
        <v>0</v>
      </c>
      <c r="Y99" s="55"/>
      <c r="Z99" s="55"/>
      <c r="AA99" s="52">
        <f t="shared" si="22"/>
        <v>0</v>
      </c>
      <c r="AB99" s="53">
        <f t="shared" si="23"/>
        <v>0</v>
      </c>
      <c r="AC99" s="53">
        <f t="shared" si="24"/>
        <v>0</v>
      </c>
      <c r="AD99" s="53">
        <f t="shared" si="25"/>
        <v>0</v>
      </c>
      <c r="AE99" s="53">
        <f t="shared" si="26"/>
        <v>0</v>
      </c>
      <c r="AF99" s="53">
        <f t="shared" si="27"/>
        <v>0</v>
      </c>
      <c r="AG99" s="56">
        <f t="shared" si="28"/>
        <v>1</v>
      </c>
      <c r="AH99" s="53">
        <f t="shared" si="29"/>
        <v>0</v>
      </c>
      <c r="AI99" s="55"/>
      <c r="AJ99" s="53">
        <f t="shared" si="30"/>
        <v>0</v>
      </c>
      <c r="AK99" s="53">
        <f t="shared" si="31"/>
        <v>0</v>
      </c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7"/>
      <c r="AW99" s="57"/>
      <c r="AX99" s="57"/>
    </row>
    <row r="100" spans="2:50">
      <c r="B100" s="45">
        <v>86</v>
      </c>
      <c r="C100" s="154" t="s">
        <v>168</v>
      </c>
      <c r="D100" s="154" t="s">
        <v>254</v>
      </c>
      <c r="E100" s="158" t="s">
        <v>255</v>
      </c>
      <c r="F100" s="159" t="s">
        <v>295</v>
      </c>
      <c r="G100" s="49" t="s">
        <v>187</v>
      </c>
      <c r="H100" s="151">
        <v>42296</v>
      </c>
      <c r="I100" s="50" t="s">
        <v>157</v>
      </c>
      <c r="J100" s="160">
        <f t="shared" si="20"/>
        <v>6</v>
      </c>
      <c r="K100" s="160">
        <v>6</v>
      </c>
      <c r="L100" s="160">
        <v>0</v>
      </c>
      <c r="M100" s="160"/>
      <c r="N100" s="160">
        <v>0.1</v>
      </c>
      <c r="O100" s="160">
        <v>0</v>
      </c>
      <c r="P100" s="52">
        <v>1</v>
      </c>
      <c r="Q100" s="53" t="s">
        <v>257</v>
      </c>
      <c r="R100" s="54" t="s">
        <v>158</v>
      </c>
      <c r="S100" s="54" t="s">
        <v>158</v>
      </c>
      <c r="T100" s="54" t="s">
        <v>158</v>
      </c>
      <c r="U100" s="54" t="s">
        <v>158</v>
      </c>
      <c r="V100" s="53" t="s">
        <v>258</v>
      </c>
      <c r="W100" s="53"/>
      <c r="X100" s="53">
        <f t="shared" si="21"/>
        <v>0</v>
      </c>
      <c r="Y100" s="55"/>
      <c r="Z100" s="55"/>
      <c r="AA100" s="52">
        <f t="shared" si="22"/>
        <v>0</v>
      </c>
      <c r="AB100" s="53">
        <f t="shared" si="23"/>
        <v>0</v>
      </c>
      <c r="AC100" s="53">
        <f t="shared" si="24"/>
        <v>0</v>
      </c>
      <c r="AD100" s="53">
        <f t="shared" si="25"/>
        <v>0</v>
      </c>
      <c r="AE100" s="53">
        <f t="shared" si="26"/>
        <v>0</v>
      </c>
      <c r="AF100" s="53">
        <f t="shared" si="27"/>
        <v>0</v>
      </c>
      <c r="AG100" s="56">
        <f t="shared" si="28"/>
        <v>1</v>
      </c>
      <c r="AH100" s="53">
        <f t="shared" si="29"/>
        <v>0</v>
      </c>
      <c r="AI100" s="55"/>
      <c r="AJ100" s="53">
        <f t="shared" si="30"/>
        <v>0</v>
      </c>
      <c r="AK100" s="53">
        <f t="shared" si="31"/>
        <v>0</v>
      </c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7"/>
      <c r="AW100" s="57"/>
      <c r="AX100" s="57"/>
    </row>
    <row r="101" spans="2:50">
      <c r="B101" s="138" t="s">
        <v>296</v>
      </c>
      <c r="C101" s="139"/>
      <c r="D101" s="139"/>
      <c r="E101" s="139"/>
      <c r="F101" s="140"/>
      <c r="G101" s="141"/>
      <c r="H101" s="141"/>
      <c r="I101" s="142" t="s">
        <v>151</v>
      </c>
      <c r="J101" s="143">
        <f t="shared" si="20"/>
        <v>2380.1433333333334</v>
      </c>
      <c r="K101" s="143">
        <f>K102/60</f>
        <v>622.64333333333343</v>
      </c>
      <c r="L101" s="143">
        <f t="shared" ref="L101:M101" si="32">L102/60</f>
        <v>1757.5</v>
      </c>
      <c r="M101" s="143">
        <f t="shared" si="32"/>
        <v>0</v>
      </c>
      <c r="N101" s="143">
        <f>SUMIF($I103:$I331,"DQA",N103:N331)</f>
        <v>608.24000000000035</v>
      </c>
      <c r="O101" s="143">
        <f>SUMIF($I103:$I331,"DQA",O103:O331)</f>
        <v>1107.5</v>
      </c>
      <c r="P101" s="150">
        <v>1</v>
      </c>
      <c r="Q101" s="143"/>
      <c r="R101" s="143"/>
      <c r="S101" s="143"/>
      <c r="T101" s="143"/>
      <c r="U101" s="143"/>
      <c r="V101" s="143"/>
      <c r="W101" s="143"/>
      <c r="X101" s="143">
        <f>X102/60</f>
        <v>0</v>
      </c>
      <c r="Y101" s="143"/>
      <c r="Z101" s="143"/>
      <c r="AA101" s="143"/>
      <c r="AB101" s="143">
        <f t="shared" ref="AB101:AF101" si="33">AB102/60</f>
        <v>0</v>
      </c>
      <c r="AC101" s="143"/>
      <c r="AD101" s="143">
        <f t="shared" si="33"/>
        <v>0</v>
      </c>
      <c r="AE101" s="143"/>
      <c r="AF101" s="143">
        <f t="shared" si="33"/>
        <v>0</v>
      </c>
      <c r="AG101" s="143"/>
      <c r="AH101" s="143">
        <f>AH102/60</f>
        <v>0</v>
      </c>
      <c r="AI101" s="143"/>
      <c r="AJ101" s="143"/>
      <c r="AK101" s="143">
        <f>AK102/60</f>
        <v>0</v>
      </c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>
        <f>AX102/60</f>
        <v>0</v>
      </c>
    </row>
    <row r="102" spans="2:50">
      <c r="B102" s="146"/>
      <c r="C102" s="147"/>
      <c r="D102" s="147"/>
      <c r="E102" s="147"/>
      <c r="F102" s="148"/>
      <c r="G102" s="141"/>
      <c r="H102" s="141"/>
      <c r="I102" s="149" t="s">
        <v>153</v>
      </c>
      <c r="J102" s="143">
        <f t="shared" si="20"/>
        <v>142808.6</v>
      </c>
      <c r="K102" s="143">
        <f>SUMIF($I103:$I331,"DQA",K103:K331)</f>
        <v>37358.600000000006</v>
      </c>
      <c r="L102" s="143">
        <f>SUMIF($I103:$I331,"DQA",L103:L331)</f>
        <v>105450</v>
      </c>
      <c r="M102" s="143">
        <f>SUMIF($I103:$I331,"DQA",M103:M331)</f>
        <v>0</v>
      </c>
      <c r="N102" s="143">
        <f>N101*60</f>
        <v>36494.400000000023</v>
      </c>
      <c r="O102" s="143">
        <f>O101*60</f>
        <v>66450</v>
      </c>
      <c r="P102" s="150">
        <v>1</v>
      </c>
      <c r="Q102" s="143"/>
      <c r="R102" s="143"/>
      <c r="S102" s="143"/>
      <c r="T102" s="143"/>
      <c r="U102" s="143"/>
      <c r="V102" s="143"/>
      <c r="W102" s="143"/>
      <c r="X102" s="143">
        <f>SUM(X103:X331)</f>
        <v>0</v>
      </c>
      <c r="Y102" s="143"/>
      <c r="Z102" s="143"/>
      <c r="AA102" s="143"/>
      <c r="AB102" s="143">
        <f t="shared" ref="AB102:AK102" si="34">SUM(AB103:AB331)</f>
        <v>0</v>
      </c>
      <c r="AC102" s="143"/>
      <c r="AD102" s="143">
        <f t="shared" si="34"/>
        <v>0</v>
      </c>
      <c r="AE102" s="143"/>
      <c r="AF102" s="143">
        <f t="shared" si="34"/>
        <v>0</v>
      </c>
      <c r="AG102" s="143"/>
      <c r="AH102" s="143">
        <f t="shared" si="34"/>
        <v>0</v>
      </c>
      <c r="AI102" s="143"/>
      <c r="AJ102" s="143"/>
      <c r="AK102" s="143">
        <f t="shared" si="34"/>
        <v>0</v>
      </c>
      <c r="AL102" s="143"/>
      <c r="AM102" s="143"/>
      <c r="AN102" s="143"/>
      <c r="AO102" s="143"/>
      <c r="AP102" s="143"/>
      <c r="AQ102" s="143"/>
      <c r="AR102" s="143"/>
      <c r="AS102" s="143"/>
      <c r="AT102" s="143"/>
      <c r="AU102" s="143"/>
      <c r="AV102" s="143"/>
      <c r="AW102" s="143"/>
      <c r="AX102" s="143">
        <f>SUM(AX103:AX331)</f>
        <v>0</v>
      </c>
    </row>
    <row r="103" spans="2:50">
      <c r="B103" s="45">
        <v>87</v>
      </c>
      <c r="C103" s="46" t="s">
        <v>296</v>
      </c>
      <c r="D103" s="47" t="s">
        <v>297</v>
      </c>
      <c r="E103" s="161" t="s">
        <v>298</v>
      </c>
      <c r="F103" s="47" t="s">
        <v>299</v>
      </c>
      <c r="G103" s="162" t="s">
        <v>300</v>
      </c>
      <c r="H103" s="163" t="s">
        <v>301</v>
      </c>
      <c r="I103" s="50" t="s">
        <v>302</v>
      </c>
      <c r="J103" s="50">
        <f t="shared" si="20"/>
        <v>426</v>
      </c>
      <c r="K103" s="50">
        <v>408</v>
      </c>
      <c r="L103" s="50">
        <v>18</v>
      </c>
      <c r="M103" s="50"/>
      <c r="N103" s="50">
        <v>6.8</v>
      </c>
      <c r="O103" s="50">
        <v>0.3</v>
      </c>
      <c r="P103" s="52">
        <v>1</v>
      </c>
      <c r="Q103" s="53"/>
      <c r="R103" s="54" t="s">
        <v>158</v>
      </c>
      <c r="S103" s="54" t="s">
        <v>158</v>
      </c>
      <c r="T103" s="54" t="s">
        <v>158</v>
      </c>
      <c r="U103" s="54" t="s">
        <v>158</v>
      </c>
      <c r="V103" s="53" t="s">
        <v>303</v>
      </c>
      <c r="W103" s="53"/>
      <c r="X103" s="53">
        <f t="shared" ref="X103:X166" si="35">SUMIF(W103,"Y",K103)</f>
        <v>0</v>
      </c>
      <c r="Y103" s="55"/>
      <c r="Z103" s="55"/>
      <c r="AA103" s="52">
        <f t="shared" ref="AA103:AA166" si="36">(COUNTA(AL103:AU103)-COUNTIF(AL103:AU103, "X"))</f>
        <v>0</v>
      </c>
      <c r="AB103" s="53">
        <f t="shared" ref="AB103:AB166" si="37">(COUNTA(AL103:AU103)-COUNTIF(AL103:AU103, "X"))*P103*K103</f>
        <v>0</v>
      </c>
      <c r="AC103" s="53">
        <f t="shared" ref="AC103:AC166" si="38">COUNTIF(AL103:AU103,"A")</f>
        <v>0</v>
      </c>
      <c r="AD103" s="53">
        <f t="shared" ref="AD103:AD166" si="39">COUNTIF(AL103:AU103,"V")*P103*M103</f>
        <v>0</v>
      </c>
      <c r="AE103" s="53">
        <f t="shared" ref="AE103:AE166" si="40">COUNTIF(AL103:AU103,"L")</f>
        <v>0</v>
      </c>
      <c r="AF103" s="53">
        <f t="shared" ref="AF103:AF166" si="41">COUNTIF(AL103:AU103,"L")*K103*P103</f>
        <v>0</v>
      </c>
      <c r="AG103" s="56">
        <f t="shared" ref="AG103:AG166" si="42">IF(Q103="Y",1,0)</f>
        <v>0</v>
      </c>
      <c r="AH103" s="53">
        <f t="shared" ref="AH103:AH166" si="43">IF(Q103="Y", AA103, 0)*K103*P103/2</f>
        <v>0</v>
      </c>
      <c r="AI103" s="55"/>
      <c r="AJ103" s="53">
        <f t="shared" ref="AJ103:AJ166" si="44">COUNTIF(AL103:AU103, "V")</f>
        <v>0</v>
      </c>
      <c r="AK103" s="53">
        <f t="shared" ref="AK103:AK166" si="45">AB103-AD103-AF103-AH103</f>
        <v>0</v>
      </c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7"/>
      <c r="AW103" s="57"/>
      <c r="AX103" s="57"/>
    </row>
    <row r="104" spans="2:50">
      <c r="B104" s="45">
        <v>88</v>
      </c>
      <c r="C104" s="46" t="s">
        <v>304</v>
      </c>
      <c r="D104" s="47" t="s">
        <v>297</v>
      </c>
      <c r="E104" s="161" t="s">
        <v>298</v>
      </c>
      <c r="F104" s="47" t="s">
        <v>305</v>
      </c>
      <c r="G104" s="162" t="s">
        <v>306</v>
      </c>
      <c r="H104" s="164">
        <v>43643</v>
      </c>
      <c r="I104" s="50" t="s">
        <v>302</v>
      </c>
      <c r="J104" s="50">
        <f t="shared" si="20"/>
        <v>60</v>
      </c>
      <c r="K104" s="50">
        <v>60</v>
      </c>
      <c r="L104" s="50">
        <v>0</v>
      </c>
      <c r="M104" s="50"/>
      <c r="N104" s="50">
        <v>1</v>
      </c>
      <c r="O104" s="50">
        <v>0</v>
      </c>
      <c r="P104" s="52">
        <v>1</v>
      </c>
      <c r="Q104" s="53"/>
      <c r="R104" s="54" t="s">
        <v>158</v>
      </c>
      <c r="S104" s="54" t="s">
        <v>158</v>
      </c>
      <c r="T104" s="54" t="s">
        <v>158</v>
      </c>
      <c r="U104" s="54" t="s">
        <v>158</v>
      </c>
      <c r="V104" s="53" t="s">
        <v>303</v>
      </c>
      <c r="W104" s="53"/>
      <c r="X104" s="53">
        <f t="shared" si="35"/>
        <v>0</v>
      </c>
      <c r="Y104" s="55"/>
      <c r="Z104" s="55"/>
      <c r="AA104" s="52">
        <f t="shared" si="36"/>
        <v>0</v>
      </c>
      <c r="AB104" s="53">
        <f t="shared" si="37"/>
        <v>0</v>
      </c>
      <c r="AC104" s="53">
        <f t="shared" si="38"/>
        <v>0</v>
      </c>
      <c r="AD104" s="53">
        <f t="shared" si="39"/>
        <v>0</v>
      </c>
      <c r="AE104" s="53">
        <f t="shared" si="40"/>
        <v>0</v>
      </c>
      <c r="AF104" s="53">
        <f t="shared" si="41"/>
        <v>0</v>
      </c>
      <c r="AG104" s="56">
        <f t="shared" si="42"/>
        <v>0</v>
      </c>
      <c r="AH104" s="53">
        <f t="shared" si="43"/>
        <v>0</v>
      </c>
      <c r="AI104" s="55"/>
      <c r="AJ104" s="53">
        <f t="shared" si="44"/>
        <v>0</v>
      </c>
      <c r="AK104" s="53">
        <f t="shared" si="45"/>
        <v>0</v>
      </c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7"/>
      <c r="AW104" s="57"/>
      <c r="AX104" s="57"/>
    </row>
    <row r="105" spans="2:50">
      <c r="B105" s="45">
        <v>89</v>
      </c>
      <c r="C105" s="46" t="s">
        <v>304</v>
      </c>
      <c r="D105" s="47" t="s">
        <v>297</v>
      </c>
      <c r="E105" s="161" t="s">
        <v>298</v>
      </c>
      <c r="F105" s="47" t="s">
        <v>307</v>
      </c>
      <c r="G105" s="162" t="s">
        <v>306</v>
      </c>
      <c r="H105" s="164">
        <v>43020</v>
      </c>
      <c r="I105" s="50" t="s">
        <v>302</v>
      </c>
      <c r="J105" s="50">
        <f t="shared" si="20"/>
        <v>120</v>
      </c>
      <c r="K105" s="50">
        <v>120</v>
      </c>
      <c r="L105" s="50">
        <v>0</v>
      </c>
      <c r="M105" s="50"/>
      <c r="N105" s="50">
        <v>2</v>
      </c>
      <c r="O105" s="50">
        <v>0</v>
      </c>
      <c r="P105" s="52">
        <v>1</v>
      </c>
      <c r="Q105" s="53"/>
      <c r="R105" s="54" t="s">
        <v>158</v>
      </c>
      <c r="S105" s="54" t="s">
        <v>158</v>
      </c>
      <c r="T105" s="54" t="s">
        <v>158</v>
      </c>
      <c r="U105" s="54" t="s">
        <v>158</v>
      </c>
      <c r="V105" s="53" t="s">
        <v>303</v>
      </c>
      <c r="W105" s="53"/>
      <c r="X105" s="53">
        <f t="shared" si="35"/>
        <v>0</v>
      </c>
      <c r="Y105" s="55"/>
      <c r="Z105" s="55"/>
      <c r="AA105" s="52">
        <f t="shared" si="36"/>
        <v>0</v>
      </c>
      <c r="AB105" s="53">
        <f t="shared" si="37"/>
        <v>0</v>
      </c>
      <c r="AC105" s="53">
        <f t="shared" si="38"/>
        <v>0</v>
      </c>
      <c r="AD105" s="53">
        <f t="shared" si="39"/>
        <v>0</v>
      </c>
      <c r="AE105" s="53">
        <f t="shared" si="40"/>
        <v>0</v>
      </c>
      <c r="AF105" s="53">
        <f t="shared" si="41"/>
        <v>0</v>
      </c>
      <c r="AG105" s="56">
        <f t="shared" si="42"/>
        <v>0</v>
      </c>
      <c r="AH105" s="53">
        <f t="shared" si="43"/>
        <v>0</v>
      </c>
      <c r="AI105" s="55"/>
      <c r="AJ105" s="53">
        <f t="shared" si="44"/>
        <v>0</v>
      </c>
      <c r="AK105" s="53">
        <f t="shared" si="45"/>
        <v>0</v>
      </c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7"/>
      <c r="AW105" s="57"/>
      <c r="AX105" s="57"/>
    </row>
    <row r="106" spans="2:50">
      <c r="B106" s="45">
        <v>90</v>
      </c>
      <c r="C106" s="46" t="s">
        <v>304</v>
      </c>
      <c r="D106" s="47" t="s">
        <v>297</v>
      </c>
      <c r="E106" s="161" t="s">
        <v>298</v>
      </c>
      <c r="F106" s="48" t="s">
        <v>308</v>
      </c>
      <c r="G106" s="162" t="s">
        <v>300</v>
      </c>
      <c r="H106" s="164">
        <v>43776</v>
      </c>
      <c r="I106" s="50" t="s">
        <v>302</v>
      </c>
      <c r="J106" s="50">
        <f t="shared" si="20"/>
        <v>96</v>
      </c>
      <c r="K106" s="50">
        <v>96</v>
      </c>
      <c r="L106" s="50">
        <v>0</v>
      </c>
      <c r="M106" s="50"/>
      <c r="N106" s="50">
        <v>1.4</v>
      </c>
      <c r="O106" s="50">
        <v>0</v>
      </c>
      <c r="P106" s="52">
        <v>1</v>
      </c>
      <c r="Q106" s="53" t="s">
        <v>257</v>
      </c>
      <c r="R106" s="54" t="s">
        <v>158</v>
      </c>
      <c r="S106" s="54" t="s">
        <v>158</v>
      </c>
      <c r="T106" s="54" t="s">
        <v>158</v>
      </c>
      <c r="U106" s="54" t="s">
        <v>158</v>
      </c>
      <c r="V106" s="53" t="s">
        <v>303</v>
      </c>
      <c r="W106" s="53"/>
      <c r="X106" s="53">
        <f t="shared" si="35"/>
        <v>0</v>
      </c>
      <c r="Y106" s="55"/>
      <c r="Z106" s="55"/>
      <c r="AA106" s="52">
        <f t="shared" si="36"/>
        <v>0</v>
      </c>
      <c r="AB106" s="53">
        <f t="shared" si="37"/>
        <v>0</v>
      </c>
      <c r="AC106" s="53">
        <f t="shared" si="38"/>
        <v>0</v>
      </c>
      <c r="AD106" s="53">
        <f t="shared" si="39"/>
        <v>0</v>
      </c>
      <c r="AE106" s="53">
        <f t="shared" si="40"/>
        <v>0</v>
      </c>
      <c r="AF106" s="53">
        <f t="shared" si="41"/>
        <v>0</v>
      </c>
      <c r="AG106" s="56">
        <f t="shared" si="42"/>
        <v>1</v>
      </c>
      <c r="AH106" s="53">
        <f t="shared" si="43"/>
        <v>0</v>
      </c>
      <c r="AI106" s="55"/>
      <c r="AJ106" s="53">
        <f t="shared" si="44"/>
        <v>0</v>
      </c>
      <c r="AK106" s="53">
        <f t="shared" si="45"/>
        <v>0</v>
      </c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7"/>
      <c r="AW106" s="57"/>
      <c r="AX106" s="57"/>
    </row>
    <row r="107" spans="2:50">
      <c r="B107" s="45">
        <v>91</v>
      </c>
      <c r="C107" s="46" t="s">
        <v>304</v>
      </c>
      <c r="D107" s="47" t="s">
        <v>297</v>
      </c>
      <c r="E107" s="161" t="s">
        <v>298</v>
      </c>
      <c r="F107" s="48" t="s">
        <v>309</v>
      </c>
      <c r="G107" s="162" t="s">
        <v>306</v>
      </c>
      <c r="H107" s="164">
        <v>43047</v>
      </c>
      <c r="I107" s="50" t="s">
        <v>302</v>
      </c>
      <c r="J107" s="50">
        <f t="shared" si="20"/>
        <v>90</v>
      </c>
      <c r="K107" s="50">
        <v>90</v>
      </c>
      <c r="L107" s="50">
        <v>0</v>
      </c>
      <c r="M107" s="50"/>
      <c r="N107" s="50">
        <v>1.25</v>
      </c>
      <c r="O107" s="50">
        <v>0</v>
      </c>
      <c r="P107" s="52">
        <v>1</v>
      </c>
      <c r="Q107" s="53"/>
      <c r="R107" s="54" t="s">
        <v>158</v>
      </c>
      <c r="S107" s="54" t="s">
        <v>158</v>
      </c>
      <c r="T107" s="54" t="s">
        <v>158</v>
      </c>
      <c r="U107" s="54" t="s">
        <v>158</v>
      </c>
      <c r="V107" s="53" t="s">
        <v>303</v>
      </c>
      <c r="W107" s="53"/>
      <c r="X107" s="53">
        <f t="shared" si="35"/>
        <v>0</v>
      </c>
      <c r="Y107" s="55"/>
      <c r="Z107" s="55"/>
      <c r="AA107" s="52">
        <f t="shared" si="36"/>
        <v>0</v>
      </c>
      <c r="AB107" s="53">
        <f t="shared" si="37"/>
        <v>0</v>
      </c>
      <c r="AC107" s="53">
        <f t="shared" si="38"/>
        <v>0</v>
      </c>
      <c r="AD107" s="53">
        <f t="shared" si="39"/>
        <v>0</v>
      </c>
      <c r="AE107" s="53">
        <f t="shared" si="40"/>
        <v>0</v>
      </c>
      <c r="AF107" s="53">
        <f t="shared" si="41"/>
        <v>0</v>
      </c>
      <c r="AG107" s="56">
        <f t="shared" si="42"/>
        <v>0</v>
      </c>
      <c r="AH107" s="53">
        <f t="shared" si="43"/>
        <v>0</v>
      </c>
      <c r="AI107" s="55"/>
      <c r="AJ107" s="53">
        <f t="shared" si="44"/>
        <v>0</v>
      </c>
      <c r="AK107" s="53">
        <f t="shared" si="45"/>
        <v>0</v>
      </c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7"/>
      <c r="AW107" s="57"/>
      <c r="AX107" s="57"/>
    </row>
    <row r="108" spans="2:50">
      <c r="B108" s="45">
        <v>92</v>
      </c>
      <c r="C108" s="46" t="s">
        <v>304</v>
      </c>
      <c r="D108" s="47" t="s">
        <v>297</v>
      </c>
      <c r="E108" s="161" t="s">
        <v>298</v>
      </c>
      <c r="F108" s="48" t="s">
        <v>310</v>
      </c>
      <c r="G108" s="162" t="s">
        <v>306</v>
      </c>
      <c r="H108" s="164">
        <v>43096</v>
      </c>
      <c r="I108" s="50" t="s">
        <v>302</v>
      </c>
      <c r="J108" s="50">
        <f t="shared" si="20"/>
        <v>252</v>
      </c>
      <c r="K108" s="50">
        <v>246</v>
      </c>
      <c r="L108" s="50">
        <v>6</v>
      </c>
      <c r="M108" s="50"/>
      <c r="N108" s="50">
        <v>3.4</v>
      </c>
      <c r="O108" s="50">
        <v>0.1</v>
      </c>
      <c r="P108" s="52">
        <v>1</v>
      </c>
      <c r="Q108" s="53"/>
      <c r="R108" s="54"/>
      <c r="S108" s="54" t="s">
        <v>158</v>
      </c>
      <c r="T108" s="54" t="s">
        <v>158</v>
      </c>
      <c r="U108" s="54" t="s">
        <v>158</v>
      </c>
      <c r="V108" s="53" t="s">
        <v>303</v>
      </c>
      <c r="W108" s="53"/>
      <c r="X108" s="53">
        <f t="shared" si="35"/>
        <v>0</v>
      </c>
      <c r="Y108" s="55"/>
      <c r="Z108" s="55"/>
      <c r="AA108" s="52">
        <f t="shared" si="36"/>
        <v>0</v>
      </c>
      <c r="AB108" s="53">
        <f t="shared" si="37"/>
        <v>0</v>
      </c>
      <c r="AC108" s="53">
        <f t="shared" si="38"/>
        <v>0</v>
      </c>
      <c r="AD108" s="53">
        <f t="shared" si="39"/>
        <v>0</v>
      </c>
      <c r="AE108" s="53">
        <f t="shared" si="40"/>
        <v>0</v>
      </c>
      <c r="AF108" s="53">
        <f t="shared" si="41"/>
        <v>0</v>
      </c>
      <c r="AG108" s="56">
        <f t="shared" si="42"/>
        <v>0</v>
      </c>
      <c r="AH108" s="53">
        <f t="shared" si="43"/>
        <v>0</v>
      </c>
      <c r="AI108" s="55"/>
      <c r="AJ108" s="53">
        <f t="shared" si="44"/>
        <v>0</v>
      </c>
      <c r="AK108" s="53">
        <f t="shared" si="45"/>
        <v>0</v>
      </c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7"/>
      <c r="AW108" s="57"/>
      <c r="AX108" s="57"/>
    </row>
    <row r="109" spans="2:50">
      <c r="B109" s="45">
        <v>93</v>
      </c>
      <c r="C109" s="46" t="s">
        <v>304</v>
      </c>
      <c r="D109" s="47" t="s">
        <v>297</v>
      </c>
      <c r="E109" s="161" t="s">
        <v>298</v>
      </c>
      <c r="F109" s="48" t="s">
        <v>311</v>
      </c>
      <c r="G109" s="162" t="s">
        <v>306</v>
      </c>
      <c r="H109" s="164">
        <v>43644</v>
      </c>
      <c r="I109" s="50" t="s">
        <v>302</v>
      </c>
      <c r="J109" s="50">
        <f t="shared" si="20"/>
        <v>1167</v>
      </c>
      <c r="K109" s="50">
        <v>1167</v>
      </c>
      <c r="L109" s="50">
        <v>0</v>
      </c>
      <c r="M109" s="50"/>
      <c r="N109" s="50">
        <v>21.4</v>
      </c>
      <c r="O109" s="50">
        <v>0</v>
      </c>
      <c r="P109" s="52">
        <v>1</v>
      </c>
      <c r="Q109" s="53"/>
      <c r="R109" s="54" t="s">
        <v>158</v>
      </c>
      <c r="S109" s="54" t="s">
        <v>158</v>
      </c>
      <c r="T109" s="54" t="s">
        <v>158</v>
      </c>
      <c r="U109" s="54" t="s">
        <v>158</v>
      </c>
      <c r="V109" s="53" t="s">
        <v>303</v>
      </c>
      <c r="W109" s="53"/>
      <c r="X109" s="53">
        <f t="shared" si="35"/>
        <v>0</v>
      </c>
      <c r="Y109" s="55"/>
      <c r="Z109" s="55"/>
      <c r="AA109" s="52">
        <f t="shared" si="36"/>
        <v>0</v>
      </c>
      <c r="AB109" s="53">
        <f t="shared" si="37"/>
        <v>0</v>
      </c>
      <c r="AC109" s="53">
        <f t="shared" si="38"/>
        <v>0</v>
      </c>
      <c r="AD109" s="53">
        <f t="shared" si="39"/>
        <v>0</v>
      </c>
      <c r="AE109" s="53">
        <f t="shared" si="40"/>
        <v>0</v>
      </c>
      <c r="AF109" s="53">
        <f t="shared" si="41"/>
        <v>0</v>
      </c>
      <c r="AG109" s="56">
        <f t="shared" si="42"/>
        <v>0</v>
      </c>
      <c r="AH109" s="53">
        <f t="shared" si="43"/>
        <v>0</v>
      </c>
      <c r="AI109" s="55"/>
      <c r="AJ109" s="53">
        <f t="shared" si="44"/>
        <v>0</v>
      </c>
      <c r="AK109" s="53">
        <f t="shared" si="45"/>
        <v>0</v>
      </c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7"/>
      <c r="AW109" s="57"/>
      <c r="AX109" s="57"/>
    </row>
    <row r="110" spans="2:50">
      <c r="B110" s="45">
        <v>94</v>
      </c>
      <c r="C110" s="46" t="s">
        <v>304</v>
      </c>
      <c r="D110" s="47" t="s">
        <v>297</v>
      </c>
      <c r="E110" s="161" t="s">
        <v>298</v>
      </c>
      <c r="F110" s="48" t="s">
        <v>312</v>
      </c>
      <c r="G110" s="162" t="s">
        <v>306</v>
      </c>
      <c r="H110" s="164">
        <v>43475</v>
      </c>
      <c r="I110" s="50" t="s">
        <v>302</v>
      </c>
      <c r="J110" s="50">
        <f t="shared" si="20"/>
        <v>276</v>
      </c>
      <c r="K110" s="50">
        <v>270</v>
      </c>
      <c r="L110" s="50">
        <v>6</v>
      </c>
      <c r="M110" s="50"/>
      <c r="N110" s="50">
        <v>4.5999999999999996</v>
      </c>
      <c r="O110" s="50">
        <v>0.1</v>
      </c>
      <c r="P110" s="52">
        <v>1</v>
      </c>
      <c r="Q110" s="53"/>
      <c r="R110" s="54" t="s">
        <v>158</v>
      </c>
      <c r="S110" s="54" t="s">
        <v>158</v>
      </c>
      <c r="T110" s="54" t="s">
        <v>158</v>
      </c>
      <c r="U110" s="54" t="s">
        <v>158</v>
      </c>
      <c r="V110" s="53" t="s">
        <v>303</v>
      </c>
      <c r="W110" s="53"/>
      <c r="X110" s="53">
        <f t="shared" si="35"/>
        <v>0</v>
      </c>
      <c r="Y110" s="55"/>
      <c r="Z110" s="55"/>
      <c r="AA110" s="52">
        <f t="shared" si="36"/>
        <v>0</v>
      </c>
      <c r="AB110" s="53">
        <f t="shared" si="37"/>
        <v>0</v>
      </c>
      <c r="AC110" s="53">
        <f t="shared" si="38"/>
        <v>0</v>
      </c>
      <c r="AD110" s="53">
        <f t="shared" si="39"/>
        <v>0</v>
      </c>
      <c r="AE110" s="53">
        <f t="shared" si="40"/>
        <v>0</v>
      </c>
      <c r="AF110" s="53">
        <f t="shared" si="41"/>
        <v>0</v>
      </c>
      <c r="AG110" s="56">
        <f t="shared" si="42"/>
        <v>0</v>
      </c>
      <c r="AH110" s="53">
        <f t="shared" si="43"/>
        <v>0</v>
      </c>
      <c r="AI110" s="55"/>
      <c r="AJ110" s="53">
        <f t="shared" si="44"/>
        <v>0</v>
      </c>
      <c r="AK110" s="53">
        <f t="shared" si="45"/>
        <v>0</v>
      </c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7"/>
      <c r="AW110" s="57"/>
      <c r="AX110" s="57"/>
    </row>
    <row r="111" spans="2:50">
      <c r="B111" s="45">
        <v>95</v>
      </c>
      <c r="C111" s="46" t="s">
        <v>304</v>
      </c>
      <c r="D111" s="47" t="s">
        <v>297</v>
      </c>
      <c r="E111" s="161" t="s">
        <v>298</v>
      </c>
      <c r="F111" s="48" t="s">
        <v>313</v>
      </c>
      <c r="G111" s="162" t="s">
        <v>306</v>
      </c>
      <c r="H111" s="164">
        <v>42212</v>
      </c>
      <c r="I111" s="50" t="s">
        <v>302</v>
      </c>
      <c r="J111" s="165">
        <f t="shared" si="20"/>
        <v>18</v>
      </c>
      <c r="K111" s="165">
        <v>18</v>
      </c>
      <c r="L111" s="165">
        <v>0</v>
      </c>
      <c r="M111" s="165"/>
      <c r="N111" s="165">
        <v>0.3</v>
      </c>
      <c r="O111" s="165">
        <v>0</v>
      </c>
      <c r="P111" s="166">
        <v>1</v>
      </c>
      <c r="Q111" s="53"/>
      <c r="R111" s="54" t="s">
        <v>158</v>
      </c>
      <c r="S111" s="54" t="s">
        <v>158</v>
      </c>
      <c r="T111" s="54" t="s">
        <v>158</v>
      </c>
      <c r="U111" s="54" t="s">
        <v>158</v>
      </c>
      <c r="V111" s="53" t="s">
        <v>303</v>
      </c>
      <c r="W111" s="53"/>
      <c r="X111" s="53">
        <f t="shared" si="35"/>
        <v>0</v>
      </c>
      <c r="Y111" s="55"/>
      <c r="Z111" s="55"/>
      <c r="AA111" s="52">
        <f t="shared" si="36"/>
        <v>0</v>
      </c>
      <c r="AB111" s="53">
        <f t="shared" si="37"/>
        <v>0</v>
      </c>
      <c r="AC111" s="53">
        <f t="shared" si="38"/>
        <v>0</v>
      </c>
      <c r="AD111" s="53">
        <f t="shared" si="39"/>
        <v>0</v>
      </c>
      <c r="AE111" s="53">
        <f t="shared" si="40"/>
        <v>0</v>
      </c>
      <c r="AF111" s="53">
        <f t="shared" si="41"/>
        <v>0</v>
      </c>
      <c r="AG111" s="56">
        <f t="shared" si="42"/>
        <v>0</v>
      </c>
      <c r="AH111" s="53">
        <f t="shared" si="43"/>
        <v>0</v>
      </c>
      <c r="AI111" s="55"/>
      <c r="AJ111" s="53">
        <f t="shared" si="44"/>
        <v>0</v>
      </c>
      <c r="AK111" s="53">
        <f t="shared" si="45"/>
        <v>0</v>
      </c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7"/>
      <c r="AW111" s="57"/>
      <c r="AX111" s="57"/>
    </row>
    <row r="112" spans="2:50">
      <c r="B112" s="45">
        <v>96</v>
      </c>
      <c r="C112" s="46" t="s">
        <v>304</v>
      </c>
      <c r="D112" s="47" t="s">
        <v>297</v>
      </c>
      <c r="E112" s="161" t="s">
        <v>298</v>
      </c>
      <c r="F112" s="48" t="s">
        <v>314</v>
      </c>
      <c r="G112" s="162" t="s">
        <v>306</v>
      </c>
      <c r="H112" s="164">
        <v>43047</v>
      </c>
      <c r="I112" s="50" t="s">
        <v>302</v>
      </c>
      <c r="J112" s="165">
        <f t="shared" si="20"/>
        <v>12</v>
      </c>
      <c r="K112" s="165">
        <v>12</v>
      </c>
      <c r="L112" s="165">
        <v>0</v>
      </c>
      <c r="M112" s="165"/>
      <c r="N112" s="165">
        <v>0.2</v>
      </c>
      <c r="O112" s="165">
        <v>0</v>
      </c>
      <c r="P112" s="166">
        <v>1</v>
      </c>
      <c r="Q112" s="53"/>
      <c r="R112" s="54" t="s">
        <v>158</v>
      </c>
      <c r="S112" s="54" t="s">
        <v>158</v>
      </c>
      <c r="T112" s="54" t="s">
        <v>158</v>
      </c>
      <c r="U112" s="54" t="s">
        <v>158</v>
      </c>
      <c r="V112" s="53" t="s">
        <v>303</v>
      </c>
      <c r="W112" s="53"/>
      <c r="X112" s="53">
        <f t="shared" si="35"/>
        <v>0</v>
      </c>
      <c r="Y112" s="55"/>
      <c r="Z112" s="55"/>
      <c r="AA112" s="52">
        <f t="shared" si="36"/>
        <v>0</v>
      </c>
      <c r="AB112" s="53">
        <f t="shared" si="37"/>
        <v>0</v>
      </c>
      <c r="AC112" s="53">
        <f t="shared" si="38"/>
        <v>0</v>
      </c>
      <c r="AD112" s="53">
        <f t="shared" si="39"/>
        <v>0</v>
      </c>
      <c r="AE112" s="53">
        <f t="shared" si="40"/>
        <v>0</v>
      </c>
      <c r="AF112" s="53">
        <f t="shared" si="41"/>
        <v>0</v>
      </c>
      <c r="AG112" s="56">
        <f t="shared" si="42"/>
        <v>0</v>
      </c>
      <c r="AH112" s="53">
        <f t="shared" si="43"/>
        <v>0</v>
      </c>
      <c r="AI112" s="55"/>
      <c r="AJ112" s="53">
        <f t="shared" si="44"/>
        <v>0</v>
      </c>
      <c r="AK112" s="53">
        <f t="shared" si="45"/>
        <v>0</v>
      </c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7"/>
      <c r="AW112" s="57"/>
      <c r="AX112" s="57"/>
    </row>
    <row r="113" spans="2:50">
      <c r="B113" s="45">
        <v>97</v>
      </c>
      <c r="C113" s="46" t="s">
        <v>304</v>
      </c>
      <c r="D113" s="47" t="s">
        <v>297</v>
      </c>
      <c r="E113" s="161" t="s">
        <v>298</v>
      </c>
      <c r="F113" s="48" t="s">
        <v>315</v>
      </c>
      <c r="G113" s="162" t="s">
        <v>306</v>
      </c>
      <c r="H113" s="164">
        <v>43670</v>
      </c>
      <c r="I113" s="50" t="s">
        <v>302</v>
      </c>
      <c r="J113" s="50">
        <f t="shared" si="20"/>
        <v>120</v>
      </c>
      <c r="K113" s="50">
        <v>120</v>
      </c>
      <c r="L113" s="50">
        <v>0</v>
      </c>
      <c r="M113" s="50"/>
      <c r="N113" s="50">
        <v>2</v>
      </c>
      <c r="O113" s="50">
        <v>0</v>
      </c>
      <c r="P113" s="52">
        <v>1</v>
      </c>
      <c r="Q113" s="53"/>
      <c r="R113" s="54" t="s">
        <v>158</v>
      </c>
      <c r="S113" s="54" t="s">
        <v>158</v>
      </c>
      <c r="T113" s="54" t="s">
        <v>158</v>
      </c>
      <c r="U113" s="54" t="s">
        <v>158</v>
      </c>
      <c r="V113" s="53" t="s">
        <v>303</v>
      </c>
      <c r="W113" s="53"/>
      <c r="X113" s="53">
        <f t="shared" si="35"/>
        <v>0</v>
      </c>
      <c r="Y113" s="55"/>
      <c r="Z113" s="55"/>
      <c r="AA113" s="52">
        <f t="shared" si="36"/>
        <v>0</v>
      </c>
      <c r="AB113" s="53">
        <f t="shared" si="37"/>
        <v>0</v>
      </c>
      <c r="AC113" s="53">
        <f t="shared" si="38"/>
        <v>0</v>
      </c>
      <c r="AD113" s="53">
        <f t="shared" si="39"/>
        <v>0</v>
      </c>
      <c r="AE113" s="53">
        <f t="shared" si="40"/>
        <v>0</v>
      </c>
      <c r="AF113" s="53">
        <f t="shared" si="41"/>
        <v>0</v>
      </c>
      <c r="AG113" s="56">
        <f t="shared" si="42"/>
        <v>0</v>
      </c>
      <c r="AH113" s="53">
        <f t="shared" si="43"/>
        <v>0</v>
      </c>
      <c r="AI113" s="55"/>
      <c r="AJ113" s="53">
        <f t="shared" si="44"/>
        <v>0</v>
      </c>
      <c r="AK113" s="53">
        <f t="shared" si="45"/>
        <v>0</v>
      </c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7"/>
      <c r="AW113" s="57"/>
      <c r="AX113" s="57"/>
    </row>
    <row r="114" spans="2:50">
      <c r="B114" s="45">
        <v>98</v>
      </c>
      <c r="C114" s="46" t="s">
        <v>304</v>
      </c>
      <c r="D114" s="47" t="s">
        <v>297</v>
      </c>
      <c r="E114" s="161" t="s">
        <v>298</v>
      </c>
      <c r="F114" s="48" t="s">
        <v>316</v>
      </c>
      <c r="G114" s="162" t="s">
        <v>306</v>
      </c>
      <c r="H114" s="164">
        <v>42453</v>
      </c>
      <c r="I114" s="50" t="s">
        <v>302</v>
      </c>
      <c r="J114" s="50">
        <f t="shared" si="20"/>
        <v>30</v>
      </c>
      <c r="K114" s="50">
        <v>30</v>
      </c>
      <c r="L114" s="165">
        <v>0</v>
      </c>
      <c r="M114" s="165"/>
      <c r="N114" s="50">
        <v>0.3</v>
      </c>
      <c r="O114" s="165">
        <v>0</v>
      </c>
      <c r="P114" s="166">
        <v>1</v>
      </c>
      <c r="Q114" s="53"/>
      <c r="R114" s="54" t="s">
        <v>158</v>
      </c>
      <c r="S114" s="54" t="s">
        <v>158</v>
      </c>
      <c r="T114" s="54" t="s">
        <v>158</v>
      </c>
      <c r="U114" s="54" t="s">
        <v>158</v>
      </c>
      <c r="V114" s="53" t="s">
        <v>303</v>
      </c>
      <c r="W114" s="53"/>
      <c r="X114" s="53">
        <f t="shared" si="35"/>
        <v>0</v>
      </c>
      <c r="Y114" s="55"/>
      <c r="Z114" s="55"/>
      <c r="AA114" s="52">
        <f t="shared" si="36"/>
        <v>0</v>
      </c>
      <c r="AB114" s="53">
        <f t="shared" si="37"/>
        <v>0</v>
      </c>
      <c r="AC114" s="53">
        <f t="shared" si="38"/>
        <v>0</v>
      </c>
      <c r="AD114" s="53">
        <f t="shared" si="39"/>
        <v>0</v>
      </c>
      <c r="AE114" s="53">
        <f t="shared" si="40"/>
        <v>0</v>
      </c>
      <c r="AF114" s="53">
        <f t="shared" si="41"/>
        <v>0</v>
      </c>
      <c r="AG114" s="56">
        <f t="shared" si="42"/>
        <v>0</v>
      </c>
      <c r="AH114" s="53">
        <f t="shared" si="43"/>
        <v>0</v>
      </c>
      <c r="AI114" s="55"/>
      <c r="AJ114" s="53">
        <f t="shared" si="44"/>
        <v>0</v>
      </c>
      <c r="AK114" s="53">
        <f t="shared" si="45"/>
        <v>0</v>
      </c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7"/>
      <c r="AW114" s="57"/>
      <c r="AX114" s="57"/>
    </row>
    <row r="115" spans="2:50">
      <c r="B115" s="45">
        <v>99</v>
      </c>
      <c r="C115" s="46" t="s">
        <v>304</v>
      </c>
      <c r="D115" s="47" t="s">
        <v>297</v>
      </c>
      <c r="E115" s="161" t="s">
        <v>298</v>
      </c>
      <c r="F115" s="48" t="s">
        <v>317</v>
      </c>
      <c r="G115" s="162" t="s">
        <v>306</v>
      </c>
      <c r="H115" s="164">
        <v>42235</v>
      </c>
      <c r="I115" s="50" t="s">
        <v>302</v>
      </c>
      <c r="J115" s="50">
        <f t="shared" si="20"/>
        <v>24</v>
      </c>
      <c r="K115" s="50">
        <v>24</v>
      </c>
      <c r="L115" s="50">
        <v>0</v>
      </c>
      <c r="M115" s="50"/>
      <c r="N115" s="50">
        <v>0.4</v>
      </c>
      <c r="O115" s="50">
        <v>0</v>
      </c>
      <c r="P115" s="52">
        <v>1</v>
      </c>
      <c r="Q115" s="53"/>
      <c r="R115" s="54" t="s">
        <v>158</v>
      </c>
      <c r="S115" s="54" t="s">
        <v>158</v>
      </c>
      <c r="T115" s="54" t="s">
        <v>158</v>
      </c>
      <c r="U115" s="54" t="s">
        <v>158</v>
      </c>
      <c r="V115" s="53" t="s">
        <v>303</v>
      </c>
      <c r="W115" s="53"/>
      <c r="X115" s="53">
        <f t="shared" si="35"/>
        <v>0</v>
      </c>
      <c r="Y115" s="55"/>
      <c r="Z115" s="55"/>
      <c r="AA115" s="52">
        <f t="shared" si="36"/>
        <v>0</v>
      </c>
      <c r="AB115" s="53">
        <f t="shared" si="37"/>
        <v>0</v>
      </c>
      <c r="AC115" s="53">
        <f t="shared" si="38"/>
        <v>0</v>
      </c>
      <c r="AD115" s="53">
        <f t="shared" si="39"/>
        <v>0</v>
      </c>
      <c r="AE115" s="53">
        <f t="shared" si="40"/>
        <v>0</v>
      </c>
      <c r="AF115" s="53">
        <f t="shared" si="41"/>
        <v>0</v>
      </c>
      <c r="AG115" s="56">
        <f t="shared" si="42"/>
        <v>0</v>
      </c>
      <c r="AH115" s="53">
        <f t="shared" si="43"/>
        <v>0</v>
      </c>
      <c r="AI115" s="55"/>
      <c r="AJ115" s="53">
        <f t="shared" si="44"/>
        <v>0</v>
      </c>
      <c r="AK115" s="53">
        <f t="shared" si="45"/>
        <v>0</v>
      </c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7"/>
      <c r="AW115" s="57"/>
      <c r="AX115" s="57"/>
    </row>
    <row r="116" spans="2:50">
      <c r="B116" s="45">
        <v>100</v>
      </c>
      <c r="C116" s="46" t="s">
        <v>304</v>
      </c>
      <c r="D116" s="47" t="s">
        <v>297</v>
      </c>
      <c r="E116" s="161" t="s">
        <v>298</v>
      </c>
      <c r="F116" s="48" t="s">
        <v>318</v>
      </c>
      <c r="G116" s="162" t="s">
        <v>306</v>
      </c>
      <c r="H116" s="164">
        <v>43788</v>
      </c>
      <c r="I116" s="50" t="s">
        <v>302</v>
      </c>
      <c r="J116" s="50">
        <f t="shared" si="20"/>
        <v>510</v>
      </c>
      <c r="K116" s="50">
        <v>510</v>
      </c>
      <c r="L116" s="50">
        <v>0</v>
      </c>
      <c r="M116" s="50"/>
      <c r="N116" s="50">
        <v>7.3</v>
      </c>
      <c r="O116" s="50">
        <v>0</v>
      </c>
      <c r="P116" s="52">
        <v>1</v>
      </c>
      <c r="Q116" s="53"/>
      <c r="R116" s="54"/>
      <c r="S116" s="54" t="s">
        <v>158</v>
      </c>
      <c r="T116" s="54" t="s">
        <v>158</v>
      </c>
      <c r="U116" s="54" t="s">
        <v>158</v>
      </c>
      <c r="V116" s="53" t="s">
        <v>303</v>
      </c>
      <c r="W116" s="53"/>
      <c r="X116" s="53">
        <f t="shared" si="35"/>
        <v>0</v>
      </c>
      <c r="Y116" s="55"/>
      <c r="Z116" s="55"/>
      <c r="AA116" s="52">
        <f t="shared" si="36"/>
        <v>0</v>
      </c>
      <c r="AB116" s="53">
        <f t="shared" si="37"/>
        <v>0</v>
      </c>
      <c r="AC116" s="53">
        <f t="shared" si="38"/>
        <v>0</v>
      </c>
      <c r="AD116" s="53">
        <f t="shared" si="39"/>
        <v>0</v>
      </c>
      <c r="AE116" s="53">
        <f t="shared" si="40"/>
        <v>0</v>
      </c>
      <c r="AF116" s="53">
        <f t="shared" si="41"/>
        <v>0</v>
      </c>
      <c r="AG116" s="56">
        <f t="shared" si="42"/>
        <v>0</v>
      </c>
      <c r="AH116" s="53">
        <f t="shared" si="43"/>
        <v>0</v>
      </c>
      <c r="AI116" s="55"/>
      <c r="AJ116" s="53">
        <f t="shared" si="44"/>
        <v>0</v>
      </c>
      <c r="AK116" s="53">
        <f t="shared" si="45"/>
        <v>0</v>
      </c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7"/>
      <c r="AW116" s="57"/>
      <c r="AX116" s="57"/>
    </row>
    <row r="117" spans="2:50">
      <c r="B117" s="45">
        <v>101</v>
      </c>
      <c r="C117" s="46" t="s">
        <v>304</v>
      </c>
      <c r="D117" s="47" t="s">
        <v>297</v>
      </c>
      <c r="E117" s="161" t="s">
        <v>298</v>
      </c>
      <c r="F117" s="48" t="s">
        <v>319</v>
      </c>
      <c r="G117" s="162" t="s">
        <v>306</v>
      </c>
      <c r="H117" s="164">
        <v>43601</v>
      </c>
      <c r="I117" s="50" t="s">
        <v>302</v>
      </c>
      <c r="J117" s="50">
        <f t="shared" si="20"/>
        <v>90</v>
      </c>
      <c r="K117" s="50">
        <v>90</v>
      </c>
      <c r="L117" s="50">
        <v>0</v>
      </c>
      <c r="M117" s="50"/>
      <c r="N117" s="50">
        <v>1.5</v>
      </c>
      <c r="O117" s="50">
        <v>0</v>
      </c>
      <c r="P117" s="52">
        <v>1</v>
      </c>
      <c r="Q117" s="53"/>
      <c r="R117" s="54"/>
      <c r="S117" s="54" t="s">
        <v>158</v>
      </c>
      <c r="T117" s="54" t="s">
        <v>158</v>
      </c>
      <c r="U117" s="54" t="s">
        <v>158</v>
      </c>
      <c r="V117" s="53" t="s">
        <v>303</v>
      </c>
      <c r="W117" s="53"/>
      <c r="X117" s="53">
        <f t="shared" si="35"/>
        <v>0</v>
      </c>
      <c r="Y117" s="55"/>
      <c r="Z117" s="55"/>
      <c r="AA117" s="52">
        <f t="shared" si="36"/>
        <v>0</v>
      </c>
      <c r="AB117" s="53">
        <f t="shared" si="37"/>
        <v>0</v>
      </c>
      <c r="AC117" s="53">
        <f t="shared" si="38"/>
        <v>0</v>
      </c>
      <c r="AD117" s="53">
        <f t="shared" si="39"/>
        <v>0</v>
      </c>
      <c r="AE117" s="53">
        <f t="shared" si="40"/>
        <v>0</v>
      </c>
      <c r="AF117" s="53">
        <f t="shared" si="41"/>
        <v>0</v>
      </c>
      <c r="AG117" s="56">
        <f t="shared" si="42"/>
        <v>0</v>
      </c>
      <c r="AH117" s="53">
        <f t="shared" si="43"/>
        <v>0</v>
      </c>
      <c r="AI117" s="55"/>
      <c r="AJ117" s="53">
        <f t="shared" si="44"/>
        <v>0</v>
      </c>
      <c r="AK117" s="53">
        <f t="shared" si="45"/>
        <v>0</v>
      </c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7"/>
      <c r="AW117" s="57"/>
      <c r="AX117" s="57"/>
    </row>
    <row r="118" spans="2:50">
      <c r="B118" s="45">
        <v>102</v>
      </c>
      <c r="C118" s="46" t="s">
        <v>304</v>
      </c>
      <c r="D118" s="47" t="s">
        <v>297</v>
      </c>
      <c r="E118" s="161" t="s">
        <v>298</v>
      </c>
      <c r="F118" s="48" t="s">
        <v>320</v>
      </c>
      <c r="G118" s="162" t="s">
        <v>306</v>
      </c>
      <c r="H118" s="164">
        <v>43747</v>
      </c>
      <c r="I118" s="50" t="s">
        <v>302</v>
      </c>
      <c r="J118" s="50">
        <f t="shared" si="20"/>
        <v>33</v>
      </c>
      <c r="K118" s="50">
        <v>33</v>
      </c>
      <c r="L118" s="50">
        <v>0</v>
      </c>
      <c r="M118" s="50"/>
      <c r="N118" s="50">
        <v>0.55000000000000004</v>
      </c>
      <c r="O118" s="50">
        <v>0</v>
      </c>
      <c r="P118" s="52">
        <v>1</v>
      </c>
      <c r="Q118" s="53"/>
      <c r="R118" s="54" t="s">
        <v>158</v>
      </c>
      <c r="S118" s="54" t="s">
        <v>158</v>
      </c>
      <c r="T118" s="54" t="s">
        <v>158</v>
      </c>
      <c r="U118" s="54" t="s">
        <v>158</v>
      </c>
      <c r="V118" s="53" t="s">
        <v>303</v>
      </c>
      <c r="W118" s="53"/>
      <c r="X118" s="53">
        <f t="shared" si="35"/>
        <v>0</v>
      </c>
      <c r="Y118" s="55"/>
      <c r="Z118" s="55"/>
      <c r="AA118" s="52">
        <f t="shared" si="36"/>
        <v>0</v>
      </c>
      <c r="AB118" s="53">
        <f t="shared" si="37"/>
        <v>0</v>
      </c>
      <c r="AC118" s="53">
        <f t="shared" si="38"/>
        <v>0</v>
      </c>
      <c r="AD118" s="53">
        <f t="shared" si="39"/>
        <v>0</v>
      </c>
      <c r="AE118" s="53">
        <f t="shared" si="40"/>
        <v>0</v>
      </c>
      <c r="AF118" s="53">
        <f t="shared" si="41"/>
        <v>0</v>
      </c>
      <c r="AG118" s="56">
        <f t="shared" si="42"/>
        <v>0</v>
      </c>
      <c r="AH118" s="53">
        <f t="shared" si="43"/>
        <v>0</v>
      </c>
      <c r="AI118" s="55"/>
      <c r="AJ118" s="53">
        <f t="shared" si="44"/>
        <v>0</v>
      </c>
      <c r="AK118" s="53">
        <f t="shared" si="45"/>
        <v>0</v>
      </c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7"/>
      <c r="AW118" s="57"/>
      <c r="AX118" s="57"/>
    </row>
    <row r="119" spans="2:50">
      <c r="B119" s="45">
        <v>103</v>
      </c>
      <c r="C119" s="46" t="s">
        <v>304</v>
      </c>
      <c r="D119" s="47" t="s">
        <v>297</v>
      </c>
      <c r="E119" s="161" t="s">
        <v>298</v>
      </c>
      <c r="F119" s="48" t="s">
        <v>321</v>
      </c>
      <c r="G119" s="162" t="s">
        <v>306</v>
      </c>
      <c r="H119" s="164">
        <v>43644</v>
      </c>
      <c r="I119" s="50" t="s">
        <v>302</v>
      </c>
      <c r="J119" s="50">
        <f t="shared" si="20"/>
        <v>78</v>
      </c>
      <c r="K119" s="50">
        <v>78</v>
      </c>
      <c r="L119" s="50">
        <v>0</v>
      </c>
      <c r="M119" s="50"/>
      <c r="N119" s="50">
        <v>1.1499999999999999</v>
      </c>
      <c r="O119" s="50">
        <v>0</v>
      </c>
      <c r="P119" s="52">
        <v>1</v>
      </c>
      <c r="Q119" s="53"/>
      <c r="R119" s="54" t="s">
        <v>158</v>
      </c>
      <c r="S119" s="54" t="s">
        <v>158</v>
      </c>
      <c r="T119" s="54" t="s">
        <v>158</v>
      </c>
      <c r="U119" s="54" t="s">
        <v>158</v>
      </c>
      <c r="V119" s="53" t="s">
        <v>303</v>
      </c>
      <c r="W119" s="53"/>
      <c r="X119" s="53">
        <f t="shared" si="35"/>
        <v>0</v>
      </c>
      <c r="Y119" s="55"/>
      <c r="Z119" s="55"/>
      <c r="AA119" s="52">
        <f t="shared" si="36"/>
        <v>0</v>
      </c>
      <c r="AB119" s="53">
        <f t="shared" si="37"/>
        <v>0</v>
      </c>
      <c r="AC119" s="53">
        <f t="shared" si="38"/>
        <v>0</v>
      </c>
      <c r="AD119" s="53">
        <f t="shared" si="39"/>
        <v>0</v>
      </c>
      <c r="AE119" s="53">
        <f t="shared" si="40"/>
        <v>0</v>
      </c>
      <c r="AF119" s="53">
        <f t="shared" si="41"/>
        <v>0</v>
      </c>
      <c r="AG119" s="56">
        <f t="shared" si="42"/>
        <v>0</v>
      </c>
      <c r="AH119" s="53">
        <f t="shared" si="43"/>
        <v>0</v>
      </c>
      <c r="AI119" s="55"/>
      <c r="AJ119" s="53">
        <f t="shared" si="44"/>
        <v>0</v>
      </c>
      <c r="AK119" s="53">
        <f t="shared" si="45"/>
        <v>0</v>
      </c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7"/>
      <c r="AW119" s="57"/>
      <c r="AX119" s="57"/>
    </row>
    <row r="120" spans="2:50">
      <c r="B120" s="45">
        <v>104</v>
      </c>
      <c r="C120" s="46" t="s">
        <v>304</v>
      </c>
      <c r="D120" s="47" t="s">
        <v>297</v>
      </c>
      <c r="E120" s="161" t="s">
        <v>298</v>
      </c>
      <c r="F120" s="48" t="s">
        <v>322</v>
      </c>
      <c r="G120" s="167" t="s">
        <v>306</v>
      </c>
      <c r="H120" s="164">
        <v>42711</v>
      </c>
      <c r="I120" s="50" t="s">
        <v>302</v>
      </c>
      <c r="J120" s="50">
        <f t="shared" si="20"/>
        <v>63</v>
      </c>
      <c r="K120" s="50">
        <v>63</v>
      </c>
      <c r="L120" s="50">
        <v>0</v>
      </c>
      <c r="M120" s="50"/>
      <c r="N120" s="50">
        <v>0.95</v>
      </c>
      <c r="O120" s="50">
        <v>0</v>
      </c>
      <c r="P120" s="52">
        <v>1</v>
      </c>
      <c r="Q120" s="53"/>
      <c r="R120" s="54" t="s">
        <v>158</v>
      </c>
      <c r="S120" s="54" t="s">
        <v>158</v>
      </c>
      <c r="T120" s="54" t="s">
        <v>158</v>
      </c>
      <c r="U120" s="54" t="s">
        <v>158</v>
      </c>
      <c r="V120" s="53" t="s">
        <v>303</v>
      </c>
      <c r="W120" s="53"/>
      <c r="X120" s="53">
        <f t="shared" si="35"/>
        <v>0</v>
      </c>
      <c r="Y120" s="55"/>
      <c r="Z120" s="55"/>
      <c r="AA120" s="52">
        <f t="shared" si="36"/>
        <v>0</v>
      </c>
      <c r="AB120" s="53">
        <f t="shared" si="37"/>
        <v>0</v>
      </c>
      <c r="AC120" s="53">
        <f t="shared" si="38"/>
        <v>0</v>
      </c>
      <c r="AD120" s="53">
        <f t="shared" si="39"/>
        <v>0</v>
      </c>
      <c r="AE120" s="53">
        <f t="shared" si="40"/>
        <v>0</v>
      </c>
      <c r="AF120" s="53">
        <f t="shared" si="41"/>
        <v>0</v>
      </c>
      <c r="AG120" s="56">
        <f t="shared" si="42"/>
        <v>0</v>
      </c>
      <c r="AH120" s="53">
        <f t="shared" si="43"/>
        <v>0</v>
      </c>
      <c r="AI120" s="55"/>
      <c r="AJ120" s="53">
        <f t="shared" si="44"/>
        <v>0</v>
      </c>
      <c r="AK120" s="53">
        <f t="shared" si="45"/>
        <v>0</v>
      </c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7"/>
      <c r="AW120" s="57"/>
      <c r="AX120" s="57"/>
    </row>
    <row r="121" spans="2:50">
      <c r="B121" s="45">
        <v>105</v>
      </c>
      <c r="C121" s="46" t="s">
        <v>304</v>
      </c>
      <c r="D121" s="47" t="s">
        <v>297</v>
      </c>
      <c r="E121" s="161" t="s">
        <v>298</v>
      </c>
      <c r="F121" s="48" t="s">
        <v>323</v>
      </c>
      <c r="G121" s="167" t="s">
        <v>306</v>
      </c>
      <c r="H121" s="164">
        <v>43782</v>
      </c>
      <c r="I121" s="50" t="s">
        <v>302</v>
      </c>
      <c r="J121" s="50">
        <f t="shared" si="20"/>
        <v>75</v>
      </c>
      <c r="K121" s="50">
        <v>75</v>
      </c>
      <c r="L121" s="50">
        <v>0</v>
      </c>
      <c r="M121" s="50"/>
      <c r="N121" s="50">
        <v>1.25</v>
      </c>
      <c r="O121" s="50">
        <v>0</v>
      </c>
      <c r="P121" s="52">
        <v>1</v>
      </c>
      <c r="Q121" s="53"/>
      <c r="R121" s="54" t="s">
        <v>158</v>
      </c>
      <c r="S121" s="54" t="s">
        <v>158</v>
      </c>
      <c r="T121" s="54" t="s">
        <v>158</v>
      </c>
      <c r="U121" s="54" t="s">
        <v>158</v>
      </c>
      <c r="V121" s="53" t="s">
        <v>303</v>
      </c>
      <c r="W121" s="53"/>
      <c r="X121" s="53">
        <f t="shared" si="35"/>
        <v>0</v>
      </c>
      <c r="Y121" s="55"/>
      <c r="Z121" s="55"/>
      <c r="AA121" s="52">
        <f t="shared" si="36"/>
        <v>0</v>
      </c>
      <c r="AB121" s="53">
        <f t="shared" si="37"/>
        <v>0</v>
      </c>
      <c r="AC121" s="53">
        <f t="shared" si="38"/>
        <v>0</v>
      </c>
      <c r="AD121" s="53">
        <f t="shared" si="39"/>
        <v>0</v>
      </c>
      <c r="AE121" s="53">
        <f t="shared" si="40"/>
        <v>0</v>
      </c>
      <c r="AF121" s="53">
        <f t="shared" si="41"/>
        <v>0</v>
      </c>
      <c r="AG121" s="56">
        <f t="shared" si="42"/>
        <v>0</v>
      </c>
      <c r="AH121" s="53">
        <f t="shared" si="43"/>
        <v>0</v>
      </c>
      <c r="AI121" s="55"/>
      <c r="AJ121" s="53">
        <f t="shared" si="44"/>
        <v>0</v>
      </c>
      <c r="AK121" s="53">
        <f t="shared" si="45"/>
        <v>0</v>
      </c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7"/>
      <c r="AW121" s="57"/>
      <c r="AX121" s="57"/>
    </row>
    <row r="122" spans="2:50">
      <c r="B122" s="45">
        <v>106</v>
      </c>
      <c r="C122" s="46" t="s">
        <v>304</v>
      </c>
      <c r="D122" s="47" t="s">
        <v>297</v>
      </c>
      <c r="E122" s="161" t="s">
        <v>298</v>
      </c>
      <c r="F122" s="48" t="s">
        <v>324</v>
      </c>
      <c r="G122" s="167" t="s">
        <v>306</v>
      </c>
      <c r="H122" s="164">
        <v>43552</v>
      </c>
      <c r="I122" s="50" t="s">
        <v>302</v>
      </c>
      <c r="J122" s="50">
        <f t="shared" si="20"/>
        <v>2520</v>
      </c>
      <c r="K122" s="50">
        <v>2280</v>
      </c>
      <c r="L122" s="50">
        <v>240</v>
      </c>
      <c r="M122" s="50"/>
      <c r="N122" s="50">
        <v>38</v>
      </c>
      <c r="O122" s="50">
        <v>4</v>
      </c>
      <c r="P122" s="52">
        <v>1</v>
      </c>
      <c r="Q122" s="53"/>
      <c r="R122" s="54" t="s">
        <v>158</v>
      </c>
      <c r="S122" s="54" t="s">
        <v>158</v>
      </c>
      <c r="T122" s="54" t="s">
        <v>158</v>
      </c>
      <c r="U122" s="54" t="s">
        <v>158</v>
      </c>
      <c r="V122" s="53" t="s">
        <v>303</v>
      </c>
      <c r="W122" s="53"/>
      <c r="X122" s="53">
        <f t="shared" si="35"/>
        <v>0</v>
      </c>
      <c r="Y122" s="55"/>
      <c r="Z122" s="55"/>
      <c r="AA122" s="52">
        <f t="shared" si="36"/>
        <v>0</v>
      </c>
      <c r="AB122" s="53">
        <f t="shared" si="37"/>
        <v>0</v>
      </c>
      <c r="AC122" s="53">
        <f t="shared" si="38"/>
        <v>0</v>
      </c>
      <c r="AD122" s="53">
        <f t="shared" si="39"/>
        <v>0</v>
      </c>
      <c r="AE122" s="53">
        <f t="shared" si="40"/>
        <v>0</v>
      </c>
      <c r="AF122" s="53">
        <f t="shared" si="41"/>
        <v>0</v>
      </c>
      <c r="AG122" s="56">
        <f t="shared" si="42"/>
        <v>0</v>
      </c>
      <c r="AH122" s="53">
        <f t="shared" si="43"/>
        <v>0</v>
      </c>
      <c r="AI122" s="55"/>
      <c r="AJ122" s="53">
        <f t="shared" si="44"/>
        <v>0</v>
      </c>
      <c r="AK122" s="53">
        <f t="shared" si="45"/>
        <v>0</v>
      </c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7"/>
      <c r="AW122" s="57"/>
      <c r="AX122" s="57"/>
    </row>
    <row r="123" spans="2:50">
      <c r="B123" s="45">
        <v>107</v>
      </c>
      <c r="C123" s="46" t="s">
        <v>304</v>
      </c>
      <c r="D123" s="47" t="s">
        <v>297</v>
      </c>
      <c r="E123" s="161" t="s">
        <v>298</v>
      </c>
      <c r="F123" s="48" t="s">
        <v>325</v>
      </c>
      <c r="G123" s="167" t="s">
        <v>306</v>
      </c>
      <c r="H123" s="164">
        <v>43703</v>
      </c>
      <c r="I123" s="50" t="s">
        <v>302</v>
      </c>
      <c r="J123" s="50">
        <f t="shared" si="20"/>
        <v>324</v>
      </c>
      <c r="K123" s="50">
        <v>234</v>
      </c>
      <c r="L123" s="50">
        <v>90</v>
      </c>
      <c r="M123" s="50"/>
      <c r="N123" s="50">
        <v>3.9</v>
      </c>
      <c r="O123" s="50">
        <v>1.5</v>
      </c>
      <c r="P123" s="52">
        <v>1</v>
      </c>
      <c r="Q123" s="53"/>
      <c r="R123" s="54" t="s">
        <v>158</v>
      </c>
      <c r="S123" s="54" t="s">
        <v>158</v>
      </c>
      <c r="T123" s="54" t="s">
        <v>158</v>
      </c>
      <c r="U123" s="54" t="s">
        <v>158</v>
      </c>
      <c r="V123" s="53" t="s">
        <v>303</v>
      </c>
      <c r="W123" s="53"/>
      <c r="X123" s="53">
        <f t="shared" si="35"/>
        <v>0</v>
      </c>
      <c r="Y123" s="55"/>
      <c r="Z123" s="55"/>
      <c r="AA123" s="52">
        <f t="shared" si="36"/>
        <v>0</v>
      </c>
      <c r="AB123" s="53">
        <f t="shared" si="37"/>
        <v>0</v>
      </c>
      <c r="AC123" s="53">
        <f t="shared" si="38"/>
        <v>0</v>
      </c>
      <c r="AD123" s="53">
        <f t="shared" si="39"/>
        <v>0</v>
      </c>
      <c r="AE123" s="53">
        <f t="shared" si="40"/>
        <v>0</v>
      </c>
      <c r="AF123" s="53">
        <f t="shared" si="41"/>
        <v>0</v>
      </c>
      <c r="AG123" s="56">
        <f t="shared" si="42"/>
        <v>0</v>
      </c>
      <c r="AH123" s="53">
        <f t="shared" si="43"/>
        <v>0</v>
      </c>
      <c r="AI123" s="55"/>
      <c r="AJ123" s="53">
        <f t="shared" si="44"/>
        <v>0</v>
      </c>
      <c r="AK123" s="53">
        <f t="shared" si="45"/>
        <v>0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  <c r="AW123" s="57"/>
      <c r="AX123" s="57"/>
    </row>
    <row r="124" spans="2:50">
      <c r="B124" s="45">
        <v>108</v>
      </c>
      <c r="C124" s="46" t="s">
        <v>304</v>
      </c>
      <c r="D124" s="47" t="s">
        <v>297</v>
      </c>
      <c r="E124" s="161" t="s">
        <v>298</v>
      </c>
      <c r="F124" s="48" t="s">
        <v>326</v>
      </c>
      <c r="G124" s="167" t="s">
        <v>306</v>
      </c>
      <c r="H124" s="164">
        <v>43710</v>
      </c>
      <c r="I124" s="50" t="s">
        <v>302</v>
      </c>
      <c r="J124" s="50">
        <f t="shared" si="20"/>
        <v>63</v>
      </c>
      <c r="K124" s="50">
        <v>63</v>
      </c>
      <c r="L124" s="50">
        <v>0</v>
      </c>
      <c r="M124" s="50"/>
      <c r="N124" s="50">
        <v>1.05</v>
      </c>
      <c r="O124" s="50">
        <v>0</v>
      </c>
      <c r="P124" s="52">
        <v>1</v>
      </c>
      <c r="Q124" s="53"/>
      <c r="R124" s="54" t="s">
        <v>158</v>
      </c>
      <c r="S124" s="54" t="s">
        <v>158</v>
      </c>
      <c r="T124" s="54" t="s">
        <v>158</v>
      </c>
      <c r="U124" s="54" t="s">
        <v>158</v>
      </c>
      <c r="V124" s="53" t="s">
        <v>303</v>
      </c>
      <c r="W124" s="53"/>
      <c r="X124" s="53">
        <f t="shared" si="35"/>
        <v>0</v>
      </c>
      <c r="Y124" s="55"/>
      <c r="Z124" s="55"/>
      <c r="AA124" s="52">
        <f t="shared" si="36"/>
        <v>0</v>
      </c>
      <c r="AB124" s="53">
        <f t="shared" si="37"/>
        <v>0</v>
      </c>
      <c r="AC124" s="53">
        <f t="shared" si="38"/>
        <v>0</v>
      </c>
      <c r="AD124" s="53">
        <f t="shared" si="39"/>
        <v>0</v>
      </c>
      <c r="AE124" s="53">
        <f t="shared" si="40"/>
        <v>0</v>
      </c>
      <c r="AF124" s="53">
        <f t="shared" si="41"/>
        <v>0</v>
      </c>
      <c r="AG124" s="56">
        <f t="shared" si="42"/>
        <v>0</v>
      </c>
      <c r="AH124" s="53">
        <f t="shared" si="43"/>
        <v>0</v>
      </c>
      <c r="AI124" s="55"/>
      <c r="AJ124" s="53">
        <f t="shared" si="44"/>
        <v>0</v>
      </c>
      <c r="AK124" s="53">
        <f t="shared" si="45"/>
        <v>0</v>
      </c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7"/>
      <c r="AW124" s="57"/>
      <c r="AX124" s="57"/>
    </row>
    <row r="125" spans="2:50">
      <c r="B125" s="45">
        <v>109</v>
      </c>
      <c r="C125" s="46" t="s">
        <v>304</v>
      </c>
      <c r="D125" s="47" t="s">
        <v>297</v>
      </c>
      <c r="E125" s="161" t="s">
        <v>298</v>
      </c>
      <c r="F125" s="168" t="s">
        <v>327</v>
      </c>
      <c r="G125" s="167" t="s">
        <v>306</v>
      </c>
      <c r="H125" s="169">
        <v>43710</v>
      </c>
      <c r="I125" s="170" t="s">
        <v>302</v>
      </c>
      <c r="J125" s="170">
        <f t="shared" si="20"/>
        <v>2370</v>
      </c>
      <c r="K125" s="170">
        <v>2070</v>
      </c>
      <c r="L125" s="170">
        <v>300</v>
      </c>
      <c r="M125" s="170"/>
      <c r="N125" s="170">
        <v>34.5</v>
      </c>
      <c r="O125" s="170">
        <v>5</v>
      </c>
      <c r="P125" s="171">
        <v>1</v>
      </c>
      <c r="Q125" s="153"/>
      <c r="R125" s="54" t="s">
        <v>158</v>
      </c>
      <c r="S125" s="54" t="s">
        <v>158</v>
      </c>
      <c r="T125" s="54" t="s">
        <v>158</v>
      </c>
      <c r="U125" s="54" t="s">
        <v>158</v>
      </c>
      <c r="V125" s="53" t="s">
        <v>303</v>
      </c>
      <c r="W125" s="153"/>
      <c r="X125" s="53">
        <f t="shared" si="35"/>
        <v>0</v>
      </c>
      <c r="Y125" s="55"/>
      <c r="Z125" s="55"/>
      <c r="AA125" s="52">
        <f t="shared" si="36"/>
        <v>0</v>
      </c>
      <c r="AB125" s="53">
        <f t="shared" si="37"/>
        <v>0</v>
      </c>
      <c r="AC125" s="53">
        <f t="shared" si="38"/>
        <v>0</v>
      </c>
      <c r="AD125" s="53">
        <f t="shared" si="39"/>
        <v>0</v>
      </c>
      <c r="AE125" s="53">
        <f t="shared" si="40"/>
        <v>0</v>
      </c>
      <c r="AF125" s="53">
        <f t="shared" si="41"/>
        <v>0</v>
      </c>
      <c r="AG125" s="56">
        <f t="shared" si="42"/>
        <v>0</v>
      </c>
      <c r="AH125" s="53">
        <f t="shared" si="43"/>
        <v>0</v>
      </c>
      <c r="AI125" s="55"/>
      <c r="AJ125" s="53">
        <f t="shared" si="44"/>
        <v>0</v>
      </c>
      <c r="AK125" s="53">
        <f t="shared" si="45"/>
        <v>0</v>
      </c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7"/>
      <c r="AW125" s="57"/>
      <c r="AX125" s="57"/>
    </row>
    <row r="126" spans="2:50">
      <c r="B126" s="45">
        <v>110</v>
      </c>
      <c r="C126" s="46" t="s">
        <v>304</v>
      </c>
      <c r="D126" s="47" t="s">
        <v>297</v>
      </c>
      <c r="E126" s="161" t="s">
        <v>298</v>
      </c>
      <c r="F126" s="48" t="s">
        <v>328</v>
      </c>
      <c r="G126" s="167" t="s">
        <v>306</v>
      </c>
      <c r="H126" s="164">
        <v>43710</v>
      </c>
      <c r="I126" s="50" t="s">
        <v>302</v>
      </c>
      <c r="J126" s="50">
        <f t="shared" si="20"/>
        <v>1920</v>
      </c>
      <c r="K126" s="50">
        <v>1620</v>
      </c>
      <c r="L126" s="50">
        <v>300</v>
      </c>
      <c r="M126" s="50"/>
      <c r="N126" s="50">
        <v>27</v>
      </c>
      <c r="O126" s="50">
        <v>5</v>
      </c>
      <c r="P126" s="52">
        <v>1</v>
      </c>
      <c r="Q126" s="53"/>
      <c r="R126" s="54" t="s">
        <v>158</v>
      </c>
      <c r="S126" s="54" t="s">
        <v>158</v>
      </c>
      <c r="T126" s="54" t="s">
        <v>158</v>
      </c>
      <c r="U126" s="54" t="s">
        <v>158</v>
      </c>
      <c r="V126" s="53" t="s">
        <v>303</v>
      </c>
      <c r="W126" s="53"/>
      <c r="X126" s="53">
        <f t="shared" si="35"/>
        <v>0</v>
      </c>
      <c r="Y126" s="55"/>
      <c r="Z126" s="55"/>
      <c r="AA126" s="52">
        <f t="shared" si="36"/>
        <v>0</v>
      </c>
      <c r="AB126" s="53">
        <f t="shared" si="37"/>
        <v>0</v>
      </c>
      <c r="AC126" s="53">
        <f t="shared" si="38"/>
        <v>0</v>
      </c>
      <c r="AD126" s="53">
        <f t="shared" si="39"/>
        <v>0</v>
      </c>
      <c r="AE126" s="53">
        <f t="shared" si="40"/>
        <v>0</v>
      </c>
      <c r="AF126" s="53">
        <f t="shared" si="41"/>
        <v>0</v>
      </c>
      <c r="AG126" s="56">
        <f t="shared" si="42"/>
        <v>0</v>
      </c>
      <c r="AH126" s="53">
        <f t="shared" si="43"/>
        <v>0</v>
      </c>
      <c r="AI126" s="55"/>
      <c r="AJ126" s="53">
        <f t="shared" si="44"/>
        <v>0</v>
      </c>
      <c r="AK126" s="53">
        <f t="shared" si="45"/>
        <v>0</v>
      </c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7"/>
      <c r="AW126" s="57"/>
      <c r="AX126" s="57"/>
    </row>
    <row r="127" spans="2:50">
      <c r="B127" s="45">
        <v>111</v>
      </c>
      <c r="C127" s="46" t="s">
        <v>304</v>
      </c>
      <c r="D127" s="47" t="s">
        <v>297</v>
      </c>
      <c r="E127" s="47" t="s">
        <v>329</v>
      </c>
      <c r="F127" s="48" t="s">
        <v>330</v>
      </c>
      <c r="G127" s="162" t="s">
        <v>306</v>
      </c>
      <c r="H127" s="164">
        <v>43761</v>
      </c>
      <c r="I127" s="50" t="s">
        <v>302</v>
      </c>
      <c r="J127" s="50">
        <f t="shared" si="20"/>
        <v>144</v>
      </c>
      <c r="K127" s="50">
        <v>96</v>
      </c>
      <c r="L127" s="50">
        <v>48</v>
      </c>
      <c r="M127" s="50"/>
      <c r="N127" s="50">
        <v>1.6</v>
      </c>
      <c r="O127" s="50">
        <v>0.8</v>
      </c>
      <c r="P127" s="52">
        <v>1</v>
      </c>
      <c r="Q127" s="53"/>
      <c r="R127" s="54" t="s">
        <v>158</v>
      </c>
      <c r="S127" s="54" t="s">
        <v>158</v>
      </c>
      <c r="T127" s="54" t="s">
        <v>158</v>
      </c>
      <c r="U127" s="54" t="s">
        <v>158</v>
      </c>
      <c r="V127" s="53" t="s">
        <v>303</v>
      </c>
      <c r="W127" s="53"/>
      <c r="X127" s="53">
        <f t="shared" si="35"/>
        <v>0</v>
      </c>
      <c r="Y127" s="55"/>
      <c r="Z127" s="55"/>
      <c r="AA127" s="52">
        <f t="shared" si="36"/>
        <v>0</v>
      </c>
      <c r="AB127" s="53">
        <f t="shared" si="37"/>
        <v>0</v>
      </c>
      <c r="AC127" s="53">
        <f t="shared" si="38"/>
        <v>0</v>
      </c>
      <c r="AD127" s="53">
        <f t="shared" si="39"/>
        <v>0</v>
      </c>
      <c r="AE127" s="53">
        <f t="shared" si="40"/>
        <v>0</v>
      </c>
      <c r="AF127" s="53">
        <f t="shared" si="41"/>
        <v>0</v>
      </c>
      <c r="AG127" s="56">
        <f t="shared" si="42"/>
        <v>0</v>
      </c>
      <c r="AH127" s="53">
        <f t="shared" si="43"/>
        <v>0</v>
      </c>
      <c r="AI127" s="55"/>
      <c r="AJ127" s="53">
        <f t="shared" si="44"/>
        <v>0</v>
      </c>
      <c r="AK127" s="53">
        <f t="shared" si="45"/>
        <v>0</v>
      </c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7"/>
      <c r="AW127" s="57"/>
      <c r="AX127" s="57"/>
    </row>
    <row r="128" spans="2:50">
      <c r="B128" s="45">
        <v>112</v>
      </c>
      <c r="C128" s="172" t="s">
        <v>304</v>
      </c>
      <c r="D128" s="173" t="s">
        <v>297</v>
      </c>
      <c r="E128" s="173" t="s">
        <v>329</v>
      </c>
      <c r="F128" s="174" t="s">
        <v>331</v>
      </c>
      <c r="G128" s="175" t="s">
        <v>306</v>
      </c>
      <c r="H128" s="176">
        <v>43430</v>
      </c>
      <c r="I128" s="51" t="s">
        <v>302</v>
      </c>
      <c r="J128" s="51">
        <f t="shared" si="20"/>
        <v>132</v>
      </c>
      <c r="K128" s="51">
        <v>132</v>
      </c>
      <c r="L128" s="51">
        <v>0</v>
      </c>
      <c r="M128" s="51"/>
      <c r="N128" s="51">
        <v>1.9</v>
      </c>
      <c r="O128" s="51">
        <v>0</v>
      </c>
      <c r="P128" s="52">
        <v>1</v>
      </c>
      <c r="Q128" s="53"/>
      <c r="R128" s="54"/>
      <c r="S128" s="54" t="s">
        <v>158</v>
      </c>
      <c r="T128" s="54" t="s">
        <v>158</v>
      </c>
      <c r="U128" s="54" t="s">
        <v>158</v>
      </c>
      <c r="V128" s="53" t="s">
        <v>303</v>
      </c>
      <c r="W128" s="53"/>
      <c r="X128" s="53">
        <f t="shared" si="35"/>
        <v>0</v>
      </c>
      <c r="Y128" s="55"/>
      <c r="Z128" s="55"/>
      <c r="AA128" s="52">
        <f t="shared" si="36"/>
        <v>0</v>
      </c>
      <c r="AB128" s="53">
        <f t="shared" si="37"/>
        <v>0</v>
      </c>
      <c r="AC128" s="53">
        <f t="shared" si="38"/>
        <v>0</v>
      </c>
      <c r="AD128" s="53">
        <f t="shared" si="39"/>
        <v>0</v>
      </c>
      <c r="AE128" s="53">
        <f t="shared" si="40"/>
        <v>0</v>
      </c>
      <c r="AF128" s="53">
        <f t="shared" si="41"/>
        <v>0</v>
      </c>
      <c r="AG128" s="56">
        <f t="shared" si="42"/>
        <v>0</v>
      </c>
      <c r="AH128" s="53">
        <f t="shared" si="43"/>
        <v>0</v>
      </c>
      <c r="AI128" s="55"/>
      <c r="AJ128" s="53">
        <f t="shared" si="44"/>
        <v>0</v>
      </c>
      <c r="AK128" s="53">
        <f t="shared" si="45"/>
        <v>0</v>
      </c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7"/>
      <c r="AW128" s="57"/>
      <c r="AX128" s="57"/>
    </row>
    <row r="129" spans="2:50">
      <c r="B129" s="45">
        <v>113</v>
      </c>
      <c r="C129" s="172" t="s">
        <v>304</v>
      </c>
      <c r="D129" s="173" t="s">
        <v>297</v>
      </c>
      <c r="E129" s="173" t="s">
        <v>329</v>
      </c>
      <c r="F129" s="174" t="s">
        <v>332</v>
      </c>
      <c r="G129" s="175" t="s">
        <v>306</v>
      </c>
      <c r="H129" s="176">
        <v>42212</v>
      </c>
      <c r="I129" s="51" t="s">
        <v>302</v>
      </c>
      <c r="J129" s="51">
        <f t="shared" si="20"/>
        <v>99</v>
      </c>
      <c r="K129" s="51">
        <v>99</v>
      </c>
      <c r="L129" s="51">
        <v>0</v>
      </c>
      <c r="M129" s="51"/>
      <c r="N129" s="51">
        <v>1.05</v>
      </c>
      <c r="O129" s="51">
        <v>0</v>
      </c>
      <c r="P129" s="52">
        <v>1</v>
      </c>
      <c r="Q129" s="53"/>
      <c r="R129" s="54" t="s">
        <v>158</v>
      </c>
      <c r="S129" s="54" t="s">
        <v>158</v>
      </c>
      <c r="T129" s="54" t="s">
        <v>158</v>
      </c>
      <c r="U129" s="54" t="s">
        <v>158</v>
      </c>
      <c r="V129" s="53" t="s">
        <v>303</v>
      </c>
      <c r="W129" s="53"/>
      <c r="X129" s="53">
        <f t="shared" si="35"/>
        <v>0</v>
      </c>
      <c r="Y129" s="55"/>
      <c r="Z129" s="55"/>
      <c r="AA129" s="52">
        <f t="shared" si="36"/>
        <v>0</v>
      </c>
      <c r="AB129" s="53">
        <f t="shared" si="37"/>
        <v>0</v>
      </c>
      <c r="AC129" s="53">
        <f t="shared" si="38"/>
        <v>0</v>
      </c>
      <c r="AD129" s="53">
        <f t="shared" si="39"/>
        <v>0</v>
      </c>
      <c r="AE129" s="53">
        <f t="shared" si="40"/>
        <v>0</v>
      </c>
      <c r="AF129" s="53">
        <f t="shared" si="41"/>
        <v>0</v>
      </c>
      <c r="AG129" s="56">
        <f t="shared" si="42"/>
        <v>0</v>
      </c>
      <c r="AH129" s="53">
        <f t="shared" si="43"/>
        <v>0</v>
      </c>
      <c r="AI129" s="55"/>
      <c r="AJ129" s="53">
        <f t="shared" si="44"/>
        <v>0</v>
      </c>
      <c r="AK129" s="53">
        <f t="shared" si="45"/>
        <v>0</v>
      </c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7"/>
      <c r="AW129" s="57"/>
      <c r="AX129" s="57"/>
    </row>
    <row r="130" spans="2:50">
      <c r="B130" s="45">
        <v>114</v>
      </c>
      <c r="C130" s="172" t="s">
        <v>304</v>
      </c>
      <c r="D130" s="173" t="s">
        <v>297</v>
      </c>
      <c r="E130" s="173" t="s">
        <v>329</v>
      </c>
      <c r="F130" s="174" t="s">
        <v>333</v>
      </c>
      <c r="G130" s="175" t="s">
        <v>306</v>
      </c>
      <c r="H130" s="177">
        <v>43707</v>
      </c>
      <c r="I130" s="51" t="s">
        <v>302</v>
      </c>
      <c r="J130" s="178">
        <f t="shared" si="20"/>
        <v>150</v>
      </c>
      <c r="K130" s="178">
        <v>30</v>
      </c>
      <c r="L130" s="178">
        <v>120</v>
      </c>
      <c r="M130" s="178"/>
      <c r="N130" s="178">
        <v>0.5</v>
      </c>
      <c r="O130" s="178">
        <v>2</v>
      </c>
      <c r="P130" s="179">
        <v>1</v>
      </c>
      <c r="Q130" s="53"/>
      <c r="R130" s="54" t="s">
        <v>158</v>
      </c>
      <c r="S130" s="54" t="s">
        <v>158</v>
      </c>
      <c r="T130" s="54" t="s">
        <v>158</v>
      </c>
      <c r="U130" s="54" t="s">
        <v>158</v>
      </c>
      <c r="V130" s="53" t="s">
        <v>303</v>
      </c>
      <c r="W130" s="53"/>
      <c r="X130" s="53">
        <f t="shared" si="35"/>
        <v>0</v>
      </c>
      <c r="Y130" s="55"/>
      <c r="Z130" s="55"/>
      <c r="AA130" s="52">
        <f t="shared" si="36"/>
        <v>0</v>
      </c>
      <c r="AB130" s="53">
        <f t="shared" si="37"/>
        <v>0</v>
      </c>
      <c r="AC130" s="53">
        <f t="shared" si="38"/>
        <v>0</v>
      </c>
      <c r="AD130" s="53">
        <f t="shared" si="39"/>
        <v>0</v>
      </c>
      <c r="AE130" s="53">
        <f t="shared" si="40"/>
        <v>0</v>
      </c>
      <c r="AF130" s="53">
        <f t="shared" si="41"/>
        <v>0</v>
      </c>
      <c r="AG130" s="56">
        <f t="shared" si="42"/>
        <v>0</v>
      </c>
      <c r="AH130" s="53">
        <f t="shared" si="43"/>
        <v>0</v>
      </c>
      <c r="AI130" s="55"/>
      <c r="AJ130" s="53">
        <f t="shared" si="44"/>
        <v>0</v>
      </c>
      <c r="AK130" s="53">
        <f t="shared" si="45"/>
        <v>0</v>
      </c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7"/>
      <c r="AW130" s="57"/>
      <c r="AX130" s="57"/>
    </row>
    <row r="131" spans="2:50">
      <c r="B131" s="45">
        <v>115</v>
      </c>
      <c r="C131" s="172" t="s">
        <v>304</v>
      </c>
      <c r="D131" s="173" t="s">
        <v>297</v>
      </c>
      <c r="E131" s="173" t="s">
        <v>329</v>
      </c>
      <c r="F131" s="174" t="s">
        <v>334</v>
      </c>
      <c r="G131" s="175" t="s">
        <v>306</v>
      </c>
      <c r="H131" s="177">
        <v>43801</v>
      </c>
      <c r="I131" s="51" t="s">
        <v>302</v>
      </c>
      <c r="J131" s="178">
        <f t="shared" si="20"/>
        <v>480</v>
      </c>
      <c r="K131" s="178">
        <v>480</v>
      </c>
      <c r="L131" s="178">
        <v>0</v>
      </c>
      <c r="M131" s="178"/>
      <c r="N131" s="178">
        <v>6.6</v>
      </c>
      <c r="O131" s="178">
        <v>0</v>
      </c>
      <c r="P131" s="179">
        <v>1</v>
      </c>
      <c r="Q131" s="53"/>
      <c r="R131" s="54" t="s">
        <v>158</v>
      </c>
      <c r="S131" s="54" t="s">
        <v>158</v>
      </c>
      <c r="T131" s="54" t="s">
        <v>158</v>
      </c>
      <c r="U131" s="54" t="s">
        <v>158</v>
      </c>
      <c r="V131" s="157" t="s">
        <v>335</v>
      </c>
      <c r="W131" s="53"/>
      <c r="X131" s="53">
        <f t="shared" si="35"/>
        <v>0</v>
      </c>
      <c r="Y131" s="55"/>
      <c r="Z131" s="55"/>
      <c r="AA131" s="52">
        <f t="shared" si="36"/>
        <v>0</v>
      </c>
      <c r="AB131" s="53">
        <f t="shared" si="37"/>
        <v>0</v>
      </c>
      <c r="AC131" s="53">
        <f t="shared" si="38"/>
        <v>0</v>
      </c>
      <c r="AD131" s="53">
        <f t="shared" si="39"/>
        <v>0</v>
      </c>
      <c r="AE131" s="53">
        <f t="shared" si="40"/>
        <v>0</v>
      </c>
      <c r="AF131" s="53">
        <f t="shared" si="41"/>
        <v>0</v>
      </c>
      <c r="AG131" s="56">
        <f t="shared" si="42"/>
        <v>0</v>
      </c>
      <c r="AH131" s="53">
        <f t="shared" si="43"/>
        <v>0</v>
      </c>
      <c r="AI131" s="55"/>
      <c r="AJ131" s="53">
        <f t="shared" si="44"/>
        <v>0</v>
      </c>
      <c r="AK131" s="53">
        <f t="shared" si="45"/>
        <v>0</v>
      </c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7"/>
      <c r="AW131" s="57"/>
      <c r="AX131" s="57"/>
    </row>
    <row r="132" spans="2:50">
      <c r="B132" s="45">
        <v>116</v>
      </c>
      <c r="C132" s="172" t="s">
        <v>304</v>
      </c>
      <c r="D132" s="173" t="s">
        <v>297</v>
      </c>
      <c r="E132" s="173" t="s">
        <v>336</v>
      </c>
      <c r="F132" s="174" t="s">
        <v>337</v>
      </c>
      <c r="G132" s="175" t="s">
        <v>300</v>
      </c>
      <c r="H132" s="176">
        <v>42701</v>
      </c>
      <c r="I132" s="51" t="s">
        <v>302</v>
      </c>
      <c r="J132" s="51">
        <f t="shared" si="20"/>
        <v>120</v>
      </c>
      <c r="K132" s="51">
        <v>120</v>
      </c>
      <c r="L132" s="51">
        <v>0</v>
      </c>
      <c r="M132" s="51"/>
      <c r="N132" s="51">
        <v>1.8</v>
      </c>
      <c r="O132" s="51">
        <v>0</v>
      </c>
      <c r="P132" s="179">
        <v>1</v>
      </c>
      <c r="Q132" s="53" t="s">
        <v>257</v>
      </c>
      <c r="R132" s="54" t="s">
        <v>158</v>
      </c>
      <c r="S132" s="54" t="s">
        <v>158</v>
      </c>
      <c r="T132" s="54" t="s">
        <v>158</v>
      </c>
      <c r="U132" s="54" t="s">
        <v>158</v>
      </c>
      <c r="V132" s="53" t="s">
        <v>303</v>
      </c>
      <c r="W132" s="53"/>
      <c r="X132" s="53">
        <f t="shared" si="35"/>
        <v>0</v>
      </c>
      <c r="Y132" s="55"/>
      <c r="Z132" s="55"/>
      <c r="AA132" s="52">
        <f t="shared" si="36"/>
        <v>0</v>
      </c>
      <c r="AB132" s="53">
        <f t="shared" si="37"/>
        <v>0</v>
      </c>
      <c r="AC132" s="53">
        <f t="shared" si="38"/>
        <v>0</v>
      </c>
      <c r="AD132" s="53">
        <f t="shared" si="39"/>
        <v>0</v>
      </c>
      <c r="AE132" s="53">
        <f t="shared" si="40"/>
        <v>0</v>
      </c>
      <c r="AF132" s="53">
        <f t="shared" si="41"/>
        <v>0</v>
      </c>
      <c r="AG132" s="56">
        <f t="shared" si="42"/>
        <v>1</v>
      </c>
      <c r="AH132" s="53">
        <f t="shared" si="43"/>
        <v>0</v>
      </c>
      <c r="AI132" s="55"/>
      <c r="AJ132" s="53">
        <f t="shared" si="44"/>
        <v>0</v>
      </c>
      <c r="AK132" s="53">
        <f t="shared" si="45"/>
        <v>0</v>
      </c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7"/>
      <c r="AW132" s="57"/>
      <c r="AX132" s="57"/>
    </row>
    <row r="133" spans="2:50">
      <c r="B133" s="45">
        <v>117</v>
      </c>
      <c r="C133" s="172" t="s">
        <v>304</v>
      </c>
      <c r="D133" s="173" t="s">
        <v>297</v>
      </c>
      <c r="E133" s="173" t="s">
        <v>336</v>
      </c>
      <c r="F133" s="180" t="s">
        <v>338</v>
      </c>
      <c r="G133" s="175" t="s">
        <v>300</v>
      </c>
      <c r="H133" s="176">
        <v>43644</v>
      </c>
      <c r="I133" s="51" t="s">
        <v>302</v>
      </c>
      <c r="J133" s="51">
        <f t="shared" si="20"/>
        <v>96</v>
      </c>
      <c r="K133" s="51">
        <v>96</v>
      </c>
      <c r="L133" s="51">
        <v>0</v>
      </c>
      <c r="M133" s="51"/>
      <c r="N133" s="51">
        <v>1.6</v>
      </c>
      <c r="O133" s="51">
        <v>0</v>
      </c>
      <c r="P133" s="179">
        <v>1</v>
      </c>
      <c r="Q133" s="53" t="s">
        <v>257</v>
      </c>
      <c r="R133" s="54" t="s">
        <v>158</v>
      </c>
      <c r="S133" s="54" t="s">
        <v>158</v>
      </c>
      <c r="T133" s="54" t="s">
        <v>158</v>
      </c>
      <c r="U133" s="54" t="s">
        <v>158</v>
      </c>
      <c r="V133" s="53" t="s">
        <v>303</v>
      </c>
      <c r="W133" s="53"/>
      <c r="X133" s="53">
        <f t="shared" si="35"/>
        <v>0</v>
      </c>
      <c r="Y133" s="55"/>
      <c r="Z133" s="55"/>
      <c r="AA133" s="52">
        <f t="shared" si="36"/>
        <v>0</v>
      </c>
      <c r="AB133" s="53">
        <f t="shared" si="37"/>
        <v>0</v>
      </c>
      <c r="AC133" s="53">
        <f t="shared" si="38"/>
        <v>0</v>
      </c>
      <c r="AD133" s="53">
        <f t="shared" si="39"/>
        <v>0</v>
      </c>
      <c r="AE133" s="53">
        <f t="shared" si="40"/>
        <v>0</v>
      </c>
      <c r="AF133" s="53">
        <f t="shared" si="41"/>
        <v>0</v>
      </c>
      <c r="AG133" s="56">
        <f t="shared" si="42"/>
        <v>1</v>
      </c>
      <c r="AH133" s="53">
        <f t="shared" si="43"/>
        <v>0</v>
      </c>
      <c r="AI133" s="55"/>
      <c r="AJ133" s="53">
        <f t="shared" si="44"/>
        <v>0</v>
      </c>
      <c r="AK133" s="53">
        <f t="shared" si="45"/>
        <v>0</v>
      </c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7"/>
      <c r="AW133" s="57"/>
      <c r="AX133" s="57"/>
    </row>
    <row r="134" spans="2:50">
      <c r="B134" s="45">
        <v>118</v>
      </c>
      <c r="C134" s="46" t="s">
        <v>304</v>
      </c>
      <c r="D134" s="47" t="s">
        <v>297</v>
      </c>
      <c r="E134" s="47" t="s">
        <v>336</v>
      </c>
      <c r="F134" s="181" t="s">
        <v>339</v>
      </c>
      <c r="G134" s="162" t="s">
        <v>300</v>
      </c>
      <c r="H134" s="164">
        <v>43714</v>
      </c>
      <c r="I134" s="50" t="s">
        <v>340</v>
      </c>
      <c r="J134" s="50">
        <f t="shared" si="20"/>
        <v>114</v>
      </c>
      <c r="K134" s="50">
        <v>114</v>
      </c>
      <c r="L134" s="50">
        <v>0</v>
      </c>
      <c r="M134" s="50"/>
      <c r="N134" s="50">
        <v>1.65</v>
      </c>
      <c r="O134" s="50">
        <v>0</v>
      </c>
      <c r="P134" s="179">
        <v>1</v>
      </c>
      <c r="Q134" s="53" t="s">
        <v>257</v>
      </c>
      <c r="R134" s="54" t="s">
        <v>158</v>
      </c>
      <c r="S134" s="54" t="s">
        <v>158</v>
      </c>
      <c r="T134" s="54" t="s">
        <v>158</v>
      </c>
      <c r="U134" s="54" t="s">
        <v>158</v>
      </c>
      <c r="V134" s="53" t="s">
        <v>303</v>
      </c>
      <c r="W134" s="53"/>
      <c r="X134" s="53">
        <f t="shared" si="35"/>
        <v>0</v>
      </c>
      <c r="Y134" s="55"/>
      <c r="Z134" s="55"/>
      <c r="AA134" s="52">
        <f t="shared" si="36"/>
        <v>0</v>
      </c>
      <c r="AB134" s="53">
        <f t="shared" si="37"/>
        <v>0</v>
      </c>
      <c r="AC134" s="53">
        <f t="shared" si="38"/>
        <v>0</v>
      </c>
      <c r="AD134" s="53">
        <f t="shared" si="39"/>
        <v>0</v>
      </c>
      <c r="AE134" s="53">
        <f t="shared" si="40"/>
        <v>0</v>
      </c>
      <c r="AF134" s="53">
        <f t="shared" si="41"/>
        <v>0</v>
      </c>
      <c r="AG134" s="56">
        <f t="shared" si="42"/>
        <v>1</v>
      </c>
      <c r="AH134" s="53">
        <f t="shared" si="43"/>
        <v>0</v>
      </c>
      <c r="AI134" s="55"/>
      <c r="AJ134" s="53">
        <f t="shared" si="44"/>
        <v>0</v>
      </c>
      <c r="AK134" s="53">
        <f t="shared" si="45"/>
        <v>0</v>
      </c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7"/>
      <c r="AW134" s="57"/>
      <c r="AX134" s="57"/>
    </row>
    <row r="135" spans="2:50">
      <c r="B135" s="45">
        <v>119</v>
      </c>
      <c r="C135" s="46" t="s">
        <v>304</v>
      </c>
      <c r="D135" s="47" t="s">
        <v>297</v>
      </c>
      <c r="E135" s="47" t="s">
        <v>336</v>
      </c>
      <c r="F135" s="168" t="s">
        <v>341</v>
      </c>
      <c r="G135" s="182" t="s">
        <v>300</v>
      </c>
      <c r="H135" s="169">
        <v>43714</v>
      </c>
      <c r="I135" s="170" t="s">
        <v>340</v>
      </c>
      <c r="J135" s="170">
        <f t="shared" si="20"/>
        <v>372</v>
      </c>
      <c r="K135" s="170">
        <v>372</v>
      </c>
      <c r="L135" s="170">
        <v>0</v>
      </c>
      <c r="M135" s="170"/>
      <c r="N135" s="170">
        <v>6.2</v>
      </c>
      <c r="O135" s="170">
        <v>0</v>
      </c>
      <c r="P135" s="179">
        <v>1</v>
      </c>
      <c r="Q135" s="153"/>
      <c r="R135" s="54" t="s">
        <v>158</v>
      </c>
      <c r="S135" s="54" t="s">
        <v>158</v>
      </c>
      <c r="T135" s="54" t="s">
        <v>158</v>
      </c>
      <c r="U135" s="54" t="s">
        <v>158</v>
      </c>
      <c r="V135" s="153" t="s">
        <v>303</v>
      </c>
      <c r="W135" s="153"/>
      <c r="X135" s="53">
        <f t="shared" si="35"/>
        <v>0</v>
      </c>
      <c r="Y135" s="55"/>
      <c r="Z135" s="55"/>
      <c r="AA135" s="52">
        <f t="shared" si="36"/>
        <v>0</v>
      </c>
      <c r="AB135" s="53">
        <f t="shared" si="37"/>
        <v>0</v>
      </c>
      <c r="AC135" s="53">
        <f t="shared" si="38"/>
        <v>0</v>
      </c>
      <c r="AD135" s="53">
        <f t="shared" si="39"/>
        <v>0</v>
      </c>
      <c r="AE135" s="53">
        <f t="shared" si="40"/>
        <v>0</v>
      </c>
      <c r="AF135" s="53">
        <f t="shared" si="41"/>
        <v>0</v>
      </c>
      <c r="AG135" s="56">
        <f t="shared" si="42"/>
        <v>0</v>
      </c>
      <c r="AH135" s="53">
        <f t="shared" si="43"/>
        <v>0</v>
      </c>
      <c r="AI135" s="55"/>
      <c r="AJ135" s="53">
        <f t="shared" si="44"/>
        <v>0</v>
      </c>
      <c r="AK135" s="53">
        <f t="shared" si="45"/>
        <v>0</v>
      </c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7"/>
      <c r="AW135" s="57"/>
      <c r="AX135" s="57"/>
    </row>
    <row r="136" spans="2:50">
      <c r="B136" s="45">
        <v>120</v>
      </c>
      <c r="C136" s="46" t="s">
        <v>304</v>
      </c>
      <c r="D136" s="47" t="s">
        <v>297</v>
      </c>
      <c r="E136" s="47" t="s">
        <v>336</v>
      </c>
      <c r="F136" s="48" t="s">
        <v>342</v>
      </c>
      <c r="G136" s="162" t="s">
        <v>343</v>
      </c>
      <c r="H136" s="164">
        <v>42215</v>
      </c>
      <c r="I136" s="50" t="s">
        <v>340</v>
      </c>
      <c r="J136" s="50">
        <f t="shared" si="20"/>
        <v>258</v>
      </c>
      <c r="K136" s="50">
        <v>252</v>
      </c>
      <c r="L136" s="50">
        <v>6</v>
      </c>
      <c r="M136" s="50"/>
      <c r="N136" s="50">
        <v>4.2</v>
      </c>
      <c r="O136" s="50">
        <v>0.1</v>
      </c>
      <c r="P136" s="179">
        <v>1</v>
      </c>
      <c r="Q136" s="53"/>
      <c r="R136" s="54" t="s">
        <v>158</v>
      </c>
      <c r="S136" s="54" t="s">
        <v>158</v>
      </c>
      <c r="T136" s="54" t="s">
        <v>158</v>
      </c>
      <c r="U136" s="54" t="s">
        <v>158</v>
      </c>
      <c r="V136" s="53" t="s">
        <v>303</v>
      </c>
      <c r="W136" s="53"/>
      <c r="X136" s="53">
        <f t="shared" si="35"/>
        <v>0</v>
      </c>
      <c r="Y136" s="55"/>
      <c r="Z136" s="55"/>
      <c r="AA136" s="52">
        <f t="shared" si="36"/>
        <v>0</v>
      </c>
      <c r="AB136" s="53">
        <f t="shared" si="37"/>
        <v>0</v>
      </c>
      <c r="AC136" s="53">
        <f t="shared" si="38"/>
        <v>0</v>
      </c>
      <c r="AD136" s="53">
        <f t="shared" si="39"/>
        <v>0</v>
      </c>
      <c r="AE136" s="53">
        <f t="shared" si="40"/>
        <v>0</v>
      </c>
      <c r="AF136" s="53">
        <f t="shared" si="41"/>
        <v>0</v>
      </c>
      <c r="AG136" s="56">
        <f t="shared" si="42"/>
        <v>0</v>
      </c>
      <c r="AH136" s="53">
        <f t="shared" si="43"/>
        <v>0</v>
      </c>
      <c r="AI136" s="55"/>
      <c r="AJ136" s="53">
        <f t="shared" si="44"/>
        <v>0</v>
      </c>
      <c r="AK136" s="53">
        <f t="shared" si="45"/>
        <v>0</v>
      </c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7"/>
      <c r="AW136" s="57"/>
      <c r="AX136" s="57"/>
    </row>
    <row r="137" spans="2:50">
      <c r="B137" s="45">
        <v>121</v>
      </c>
      <c r="C137" s="46" t="s">
        <v>304</v>
      </c>
      <c r="D137" s="47" t="s">
        <v>297</v>
      </c>
      <c r="E137" s="47" t="s">
        <v>336</v>
      </c>
      <c r="F137" s="48" t="s">
        <v>344</v>
      </c>
      <c r="G137" s="162" t="s">
        <v>343</v>
      </c>
      <c r="H137" s="164">
        <v>43693</v>
      </c>
      <c r="I137" s="50" t="s">
        <v>340</v>
      </c>
      <c r="J137" s="50">
        <f t="shared" si="20"/>
        <v>60</v>
      </c>
      <c r="K137" s="50">
        <v>60</v>
      </c>
      <c r="L137" s="50">
        <v>0</v>
      </c>
      <c r="M137" s="50"/>
      <c r="N137" s="50">
        <v>1</v>
      </c>
      <c r="O137" s="50">
        <v>0</v>
      </c>
      <c r="P137" s="179">
        <v>1</v>
      </c>
      <c r="Q137" s="53"/>
      <c r="R137" s="54" t="s">
        <v>158</v>
      </c>
      <c r="S137" s="54" t="s">
        <v>158</v>
      </c>
      <c r="T137" s="54" t="s">
        <v>158</v>
      </c>
      <c r="U137" s="54" t="s">
        <v>158</v>
      </c>
      <c r="V137" s="53" t="s">
        <v>303</v>
      </c>
      <c r="W137" s="53"/>
      <c r="X137" s="53">
        <f t="shared" si="35"/>
        <v>0</v>
      </c>
      <c r="Y137" s="55"/>
      <c r="Z137" s="55"/>
      <c r="AA137" s="52">
        <f t="shared" si="36"/>
        <v>0</v>
      </c>
      <c r="AB137" s="53">
        <f t="shared" si="37"/>
        <v>0</v>
      </c>
      <c r="AC137" s="53">
        <f t="shared" si="38"/>
        <v>0</v>
      </c>
      <c r="AD137" s="53">
        <f t="shared" si="39"/>
        <v>0</v>
      </c>
      <c r="AE137" s="53">
        <f t="shared" si="40"/>
        <v>0</v>
      </c>
      <c r="AF137" s="53">
        <f t="shared" si="41"/>
        <v>0</v>
      </c>
      <c r="AG137" s="56">
        <f t="shared" si="42"/>
        <v>0</v>
      </c>
      <c r="AH137" s="53">
        <f t="shared" si="43"/>
        <v>0</v>
      </c>
      <c r="AI137" s="55"/>
      <c r="AJ137" s="53">
        <f t="shared" si="44"/>
        <v>0</v>
      </c>
      <c r="AK137" s="53">
        <f t="shared" si="45"/>
        <v>0</v>
      </c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7"/>
      <c r="AW137" s="57"/>
      <c r="AX137" s="57"/>
    </row>
    <row r="138" spans="2:50">
      <c r="B138" s="45">
        <v>122</v>
      </c>
      <c r="C138" s="46" t="s">
        <v>304</v>
      </c>
      <c r="D138" s="47" t="s">
        <v>297</v>
      </c>
      <c r="E138" s="47" t="s">
        <v>336</v>
      </c>
      <c r="F138" s="48" t="s">
        <v>345</v>
      </c>
      <c r="G138" s="162" t="s">
        <v>343</v>
      </c>
      <c r="H138" s="164">
        <v>42334</v>
      </c>
      <c r="I138" s="50" t="s">
        <v>340</v>
      </c>
      <c r="J138" s="50">
        <f t="shared" si="20"/>
        <v>240</v>
      </c>
      <c r="K138" s="50">
        <v>240</v>
      </c>
      <c r="L138" s="50">
        <v>0</v>
      </c>
      <c r="M138" s="50"/>
      <c r="N138" s="50">
        <v>3.8</v>
      </c>
      <c r="O138" s="50">
        <v>0</v>
      </c>
      <c r="P138" s="179">
        <v>1</v>
      </c>
      <c r="Q138" s="53"/>
      <c r="R138" s="54" t="s">
        <v>158</v>
      </c>
      <c r="S138" s="54" t="s">
        <v>158</v>
      </c>
      <c r="T138" s="54" t="s">
        <v>158</v>
      </c>
      <c r="U138" s="54" t="s">
        <v>158</v>
      </c>
      <c r="V138" s="53" t="s">
        <v>303</v>
      </c>
      <c r="W138" s="53"/>
      <c r="X138" s="53">
        <f t="shared" si="35"/>
        <v>0</v>
      </c>
      <c r="Y138" s="55"/>
      <c r="Z138" s="55"/>
      <c r="AA138" s="52">
        <f t="shared" si="36"/>
        <v>0</v>
      </c>
      <c r="AB138" s="53">
        <f t="shared" si="37"/>
        <v>0</v>
      </c>
      <c r="AC138" s="53">
        <f t="shared" si="38"/>
        <v>0</v>
      </c>
      <c r="AD138" s="53">
        <f t="shared" si="39"/>
        <v>0</v>
      </c>
      <c r="AE138" s="53">
        <f t="shared" si="40"/>
        <v>0</v>
      </c>
      <c r="AF138" s="53">
        <f t="shared" si="41"/>
        <v>0</v>
      </c>
      <c r="AG138" s="56">
        <f t="shared" si="42"/>
        <v>0</v>
      </c>
      <c r="AH138" s="53">
        <f t="shared" si="43"/>
        <v>0</v>
      </c>
      <c r="AI138" s="55"/>
      <c r="AJ138" s="53">
        <f t="shared" si="44"/>
        <v>0</v>
      </c>
      <c r="AK138" s="53">
        <f t="shared" si="45"/>
        <v>0</v>
      </c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7"/>
      <c r="AW138" s="57"/>
      <c r="AX138" s="57"/>
    </row>
    <row r="139" spans="2:50">
      <c r="B139" s="45">
        <v>123</v>
      </c>
      <c r="C139" s="46" t="s">
        <v>304</v>
      </c>
      <c r="D139" s="47" t="s">
        <v>297</v>
      </c>
      <c r="E139" s="47" t="s">
        <v>336</v>
      </c>
      <c r="F139" s="183" t="s">
        <v>346</v>
      </c>
      <c r="G139" s="162" t="s">
        <v>306</v>
      </c>
      <c r="H139" s="164">
        <v>43088</v>
      </c>
      <c r="I139" s="50" t="s">
        <v>302</v>
      </c>
      <c r="J139" s="50">
        <f t="shared" ref="J139:J202" si="46">SUM(K139:L139)</f>
        <v>600</v>
      </c>
      <c r="K139" s="50">
        <v>480</v>
      </c>
      <c r="L139" s="50">
        <v>120</v>
      </c>
      <c r="M139" s="50"/>
      <c r="N139" s="50">
        <v>7.4</v>
      </c>
      <c r="O139" s="50">
        <v>2</v>
      </c>
      <c r="P139" s="179">
        <v>1</v>
      </c>
      <c r="Q139" s="53"/>
      <c r="R139" s="54"/>
      <c r="S139" s="54" t="s">
        <v>158</v>
      </c>
      <c r="T139" s="54" t="s">
        <v>158</v>
      </c>
      <c r="U139" s="54" t="s">
        <v>158</v>
      </c>
      <c r="V139" s="53" t="s">
        <v>303</v>
      </c>
      <c r="W139" s="53"/>
      <c r="X139" s="53">
        <f t="shared" si="35"/>
        <v>0</v>
      </c>
      <c r="Y139" s="55"/>
      <c r="Z139" s="55"/>
      <c r="AA139" s="52">
        <f t="shared" si="36"/>
        <v>0</v>
      </c>
      <c r="AB139" s="53">
        <f t="shared" si="37"/>
        <v>0</v>
      </c>
      <c r="AC139" s="53">
        <f t="shared" si="38"/>
        <v>0</v>
      </c>
      <c r="AD139" s="53">
        <f t="shared" si="39"/>
        <v>0</v>
      </c>
      <c r="AE139" s="53">
        <f t="shared" si="40"/>
        <v>0</v>
      </c>
      <c r="AF139" s="53">
        <f t="shared" si="41"/>
        <v>0</v>
      </c>
      <c r="AG139" s="56">
        <f t="shared" si="42"/>
        <v>0</v>
      </c>
      <c r="AH139" s="53">
        <f t="shared" si="43"/>
        <v>0</v>
      </c>
      <c r="AI139" s="55"/>
      <c r="AJ139" s="53">
        <f t="shared" si="44"/>
        <v>0</v>
      </c>
      <c r="AK139" s="53">
        <f t="shared" si="45"/>
        <v>0</v>
      </c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7"/>
      <c r="AW139" s="57"/>
      <c r="AX139" s="57"/>
    </row>
    <row r="140" spans="2:50">
      <c r="B140" s="45">
        <v>124</v>
      </c>
      <c r="C140" s="46" t="s">
        <v>304</v>
      </c>
      <c r="D140" s="47" t="s">
        <v>297</v>
      </c>
      <c r="E140" s="47" t="s">
        <v>336</v>
      </c>
      <c r="F140" s="183" t="s">
        <v>347</v>
      </c>
      <c r="G140" s="162" t="s">
        <v>306</v>
      </c>
      <c r="H140" s="164">
        <v>43643</v>
      </c>
      <c r="I140" s="50" t="s">
        <v>302</v>
      </c>
      <c r="J140" s="50">
        <f t="shared" si="46"/>
        <v>408</v>
      </c>
      <c r="K140" s="50">
        <v>408</v>
      </c>
      <c r="L140" s="50">
        <v>0</v>
      </c>
      <c r="M140" s="50"/>
      <c r="N140" s="50">
        <v>6.6</v>
      </c>
      <c r="O140" s="50">
        <v>0</v>
      </c>
      <c r="P140" s="179">
        <v>1</v>
      </c>
      <c r="Q140" s="53"/>
      <c r="R140" s="54" t="s">
        <v>158</v>
      </c>
      <c r="S140" s="54" t="s">
        <v>158</v>
      </c>
      <c r="T140" s="54" t="s">
        <v>158</v>
      </c>
      <c r="U140" s="54" t="s">
        <v>158</v>
      </c>
      <c r="V140" s="53" t="s">
        <v>303</v>
      </c>
      <c r="W140" s="53"/>
      <c r="X140" s="53">
        <f t="shared" si="35"/>
        <v>0</v>
      </c>
      <c r="Y140" s="55"/>
      <c r="Z140" s="55"/>
      <c r="AA140" s="52">
        <f t="shared" si="36"/>
        <v>0</v>
      </c>
      <c r="AB140" s="53">
        <f t="shared" si="37"/>
        <v>0</v>
      </c>
      <c r="AC140" s="53">
        <f t="shared" si="38"/>
        <v>0</v>
      </c>
      <c r="AD140" s="53">
        <f t="shared" si="39"/>
        <v>0</v>
      </c>
      <c r="AE140" s="53">
        <f t="shared" si="40"/>
        <v>0</v>
      </c>
      <c r="AF140" s="53">
        <f t="shared" si="41"/>
        <v>0</v>
      </c>
      <c r="AG140" s="56">
        <f t="shared" si="42"/>
        <v>0</v>
      </c>
      <c r="AH140" s="53">
        <f t="shared" si="43"/>
        <v>0</v>
      </c>
      <c r="AI140" s="55"/>
      <c r="AJ140" s="53">
        <f t="shared" si="44"/>
        <v>0</v>
      </c>
      <c r="AK140" s="53">
        <f t="shared" si="45"/>
        <v>0</v>
      </c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7"/>
      <c r="AW140" s="57"/>
      <c r="AX140" s="57"/>
    </row>
    <row r="141" spans="2:50">
      <c r="B141" s="45">
        <v>125</v>
      </c>
      <c r="C141" s="46" t="s">
        <v>304</v>
      </c>
      <c r="D141" s="47" t="s">
        <v>297</v>
      </c>
      <c r="E141" s="47" t="s">
        <v>336</v>
      </c>
      <c r="F141" s="183" t="s">
        <v>348</v>
      </c>
      <c r="G141" s="162" t="s">
        <v>306</v>
      </c>
      <c r="H141" s="164">
        <v>42566</v>
      </c>
      <c r="I141" s="50" t="s">
        <v>302</v>
      </c>
      <c r="J141" s="50">
        <f t="shared" si="46"/>
        <v>618</v>
      </c>
      <c r="K141" s="50">
        <v>378</v>
      </c>
      <c r="L141" s="50">
        <v>240</v>
      </c>
      <c r="M141" s="50"/>
      <c r="N141" s="50">
        <v>5.8</v>
      </c>
      <c r="O141" s="50">
        <v>4</v>
      </c>
      <c r="P141" s="179">
        <v>1</v>
      </c>
      <c r="Q141" s="53"/>
      <c r="R141" s="54" t="s">
        <v>158</v>
      </c>
      <c r="S141" s="54" t="s">
        <v>158</v>
      </c>
      <c r="T141" s="54" t="s">
        <v>158</v>
      </c>
      <c r="U141" s="54" t="s">
        <v>158</v>
      </c>
      <c r="V141" s="53" t="s">
        <v>303</v>
      </c>
      <c r="W141" s="53"/>
      <c r="X141" s="53">
        <f t="shared" si="35"/>
        <v>0</v>
      </c>
      <c r="Y141" s="55"/>
      <c r="Z141" s="55"/>
      <c r="AA141" s="52">
        <f t="shared" si="36"/>
        <v>0</v>
      </c>
      <c r="AB141" s="53">
        <f t="shared" si="37"/>
        <v>0</v>
      </c>
      <c r="AC141" s="53">
        <f t="shared" si="38"/>
        <v>0</v>
      </c>
      <c r="AD141" s="53">
        <f t="shared" si="39"/>
        <v>0</v>
      </c>
      <c r="AE141" s="53">
        <f t="shared" si="40"/>
        <v>0</v>
      </c>
      <c r="AF141" s="53">
        <f t="shared" si="41"/>
        <v>0</v>
      </c>
      <c r="AG141" s="56">
        <f t="shared" si="42"/>
        <v>0</v>
      </c>
      <c r="AH141" s="53">
        <f t="shared" si="43"/>
        <v>0</v>
      </c>
      <c r="AI141" s="55"/>
      <c r="AJ141" s="53">
        <f t="shared" si="44"/>
        <v>0</v>
      </c>
      <c r="AK141" s="53">
        <f t="shared" si="45"/>
        <v>0</v>
      </c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7"/>
      <c r="AW141" s="57"/>
      <c r="AX141" s="57"/>
    </row>
    <row r="142" spans="2:50">
      <c r="B142" s="45">
        <v>126</v>
      </c>
      <c r="C142" s="46" t="s">
        <v>304</v>
      </c>
      <c r="D142" s="47" t="s">
        <v>297</v>
      </c>
      <c r="E142" s="47" t="s">
        <v>336</v>
      </c>
      <c r="F142" s="183" t="s">
        <v>349</v>
      </c>
      <c r="G142" s="162" t="s">
        <v>306</v>
      </c>
      <c r="H142" s="164">
        <v>43789</v>
      </c>
      <c r="I142" s="50" t="s">
        <v>350</v>
      </c>
      <c r="J142" s="50">
        <f t="shared" si="46"/>
        <v>60</v>
      </c>
      <c r="K142" s="50">
        <v>48</v>
      </c>
      <c r="L142" s="50">
        <v>12</v>
      </c>
      <c r="M142" s="50"/>
      <c r="N142" s="50">
        <v>0.8</v>
      </c>
      <c r="O142" s="50">
        <v>0.2</v>
      </c>
      <c r="P142" s="179">
        <v>1</v>
      </c>
      <c r="Q142" s="53"/>
      <c r="R142" s="54" t="s">
        <v>158</v>
      </c>
      <c r="S142" s="54" t="s">
        <v>158</v>
      </c>
      <c r="T142" s="54" t="s">
        <v>158</v>
      </c>
      <c r="U142" s="54" t="s">
        <v>158</v>
      </c>
      <c r="V142" s="53" t="s">
        <v>303</v>
      </c>
      <c r="W142" s="53"/>
      <c r="X142" s="53">
        <f t="shared" si="35"/>
        <v>0</v>
      </c>
      <c r="Y142" s="55"/>
      <c r="Z142" s="55"/>
      <c r="AA142" s="52">
        <f t="shared" si="36"/>
        <v>0</v>
      </c>
      <c r="AB142" s="53">
        <f t="shared" si="37"/>
        <v>0</v>
      </c>
      <c r="AC142" s="53">
        <f t="shared" si="38"/>
        <v>0</v>
      </c>
      <c r="AD142" s="53">
        <f t="shared" si="39"/>
        <v>0</v>
      </c>
      <c r="AE142" s="53">
        <f t="shared" si="40"/>
        <v>0</v>
      </c>
      <c r="AF142" s="53">
        <f t="shared" si="41"/>
        <v>0</v>
      </c>
      <c r="AG142" s="56">
        <f t="shared" si="42"/>
        <v>0</v>
      </c>
      <c r="AH142" s="53">
        <f t="shared" si="43"/>
        <v>0</v>
      </c>
      <c r="AI142" s="55"/>
      <c r="AJ142" s="53">
        <f t="shared" si="44"/>
        <v>0</v>
      </c>
      <c r="AK142" s="53">
        <f t="shared" si="45"/>
        <v>0</v>
      </c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7"/>
      <c r="AW142" s="57"/>
      <c r="AX142" s="57"/>
    </row>
    <row r="143" spans="2:50">
      <c r="B143" s="45">
        <v>127</v>
      </c>
      <c r="C143" s="46" t="s">
        <v>304</v>
      </c>
      <c r="D143" s="47" t="s">
        <v>297</v>
      </c>
      <c r="E143" s="47" t="s">
        <v>336</v>
      </c>
      <c r="F143" s="183" t="s">
        <v>351</v>
      </c>
      <c r="G143" s="162" t="s">
        <v>306</v>
      </c>
      <c r="H143" s="164">
        <v>43608</v>
      </c>
      <c r="I143" s="50" t="s">
        <v>350</v>
      </c>
      <c r="J143" s="50">
        <f t="shared" si="46"/>
        <v>60</v>
      </c>
      <c r="K143" s="50">
        <v>48</v>
      </c>
      <c r="L143" s="50">
        <v>12</v>
      </c>
      <c r="M143" s="50"/>
      <c r="N143" s="50">
        <v>0.8</v>
      </c>
      <c r="O143" s="50">
        <v>0.2</v>
      </c>
      <c r="P143" s="179">
        <v>1</v>
      </c>
      <c r="Q143" s="53"/>
      <c r="R143" s="54" t="s">
        <v>158</v>
      </c>
      <c r="S143" s="54" t="s">
        <v>158</v>
      </c>
      <c r="T143" s="54" t="s">
        <v>158</v>
      </c>
      <c r="U143" s="54" t="s">
        <v>158</v>
      </c>
      <c r="V143" s="53" t="s">
        <v>303</v>
      </c>
      <c r="W143" s="53"/>
      <c r="X143" s="53">
        <f t="shared" si="35"/>
        <v>0</v>
      </c>
      <c r="Y143" s="55"/>
      <c r="Z143" s="55"/>
      <c r="AA143" s="52">
        <f t="shared" si="36"/>
        <v>0</v>
      </c>
      <c r="AB143" s="53">
        <f t="shared" si="37"/>
        <v>0</v>
      </c>
      <c r="AC143" s="53">
        <f t="shared" si="38"/>
        <v>0</v>
      </c>
      <c r="AD143" s="53">
        <f t="shared" si="39"/>
        <v>0</v>
      </c>
      <c r="AE143" s="53">
        <f t="shared" si="40"/>
        <v>0</v>
      </c>
      <c r="AF143" s="53">
        <f t="shared" si="41"/>
        <v>0</v>
      </c>
      <c r="AG143" s="56">
        <f t="shared" si="42"/>
        <v>0</v>
      </c>
      <c r="AH143" s="53">
        <f t="shared" si="43"/>
        <v>0</v>
      </c>
      <c r="AI143" s="55"/>
      <c r="AJ143" s="53">
        <f t="shared" si="44"/>
        <v>0</v>
      </c>
      <c r="AK143" s="53">
        <f t="shared" si="45"/>
        <v>0</v>
      </c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7"/>
      <c r="AW143" s="57"/>
      <c r="AX143" s="57"/>
    </row>
    <row r="144" spans="2:50">
      <c r="B144" s="45">
        <v>128</v>
      </c>
      <c r="C144" s="46" t="s">
        <v>304</v>
      </c>
      <c r="D144" s="47" t="s">
        <v>297</v>
      </c>
      <c r="E144" s="47" t="s">
        <v>336</v>
      </c>
      <c r="F144" s="184" t="s">
        <v>352</v>
      </c>
      <c r="G144" s="162" t="s">
        <v>306</v>
      </c>
      <c r="H144" s="164">
        <v>43711</v>
      </c>
      <c r="I144" s="50" t="s">
        <v>350</v>
      </c>
      <c r="J144" s="165">
        <f t="shared" si="46"/>
        <v>12</v>
      </c>
      <c r="K144" s="165">
        <v>12</v>
      </c>
      <c r="L144" s="165">
        <v>0</v>
      </c>
      <c r="M144" s="165"/>
      <c r="N144" s="165">
        <v>0.2</v>
      </c>
      <c r="O144" s="165">
        <v>0</v>
      </c>
      <c r="P144" s="179">
        <v>1</v>
      </c>
      <c r="Q144" s="53"/>
      <c r="R144" s="54" t="s">
        <v>158</v>
      </c>
      <c r="S144" s="54" t="s">
        <v>158</v>
      </c>
      <c r="T144" s="54" t="s">
        <v>158</v>
      </c>
      <c r="U144" s="54" t="s">
        <v>158</v>
      </c>
      <c r="V144" s="53" t="s">
        <v>303</v>
      </c>
      <c r="W144" s="53"/>
      <c r="X144" s="53">
        <f t="shared" si="35"/>
        <v>0</v>
      </c>
      <c r="Y144" s="55"/>
      <c r="Z144" s="55"/>
      <c r="AA144" s="52">
        <f t="shared" si="36"/>
        <v>0</v>
      </c>
      <c r="AB144" s="53">
        <f t="shared" si="37"/>
        <v>0</v>
      </c>
      <c r="AC144" s="53">
        <f t="shared" si="38"/>
        <v>0</v>
      </c>
      <c r="AD144" s="53">
        <f t="shared" si="39"/>
        <v>0</v>
      </c>
      <c r="AE144" s="53">
        <f t="shared" si="40"/>
        <v>0</v>
      </c>
      <c r="AF144" s="53">
        <f t="shared" si="41"/>
        <v>0</v>
      </c>
      <c r="AG144" s="56">
        <f t="shared" si="42"/>
        <v>0</v>
      </c>
      <c r="AH144" s="53">
        <f t="shared" si="43"/>
        <v>0</v>
      </c>
      <c r="AI144" s="55"/>
      <c r="AJ144" s="53">
        <f t="shared" si="44"/>
        <v>0</v>
      </c>
      <c r="AK144" s="53">
        <f t="shared" si="45"/>
        <v>0</v>
      </c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7"/>
      <c r="AW144" s="57"/>
      <c r="AX144" s="57"/>
    </row>
    <row r="145" spans="2:50">
      <c r="B145" s="45">
        <v>129</v>
      </c>
      <c r="C145" s="46" t="s">
        <v>304</v>
      </c>
      <c r="D145" s="47" t="s">
        <v>297</v>
      </c>
      <c r="E145" s="161" t="s">
        <v>353</v>
      </c>
      <c r="F145" s="183" t="s">
        <v>354</v>
      </c>
      <c r="G145" s="162" t="s">
        <v>355</v>
      </c>
      <c r="H145" s="164">
        <v>43094</v>
      </c>
      <c r="I145" s="50" t="s">
        <v>350</v>
      </c>
      <c r="J145" s="50">
        <f t="shared" si="46"/>
        <v>615</v>
      </c>
      <c r="K145" s="50">
        <v>495</v>
      </c>
      <c r="L145" s="50">
        <v>120</v>
      </c>
      <c r="M145" s="50"/>
      <c r="N145" s="50">
        <v>7.5</v>
      </c>
      <c r="O145" s="50">
        <v>2</v>
      </c>
      <c r="P145" s="179">
        <v>1</v>
      </c>
      <c r="Q145" s="53" t="s">
        <v>257</v>
      </c>
      <c r="R145" s="54"/>
      <c r="S145" s="54" t="s">
        <v>158</v>
      </c>
      <c r="T145" s="54" t="s">
        <v>158</v>
      </c>
      <c r="U145" s="54" t="s">
        <v>158</v>
      </c>
      <c r="V145" s="53" t="s">
        <v>303</v>
      </c>
      <c r="W145" s="53"/>
      <c r="X145" s="53">
        <f t="shared" si="35"/>
        <v>0</v>
      </c>
      <c r="Y145" s="55"/>
      <c r="Z145" s="55"/>
      <c r="AA145" s="52">
        <f t="shared" si="36"/>
        <v>0</v>
      </c>
      <c r="AB145" s="53">
        <f t="shared" si="37"/>
        <v>0</v>
      </c>
      <c r="AC145" s="53">
        <f t="shared" si="38"/>
        <v>0</v>
      </c>
      <c r="AD145" s="53">
        <f t="shared" si="39"/>
        <v>0</v>
      </c>
      <c r="AE145" s="53">
        <f t="shared" si="40"/>
        <v>0</v>
      </c>
      <c r="AF145" s="53">
        <f t="shared" si="41"/>
        <v>0</v>
      </c>
      <c r="AG145" s="56">
        <f t="shared" si="42"/>
        <v>1</v>
      </c>
      <c r="AH145" s="53">
        <f t="shared" si="43"/>
        <v>0</v>
      </c>
      <c r="AI145" s="55"/>
      <c r="AJ145" s="53">
        <f t="shared" si="44"/>
        <v>0</v>
      </c>
      <c r="AK145" s="53">
        <f t="shared" si="45"/>
        <v>0</v>
      </c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7"/>
      <c r="AW145" s="57"/>
      <c r="AX145" s="57"/>
    </row>
    <row r="146" spans="2:50">
      <c r="B146" s="45">
        <v>130</v>
      </c>
      <c r="C146" s="46" t="s">
        <v>304</v>
      </c>
      <c r="D146" s="47" t="s">
        <v>297</v>
      </c>
      <c r="E146" s="161" t="s">
        <v>353</v>
      </c>
      <c r="F146" s="183" t="s">
        <v>356</v>
      </c>
      <c r="G146" s="162" t="s">
        <v>357</v>
      </c>
      <c r="H146" s="164">
        <v>43287</v>
      </c>
      <c r="I146" s="50" t="s">
        <v>350</v>
      </c>
      <c r="J146" s="165">
        <f t="shared" si="46"/>
        <v>30</v>
      </c>
      <c r="K146" s="165">
        <v>30</v>
      </c>
      <c r="L146" s="165">
        <v>0</v>
      </c>
      <c r="M146" s="165"/>
      <c r="N146" s="165">
        <v>0.5</v>
      </c>
      <c r="O146" s="165">
        <v>0</v>
      </c>
      <c r="P146" s="179">
        <v>1</v>
      </c>
      <c r="Q146" s="53"/>
      <c r="R146" s="54" t="s">
        <v>158</v>
      </c>
      <c r="S146" s="54" t="s">
        <v>158</v>
      </c>
      <c r="T146" s="54" t="s">
        <v>158</v>
      </c>
      <c r="U146" s="54" t="s">
        <v>158</v>
      </c>
      <c r="V146" s="53" t="s">
        <v>303</v>
      </c>
      <c r="W146" s="53"/>
      <c r="X146" s="53">
        <f t="shared" si="35"/>
        <v>0</v>
      </c>
      <c r="Y146" s="55"/>
      <c r="Z146" s="55"/>
      <c r="AA146" s="52">
        <f t="shared" si="36"/>
        <v>0</v>
      </c>
      <c r="AB146" s="53">
        <f t="shared" si="37"/>
        <v>0</v>
      </c>
      <c r="AC146" s="53">
        <f t="shared" si="38"/>
        <v>0</v>
      </c>
      <c r="AD146" s="53">
        <f t="shared" si="39"/>
        <v>0</v>
      </c>
      <c r="AE146" s="53">
        <f t="shared" si="40"/>
        <v>0</v>
      </c>
      <c r="AF146" s="53">
        <f t="shared" si="41"/>
        <v>0</v>
      </c>
      <c r="AG146" s="56">
        <f t="shared" si="42"/>
        <v>0</v>
      </c>
      <c r="AH146" s="53">
        <f t="shared" si="43"/>
        <v>0</v>
      </c>
      <c r="AI146" s="55"/>
      <c r="AJ146" s="53">
        <f t="shared" si="44"/>
        <v>0</v>
      </c>
      <c r="AK146" s="53">
        <f t="shared" si="45"/>
        <v>0</v>
      </c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7"/>
      <c r="AW146" s="57"/>
      <c r="AX146" s="57"/>
    </row>
    <row r="147" spans="2:50">
      <c r="B147" s="45">
        <v>131</v>
      </c>
      <c r="C147" s="46" t="s">
        <v>304</v>
      </c>
      <c r="D147" s="47" t="s">
        <v>297</v>
      </c>
      <c r="E147" s="161" t="s">
        <v>353</v>
      </c>
      <c r="F147" s="183" t="s">
        <v>358</v>
      </c>
      <c r="G147" s="162" t="s">
        <v>357</v>
      </c>
      <c r="H147" s="164">
        <v>43607</v>
      </c>
      <c r="I147" s="50" t="s">
        <v>350</v>
      </c>
      <c r="J147" s="50">
        <f t="shared" si="46"/>
        <v>378</v>
      </c>
      <c r="K147" s="50">
        <v>378</v>
      </c>
      <c r="L147" s="50">
        <v>0</v>
      </c>
      <c r="M147" s="50"/>
      <c r="N147" s="50">
        <v>5.8</v>
      </c>
      <c r="O147" s="50">
        <v>0</v>
      </c>
      <c r="P147" s="179">
        <v>1</v>
      </c>
      <c r="Q147" s="53"/>
      <c r="R147" s="54" t="s">
        <v>158</v>
      </c>
      <c r="S147" s="54" t="s">
        <v>158</v>
      </c>
      <c r="T147" s="54" t="s">
        <v>158</v>
      </c>
      <c r="U147" s="54" t="s">
        <v>158</v>
      </c>
      <c r="V147" s="53" t="s">
        <v>303</v>
      </c>
      <c r="W147" s="53"/>
      <c r="X147" s="53">
        <f t="shared" si="35"/>
        <v>0</v>
      </c>
      <c r="Y147" s="55"/>
      <c r="Z147" s="55"/>
      <c r="AA147" s="52">
        <f t="shared" si="36"/>
        <v>0</v>
      </c>
      <c r="AB147" s="53">
        <f t="shared" si="37"/>
        <v>0</v>
      </c>
      <c r="AC147" s="53">
        <f t="shared" si="38"/>
        <v>0</v>
      </c>
      <c r="AD147" s="53">
        <f t="shared" si="39"/>
        <v>0</v>
      </c>
      <c r="AE147" s="53">
        <f t="shared" si="40"/>
        <v>0</v>
      </c>
      <c r="AF147" s="53">
        <f t="shared" si="41"/>
        <v>0</v>
      </c>
      <c r="AG147" s="56">
        <f t="shared" si="42"/>
        <v>0</v>
      </c>
      <c r="AH147" s="53">
        <f t="shared" si="43"/>
        <v>0</v>
      </c>
      <c r="AI147" s="55"/>
      <c r="AJ147" s="53">
        <f t="shared" si="44"/>
        <v>0</v>
      </c>
      <c r="AK147" s="53">
        <f t="shared" si="45"/>
        <v>0</v>
      </c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7"/>
      <c r="AW147" s="57"/>
      <c r="AX147" s="57"/>
    </row>
    <row r="148" spans="2:50">
      <c r="B148" s="45">
        <v>132</v>
      </c>
      <c r="C148" s="46" t="s">
        <v>304</v>
      </c>
      <c r="D148" s="47" t="s">
        <v>297</v>
      </c>
      <c r="E148" s="161" t="s">
        <v>353</v>
      </c>
      <c r="F148" s="183" t="s">
        <v>347</v>
      </c>
      <c r="G148" s="162" t="s">
        <v>357</v>
      </c>
      <c r="H148" s="164">
        <v>43683</v>
      </c>
      <c r="I148" s="50" t="s">
        <v>350</v>
      </c>
      <c r="J148" s="50">
        <f t="shared" si="46"/>
        <v>84</v>
      </c>
      <c r="K148" s="50">
        <v>84</v>
      </c>
      <c r="L148" s="50">
        <v>0</v>
      </c>
      <c r="M148" s="50"/>
      <c r="N148" s="50">
        <v>1.2</v>
      </c>
      <c r="O148" s="50">
        <v>0</v>
      </c>
      <c r="P148" s="179">
        <v>1</v>
      </c>
      <c r="Q148" s="53"/>
      <c r="R148" s="54" t="s">
        <v>158</v>
      </c>
      <c r="S148" s="54" t="s">
        <v>158</v>
      </c>
      <c r="T148" s="54" t="s">
        <v>158</v>
      </c>
      <c r="U148" s="54" t="s">
        <v>158</v>
      </c>
      <c r="V148" s="53" t="s">
        <v>303</v>
      </c>
      <c r="W148" s="53"/>
      <c r="X148" s="53">
        <f t="shared" si="35"/>
        <v>0</v>
      </c>
      <c r="Y148" s="55"/>
      <c r="Z148" s="55"/>
      <c r="AA148" s="52">
        <f t="shared" si="36"/>
        <v>0</v>
      </c>
      <c r="AB148" s="53">
        <f t="shared" si="37"/>
        <v>0</v>
      </c>
      <c r="AC148" s="53">
        <f t="shared" si="38"/>
        <v>0</v>
      </c>
      <c r="AD148" s="53">
        <f t="shared" si="39"/>
        <v>0</v>
      </c>
      <c r="AE148" s="53">
        <f t="shared" si="40"/>
        <v>0</v>
      </c>
      <c r="AF148" s="53">
        <f t="shared" si="41"/>
        <v>0</v>
      </c>
      <c r="AG148" s="56">
        <f t="shared" si="42"/>
        <v>0</v>
      </c>
      <c r="AH148" s="53">
        <f t="shared" si="43"/>
        <v>0</v>
      </c>
      <c r="AI148" s="55"/>
      <c r="AJ148" s="53">
        <f t="shared" si="44"/>
        <v>0</v>
      </c>
      <c r="AK148" s="53">
        <f t="shared" si="45"/>
        <v>0</v>
      </c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7"/>
      <c r="AW148" s="57"/>
      <c r="AX148" s="57"/>
    </row>
    <row r="149" spans="2:50">
      <c r="B149" s="45">
        <v>133</v>
      </c>
      <c r="C149" s="46" t="s">
        <v>304</v>
      </c>
      <c r="D149" s="47" t="s">
        <v>297</v>
      </c>
      <c r="E149" s="161" t="s">
        <v>353</v>
      </c>
      <c r="F149" s="185" t="s">
        <v>359</v>
      </c>
      <c r="G149" s="182" t="s">
        <v>357</v>
      </c>
      <c r="H149" s="169">
        <v>42823</v>
      </c>
      <c r="I149" s="170" t="s">
        <v>350</v>
      </c>
      <c r="J149" s="186">
        <f t="shared" si="46"/>
        <v>726</v>
      </c>
      <c r="K149" s="186">
        <v>6</v>
      </c>
      <c r="L149" s="186">
        <v>720</v>
      </c>
      <c r="M149" s="186"/>
      <c r="N149" s="186">
        <v>0.1</v>
      </c>
      <c r="O149" s="186">
        <v>12</v>
      </c>
      <c r="P149" s="179">
        <v>1</v>
      </c>
      <c r="Q149" s="153"/>
      <c r="R149" s="54" t="s">
        <v>158</v>
      </c>
      <c r="S149" s="54" t="s">
        <v>158</v>
      </c>
      <c r="T149" s="54" t="s">
        <v>158</v>
      </c>
      <c r="U149" s="54" t="s">
        <v>158</v>
      </c>
      <c r="V149" s="53" t="s">
        <v>303</v>
      </c>
      <c r="W149" s="153"/>
      <c r="X149" s="53">
        <f t="shared" si="35"/>
        <v>0</v>
      </c>
      <c r="Y149" s="55"/>
      <c r="Z149" s="55"/>
      <c r="AA149" s="52">
        <f t="shared" si="36"/>
        <v>0</v>
      </c>
      <c r="AB149" s="53">
        <f t="shared" si="37"/>
        <v>0</v>
      </c>
      <c r="AC149" s="53">
        <f t="shared" si="38"/>
        <v>0</v>
      </c>
      <c r="AD149" s="53">
        <f t="shared" si="39"/>
        <v>0</v>
      </c>
      <c r="AE149" s="53">
        <f t="shared" si="40"/>
        <v>0</v>
      </c>
      <c r="AF149" s="53">
        <f t="shared" si="41"/>
        <v>0</v>
      </c>
      <c r="AG149" s="56">
        <f t="shared" si="42"/>
        <v>0</v>
      </c>
      <c r="AH149" s="53">
        <f t="shared" si="43"/>
        <v>0</v>
      </c>
      <c r="AI149" s="55"/>
      <c r="AJ149" s="53">
        <f t="shared" si="44"/>
        <v>0</v>
      </c>
      <c r="AK149" s="53">
        <f t="shared" si="45"/>
        <v>0</v>
      </c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7"/>
      <c r="AW149" s="57"/>
      <c r="AX149" s="57"/>
    </row>
    <row r="150" spans="2:50">
      <c r="B150" s="45">
        <v>134</v>
      </c>
      <c r="C150" s="46" t="s">
        <v>304</v>
      </c>
      <c r="D150" s="47" t="s">
        <v>297</v>
      </c>
      <c r="E150" s="187" t="s">
        <v>360</v>
      </c>
      <c r="F150" s="188" t="s">
        <v>361</v>
      </c>
      <c r="G150" s="162" t="s">
        <v>357</v>
      </c>
      <c r="H150" s="164">
        <v>43437</v>
      </c>
      <c r="I150" s="50" t="s">
        <v>350</v>
      </c>
      <c r="J150" s="50">
        <f t="shared" si="46"/>
        <v>221.4</v>
      </c>
      <c r="K150" s="50">
        <v>161.4</v>
      </c>
      <c r="L150" s="50">
        <v>60</v>
      </c>
      <c r="M150" s="50"/>
      <c r="N150" s="50">
        <v>2.69</v>
      </c>
      <c r="O150" s="50">
        <v>1</v>
      </c>
      <c r="P150" s="179">
        <v>1</v>
      </c>
      <c r="Q150" s="53"/>
      <c r="R150" s="54" t="s">
        <v>158</v>
      </c>
      <c r="S150" s="54" t="s">
        <v>158</v>
      </c>
      <c r="T150" s="54" t="s">
        <v>158</v>
      </c>
      <c r="U150" s="54" t="s">
        <v>158</v>
      </c>
      <c r="V150" s="53" t="s">
        <v>303</v>
      </c>
      <c r="W150" s="53"/>
      <c r="X150" s="53">
        <f t="shared" si="35"/>
        <v>0</v>
      </c>
      <c r="Y150" s="55"/>
      <c r="Z150" s="55"/>
      <c r="AA150" s="52">
        <f t="shared" si="36"/>
        <v>0</v>
      </c>
      <c r="AB150" s="53">
        <f t="shared" si="37"/>
        <v>0</v>
      </c>
      <c r="AC150" s="53">
        <f t="shared" si="38"/>
        <v>0</v>
      </c>
      <c r="AD150" s="53">
        <f t="shared" si="39"/>
        <v>0</v>
      </c>
      <c r="AE150" s="53">
        <f t="shared" si="40"/>
        <v>0</v>
      </c>
      <c r="AF150" s="53">
        <f t="shared" si="41"/>
        <v>0</v>
      </c>
      <c r="AG150" s="56">
        <f t="shared" si="42"/>
        <v>0</v>
      </c>
      <c r="AH150" s="53">
        <f t="shared" si="43"/>
        <v>0</v>
      </c>
      <c r="AI150" s="55"/>
      <c r="AJ150" s="53">
        <f t="shared" si="44"/>
        <v>0</v>
      </c>
      <c r="AK150" s="53">
        <f t="shared" si="45"/>
        <v>0</v>
      </c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7"/>
      <c r="AW150" s="57"/>
      <c r="AX150" s="57"/>
    </row>
    <row r="151" spans="2:50">
      <c r="B151" s="45">
        <v>135</v>
      </c>
      <c r="C151" s="46" t="s">
        <v>304</v>
      </c>
      <c r="D151" s="47" t="s">
        <v>297</v>
      </c>
      <c r="E151" s="187" t="s">
        <v>360</v>
      </c>
      <c r="F151" s="188" t="s">
        <v>362</v>
      </c>
      <c r="G151" s="162" t="s">
        <v>355</v>
      </c>
      <c r="H151" s="164">
        <v>42823</v>
      </c>
      <c r="I151" s="50" t="s">
        <v>350</v>
      </c>
      <c r="J151" s="50">
        <f t="shared" si="46"/>
        <v>30</v>
      </c>
      <c r="K151" s="50">
        <v>30</v>
      </c>
      <c r="L151" s="50">
        <v>0</v>
      </c>
      <c r="M151" s="50"/>
      <c r="N151" s="50">
        <v>0.45</v>
      </c>
      <c r="O151" s="50">
        <v>0</v>
      </c>
      <c r="P151" s="179">
        <v>1</v>
      </c>
      <c r="Q151" s="53" t="s">
        <v>257</v>
      </c>
      <c r="R151" s="54" t="s">
        <v>158</v>
      </c>
      <c r="S151" s="54" t="s">
        <v>158</v>
      </c>
      <c r="T151" s="54" t="s">
        <v>158</v>
      </c>
      <c r="U151" s="54" t="s">
        <v>158</v>
      </c>
      <c r="V151" s="53" t="s">
        <v>303</v>
      </c>
      <c r="W151" s="53"/>
      <c r="X151" s="53">
        <f t="shared" si="35"/>
        <v>0</v>
      </c>
      <c r="Y151" s="55"/>
      <c r="Z151" s="55"/>
      <c r="AA151" s="52">
        <f t="shared" si="36"/>
        <v>0</v>
      </c>
      <c r="AB151" s="53">
        <f t="shared" si="37"/>
        <v>0</v>
      </c>
      <c r="AC151" s="53">
        <f t="shared" si="38"/>
        <v>0</v>
      </c>
      <c r="AD151" s="53">
        <f t="shared" si="39"/>
        <v>0</v>
      </c>
      <c r="AE151" s="53">
        <f t="shared" si="40"/>
        <v>0</v>
      </c>
      <c r="AF151" s="53">
        <f t="shared" si="41"/>
        <v>0</v>
      </c>
      <c r="AG151" s="56">
        <f t="shared" si="42"/>
        <v>1</v>
      </c>
      <c r="AH151" s="53">
        <f t="shared" si="43"/>
        <v>0</v>
      </c>
      <c r="AI151" s="55"/>
      <c r="AJ151" s="53">
        <f t="shared" si="44"/>
        <v>0</v>
      </c>
      <c r="AK151" s="53">
        <f t="shared" si="45"/>
        <v>0</v>
      </c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7"/>
      <c r="AW151" s="57"/>
      <c r="AX151" s="57"/>
    </row>
    <row r="152" spans="2:50">
      <c r="B152" s="45">
        <v>136</v>
      </c>
      <c r="C152" s="46" t="s">
        <v>304</v>
      </c>
      <c r="D152" s="47" t="s">
        <v>297</v>
      </c>
      <c r="E152" s="187" t="s">
        <v>360</v>
      </c>
      <c r="F152" s="188" t="s">
        <v>363</v>
      </c>
      <c r="G152" s="162" t="s">
        <v>355</v>
      </c>
      <c r="H152" s="164">
        <v>43769</v>
      </c>
      <c r="I152" s="50" t="s">
        <v>350</v>
      </c>
      <c r="J152" s="50">
        <f t="shared" si="46"/>
        <v>78</v>
      </c>
      <c r="K152" s="50">
        <v>78</v>
      </c>
      <c r="L152" s="50">
        <v>0</v>
      </c>
      <c r="M152" s="50"/>
      <c r="N152" s="50">
        <v>0.8</v>
      </c>
      <c r="O152" s="50">
        <v>0</v>
      </c>
      <c r="P152" s="179">
        <v>1</v>
      </c>
      <c r="Q152" s="53" t="s">
        <v>257</v>
      </c>
      <c r="R152" s="54" t="s">
        <v>158</v>
      </c>
      <c r="S152" s="54" t="s">
        <v>158</v>
      </c>
      <c r="T152" s="54" t="s">
        <v>158</v>
      </c>
      <c r="U152" s="54" t="s">
        <v>158</v>
      </c>
      <c r="V152" s="53" t="s">
        <v>303</v>
      </c>
      <c r="W152" s="53"/>
      <c r="X152" s="53">
        <f t="shared" si="35"/>
        <v>0</v>
      </c>
      <c r="Y152" s="55"/>
      <c r="Z152" s="55"/>
      <c r="AA152" s="52">
        <f t="shared" si="36"/>
        <v>0</v>
      </c>
      <c r="AB152" s="53">
        <f t="shared" si="37"/>
        <v>0</v>
      </c>
      <c r="AC152" s="53">
        <f t="shared" si="38"/>
        <v>0</v>
      </c>
      <c r="AD152" s="53">
        <f t="shared" si="39"/>
        <v>0</v>
      </c>
      <c r="AE152" s="53">
        <f t="shared" si="40"/>
        <v>0</v>
      </c>
      <c r="AF152" s="53">
        <f t="shared" si="41"/>
        <v>0</v>
      </c>
      <c r="AG152" s="56">
        <f t="shared" si="42"/>
        <v>1</v>
      </c>
      <c r="AH152" s="53">
        <f t="shared" si="43"/>
        <v>0</v>
      </c>
      <c r="AI152" s="55"/>
      <c r="AJ152" s="53">
        <f t="shared" si="44"/>
        <v>0</v>
      </c>
      <c r="AK152" s="53">
        <f t="shared" si="45"/>
        <v>0</v>
      </c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7"/>
      <c r="AW152" s="57"/>
      <c r="AX152" s="57"/>
    </row>
    <row r="153" spans="2:50">
      <c r="B153" s="45">
        <v>137</v>
      </c>
      <c r="C153" s="46" t="s">
        <v>304</v>
      </c>
      <c r="D153" s="47" t="s">
        <v>297</v>
      </c>
      <c r="E153" s="187" t="s">
        <v>360</v>
      </c>
      <c r="F153" s="188" t="s">
        <v>364</v>
      </c>
      <c r="G153" s="162" t="s">
        <v>355</v>
      </c>
      <c r="H153" s="164">
        <v>42943</v>
      </c>
      <c r="I153" s="50" t="s">
        <v>350</v>
      </c>
      <c r="J153" s="50">
        <f t="shared" si="46"/>
        <v>264</v>
      </c>
      <c r="K153" s="50">
        <v>264</v>
      </c>
      <c r="L153" s="50">
        <v>0</v>
      </c>
      <c r="M153" s="50"/>
      <c r="N153" s="50">
        <v>3.4</v>
      </c>
      <c r="O153" s="50">
        <v>0</v>
      </c>
      <c r="P153" s="179">
        <v>1</v>
      </c>
      <c r="Q153" s="53" t="s">
        <v>257</v>
      </c>
      <c r="R153" s="54" t="s">
        <v>158</v>
      </c>
      <c r="S153" s="54" t="s">
        <v>158</v>
      </c>
      <c r="T153" s="54" t="s">
        <v>158</v>
      </c>
      <c r="U153" s="54" t="s">
        <v>158</v>
      </c>
      <c r="V153" s="53" t="s">
        <v>303</v>
      </c>
      <c r="W153" s="53"/>
      <c r="X153" s="53">
        <f t="shared" si="35"/>
        <v>0</v>
      </c>
      <c r="Y153" s="55"/>
      <c r="Z153" s="55"/>
      <c r="AA153" s="52">
        <f t="shared" si="36"/>
        <v>0</v>
      </c>
      <c r="AB153" s="53">
        <f t="shared" si="37"/>
        <v>0</v>
      </c>
      <c r="AC153" s="53">
        <f t="shared" si="38"/>
        <v>0</v>
      </c>
      <c r="AD153" s="53">
        <f t="shared" si="39"/>
        <v>0</v>
      </c>
      <c r="AE153" s="53">
        <f t="shared" si="40"/>
        <v>0</v>
      </c>
      <c r="AF153" s="53">
        <f t="shared" si="41"/>
        <v>0</v>
      </c>
      <c r="AG153" s="56">
        <f t="shared" si="42"/>
        <v>1</v>
      </c>
      <c r="AH153" s="53">
        <f t="shared" si="43"/>
        <v>0</v>
      </c>
      <c r="AI153" s="55"/>
      <c r="AJ153" s="53">
        <f t="shared" si="44"/>
        <v>0</v>
      </c>
      <c r="AK153" s="53">
        <f t="shared" si="45"/>
        <v>0</v>
      </c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7"/>
      <c r="AW153" s="57"/>
      <c r="AX153" s="57"/>
    </row>
    <row r="154" spans="2:50">
      <c r="B154" s="45">
        <v>138</v>
      </c>
      <c r="C154" s="46" t="s">
        <v>304</v>
      </c>
      <c r="D154" s="47" t="s">
        <v>297</v>
      </c>
      <c r="E154" s="189" t="s">
        <v>365</v>
      </c>
      <c r="F154" s="190" t="s">
        <v>366</v>
      </c>
      <c r="G154" s="162" t="s">
        <v>357</v>
      </c>
      <c r="H154" s="164">
        <v>42230</v>
      </c>
      <c r="I154" s="191" t="s">
        <v>367</v>
      </c>
      <c r="J154" s="50">
        <f t="shared" si="46"/>
        <v>138</v>
      </c>
      <c r="K154" s="50">
        <v>78</v>
      </c>
      <c r="L154" s="50">
        <v>60</v>
      </c>
      <c r="M154" s="50"/>
      <c r="N154" s="50">
        <v>1.3</v>
      </c>
      <c r="O154" s="50">
        <v>1</v>
      </c>
      <c r="P154" s="179">
        <v>1</v>
      </c>
      <c r="Q154" s="53"/>
      <c r="R154" s="54"/>
      <c r="S154" s="54"/>
      <c r="T154" s="54"/>
      <c r="U154" s="54"/>
      <c r="V154" s="53"/>
      <c r="W154" s="53"/>
      <c r="X154" s="53">
        <f t="shared" si="35"/>
        <v>0</v>
      </c>
      <c r="Y154" s="55"/>
      <c r="Z154" s="55"/>
      <c r="AA154" s="52">
        <f t="shared" si="36"/>
        <v>0</v>
      </c>
      <c r="AB154" s="53">
        <f t="shared" si="37"/>
        <v>0</v>
      </c>
      <c r="AC154" s="53">
        <f t="shared" si="38"/>
        <v>0</v>
      </c>
      <c r="AD154" s="53">
        <f t="shared" si="39"/>
        <v>0</v>
      </c>
      <c r="AE154" s="53">
        <f t="shared" si="40"/>
        <v>0</v>
      </c>
      <c r="AF154" s="53">
        <f t="shared" si="41"/>
        <v>0</v>
      </c>
      <c r="AG154" s="56">
        <f t="shared" si="42"/>
        <v>0</v>
      </c>
      <c r="AH154" s="53">
        <f t="shared" si="43"/>
        <v>0</v>
      </c>
      <c r="AI154" s="55"/>
      <c r="AJ154" s="53">
        <f t="shared" si="44"/>
        <v>0</v>
      </c>
      <c r="AK154" s="53">
        <f t="shared" si="45"/>
        <v>0</v>
      </c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7"/>
      <c r="AW154" s="57"/>
      <c r="AX154" s="57"/>
    </row>
    <row r="155" spans="2:50">
      <c r="B155" s="45">
        <v>139</v>
      </c>
      <c r="C155" s="46" t="s">
        <v>304</v>
      </c>
      <c r="D155" s="47" t="s">
        <v>297</v>
      </c>
      <c r="E155" s="189" t="s">
        <v>365</v>
      </c>
      <c r="F155" s="190" t="s">
        <v>368</v>
      </c>
      <c r="G155" s="162" t="s">
        <v>357</v>
      </c>
      <c r="H155" s="164">
        <v>43671</v>
      </c>
      <c r="I155" s="191" t="s">
        <v>367</v>
      </c>
      <c r="J155" s="50">
        <f t="shared" si="46"/>
        <v>318</v>
      </c>
      <c r="K155" s="50">
        <v>318</v>
      </c>
      <c r="L155" s="50">
        <v>0</v>
      </c>
      <c r="M155" s="50"/>
      <c r="N155" s="50">
        <v>5.3</v>
      </c>
      <c r="O155" s="50">
        <v>0</v>
      </c>
      <c r="P155" s="179">
        <v>1</v>
      </c>
      <c r="Q155" s="53"/>
      <c r="R155" s="54"/>
      <c r="S155" s="54"/>
      <c r="T155" s="54"/>
      <c r="U155" s="54"/>
      <c r="V155" s="53"/>
      <c r="W155" s="53"/>
      <c r="X155" s="53">
        <f t="shared" si="35"/>
        <v>0</v>
      </c>
      <c r="Y155" s="55"/>
      <c r="Z155" s="55"/>
      <c r="AA155" s="52">
        <f t="shared" si="36"/>
        <v>0</v>
      </c>
      <c r="AB155" s="53">
        <f t="shared" si="37"/>
        <v>0</v>
      </c>
      <c r="AC155" s="53">
        <f t="shared" si="38"/>
        <v>0</v>
      </c>
      <c r="AD155" s="53">
        <f t="shared" si="39"/>
        <v>0</v>
      </c>
      <c r="AE155" s="53">
        <f t="shared" si="40"/>
        <v>0</v>
      </c>
      <c r="AF155" s="53">
        <f t="shared" si="41"/>
        <v>0</v>
      </c>
      <c r="AG155" s="56">
        <f t="shared" si="42"/>
        <v>0</v>
      </c>
      <c r="AH155" s="53">
        <f t="shared" si="43"/>
        <v>0</v>
      </c>
      <c r="AI155" s="55"/>
      <c r="AJ155" s="53">
        <f t="shared" si="44"/>
        <v>0</v>
      </c>
      <c r="AK155" s="53">
        <f t="shared" si="45"/>
        <v>0</v>
      </c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7"/>
      <c r="AW155" s="57"/>
      <c r="AX155" s="57"/>
    </row>
    <row r="156" spans="2:50">
      <c r="B156" s="45">
        <v>140</v>
      </c>
      <c r="C156" s="46" t="s">
        <v>304</v>
      </c>
      <c r="D156" s="47" t="s">
        <v>297</v>
      </c>
      <c r="E156" s="189" t="s">
        <v>365</v>
      </c>
      <c r="F156" s="190" t="s">
        <v>369</v>
      </c>
      <c r="G156" s="162" t="s">
        <v>357</v>
      </c>
      <c r="H156" s="164">
        <v>43004</v>
      </c>
      <c r="I156" s="191" t="s">
        <v>367</v>
      </c>
      <c r="J156" s="192">
        <f t="shared" si="46"/>
        <v>726</v>
      </c>
      <c r="K156" s="192">
        <v>6</v>
      </c>
      <c r="L156" s="192">
        <v>720</v>
      </c>
      <c r="M156" s="192"/>
      <c r="N156" s="192">
        <v>0</v>
      </c>
      <c r="O156" s="192">
        <v>12</v>
      </c>
      <c r="P156" s="179">
        <v>1</v>
      </c>
      <c r="Q156" s="53"/>
      <c r="R156" s="54"/>
      <c r="S156" s="54"/>
      <c r="T156" s="54"/>
      <c r="U156" s="54"/>
      <c r="V156" s="53"/>
      <c r="W156" s="53"/>
      <c r="X156" s="53">
        <f t="shared" si="35"/>
        <v>0</v>
      </c>
      <c r="Y156" s="55"/>
      <c r="Z156" s="55"/>
      <c r="AA156" s="52">
        <f t="shared" si="36"/>
        <v>0</v>
      </c>
      <c r="AB156" s="53">
        <f t="shared" si="37"/>
        <v>0</v>
      </c>
      <c r="AC156" s="53">
        <f t="shared" si="38"/>
        <v>0</v>
      </c>
      <c r="AD156" s="53">
        <f t="shared" si="39"/>
        <v>0</v>
      </c>
      <c r="AE156" s="53">
        <f t="shared" si="40"/>
        <v>0</v>
      </c>
      <c r="AF156" s="53">
        <f t="shared" si="41"/>
        <v>0</v>
      </c>
      <c r="AG156" s="56">
        <f t="shared" si="42"/>
        <v>0</v>
      </c>
      <c r="AH156" s="53">
        <f t="shared" si="43"/>
        <v>0</v>
      </c>
      <c r="AI156" s="55"/>
      <c r="AJ156" s="53">
        <f t="shared" si="44"/>
        <v>0</v>
      </c>
      <c r="AK156" s="53">
        <f t="shared" si="45"/>
        <v>0</v>
      </c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7"/>
      <c r="AW156" s="57"/>
      <c r="AX156" s="57"/>
    </row>
    <row r="157" spans="2:50">
      <c r="B157" s="45">
        <v>141</v>
      </c>
      <c r="C157" s="46" t="s">
        <v>304</v>
      </c>
      <c r="D157" s="47" t="s">
        <v>297</v>
      </c>
      <c r="E157" s="189" t="s">
        <v>365</v>
      </c>
      <c r="F157" s="190" t="s">
        <v>370</v>
      </c>
      <c r="G157" s="162" t="s">
        <v>357</v>
      </c>
      <c r="H157" s="164">
        <v>42230</v>
      </c>
      <c r="I157" s="191" t="s">
        <v>367</v>
      </c>
      <c r="J157" s="50">
        <f t="shared" si="46"/>
        <v>12</v>
      </c>
      <c r="K157" s="50">
        <v>12</v>
      </c>
      <c r="L157" s="50">
        <v>0</v>
      </c>
      <c r="M157" s="50"/>
      <c r="N157" s="50">
        <v>0.2</v>
      </c>
      <c r="O157" s="50">
        <v>0</v>
      </c>
      <c r="P157" s="179">
        <v>1</v>
      </c>
      <c r="Q157" s="53"/>
      <c r="R157" s="54"/>
      <c r="S157" s="54"/>
      <c r="T157" s="54"/>
      <c r="U157" s="54"/>
      <c r="V157" s="53"/>
      <c r="W157" s="53"/>
      <c r="X157" s="53">
        <f t="shared" si="35"/>
        <v>0</v>
      </c>
      <c r="Y157" s="55"/>
      <c r="Z157" s="55"/>
      <c r="AA157" s="52">
        <f t="shared" si="36"/>
        <v>0</v>
      </c>
      <c r="AB157" s="53">
        <f t="shared" si="37"/>
        <v>0</v>
      </c>
      <c r="AC157" s="53">
        <f t="shared" si="38"/>
        <v>0</v>
      </c>
      <c r="AD157" s="53">
        <f t="shared" si="39"/>
        <v>0</v>
      </c>
      <c r="AE157" s="53">
        <f t="shared" si="40"/>
        <v>0</v>
      </c>
      <c r="AF157" s="53">
        <f t="shared" si="41"/>
        <v>0</v>
      </c>
      <c r="AG157" s="56">
        <f t="shared" si="42"/>
        <v>0</v>
      </c>
      <c r="AH157" s="53">
        <f t="shared" si="43"/>
        <v>0</v>
      </c>
      <c r="AI157" s="55"/>
      <c r="AJ157" s="53">
        <f t="shared" si="44"/>
        <v>0</v>
      </c>
      <c r="AK157" s="53">
        <f t="shared" si="45"/>
        <v>0</v>
      </c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7"/>
      <c r="AW157" s="57"/>
      <c r="AX157" s="57"/>
    </row>
    <row r="158" spans="2:50">
      <c r="B158" s="45">
        <v>142</v>
      </c>
      <c r="C158" s="46" t="s">
        <v>304</v>
      </c>
      <c r="D158" s="47" t="s">
        <v>297</v>
      </c>
      <c r="E158" s="189" t="s">
        <v>365</v>
      </c>
      <c r="F158" s="190" t="s">
        <v>371</v>
      </c>
      <c r="G158" s="162" t="s">
        <v>357</v>
      </c>
      <c r="H158" s="164">
        <v>43649</v>
      </c>
      <c r="I158" s="191" t="s">
        <v>367</v>
      </c>
      <c r="J158" s="50">
        <f t="shared" si="46"/>
        <v>117</v>
      </c>
      <c r="K158" s="50">
        <v>63</v>
      </c>
      <c r="L158" s="50">
        <v>54</v>
      </c>
      <c r="M158" s="50"/>
      <c r="N158" s="50">
        <v>0.95</v>
      </c>
      <c r="O158" s="50">
        <v>0.9</v>
      </c>
      <c r="P158" s="179">
        <v>1</v>
      </c>
      <c r="Q158" s="53"/>
      <c r="R158" s="54"/>
      <c r="S158" s="54"/>
      <c r="T158" s="54"/>
      <c r="U158" s="54"/>
      <c r="V158" s="53"/>
      <c r="W158" s="53"/>
      <c r="X158" s="53">
        <f t="shared" si="35"/>
        <v>0</v>
      </c>
      <c r="Y158" s="55"/>
      <c r="Z158" s="55"/>
      <c r="AA158" s="52">
        <f t="shared" si="36"/>
        <v>0</v>
      </c>
      <c r="AB158" s="53">
        <f t="shared" si="37"/>
        <v>0</v>
      </c>
      <c r="AC158" s="53">
        <f t="shared" si="38"/>
        <v>0</v>
      </c>
      <c r="AD158" s="53">
        <f t="shared" si="39"/>
        <v>0</v>
      </c>
      <c r="AE158" s="53">
        <f t="shared" si="40"/>
        <v>0</v>
      </c>
      <c r="AF158" s="53">
        <f t="shared" si="41"/>
        <v>0</v>
      </c>
      <c r="AG158" s="56">
        <f t="shared" si="42"/>
        <v>0</v>
      </c>
      <c r="AH158" s="53">
        <f t="shared" si="43"/>
        <v>0</v>
      </c>
      <c r="AI158" s="55"/>
      <c r="AJ158" s="53">
        <f t="shared" si="44"/>
        <v>0</v>
      </c>
      <c r="AK158" s="53">
        <f t="shared" si="45"/>
        <v>0</v>
      </c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7"/>
      <c r="AW158" s="57"/>
      <c r="AX158" s="57"/>
    </row>
    <row r="159" spans="2:50">
      <c r="B159" s="45">
        <v>143</v>
      </c>
      <c r="C159" s="46" t="s">
        <v>304</v>
      </c>
      <c r="D159" s="47" t="s">
        <v>297</v>
      </c>
      <c r="E159" s="189" t="s">
        <v>365</v>
      </c>
      <c r="F159" s="190" t="s">
        <v>372</v>
      </c>
      <c r="G159" s="162" t="s">
        <v>373</v>
      </c>
      <c r="H159" s="164">
        <v>43621</v>
      </c>
      <c r="I159" s="191" t="s">
        <v>367</v>
      </c>
      <c r="J159" s="50">
        <f t="shared" si="46"/>
        <v>588</v>
      </c>
      <c r="K159" s="50">
        <v>468</v>
      </c>
      <c r="L159" s="50">
        <v>120</v>
      </c>
      <c r="M159" s="50"/>
      <c r="N159" s="50">
        <v>7.8</v>
      </c>
      <c r="O159" s="50">
        <v>2</v>
      </c>
      <c r="P159" s="179">
        <v>1</v>
      </c>
      <c r="Q159" s="53"/>
      <c r="R159" s="54"/>
      <c r="S159" s="54"/>
      <c r="T159" s="54"/>
      <c r="U159" s="54"/>
      <c r="V159" s="53"/>
      <c r="W159" s="53"/>
      <c r="X159" s="53">
        <f t="shared" si="35"/>
        <v>0</v>
      </c>
      <c r="Y159" s="55"/>
      <c r="Z159" s="55"/>
      <c r="AA159" s="52">
        <f t="shared" si="36"/>
        <v>0</v>
      </c>
      <c r="AB159" s="53">
        <f t="shared" si="37"/>
        <v>0</v>
      </c>
      <c r="AC159" s="53">
        <f t="shared" si="38"/>
        <v>0</v>
      </c>
      <c r="AD159" s="53">
        <f t="shared" si="39"/>
        <v>0</v>
      </c>
      <c r="AE159" s="53">
        <f t="shared" si="40"/>
        <v>0</v>
      </c>
      <c r="AF159" s="53">
        <f t="shared" si="41"/>
        <v>0</v>
      </c>
      <c r="AG159" s="56">
        <f t="shared" si="42"/>
        <v>0</v>
      </c>
      <c r="AH159" s="53">
        <f t="shared" si="43"/>
        <v>0</v>
      </c>
      <c r="AI159" s="55"/>
      <c r="AJ159" s="53">
        <f t="shared" si="44"/>
        <v>0</v>
      </c>
      <c r="AK159" s="53">
        <f t="shared" si="45"/>
        <v>0</v>
      </c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7"/>
      <c r="AW159" s="57"/>
      <c r="AX159" s="57"/>
    </row>
    <row r="160" spans="2:50">
      <c r="B160" s="45">
        <v>144</v>
      </c>
      <c r="C160" s="46" t="s">
        <v>304</v>
      </c>
      <c r="D160" s="47" t="s">
        <v>297</v>
      </c>
      <c r="E160" s="189" t="s">
        <v>365</v>
      </c>
      <c r="F160" s="190" t="s">
        <v>374</v>
      </c>
      <c r="G160" s="162" t="s">
        <v>373</v>
      </c>
      <c r="H160" s="164">
        <v>42607</v>
      </c>
      <c r="I160" s="191" t="s">
        <v>367</v>
      </c>
      <c r="J160" s="192">
        <f t="shared" si="46"/>
        <v>18</v>
      </c>
      <c r="K160" s="192">
        <v>18</v>
      </c>
      <c r="L160" s="192">
        <v>0</v>
      </c>
      <c r="M160" s="192"/>
      <c r="N160" s="192">
        <v>0.3</v>
      </c>
      <c r="O160" s="192">
        <v>0</v>
      </c>
      <c r="P160" s="179">
        <v>1</v>
      </c>
      <c r="Q160" s="53"/>
      <c r="R160" s="54"/>
      <c r="S160" s="54"/>
      <c r="T160" s="54"/>
      <c r="U160" s="54"/>
      <c r="V160" s="53"/>
      <c r="W160" s="53"/>
      <c r="X160" s="53">
        <f t="shared" si="35"/>
        <v>0</v>
      </c>
      <c r="Y160" s="55"/>
      <c r="Z160" s="55"/>
      <c r="AA160" s="52">
        <f t="shared" si="36"/>
        <v>0</v>
      </c>
      <c r="AB160" s="53">
        <f t="shared" si="37"/>
        <v>0</v>
      </c>
      <c r="AC160" s="53">
        <f t="shared" si="38"/>
        <v>0</v>
      </c>
      <c r="AD160" s="53">
        <f t="shared" si="39"/>
        <v>0</v>
      </c>
      <c r="AE160" s="53">
        <f t="shared" si="40"/>
        <v>0</v>
      </c>
      <c r="AF160" s="53">
        <f t="shared" si="41"/>
        <v>0</v>
      </c>
      <c r="AG160" s="56">
        <f t="shared" si="42"/>
        <v>0</v>
      </c>
      <c r="AH160" s="53">
        <f t="shared" si="43"/>
        <v>0</v>
      </c>
      <c r="AI160" s="55"/>
      <c r="AJ160" s="53">
        <f t="shared" si="44"/>
        <v>0</v>
      </c>
      <c r="AK160" s="53">
        <f t="shared" si="45"/>
        <v>0</v>
      </c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7"/>
      <c r="AW160" s="57"/>
      <c r="AX160" s="57"/>
    </row>
    <row r="161" spans="2:50">
      <c r="B161" s="45">
        <v>145</v>
      </c>
      <c r="C161" s="46" t="s">
        <v>304</v>
      </c>
      <c r="D161" s="47" t="s">
        <v>297</v>
      </c>
      <c r="E161" s="189" t="s">
        <v>365</v>
      </c>
      <c r="F161" s="190" t="s">
        <v>375</v>
      </c>
      <c r="G161" s="162" t="s">
        <v>373</v>
      </c>
      <c r="H161" s="164">
        <v>43693</v>
      </c>
      <c r="I161" s="191" t="s">
        <v>367</v>
      </c>
      <c r="J161" s="50">
        <f t="shared" si="46"/>
        <v>297</v>
      </c>
      <c r="K161" s="50">
        <v>225</v>
      </c>
      <c r="L161" s="50">
        <v>72</v>
      </c>
      <c r="M161" s="50"/>
      <c r="N161" s="50">
        <v>3.75</v>
      </c>
      <c r="O161" s="50">
        <v>1.2</v>
      </c>
      <c r="P161" s="179">
        <v>1</v>
      </c>
      <c r="Q161" s="53"/>
      <c r="R161" s="54"/>
      <c r="S161" s="54"/>
      <c r="T161" s="54"/>
      <c r="U161" s="54"/>
      <c r="V161" s="53"/>
      <c r="W161" s="53"/>
      <c r="X161" s="53">
        <f t="shared" si="35"/>
        <v>0</v>
      </c>
      <c r="Y161" s="55"/>
      <c r="Z161" s="55"/>
      <c r="AA161" s="52">
        <f t="shared" si="36"/>
        <v>0</v>
      </c>
      <c r="AB161" s="53">
        <f t="shared" si="37"/>
        <v>0</v>
      </c>
      <c r="AC161" s="53">
        <f t="shared" si="38"/>
        <v>0</v>
      </c>
      <c r="AD161" s="53">
        <f t="shared" si="39"/>
        <v>0</v>
      </c>
      <c r="AE161" s="53">
        <f t="shared" si="40"/>
        <v>0</v>
      </c>
      <c r="AF161" s="53">
        <f t="shared" si="41"/>
        <v>0</v>
      </c>
      <c r="AG161" s="56">
        <f t="shared" si="42"/>
        <v>0</v>
      </c>
      <c r="AH161" s="53">
        <f t="shared" si="43"/>
        <v>0</v>
      </c>
      <c r="AI161" s="55"/>
      <c r="AJ161" s="53">
        <f t="shared" si="44"/>
        <v>0</v>
      </c>
      <c r="AK161" s="53">
        <f t="shared" si="45"/>
        <v>0</v>
      </c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7"/>
      <c r="AW161" s="57"/>
      <c r="AX161" s="57"/>
    </row>
    <row r="162" spans="2:50">
      <c r="B162" s="45">
        <v>146</v>
      </c>
      <c r="C162" s="46" t="s">
        <v>304</v>
      </c>
      <c r="D162" s="47" t="s">
        <v>297</v>
      </c>
      <c r="E162" s="189" t="s">
        <v>365</v>
      </c>
      <c r="F162" s="181" t="s">
        <v>376</v>
      </c>
      <c r="G162" s="162" t="s">
        <v>373</v>
      </c>
      <c r="H162" s="164">
        <v>43763</v>
      </c>
      <c r="I162" s="50" t="s">
        <v>302</v>
      </c>
      <c r="J162" s="50">
        <f t="shared" si="46"/>
        <v>168</v>
      </c>
      <c r="K162" s="50">
        <v>168</v>
      </c>
      <c r="L162" s="50">
        <v>0</v>
      </c>
      <c r="M162" s="50"/>
      <c r="N162" s="50">
        <v>2.8</v>
      </c>
      <c r="O162" s="50">
        <v>0</v>
      </c>
      <c r="P162" s="179">
        <v>1</v>
      </c>
      <c r="Q162" s="53"/>
      <c r="R162" s="54" t="s">
        <v>158</v>
      </c>
      <c r="S162" s="54" t="s">
        <v>158</v>
      </c>
      <c r="T162" s="54" t="s">
        <v>158</v>
      </c>
      <c r="U162" s="54" t="s">
        <v>158</v>
      </c>
      <c r="V162" s="53" t="s">
        <v>303</v>
      </c>
      <c r="W162" s="53"/>
      <c r="X162" s="53">
        <f t="shared" si="35"/>
        <v>0</v>
      </c>
      <c r="Y162" s="55"/>
      <c r="Z162" s="55"/>
      <c r="AA162" s="52">
        <f t="shared" si="36"/>
        <v>0</v>
      </c>
      <c r="AB162" s="53">
        <f t="shared" si="37"/>
        <v>0</v>
      </c>
      <c r="AC162" s="53">
        <f t="shared" si="38"/>
        <v>0</v>
      </c>
      <c r="AD162" s="53">
        <f t="shared" si="39"/>
        <v>0</v>
      </c>
      <c r="AE162" s="53">
        <f t="shared" si="40"/>
        <v>0</v>
      </c>
      <c r="AF162" s="53">
        <f t="shared" si="41"/>
        <v>0</v>
      </c>
      <c r="AG162" s="56">
        <f t="shared" si="42"/>
        <v>0</v>
      </c>
      <c r="AH162" s="53">
        <f t="shared" si="43"/>
        <v>0</v>
      </c>
      <c r="AI162" s="55"/>
      <c r="AJ162" s="53">
        <f t="shared" si="44"/>
        <v>0</v>
      </c>
      <c r="AK162" s="53">
        <f t="shared" si="45"/>
        <v>0</v>
      </c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7"/>
      <c r="AW162" s="57"/>
      <c r="AX162" s="57"/>
    </row>
    <row r="163" spans="2:50">
      <c r="B163" s="45">
        <v>147</v>
      </c>
      <c r="C163" s="46" t="s">
        <v>304</v>
      </c>
      <c r="D163" s="47" t="s">
        <v>297</v>
      </c>
      <c r="E163" s="189" t="s">
        <v>365</v>
      </c>
      <c r="F163" s="181" t="s">
        <v>377</v>
      </c>
      <c r="G163" s="162" t="s">
        <v>373</v>
      </c>
      <c r="H163" s="164">
        <v>43763</v>
      </c>
      <c r="I163" s="50" t="s">
        <v>302</v>
      </c>
      <c r="J163" s="50">
        <f t="shared" si="46"/>
        <v>204</v>
      </c>
      <c r="K163" s="50">
        <v>204</v>
      </c>
      <c r="L163" s="50">
        <v>0</v>
      </c>
      <c r="M163" s="50"/>
      <c r="N163" s="50">
        <v>3.4</v>
      </c>
      <c r="O163" s="50">
        <v>0</v>
      </c>
      <c r="P163" s="179">
        <v>1</v>
      </c>
      <c r="Q163" s="53"/>
      <c r="R163" s="54" t="s">
        <v>158</v>
      </c>
      <c r="S163" s="54" t="s">
        <v>158</v>
      </c>
      <c r="T163" s="54" t="s">
        <v>158</v>
      </c>
      <c r="U163" s="54" t="s">
        <v>158</v>
      </c>
      <c r="V163" s="53" t="s">
        <v>303</v>
      </c>
      <c r="W163" s="53"/>
      <c r="X163" s="53">
        <f t="shared" si="35"/>
        <v>0</v>
      </c>
      <c r="Y163" s="55"/>
      <c r="Z163" s="55"/>
      <c r="AA163" s="52">
        <f t="shared" si="36"/>
        <v>0</v>
      </c>
      <c r="AB163" s="53">
        <f t="shared" si="37"/>
        <v>0</v>
      </c>
      <c r="AC163" s="53">
        <f t="shared" si="38"/>
        <v>0</v>
      </c>
      <c r="AD163" s="53">
        <f t="shared" si="39"/>
        <v>0</v>
      </c>
      <c r="AE163" s="53">
        <f t="shared" si="40"/>
        <v>0</v>
      </c>
      <c r="AF163" s="53">
        <f t="shared" si="41"/>
        <v>0</v>
      </c>
      <c r="AG163" s="56">
        <f t="shared" si="42"/>
        <v>0</v>
      </c>
      <c r="AH163" s="53">
        <f t="shared" si="43"/>
        <v>0</v>
      </c>
      <c r="AI163" s="55"/>
      <c r="AJ163" s="53">
        <f t="shared" si="44"/>
        <v>0</v>
      </c>
      <c r="AK163" s="53">
        <f t="shared" si="45"/>
        <v>0</v>
      </c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7"/>
      <c r="AW163" s="57"/>
      <c r="AX163" s="57"/>
    </row>
    <row r="164" spans="2:50">
      <c r="B164" s="45">
        <v>148</v>
      </c>
      <c r="C164" s="46" t="s">
        <v>304</v>
      </c>
      <c r="D164" s="47" t="s">
        <v>297</v>
      </c>
      <c r="E164" s="189" t="s">
        <v>378</v>
      </c>
      <c r="F164" s="190" t="s">
        <v>379</v>
      </c>
      <c r="G164" s="193" t="s">
        <v>300</v>
      </c>
      <c r="H164" s="164">
        <v>43644</v>
      </c>
      <c r="I164" s="50" t="s">
        <v>302</v>
      </c>
      <c r="J164" s="50">
        <f t="shared" si="46"/>
        <v>138</v>
      </c>
      <c r="K164" s="50">
        <v>138</v>
      </c>
      <c r="L164" s="50">
        <v>0</v>
      </c>
      <c r="M164" s="50"/>
      <c r="N164" s="50">
        <v>2.2999999999999998</v>
      </c>
      <c r="O164" s="50">
        <v>0</v>
      </c>
      <c r="P164" s="179">
        <v>1</v>
      </c>
      <c r="Q164" s="53"/>
      <c r="R164" s="54" t="s">
        <v>158</v>
      </c>
      <c r="S164" s="54" t="s">
        <v>158</v>
      </c>
      <c r="T164" s="54" t="s">
        <v>158</v>
      </c>
      <c r="U164" s="54" t="s">
        <v>158</v>
      </c>
      <c r="V164" s="53" t="s">
        <v>303</v>
      </c>
      <c r="W164" s="53"/>
      <c r="X164" s="53">
        <f t="shared" si="35"/>
        <v>0</v>
      </c>
      <c r="Y164" s="55"/>
      <c r="Z164" s="55"/>
      <c r="AA164" s="52">
        <f t="shared" si="36"/>
        <v>0</v>
      </c>
      <c r="AB164" s="53">
        <f t="shared" si="37"/>
        <v>0</v>
      </c>
      <c r="AC164" s="53">
        <f t="shared" si="38"/>
        <v>0</v>
      </c>
      <c r="AD164" s="53">
        <f t="shared" si="39"/>
        <v>0</v>
      </c>
      <c r="AE164" s="53">
        <f t="shared" si="40"/>
        <v>0</v>
      </c>
      <c r="AF164" s="53">
        <f t="shared" si="41"/>
        <v>0</v>
      </c>
      <c r="AG164" s="56">
        <f t="shared" si="42"/>
        <v>0</v>
      </c>
      <c r="AH164" s="53">
        <f t="shared" si="43"/>
        <v>0</v>
      </c>
      <c r="AI164" s="55"/>
      <c r="AJ164" s="53">
        <f t="shared" si="44"/>
        <v>0</v>
      </c>
      <c r="AK164" s="53">
        <f t="shared" si="45"/>
        <v>0</v>
      </c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7"/>
      <c r="AW164" s="57"/>
      <c r="AX164" s="57"/>
    </row>
    <row r="165" spans="2:50">
      <c r="B165" s="45">
        <v>149</v>
      </c>
      <c r="C165" s="46" t="s">
        <v>304</v>
      </c>
      <c r="D165" s="47" t="s">
        <v>297</v>
      </c>
      <c r="E165" s="189" t="s">
        <v>378</v>
      </c>
      <c r="F165" s="190" t="s">
        <v>380</v>
      </c>
      <c r="G165" s="193" t="s">
        <v>300</v>
      </c>
      <c r="H165" s="164">
        <v>42230</v>
      </c>
      <c r="I165" s="50" t="s">
        <v>302</v>
      </c>
      <c r="J165" s="192">
        <f t="shared" si="46"/>
        <v>18</v>
      </c>
      <c r="K165" s="192">
        <v>18</v>
      </c>
      <c r="L165" s="192">
        <v>0</v>
      </c>
      <c r="M165" s="192"/>
      <c r="N165" s="192">
        <v>0.3</v>
      </c>
      <c r="O165" s="192">
        <v>0</v>
      </c>
      <c r="P165" s="179">
        <v>1</v>
      </c>
      <c r="Q165" s="53"/>
      <c r="R165" s="54" t="s">
        <v>158</v>
      </c>
      <c r="S165" s="54" t="s">
        <v>158</v>
      </c>
      <c r="T165" s="54" t="s">
        <v>158</v>
      </c>
      <c r="U165" s="54" t="s">
        <v>158</v>
      </c>
      <c r="V165" s="53" t="s">
        <v>303</v>
      </c>
      <c r="W165" s="53"/>
      <c r="X165" s="53">
        <f t="shared" si="35"/>
        <v>0</v>
      </c>
      <c r="Y165" s="55"/>
      <c r="Z165" s="55"/>
      <c r="AA165" s="52">
        <f t="shared" si="36"/>
        <v>0</v>
      </c>
      <c r="AB165" s="53">
        <f t="shared" si="37"/>
        <v>0</v>
      </c>
      <c r="AC165" s="53">
        <f t="shared" si="38"/>
        <v>0</v>
      </c>
      <c r="AD165" s="53">
        <f t="shared" si="39"/>
        <v>0</v>
      </c>
      <c r="AE165" s="53">
        <f t="shared" si="40"/>
        <v>0</v>
      </c>
      <c r="AF165" s="53">
        <f t="shared" si="41"/>
        <v>0</v>
      </c>
      <c r="AG165" s="56">
        <f t="shared" si="42"/>
        <v>0</v>
      </c>
      <c r="AH165" s="53">
        <f t="shared" si="43"/>
        <v>0</v>
      </c>
      <c r="AI165" s="55"/>
      <c r="AJ165" s="53">
        <f t="shared" si="44"/>
        <v>0</v>
      </c>
      <c r="AK165" s="53">
        <f t="shared" si="45"/>
        <v>0</v>
      </c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7"/>
      <c r="AW165" s="57"/>
      <c r="AX165" s="57"/>
    </row>
    <row r="166" spans="2:50">
      <c r="B166" s="45">
        <v>150</v>
      </c>
      <c r="C166" s="46" t="s">
        <v>304</v>
      </c>
      <c r="D166" s="47" t="s">
        <v>297</v>
      </c>
      <c r="E166" s="189" t="s">
        <v>378</v>
      </c>
      <c r="F166" s="190" t="s">
        <v>381</v>
      </c>
      <c r="G166" s="193" t="s">
        <v>300</v>
      </c>
      <c r="H166" s="164">
        <v>42909</v>
      </c>
      <c r="I166" s="50" t="s">
        <v>302</v>
      </c>
      <c r="J166" s="50">
        <f t="shared" si="46"/>
        <v>252</v>
      </c>
      <c r="K166" s="50">
        <v>252</v>
      </c>
      <c r="L166" s="50">
        <v>0</v>
      </c>
      <c r="M166" s="50"/>
      <c r="N166" s="50">
        <v>4.2</v>
      </c>
      <c r="O166" s="50">
        <v>0</v>
      </c>
      <c r="P166" s="179">
        <v>1</v>
      </c>
      <c r="Q166" s="53"/>
      <c r="R166" s="54"/>
      <c r="S166" s="54" t="s">
        <v>158</v>
      </c>
      <c r="T166" s="54" t="s">
        <v>158</v>
      </c>
      <c r="U166" s="54" t="s">
        <v>158</v>
      </c>
      <c r="V166" s="53" t="s">
        <v>303</v>
      </c>
      <c r="W166" s="53"/>
      <c r="X166" s="53">
        <f t="shared" si="35"/>
        <v>0</v>
      </c>
      <c r="Y166" s="55"/>
      <c r="Z166" s="55"/>
      <c r="AA166" s="52">
        <f t="shared" si="36"/>
        <v>0</v>
      </c>
      <c r="AB166" s="53">
        <f t="shared" si="37"/>
        <v>0</v>
      </c>
      <c r="AC166" s="53">
        <f t="shared" si="38"/>
        <v>0</v>
      </c>
      <c r="AD166" s="53">
        <f t="shared" si="39"/>
        <v>0</v>
      </c>
      <c r="AE166" s="53">
        <f t="shared" si="40"/>
        <v>0</v>
      </c>
      <c r="AF166" s="53">
        <f t="shared" si="41"/>
        <v>0</v>
      </c>
      <c r="AG166" s="56">
        <f t="shared" si="42"/>
        <v>0</v>
      </c>
      <c r="AH166" s="53">
        <f t="shared" si="43"/>
        <v>0</v>
      </c>
      <c r="AI166" s="55"/>
      <c r="AJ166" s="53">
        <f t="shared" si="44"/>
        <v>0</v>
      </c>
      <c r="AK166" s="53">
        <f t="shared" si="45"/>
        <v>0</v>
      </c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7"/>
      <c r="AW166" s="57"/>
      <c r="AX166" s="57"/>
    </row>
    <row r="167" spans="2:50">
      <c r="B167" s="45">
        <v>151</v>
      </c>
      <c r="C167" s="46" t="s">
        <v>304</v>
      </c>
      <c r="D167" s="47" t="s">
        <v>297</v>
      </c>
      <c r="E167" s="189" t="s">
        <v>378</v>
      </c>
      <c r="F167" s="190" t="s">
        <v>382</v>
      </c>
      <c r="G167" s="193" t="s">
        <v>306</v>
      </c>
      <c r="H167" s="164">
        <v>43679</v>
      </c>
      <c r="I167" s="50" t="s">
        <v>350</v>
      </c>
      <c r="J167" s="50">
        <f t="shared" si="46"/>
        <v>360</v>
      </c>
      <c r="K167" s="50">
        <v>240</v>
      </c>
      <c r="L167" s="50">
        <v>120</v>
      </c>
      <c r="M167" s="50"/>
      <c r="N167" s="50">
        <v>4</v>
      </c>
      <c r="O167" s="50">
        <v>2</v>
      </c>
      <c r="P167" s="179">
        <v>1</v>
      </c>
      <c r="Q167" s="53"/>
      <c r="R167" s="54" t="s">
        <v>158</v>
      </c>
      <c r="S167" s="54" t="s">
        <v>158</v>
      </c>
      <c r="T167" s="54" t="s">
        <v>158</v>
      </c>
      <c r="U167" s="54" t="s">
        <v>158</v>
      </c>
      <c r="V167" s="53" t="s">
        <v>383</v>
      </c>
      <c r="W167" s="53"/>
      <c r="X167" s="53">
        <f t="shared" ref="X167:X230" si="47">SUMIF(W167,"Y",K167)</f>
        <v>0</v>
      </c>
      <c r="Y167" s="55"/>
      <c r="Z167" s="55"/>
      <c r="AA167" s="52">
        <f t="shared" ref="AA167:AA230" si="48">(COUNTA(AL167:AU167)-COUNTIF(AL167:AU167, "X"))</f>
        <v>0</v>
      </c>
      <c r="AB167" s="53">
        <f t="shared" ref="AB167:AB230" si="49">(COUNTA(AL167:AU167)-COUNTIF(AL167:AU167, "X"))*P167*K167</f>
        <v>0</v>
      </c>
      <c r="AC167" s="53">
        <f t="shared" ref="AC167:AC230" si="50">COUNTIF(AL167:AU167,"A")</f>
        <v>0</v>
      </c>
      <c r="AD167" s="53">
        <f t="shared" ref="AD167:AD230" si="51">COUNTIF(AL167:AU167,"V")*P167*M167</f>
        <v>0</v>
      </c>
      <c r="AE167" s="53">
        <f t="shared" ref="AE167:AE230" si="52">COUNTIF(AL167:AU167,"L")</f>
        <v>0</v>
      </c>
      <c r="AF167" s="53">
        <f t="shared" ref="AF167:AF230" si="53">COUNTIF(AL167:AU167,"L")*K167*P167</f>
        <v>0</v>
      </c>
      <c r="AG167" s="56">
        <f t="shared" ref="AG167:AG230" si="54">IF(Q167="Y",1,0)</f>
        <v>0</v>
      </c>
      <c r="AH167" s="53">
        <f t="shared" ref="AH167:AH230" si="55">IF(Q167="Y", AA167, 0)*K167*P167/2</f>
        <v>0</v>
      </c>
      <c r="AI167" s="55"/>
      <c r="AJ167" s="53">
        <f t="shared" ref="AJ167:AJ230" si="56">COUNTIF(AL167:AU167, "V")</f>
        <v>0</v>
      </c>
      <c r="AK167" s="53">
        <f t="shared" ref="AK167:AK230" si="57">AB167-AD167-AF167-AH167</f>
        <v>0</v>
      </c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7"/>
      <c r="AW167" s="57"/>
      <c r="AX167" s="57"/>
    </row>
    <row r="168" spans="2:50">
      <c r="B168" s="45">
        <v>152</v>
      </c>
      <c r="C168" s="46" t="s">
        <v>304</v>
      </c>
      <c r="D168" s="47" t="s">
        <v>297</v>
      </c>
      <c r="E168" s="189" t="s">
        <v>384</v>
      </c>
      <c r="F168" s="190" t="s">
        <v>385</v>
      </c>
      <c r="G168" s="193" t="s">
        <v>306</v>
      </c>
      <c r="H168" s="164">
        <v>43047</v>
      </c>
      <c r="I168" s="50" t="s">
        <v>386</v>
      </c>
      <c r="J168" s="50">
        <f t="shared" si="46"/>
        <v>5676</v>
      </c>
      <c r="K168" s="50">
        <v>4674</v>
      </c>
      <c r="L168" s="50">
        <v>1002</v>
      </c>
      <c r="M168" s="50"/>
      <c r="N168" s="50">
        <v>77.900000000000006</v>
      </c>
      <c r="O168" s="50">
        <v>16.7</v>
      </c>
      <c r="P168" s="179">
        <v>1</v>
      </c>
      <c r="Q168" s="53"/>
      <c r="R168" s="54"/>
      <c r="S168" s="54"/>
      <c r="T168" s="54"/>
      <c r="U168" s="54"/>
      <c r="V168" s="53"/>
      <c r="W168" s="53"/>
      <c r="X168" s="53">
        <f t="shared" si="47"/>
        <v>0</v>
      </c>
      <c r="Y168" s="55"/>
      <c r="Z168" s="55"/>
      <c r="AA168" s="52">
        <f t="shared" si="48"/>
        <v>0</v>
      </c>
      <c r="AB168" s="53">
        <f t="shared" si="49"/>
        <v>0</v>
      </c>
      <c r="AC168" s="53">
        <f t="shared" si="50"/>
        <v>0</v>
      </c>
      <c r="AD168" s="53">
        <f t="shared" si="51"/>
        <v>0</v>
      </c>
      <c r="AE168" s="53">
        <f t="shared" si="52"/>
        <v>0</v>
      </c>
      <c r="AF168" s="53">
        <f t="shared" si="53"/>
        <v>0</v>
      </c>
      <c r="AG168" s="56">
        <f t="shared" si="54"/>
        <v>0</v>
      </c>
      <c r="AH168" s="53">
        <f t="shared" si="55"/>
        <v>0</v>
      </c>
      <c r="AI168" s="55"/>
      <c r="AJ168" s="53">
        <f t="shared" si="56"/>
        <v>0</v>
      </c>
      <c r="AK168" s="53">
        <f t="shared" si="57"/>
        <v>0</v>
      </c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7"/>
      <c r="AW168" s="57"/>
      <c r="AX168" s="57"/>
    </row>
    <row r="169" spans="2:50">
      <c r="B169" s="45">
        <v>153</v>
      </c>
      <c r="C169" s="46" t="s">
        <v>304</v>
      </c>
      <c r="D169" s="47" t="s">
        <v>297</v>
      </c>
      <c r="E169" s="189" t="s">
        <v>384</v>
      </c>
      <c r="F169" s="190" t="s">
        <v>387</v>
      </c>
      <c r="G169" s="193" t="s">
        <v>306</v>
      </c>
      <c r="H169" s="164">
        <v>43689</v>
      </c>
      <c r="I169" s="50" t="s">
        <v>386</v>
      </c>
      <c r="J169" s="50">
        <f t="shared" si="46"/>
        <v>42</v>
      </c>
      <c r="K169" s="50">
        <v>30</v>
      </c>
      <c r="L169" s="50">
        <v>12</v>
      </c>
      <c r="M169" s="50"/>
      <c r="N169" s="50">
        <v>0.5</v>
      </c>
      <c r="O169" s="50">
        <v>0.2</v>
      </c>
      <c r="P169" s="179">
        <v>1</v>
      </c>
      <c r="Q169" s="53"/>
      <c r="R169" s="54"/>
      <c r="S169" s="54"/>
      <c r="T169" s="54"/>
      <c r="U169" s="54"/>
      <c r="V169" s="53"/>
      <c r="W169" s="53"/>
      <c r="X169" s="53">
        <f t="shared" si="47"/>
        <v>0</v>
      </c>
      <c r="Y169" s="55"/>
      <c r="Z169" s="55"/>
      <c r="AA169" s="52">
        <f t="shared" si="48"/>
        <v>0</v>
      </c>
      <c r="AB169" s="53">
        <f t="shared" si="49"/>
        <v>0</v>
      </c>
      <c r="AC169" s="53">
        <f t="shared" si="50"/>
        <v>0</v>
      </c>
      <c r="AD169" s="53">
        <f t="shared" si="51"/>
        <v>0</v>
      </c>
      <c r="AE169" s="53">
        <f t="shared" si="52"/>
        <v>0</v>
      </c>
      <c r="AF169" s="53">
        <f t="shared" si="53"/>
        <v>0</v>
      </c>
      <c r="AG169" s="56">
        <f t="shared" si="54"/>
        <v>0</v>
      </c>
      <c r="AH169" s="53">
        <f t="shared" si="55"/>
        <v>0</v>
      </c>
      <c r="AI169" s="55"/>
      <c r="AJ169" s="53">
        <f t="shared" si="56"/>
        <v>0</v>
      </c>
      <c r="AK169" s="53">
        <f t="shared" si="57"/>
        <v>0</v>
      </c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7"/>
      <c r="AW169" s="57"/>
      <c r="AX169" s="57"/>
    </row>
    <row r="170" spans="2:50">
      <c r="B170" s="45">
        <v>154</v>
      </c>
      <c r="C170" s="46" t="s">
        <v>304</v>
      </c>
      <c r="D170" s="47" t="s">
        <v>297</v>
      </c>
      <c r="E170" s="189" t="s">
        <v>384</v>
      </c>
      <c r="F170" s="190" t="s">
        <v>388</v>
      </c>
      <c r="G170" s="193" t="s">
        <v>306</v>
      </c>
      <c r="H170" s="164">
        <v>42334</v>
      </c>
      <c r="I170" s="50" t="s">
        <v>386</v>
      </c>
      <c r="J170" s="50">
        <f t="shared" si="46"/>
        <v>114</v>
      </c>
      <c r="K170" s="50">
        <v>114</v>
      </c>
      <c r="L170" s="50">
        <v>0</v>
      </c>
      <c r="M170" s="50"/>
      <c r="N170" s="50">
        <v>1.9</v>
      </c>
      <c r="O170" s="50">
        <v>0</v>
      </c>
      <c r="P170" s="179">
        <v>1</v>
      </c>
      <c r="Q170" s="53"/>
      <c r="R170" s="54"/>
      <c r="S170" s="54"/>
      <c r="T170" s="54"/>
      <c r="U170" s="54"/>
      <c r="V170" s="53"/>
      <c r="W170" s="53"/>
      <c r="X170" s="53">
        <f t="shared" si="47"/>
        <v>0</v>
      </c>
      <c r="Y170" s="55"/>
      <c r="Z170" s="55"/>
      <c r="AA170" s="52">
        <f t="shared" si="48"/>
        <v>0</v>
      </c>
      <c r="AB170" s="53">
        <f t="shared" si="49"/>
        <v>0</v>
      </c>
      <c r="AC170" s="53">
        <f t="shared" si="50"/>
        <v>0</v>
      </c>
      <c r="AD170" s="53">
        <f t="shared" si="51"/>
        <v>0</v>
      </c>
      <c r="AE170" s="53">
        <f t="shared" si="52"/>
        <v>0</v>
      </c>
      <c r="AF170" s="53">
        <f t="shared" si="53"/>
        <v>0</v>
      </c>
      <c r="AG170" s="56">
        <f t="shared" si="54"/>
        <v>0</v>
      </c>
      <c r="AH170" s="53">
        <f t="shared" si="55"/>
        <v>0</v>
      </c>
      <c r="AI170" s="55"/>
      <c r="AJ170" s="53">
        <f t="shared" si="56"/>
        <v>0</v>
      </c>
      <c r="AK170" s="53">
        <f t="shared" si="57"/>
        <v>0</v>
      </c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7"/>
      <c r="AW170" s="57"/>
      <c r="AX170" s="57"/>
    </row>
    <row r="171" spans="2:50">
      <c r="B171" s="45">
        <v>155</v>
      </c>
      <c r="C171" s="46" t="s">
        <v>304</v>
      </c>
      <c r="D171" s="47" t="s">
        <v>297</v>
      </c>
      <c r="E171" s="189" t="s">
        <v>384</v>
      </c>
      <c r="F171" s="190" t="s">
        <v>389</v>
      </c>
      <c r="G171" s="193" t="s">
        <v>306</v>
      </c>
      <c r="H171" s="164">
        <v>42263</v>
      </c>
      <c r="I171" s="50" t="s">
        <v>386</v>
      </c>
      <c r="J171" s="50">
        <f t="shared" si="46"/>
        <v>12</v>
      </c>
      <c r="K171" s="50">
        <v>12</v>
      </c>
      <c r="L171" s="50">
        <v>0</v>
      </c>
      <c r="M171" s="50"/>
      <c r="N171" s="50">
        <v>0.1</v>
      </c>
      <c r="O171" s="50">
        <v>0</v>
      </c>
      <c r="P171" s="179">
        <v>1</v>
      </c>
      <c r="Q171" s="53"/>
      <c r="R171" s="54"/>
      <c r="S171" s="54"/>
      <c r="T171" s="54"/>
      <c r="U171" s="54"/>
      <c r="V171" s="53"/>
      <c r="W171" s="53"/>
      <c r="X171" s="53">
        <f t="shared" si="47"/>
        <v>0</v>
      </c>
      <c r="Y171" s="55"/>
      <c r="Z171" s="55"/>
      <c r="AA171" s="52">
        <f t="shared" si="48"/>
        <v>0</v>
      </c>
      <c r="AB171" s="53">
        <f t="shared" si="49"/>
        <v>0</v>
      </c>
      <c r="AC171" s="53">
        <f t="shared" si="50"/>
        <v>0</v>
      </c>
      <c r="AD171" s="53">
        <f t="shared" si="51"/>
        <v>0</v>
      </c>
      <c r="AE171" s="53">
        <f t="shared" si="52"/>
        <v>0</v>
      </c>
      <c r="AF171" s="53">
        <f t="shared" si="53"/>
        <v>0</v>
      </c>
      <c r="AG171" s="56">
        <f t="shared" si="54"/>
        <v>0</v>
      </c>
      <c r="AH171" s="53">
        <f t="shared" si="55"/>
        <v>0</v>
      </c>
      <c r="AI171" s="55"/>
      <c r="AJ171" s="53">
        <f t="shared" si="56"/>
        <v>0</v>
      </c>
      <c r="AK171" s="53">
        <f t="shared" si="57"/>
        <v>0</v>
      </c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7"/>
      <c r="AW171" s="57"/>
      <c r="AX171" s="57"/>
    </row>
    <row r="172" spans="2:50">
      <c r="B172" s="45">
        <v>156</v>
      </c>
      <c r="C172" s="46" t="s">
        <v>304</v>
      </c>
      <c r="D172" s="47" t="s">
        <v>297</v>
      </c>
      <c r="E172" s="189" t="s">
        <v>384</v>
      </c>
      <c r="F172" s="190" t="s">
        <v>390</v>
      </c>
      <c r="G172" s="193" t="s">
        <v>306</v>
      </c>
      <c r="H172" s="164">
        <v>43679</v>
      </c>
      <c r="I172" s="50" t="s">
        <v>386</v>
      </c>
      <c r="J172" s="50">
        <f t="shared" si="46"/>
        <v>504</v>
      </c>
      <c r="K172" s="50">
        <v>234</v>
      </c>
      <c r="L172" s="50">
        <v>270</v>
      </c>
      <c r="M172" s="50"/>
      <c r="N172" s="50">
        <v>3.9</v>
      </c>
      <c r="O172" s="50">
        <v>4.5</v>
      </c>
      <c r="P172" s="179">
        <v>1</v>
      </c>
      <c r="Q172" s="53"/>
      <c r="R172" s="54"/>
      <c r="S172" s="54"/>
      <c r="T172" s="54"/>
      <c r="U172" s="54"/>
      <c r="V172" s="53"/>
      <c r="W172" s="53"/>
      <c r="X172" s="53">
        <f t="shared" si="47"/>
        <v>0</v>
      </c>
      <c r="Y172" s="55"/>
      <c r="Z172" s="55"/>
      <c r="AA172" s="52">
        <f t="shared" si="48"/>
        <v>0</v>
      </c>
      <c r="AB172" s="53">
        <f t="shared" si="49"/>
        <v>0</v>
      </c>
      <c r="AC172" s="53">
        <f t="shared" si="50"/>
        <v>0</v>
      </c>
      <c r="AD172" s="53">
        <f t="shared" si="51"/>
        <v>0</v>
      </c>
      <c r="AE172" s="53">
        <f t="shared" si="52"/>
        <v>0</v>
      </c>
      <c r="AF172" s="53">
        <f t="shared" si="53"/>
        <v>0</v>
      </c>
      <c r="AG172" s="56">
        <f t="shared" si="54"/>
        <v>0</v>
      </c>
      <c r="AH172" s="53">
        <f t="shared" si="55"/>
        <v>0</v>
      </c>
      <c r="AI172" s="55"/>
      <c r="AJ172" s="53">
        <f t="shared" si="56"/>
        <v>0</v>
      </c>
      <c r="AK172" s="53">
        <f t="shared" si="57"/>
        <v>0</v>
      </c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7"/>
      <c r="AW172" s="57"/>
      <c r="AX172" s="57"/>
    </row>
    <row r="173" spans="2:50">
      <c r="B173" s="45">
        <v>157</v>
      </c>
      <c r="C173" s="46" t="s">
        <v>304</v>
      </c>
      <c r="D173" s="47" t="s">
        <v>297</v>
      </c>
      <c r="E173" s="189" t="s">
        <v>384</v>
      </c>
      <c r="F173" s="190" t="s">
        <v>391</v>
      </c>
      <c r="G173" s="193" t="s">
        <v>306</v>
      </c>
      <c r="H173" s="164">
        <v>42334</v>
      </c>
      <c r="I173" s="50" t="s">
        <v>386</v>
      </c>
      <c r="J173" s="50">
        <f t="shared" si="46"/>
        <v>96</v>
      </c>
      <c r="K173" s="50">
        <v>90</v>
      </c>
      <c r="L173" s="50">
        <v>6</v>
      </c>
      <c r="M173" s="50"/>
      <c r="N173" s="50">
        <v>1.49</v>
      </c>
      <c r="O173" s="50">
        <v>0.1</v>
      </c>
      <c r="P173" s="179">
        <v>1</v>
      </c>
      <c r="Q173" s="53"/>
      <c r="R173" s="54"/>
      <c r="S173" s="54"/>
      <c r="T173" s="54"/>
      <c r="U173" s="54"/>
      <c r="V173" s="53"/>
      <c r="W173" s="53"/>
      <c r="X173" s="53">
        <f t="shared" si="47"/>
        <v>0</v>
      </c>
      <c r="Y173" s="55"/>
      <c r="Z173" s="55"/>
      <c r="AA173" s="52">
        <f t="shared" si="48"/>
        <v>0</v>
      </c>
      <c r="AB173" s="53">
        <f t="shared" si="49"/>
        <v>0</v>
      </c>
      <c r="AC173" s="53">
        <f t="shared" si="50"/>
        <v>0</v>
      </c>
      <c r="AD173" s="53">
        <f t="shared" si="51"/>
        <v>0</v>
      </c>
      <c r="AE173" s="53">
        <f t="shared" si="52"/>
        <v>0</v>
      </c>
      <c r="AF173" s="53">
        <f t="shared" si="53"/>
        <v>0</v>
      </c>
      <c r="AG173" s="56">
        <f t="shared" si="54"/>
        <v>0</v>
      </c>
      <c r="AH173" s="53">
        <f t="shared" si="55"/>
        <v>0</v>
      </c>
      <c r="AI173" s="55"/>
      <c r="AJ173" s="53">
        <f t="shared" si="56"/>
        <v>0</v>
      </c>
      <c r="AK173" s="53">
        <f t="shared" si="57"/>
        <v>0</v>
      </c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7"/>
      <c r="AW173" s="57"/>
      <c r="AX173" s="57"/>
    </row>
    <row r="174" spans="2:50">
      <c r="B174" s="45">
        <v>158</v>
      </c>
      <c r="C174" s="46" t="s">
        <v>304</v>
      </c>
      <c r="D174" s="47" t="s">
        <v>297</v>
      </c>
      <c r="E174" s="189" t="s">
        <v>384</v>
      </c>
      <c r="F174" s="190" t="s">
        <v>392</v>
      </c>
      <c r="G174" s="193" t="s">
        <v>306</v>
      </c>
      <c r="H174" s="164">
        <v>43689</v>
      </c>
      <c r="I174" s="50" t="s">
        <v>386</v>
      </c>
      <c r="J174" s="50">
        <f t="shared" si="46"/>
        <v>30</v>
      </c>
      <c r="K174" s="50">
        <v>30</v>
      </c>
      <c r="L174" s="50">
        <v>0</v>
      </c>
      <c r="M174" s="50"/>
      <c r="N174" s="50">
        <v>0.4</v>
      </c>
      <c r="O174" s="50">
        <v>0</v>
      </c>
      <c r="P174" s="179">
        <v>1</v>
      </c>
      <c r="Q174" s="53"/>
      <c r="R174" s="54"/>
      <c r="S174" s="54"/>
      <c r="T174" s="54"/>
      <c r="U174" s="54"/>
      <c r="V174" s="53"/>
      <c r="W174" s="53"/>
      <c r="X174" s="53">
        <f t="shared" si="47"/>
        <v>0</v>
      </c>
      <c r="Y174" s="55"/>
      <c r="Z174" s="55"/>
      <c r="AA174" s="52">
        <f t="shared" si="48"/>
        <v>0</v>
      </c>
      <c r="AB174" s="53">
        <f t="shared" si="49"/>
        <v>0</v>
      </c>
      <c r="AC174" s="53">
        <f t="shared" si="50"/>
        <v>0</v>
      </c>
      <c r="AD174" s="53">
        <f t="shared" si="51"/>
        <v>0</v>
      </c>
      <c r="AE174" s="53">
        <f t="shared" si="52"/>
        <v>0</v>
      </c>
      <c r="AF174" s="53">
        <f t="shared" si="53"/>
        <v>0</v>
      </c>
      <c r="AG174" s="56">
        <f t="shared" si="54"/>
        <v>0</v>
      </c>
      <c r="AH174" s="53">
        <f t="shared" si="55"/>
        <v>0</v>
      </c>
      <c r="AI174" s="55"/>
      <c r="AJ174" s="53">
        <f t="shared" si="56"/>
        <v>0</v>
      </c>
      <c r="AK174" s="53">
        <f t="shared" si="57"/>
        <v>0</v>
      </c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7"/>
      <c r="AW174" s="57"/>
      <c r="AX174" s="57"/>
    </row>
    <row r="175" spans="2:50">
      <c r="B175" s="45">
        <v>159</v>
      </c>
      <c r="C175" s="46" t="s">
        <v>304</v>
      </c>
      <c r="D175" s="47" t="s">
        <v>297</v>
      </c>
      <c r="E175" s="189" t="s">
        <v>384</v>
      </c>
      <c r="F175" s="181" t="s">
        <v>393</v>
      </c>
      <c r="G175" s="193" t="s">
        <v>306</v>
      </c>
      <c r="H175" s="164">
        <v>42230</v>
      </c>
      <c r="I175" s="50" t="s">
        <v>386</v>
      </c>
      <c r="J175" s="50">
        <f t="shared" si="46"/>
        <v>138</v>
      </c>
      <c r="K175" s="50">
        <v>78</v>
      </c>
      <c r="L175" s="50">
        <v>60</v>
      </c>
      <c r="M175" s="50"/>
      <c r="N175" s="50">
        <v>1.3</v>
      </c>
      <c r="O175" s="50">
        <v>1</v>
      </c>
      <c r="P175" s="179">
        <v>1</v>
      </c>
      <c r="Q175" s="53"/>
      <c r="R175" s="54"/>
      <c r="S175" s="54"/>
      <c r="T175" s="54"/>
      <c r="U175" s="54"/>
      <c r="V175" s="53"/>
      <c r="W175" s="53"/>
      <c r="X175" s="53">
        <f t="shared" si="47"/>
        <v>0</v>
      </c>
      <c r="Y175" s="55"/>
      <c r="Z175" s="55"/>
      <c r="AA175" s="52">
        <f t="shared" si="48"/>
        <v>0</v>
      </c>
      <c r="AB175" s="53">
        <f t="shared" si="49"/>
        <v>0</v>
      </c>
      <c r="AC175" s="53">
        <f t="shared" si="50"/>
        <v>0</v>
      </c>
      <c r="AD175" s="53">
        <f t="shared" si="51"/>
        <v>0</v>
      </c>
      <c r="AE175" s="53">
        <f t="shared" si="52"/>
        <v>0</v>
      </c>
      <c r="AF175" s="53">
        <f t="shared" si="53"/>
        <v>0</v>
      </c>
      <c r="AG175" s="56">
        <f t="shared" si="54"/>
        <v>0</v>
      </c>
      <c r="AH175" s="53">
        <f t="shared" si="55"/>
        <v>0</v>
      </c>
      <c r="AI175" s="55"/>
      <c r="AJ175" s="53">
        <f t="shared" si="56"/>
        <v>0</v>
      </c>
      <c r="AK175" s="53">
        <f t="shared" si="57"/>
        <v>0</v>
      </c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7"/>
      <c r="AW175" s="57"/>
      <c r="AX175" s="57"/>
    </row>
    <row r="176" spans="2:50">
      <c r="B176" s="45">
        <v>160</v>
      </c>
      <c r="C176" s="46" t="s">
        <v>304</v>
      </c>
      <c r="D176" s="47" t="s">
        <v>297</v>
      </c>
      <c r="E176" s="189" t="s">
        <v>384</v>
      </c>
      <c r="F176" s="190" t="s">
        <v>394</v>
      </c>
      <c r="G176" s="193" t="s">
        <v>306</v>
      </c>
      <c r="H176" s="164">
        <v>42334</v>
      </c>
      <c r="I176" s="50" t="s">
        <v>386</v>
      </c>
      <c r="J176" s="50">
        <f t="shared" si="46"/>
        <v>96</v>
      </c>
      <c r="K176" s="50">
        <v>96</v>
      </c>
      <c r="L176" s="50">
        <v>0</v>
      </c>
      <c r="M176" s="50"/>
      <c r="N176" s="50">
        <v>1.6</v>
      </c>
      <c r="O176" s="50">
        <v>0</v>
      </c>
      <c r="P176" s="179">
        <v>1</v>
      </c>
      <c r="Q176" s="53"/>
      <c r="R176" s="54"/>
      <c r="S176" s="54"/>
      <c r="T176" s="54"/>
      <c r="U176" s="54"/>
      <c r="V176" s="53"/>
      <c r="W176" s="53"/>
      <c r="X176" s="53">
        <f t="shared" si="47"/>
        <v>0</v>
      </c>
      <c r="Y176" s="55"/>
      <c r="Z176" s="55"/>
      <c r="AA176" s="52">
        <f t="shared" si="48"/>
        <v>0</v>
      </c>
      <c r="AB176" s="53">
        <f t="shared" si="49"/>
        <v>0</v>
      </c>
      <c r="AC176" s="53">
        <f t="shared" si="50"/>
        <v>0</v>
      </c>
      <c r="AD176" s="53">
        <f t="shared" si="51"/>
        <v>0</v>
      </c>
      <c r="AE176" s="53">
        <f t="shared" si="52"/>
        <v>0</v>
      </c>
      <c r="AF176" s="53">
        <f t="shared" si="53"/>
        <v>0</v>
      </c>
      <c r="AG176" s="56">
        <f t="shared" si="54"/>
        <v>0</v>
      </c>
      <c r="AH176" s="53">
        <f t="shared" si="55"/>
        <v>0</v>
      </c>
      <c r="AI176" s="55"/>
      <c r="AJ176" s="53">
        <f t="shared" si="56"/>
        <v>0</v>
      </c>
      <c r="AK176" s="53">
        <f t="shared" si="57"/>
        <v>0</v>
      </c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7"/>
      <c r="AW176" s="57"/>
      <c r="AX176" s="57"/>
    </row>
    <row r="177" spans="2:50">
      <c r="B177" s="45">
        <v>161</v>
      </c>
      <c r="C177" s="46" t="s">
        <v>304</v>
      </c>
      <c r="D177" s="47" t="s">
        <v>297</v>
      </c>
      <c r="E177" s="189" t="s">
        <v>384</v>
      </c>
      <c r="F177" s="190" t="s">
        <v>395</v>
      </c>
      <c r="G177" s="193" t="s">
        <v>306</v>
      </c>
      <c r="H177" s="164">
        <v>42230</v>
      </c>
      <c r="I177" s="50" t="s">
        <v>386</v>
      </c>
      <c r="J177" s="50">
        <f t="shared" si="46"/>
        <v>486</v>
      </c>
      <c r="K177" s="50">
        <v>486</v>
      </c>
      <c r="L177" s="50">
        <v>0</v>
      </c>
      <c r="M177" s="50"/>
      <c r="N177" s="50">
        <v>8</v>
      </c>
      <c r="O177" s="50">
        <v>0</v>
      </c>
      <c r="P177" s="179">
        <v>1</v>
      </c>
      <c r="Q177" s="53"/>
      <c r="R177" s="54"/>
      <c r="S177" s="54"/>
      <c r="T177" s="54"/>
      <c r="U177" s="54"/>
      <c r="V177" s="53"/>
      <c r="W177" s="53"/>
      <c r="X177" s="53">
        <f t="shared" si="47"/>
        <v>0</v>
      </c>
      <c r="Y177" s="55"/>
      <c r="Z177" s="55"/>
      <c r="AA177" s="52">
        <f t="shared" si="48"/>
        <v>0</v>
      </c>
      <c r="AB177" s="53">
        <f t="shared" si="49"/>
        <v>0</v>
      </c>
      <c r="AC177" s="53">
        <f t="shared" si="50"/>
        <v>0</v>
      </c>
      <c r="AD177" s="53">
        <f t="shared" si="51"/>
        <v>0</v>
      </c>
      <c r="AE177" s="53">
        <f t="shared" si="52"/>
        <v>0</v>
      </c>
      <c r="AF177" s="53">
        <f t="shared" si="53"/>
        <v>0</v>
      </c>
      <c r="AG177" s="56">
        <f t="shared" si="54"/>
        <v>0</v>
      </c>
      <c r="AH177" s="53">
        <f t="shared" si="55"/>
        <v>0</v>
      </c>
      <c r="AI177" s="55"/>
      <c r="AJ177" s="53">
        <f t="shared" si="56"/>
        <v>0</v>
      </c>
      <c r="AK177" s="53">
        <f t="shared" si="57"/>
        <v>0</v>
      </c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7"/>
      <c r="AW177" s="57"/>
      <c r="AX177" s="57"/>
    </row>
    <row r="178" spans="2:50">
      <c r="B178" s="45">
        <v>162</v>
      </c>
      <c r="C178" s="46" t="s">
        <v>304</v>
      </c>
      <c r="D178" s="47" t="s">
        <v>297</v>
      </c>
      <c r="E178" s="189" t="s">
        <v>384</v>
      </c>
      <c r="F178" s="190" t="s">
        <v>396</v>
      </c>
      <c r="G178" s="193" t="s">
        <v>306</v>
      </c>
      <c r="H178" s="164">
        <v>42230</v>
      </c>
      <c r="I178" s="50" t="s">
        <v>386</v>
      </c>
      <c r="J178" s="50">
        <f t="shared" si="46"/>
        <v>156</v>
      </c>
      <c r="K178" s="50">
        <v>156</v>
      </c>
      <c r="L178" s="50">
        <v>0</v>
      </c>
      <c r="M178" s="50"/>
      <c r="N178" s="50">
        <v>2.6</v>
      </c>
      <c r="O178" s="50">
        <v>0</v>
      </c>
      <c r="P178" s="179">
        <v>1</v>
      </c>
      <c r="Q178" s="53"/>
      <c r="R178" s="54"/>
      <c r="S178" s="54"/>
      <c r="T178" s="54"/>
      <c r="U178" s="54"/>
      <c r="V178" s="53"/>
      <c r="W178" s="53"/>
      <c r="X178" s="53">
        <f t="shared" si="47"/>
        <v>0</v>
      </c>
      <c r="Y178" s="55"/>
      <c r="Z178" s="55"/>
      <c r="AA178" s="52">
        <f t="shared" si="48"/>
        <v>0</v>
      </c>
      <c r="AB178" s="53">
        <f t="shared" si="49"/>
        <v>0</v>
      </c>
      <c r="AC178" s="53">
        <f t="shared" si="50"/>
        <v>0</v>
      </c>
      <c r="AD178" s="53">
        <f t="shared" si="51"/>
        <v>0</v>
      </c>
      <c r="AE178" s="53">
        <f t="shared" si="52"/>
        <v>0</v>
      </c>
      <c r="AF178" s="53">
        <f t="shared" si="53"/>
        <v>0</v>
      </c>
      <c r="AG178" s="56">
        <f t="shared" si="54"/>
        <v>0</v>
      </c>
      <c r="AH178" s="53">
        <f t="shared" si="55"/>
        <v>0</v>
      </c>
      <c r="AI178" s="55"/>
      <c r="AJ178" s="53">
        <f t="shared" si="56"/>
        <v>0</v>
      </c>
      <c r="AK178" s="53">
        <f t="shared" si="57"/>
        <v>0</v>
      </c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7"/>
      <c r="AW178" s="57"/>
      <c r="AX178" s="57"/>
    </row>
    <row r="179" spans="2:50">
      <c r="B179" s="45">
        <v>163</v>
      </c>
      <c r="C179" s="46" t="s">
        <v>304</v>
      </c>
      <c r="D179" s="47" t="s">
        <v>297</v>
      </c>
      <c r="E179" s="189" t="s">
        <v>384</v>
      </c>
      <c r="F179" s="190" t="s">
        <v>397</v>
      </c>
      <c r="G179" s="193" t="s">
        <v>306</v>
      </c>
      <c r="H179" s="164">
        <v>42230</v>
      </c>
      <c r="I179" s="50" t="s">
        <v>386</v>
      </c>
      <c r="J179" s="192">
        <f t="shared" si="46"/>
        <v>6</v>
      </c>
      <c r="K179" s="192">
        <v>6</v>
      </c>
      <c r="L179" s="192">
        <v>0</v>
      </c>
      <c r="M179" s="192"/>
      <c r="N179" s="192">
        <v>0.1</v>
      </c>
      <c r="O179" s="192">
        <v>0</v>
      </c>
      <c r="P179" s="179">
        <v>1</v>
      </c>
      <c r="Q179" s="53"/>
      <c r="R179" s="54"/>
      <c r="S179" s="54"/>
      <c r="T179" s="54"/>
      <c r="U179" s="54"/>
      <c r="V179" s="53"/>
      <c r="W179" s="53"/>
      <c r="X179" s="53">
        <f t="shared" si="47"/>
        <v>0</v>
      </c>
      <c r="Y179" s="55"/>
      <c r="Z179" s="55"/>
      <c r="AA179" s="52">
        <f t="shared" si="48"/>
        <v>0</v>
      </c>
      <c r="AB179" s="53">
        <f t="shared" si="49"/>
        <v>0</v>
      </c>
      <c r="AC179" s="53">
        <f t="shared" si="50"/>
        <v>0</v>
      </c>
      <c r="AD179" s="53">
        <f t="shared" si="51"/>
        <v>0</v>
      </c>
      <c r="AE179" s="53">
        <f t="shared" si="52"/>
        <v>0</v>
      </c>
      <c r="AF179" s="53">
        <f t="shared" si="53"/>
        <v>0</v>
      </c>
      <c r="AG179" s="56">
        <f t="shared" si="54"/>
        <v>0</v>
      </c>
      <c r="AH179" s="53">
        <f t="shared" si="55"/>
        <v>0</v>
      </c>
      <c r="AI179" s="55"/>
      <c r="AJ179" s="53">
        <f t="shared" si="56"/>
        <v>0</v>
      </c>
      <c r="AK179" s="53">
        <f t="shared" si="57"/>
        <v>0</v>
      </c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7"/>
      <c r="AW179" s="57"/>
      <c r="AX179" s="57"/>
    </row>
    <row r="180" spans="2:50">
      <c r="B180" s="45">
        <v>164</v>
      </c>
      <c r="C180" s="46" t="s">
        <v>304</v>
      </c>
      <c r="D180" s="47" t="s">
        <v>297</v>
      </c>
      <c r="E180" s="189" t="s">
        <v>384</v>
      </c>
      <c r="F180" s="190" t="s">
        <v>398</v>
      </c>
      <c r="G180" s="193" t="s">
        <v>306</v>
      </c>
      <c r="H180" s="164">
        <v>43663</v>
      </c>
      <c r="I180" s="50" t="s">
        <v>386</v>
      </c>
      <c r="J180" s="50">
        <f t="shared" si="46"/>
        <v>75</v>
      </c>
      <c r="K180" s="50">
        <v>75</v>
      </c>
      <c r="L180" s="50">
        <v>0</v>
      </c>
      <c r="M180" s="50"/>
      <c r="N180" s="50">
        <v>1.25</v>
      </c>
      <c r="O180" s="50">
        <v>0</v>
      </c>
      <c r="P180" s="179">
        <v>1</v>
      </c>
      <c r="Q180" s="53"/>
      <c r="R180" s="54"/>
      <c r="S180" s="54"/>
      <c r="T180" s="54"/>
      <c r="U180" s="54"/>
      <c r="V180" s="53"/>
      <c r="W180" s="53"/>
      <c r="X180" s="53">
        <f t="shared" si="47"/>
        <v>0</v>
      </c>
      <c r="Y180" s="55"/>
      <c r="Z180" s="55"/>
      <c r="AA180" s="52">
        <f t="shared" si="48"/>
        <v>0</v>
      </c>
      <c r="AB180" s="53">
        <f t="shared" si="49"/>
        <v>0</v>
      </c>
      <c r="AC180" s="53">
        <f t="shared" si="50"/>
        <v>0</v>
      </c>
      <c r="AD180" s="53">
        <f t="shared" si="51"/>
        <v>0</v>
      </c>
      <c r="AE180" s="53">
        <f t="shared" si="52"/>
        <v>0</v>
      </c>
      <c r="AF180" s="53">
        <f t="shared" si="53"/>
        <v>0</v>
      </c>
      <c r="AG180" s="56">
        <f t="shared" si="54"/>
        <v>0</v>
      </c>
      <c r="AH180" s="53">
        <f t="shared" si="55"/>
        <v>0</v>
      </c>
      <c r="AI180" s="55"/>
      <c r="AJ180" s="53">
        <f t="shared" si="56"/>
        <v>0</v>
      </c>
      <c r="AK180" s="53">
        <f t="shared" si="57"/>
        <v>0</v>
      </c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7"/>
      <c r="AW180" s="57"/>
      <c r="AX180" s="57"/>
    </row>
    <row r="181" spans="2:50">
      <c r="B181" s="45">
        <v>165</v>
      </c>
      <c r="C181" s="46" t="s">
        <v>304</v>
      </c>
      <c r="D181" s="47" t="s">
        <v>297</v>
      </c>
      <c r="E181" s="189" t="s">
        <v>384</v>
      </c>
      <c r="F181" s="190" t="s">
        <v>399</v>
      </c>
      <c r="G181" s="193" t="s">
        <v>306</v>
      </c>
      <c r="H181" s="164">
        <v>42304</v>
      </c>
      <c r="I181" s="50" t="s">
        <v>386</v>
      </c>
      <c r="J181" s="50">
        <f t="shared" si="46"/>
        <v>69</v>
      </c>
      <c r="K181" s="50">
        <v>69</v>
      </c>
      <c r="L181" s="50">
        <v>0</v>
      </c>
      <c r="M181" s="50"/>
      <c r="N181" s="50">
        <v>0.83</v>
      </c>
      <c r="O181" s="50">
        <v>0</v>
      </c>
      <c r="P181" s="179">
        <v>1</v>
      </c>
      <c r="Q181" s="53"/>
      <c r="R181" s="54"/>
      <c r="S181" s="54"/>
      <c r="T181" s="54"/>
      <c r="U181" s="54"/>
      <c r="V181" s="53"/>
      <c r="W181" s="53"/>
      <c r="X181" s="53">
        <f t="shared" si="47"/>
        <v>0</v>
      </c>
      <c r="Y181" s="55"/>
      <c r="Z181" s="55"/>
      <c r="AA181" s="52">
        <f t="shared" si="48"/>
        <v>0</v>
      </c>
      <c r="AB181" s="53">
        <f t="shared" si="49"/>
        <v>0</v>
      </c>
      <c r="AC181" s="53">
        <f t="shared" si="50"/>
        <v>0</v>
      </c>
      <c r="AD181" s="53">
        <f t="shared" si="51"/>
        <v>0</v>
      </c>
      <c r="AE181" s="53">
        <f t="shared" si="52"/>
        <v>0</v>
      </c>
      <c r="AF181" s="53">
        <f t="shared" si="53"/>
        <v>0</v>
      </c>
      <c r="AG181" s="56">
        <f t="shared" si="54"/>
        <v>0</v>
      </c>
      <c r="AH181" s="53">
        <f t="shared" si="55"/>
        <v>0</v>
      </c>
      <c r="AI181" s="55"/>
      <c r="AJ181" s="53">
        <f t="shared" si="56"/>
        <v>0</v>
      </c>
      <c r="AK181" s="53">
        <f t="shared" si="57"/>
        <v>0</v>
      </c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7"/>
      <c r="AW181" s="57"/>
      <c r="AX181" s="57"/>
    </row>
    <row r="182" spans="2:50">
      <c r="B182" s="45">
        <v>166</v>
      </c>
      <c r="C182" s="46" t="s">
        <v>304</v>
      </c>
      <c r="D182" s="47" t="s">
        <v>297</v>
      </c>
      <c r="E182" s="189" t="s">
        <v>384</v>
      </c>
      <c r="F182" s="181" t="s">
        <v>400</v>
      </c>
      <c r="G182" s="193" t="s">
        <v>306</v>
      </c>
      <c r="H182" s="164">
        <v>42825</v>
      </c>
      <c r="I182" s="50" t="s">
        <v>386</v>
      </c>
      <c r="J182" s="50">
        <f t="shared" si="46"/>
        <v>63</v>
      </c>
      <c r="K182" s="50">
        <v>63</v>
      </c>
      <c r="L182" s="50">
        <v>0</v>
      </c>
      <c r="M182" s="50"/>
      <c r="N182" s="50">
        <v>1.05</v>
      </c>
      <c r="O182" s="50">
        <v>0</v>
      </c>
      <c r="P182" s="179">
        <v>1</v>
      </c>
      <c r="Q182" s="53"/>
      <c r="R182" s="54"/>
      <c r="S182" s="54"/>
      <c r="T182" s="54"/>
      <c r="U182" s="54"/>
      <c r="V182" s="53"/>
      <c r="W182" s="53"/>
      <c r="X182" s="53">
        <f t="shared" si="47"/>
        <v>0</v>
      </c>
      <c r="Y182" s="55"/>
      <c r="Z182" s="55"/>
      <c r="AA182" s="52">
        <f t="shared" si="48"/>
        <v>0</v>
      </c>
      <c r="AB182" s="53">
        <f t="shared" si="49"/>
        <v>0</v>
      </c>
      <c r="AC182" s="53">
        <f t="shared" si="50"/>
        <v>0</v>
      </c>
      <c r="AD182" s="53">
        <f t="shared" si="51"/>
        <v>0</v>
      </c>
      <c r="AE182" s="53">
        <f t="shared" si="52"/>
        <v>0</v>
      </c>
      <c r="AF182" s="53">
        <f t="shared" si="53"/>
        <v>0</v>
      </c>
      <c r="AG182" s="56">
        <f t="shared" si="54"/>
        <v>0</v>
      </c>
      <c r="AH182" s="53">
        <f t="shared" si="55"/>
        <v>0</v>
      </c>
      <c r="AI182" s="55"/>
      <c r="AJ182" s="53">
        <f t="shared" si="56"/>
        <v>0</v>
      </c>
      <c r="AK182" s="53">
        <f t="shared" si="57"/>
        <v>0</v>
      </c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7"/>
      <c r="AW182" s="57"/>
      <c r="AX182" s="57"/>
    </row>
    <row r="183" spans="2:50">
      <c r="B183" s="45">
        <v>167</v>
      </c>
      <c r="C183" s="46" t="s">
        <v>304</v>
      </c>
      <c r="D183" s="47" t="s">
        <v>297</v>
      </c>
      <c r="E183" s="189" t="s">
        <v>384</v>
      </c>
      <c r="F183" s="190" t="s">
        <v>401</v>
      </c>
      <c r="G183" s="193" t="s">
        <v>306</v>
      </c>
      <c r="H183" s="164">
        <v>43693</v>
      </c>
      <c r="I183" s="50" t="s">
        <v>386</v>
      </c>
      <c r="J183" s="50">
        <f t="shared" si="46"/>
        <v>36</v>
      </c>
      <c r="K183" s="50">
        <v>36</v>
      </c>
      <c r="L183" s="50">
        <v>0</v>
      </c>
      <c r="M183" s="50"/>
      <c r="N183" s="50">
        <v>0.6</v>
      </c>
      <c r="O183" s="50">
        <v>0</v>
      </c>
      <c r="P183" s="179">
        <v>1</v>
      </c>
      <c r="Q183" s="53"/>
      <c r="R183" s="54"/>
      <c r="S183" s="54"/>
      <c r="T183" s="54"/>
      <c r="U183" s="54"/>
      <c r="V183" s="53"/>
      <c r="W183" s="53"/>
      <c r="X183" s="53">
        <f t="shared" si="47"/>
        <v>0</v>
      </c>
      <c r="Y183" s="55"/>
      <c r="Z183" s="55"/>
      <c r="AA183" s="52">
        <f t="shared" si="48"/>
        <v>0</v>
      </c>
      <c r="AB183" s="53">
        <f t="shared" si="49"/>
        <v>0</v>
      </c>
      <c r="AC183" s="53">
        <f t="shared" si="50"/>
        <v>0</v>
      </c>
      <c r="AD183" s="53">
        <f t="shared" si="51"/>
        <v>0</v>
      </c>
      <c r="AE183" s="53">
        <f t="shared" si="52"/>
        <v>0</v>
      </c>
      <c r="AF183" s="53">
        <f t="shared" si="53"/>
        <v>0</v>
      </c>
      <c r="AG183" s="56">
        <f t="shared" si="54"/>
        <v>0</v>
      </c>
      <c r="AH183" s="53">
        <f t="shared" si="55"/>
        <v>0</v>
      </c>
      <c r="AI183" s="55"/>
      <c r="AJ183" s="53">
        <f t="shared" si="56"/>
        <v>0</v>
      </c>
      <c r="AK183" s="53">
        <f t="shared" si="57"/>
        <v>0</v>
      </c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7"/>
      <c r="AW183" s="57"/>
      <c r="AX183" s="57"/>
    </row>
    <row r="184" spans="2:50">
      <c r="B184" s="45">
        <v>168</v>
      </c>
      <c r="C184" s="46" t="s">
        <v>304</v>
      </c>
      <c r="D184" s="47" t="s">
        <v>297</v>
      </c>
      <c r="E184" s="189" t="s">
        <v>384</v>
      </c>
      <c r="F184" s="190" t="s">
        <v>402</v>
      </c>
      <c r="G184" s="193" t="s">
        <v>306</v>
      </c>
      <c r="H184" s="164">
        <v>43165</v>
      </c>
      <c r="I184" s="50" t="s">
        <v>386</v>
      </c>
      <c r="J184" s="50">
        <f t="shared" si="46"/>
        <v>18</v>
      </c>
      <c r="K184" s="50">
        <v>18</v>
      </c>
      <c r="L184" s="50">
        <v>0</v>
      </c>
      <c r="M184" s="50"/>
      <c r="N184" s="50">
        <v>0.3</v>
      </c>
      <c r="O184" s="50">
        <v>0</v>
      </c>
      <c r="P184" s="179">
        <v>1</v>
      </c>
      <c r="Q184" s="53"/>
      <c r="R184" s="54"/>
      <c r="S184" s="54"/>
      <c r="T184" s="54"/>
      <c r="U184" s="54"/>
      <c r="V184" s="53"/>
      <c r="W184" s="53"/>
      <c r="X184" s="53">
        <f t="shared" si="47"/>
        <v>0</v>
      </c>
      <c r="Y184" s="55"/>
      <c r="Z184" s="55"/>
      <c r="AA184" s="52">
        <f t="shared" si="48"/>
        <v>0</v>
      </c>
      <c r="AB184" s="53">
        <f t="shared" si="49"/>
        <v>0</v>
      </c>
      <c r="AC184" s="53">
        <f t="shared" si="50"/>
        <v>0</v>
      </c>
      <c r="AD184" s="53">
        <f t="shared" si="51"/>
        <v>0</v>
      </c>
      <c r="AE184" s="53">
        <f t="shared" si="52"/>
        <v>0</v>
      </c>
      <c r="AF184" s="53">
        <f t="shared" si="53"/>
        <v>0</v>
      </c>
      <c r="AG184" s="56">
        <f t="shared" si="54"/>
        <v>0</v>
      </c>
      <c r="AH184" s="53">
        <f t="shared" si="55"/>
        <v>0</v>
      </c>
      <c r="AI184" s="55"/>
      <c r="AJ184" s="53">
        <f t="shared" si="56"/>
        <v>0</v>
      </c>
      <c r="AK184" s="53">
        <f t="shared" si="57"/>
        <v>0</v>
      </c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7"/>
      <c r="AW184" s="57"/>
      <c r="AX184" s="57"/>
    </row>
    <row r="185" spans="2:50">
      <c r="B185" s="45">
        <v>169</v>
      </c>
      <c r="C185" s="46" t="s">
        <v>304</v>
      </c>
      <c r="D185" s="47" t="s">
        <v>297</v>
      </c>
      <c r="E185" s="194" t="s">
        <v>403</v>
      </c>
      <c r="F185" s="194" t="s">
        <v>404</v>
      </c>
      <c r="G185" s="193" t="s">
        <v>306</v>
      </c>
      <c r="H185" s="164">
        <v>42797</v>
      </c>
      <c r="I185" s="50" t="s">
        <v>340</v>
      </c>
      <c r="J185" s="195">
        <f t="shared" si="46"/>
        <v>210</v>
      </c>
      <c r="K185" s="195">
        <v>60</v>
      </c>
      <c r="L185" s="192">
        <v>150</v>
      </c>
      <c r="M185" s="192"/>
      <c r="N185" s="195">
        <v>1</v>
      </c>
      <c r="O185" s="192">
        <v>2.5</v>
      </c>
      <c r="P185" s="179">
        <v>1</v>
      </c>
      <c r="Q185" s="53"/>
      <c r="R185" s="54" t="s">
        <v>158</v>
      </c>
      <c r="S185" s="54" t="s">
        <v>158</v>
      </c>
      <c r="T185" s="54" t="s">
        <v>158</v>
      </c>
      <c r="U185" s="54" t="s">
        <v>158</v>
      </c>
      <c r="V185" s="157" t="s">
        <v>405</v>
      </c>
      <c r="W185" s="53"/>
      <c r="X185" s="53">
        <f t="shared" si="47"/>
        <v>0</v>
      </c>
      <c r="Y185" s="55"/>
      <c r="Z185" s="55"/>
      <c r="AA185" s="52">
        <f t="shared" si="48"/>
        <v>0</v>
      </c>
      <c r="AB185" s="53">
        <f t="shared" si="49"/>
        <v>0</v>
      </c>
      <c r="AC185" s="53">
        <f t="shared" si="50"/>
        <v>0</v>
      </c>
      <c r="AD185" s="53">
        <f t="shared" si="51"/>
        <v>0</v>
      </c>
      <c r="AE185" s="53">
        <f t="shared" si="52"/>
        <v>0</v>
      </c>
      <c r="AF185" s="53">
        <f t="shared" si="53"/>
        <v>0</v>
      </c>
      <c r="AG185" s="56">
        <f t="shared" si="54"/>
        <v>0</v>
      </c>
      <c r="AH185" s="53">
        <f t="shared" si="55"/>
        <v>0</v>
      </c>
      <c r="AI185" s="55"/>
      <c r="AJ185" s="53">
        <f t="shared" si="56"/>
        <v>0</v>
      </c>
      <c r="AK185" s="53">
        <f t="shared" si="57"/>
        <v>0</v>
      </c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7"/>
      <c r="AW185" s="57"/>
      <c r="AX185" s="57"/>
    </row>
    <row r="186" spans="2:50">
      <c r="B186" s="45">
        <v>170</v>
      </c>
      <c r="C186" s="196" t="s">
        <v>304</v>
      </c>
      <c r="D186" s="197" t="s">
        <v>406</v>
      </c>
      <c r="E186" s="198" t="s">
        <v>407</v>
      </c>
      <c r="F186" s="199" t="s">
        <v>408</v>
      </c>
      <c r="G186" s="200" t="s">
        <v>300</v>
      </c>
      <c r="H186" s="201">
        <v>42327</v>
      </c>
      <c r="I186" s="202" t="s">
        <v>409</v>
      </c>
      <c r="J186" s="202">
        <f t="shared" si="46"/>
        <v>90</v>
      </c>
      <c r="K186" s="202">
        <v>90</v>
      </c>
      <c r="L186" s="202">
        <v>0</v>
      </c>
      <c r="M186" s="202"/>
      <c r="N186" s="202">
        <v>1.5</v>
      </c>
      <c r="O186" s="202">
        <v>0</v>
      </c>
      <c r="P186" s="179">
        <v>1</v>
      </c>
      <c r="Q186" s="53"/>
      <c r="R186" s="54" t="s">
        <v>158</v>
      </c>
      <c r="S186" s="54" t="s">
        <v>158</v>
      </c>
      <c r="T186" s="54" t="s">
        <v>158</v>
      </c>
      <c r="U186" s="54" t="s">
        <v>158</v>
      </c>
      <c r="V186" s="157" t="s">
        <v>405</v>
      </c>
      <c r="W186" s="53"/>
      <c r="X186" s="53">
        <f t="shared" si="47"/>
        <v>0</v>
      </c>
      <c r="Y186" s="55"/>
      <c r="Z186" s="55"/>
      <c r="AA186" s="52">
        <f t="shared" si="48"/>
        <v>0</v>
      </c>
      <c r="AB186" s="53">
        <f t="shared" si="49"/>
        <v>0</v>
      </c>
      <c r="AC186" s="53">
        <f t="shared" si="50"/>
        <v>0</v>
      </c>
      <c r="AD186" s="53">
        <f t="shared" si="51"/>
        <v>0</v>
      </c>
      <c r="AE186" s="53">
        <f t="shared" si="52"/>
        <v>0</v>
      </c>
      <c r="AF186" s="53">
        <f t="shared" si="53"/>
        <v>0</v>
      </c>
      <c r="AG186" s="56">
        <f t="shared" si="54"/>
        <v>0</v>
      </c>
      <c r="AH186" s="53">
        <f t="shared" si="55"/>
        <v>0</v>
      </c>
      <c r="AI186" s="55"/>
      <c r="AJ186" s="53">
        <f t="shared" si="56"/>
        <v>0</v>
      </c>
      <c r="AK186" s="53">
        <f t="shared" si="57"/>
        <v>0</v>
      </c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7"/>
      <c r="AW186" s="57"/>
      <c r="AX186" s="57"/>
    </row>
    <row r="187" spans="2:50">
      <c r="B187" s="45">
        <v>171</v>
      </c>
      <c r="C187" s="196" t="s">
        <v>304</v>
      </c>
      <c r="D187" s="197" t="s">
        <v>406</v>
      </c>
      <c r="E187" s="198" t="s">
        <v>410</v>
      </c>
      <c r="F187" s="199" t="s">
        <v>411</v>
      </c>
      <c r="G187" s="200" t="s">
        <v>306</v>
      </c>
      <c r="H187" s="201">
        <v>42334</v>
      </c>
      <c r="I187" s="202" t="s">
        <v>409</v>
      </c>
      <c r="J187" s="202">
        <f t="shared" si="46"/>
        <v>150</v>
      </c>
      <c r="K187" s="202">
        <v>150</v>
      </c>
      <c r="L187" s="202">
        <v>0</v>
      </c>
      <c r="M187" s="202"/>
      <c r="N187" s="202">
        <v>2</v>
      </c>
      <c r="O187" s="202">
        <v>0</v>
      </c>
      <c r="P187" s="179">
        <v>1</v>
      </c>
      <c r="Q187" s="53"/>
      <c r="R187" s="54" t="s">
        <v>158</v>
      </c>
      <c r="S187" s="54" t="s">
        <v>158</v>
      </c>
      <c r="T187" s="54" t="s">
        <v>158</v>
      </c>
      <c r="U187" s="54" t="s">
        <v>158</v>
      </c>
      <c r="V187" s="157" t="s">
        <v>405</v>
      </c>
      <c r="W187" s="53"/>
      <c r="X187" s="53">
        <f t="shared" si="47"/>
        <v>0</v>
      </c>
      <c r="Y187" s="55"/>
      <c r="Z187" s="55"/>
      <c r="AA187" s="52">
        <f t="shared" si="48"/>
        <v>0</v>
      </c>
      <c r="AB187" s="53">
        <f t="shared" si="49"/>
        <v>0</v>
      </c>
      <c r="AC187" s="53">
        <f t="shared" si="50"/>
        <v>0</v>
      </c>
      <c r="AD187" s="53">
        <f t="shared" si="51"/>
        <v>0</v>
      </c>
      <c r="AE187" s="53">
        <f t="shared" si="52"/>
        <v>0</v>
      </c>
      <c r="AF187" s="53">
        <f t="shared" si="53"/>
        <v>0</v>
      </c>
      <c r="AG187" s="56">
        <f t="shared" si="54"/>
        <v>0</v>
      </c>
      <c r="AH187" s="53">
        <f t="shared" si="55"/>
        <v>0</v>
      </c>
      <c r="AI187" s="55"/>
      <c r="AJ187" s="53">
        <f t="shared" si="56"/>
        <v>0</v>
      </c>
      <c r="AK187" s="53">
        <f t="shared" si="57"/>
        <v>0</v>
      </c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7"/>
      <c r="AW187" s="57"/>
      <c r="AX187" s="57"/>
    </row>
    <row r="188" spans="2:50">
      <c r="B188" s="45">
        <v>172</v>
      </c>
      <c r="C188" s="196" t="s">
        <v>304</v>
      </c>
      <c r="D188" s="197" t="s">
        <v>406</v>
      </c>
      <c r="E188" s="198" t="s">
        <v>410</v>
      </c>
      <c r="F188" s="199" t="s">
        <v>412</v>
      </c>
      <c r="G188" s="200" t="s">
        <v>306</v>
      </c>
      <c r="H188" s="201">
        <v>42013</v>
      </c>
      <c r="I188" s="202" t="s">
        <v>409</v>
      </c>
      <c r="J188" s="202">
        <f t="shared" si="46"/>
        <v>150</v>
      </c>
      <c r="K188" s="202">
        <v>150</v>
      </c>
      <c r="L188" s="202">
        <v>0</v>
      </c>
      <c r="M188" s="202"/>
      <c r="N188" s="202">
        <v>2</v>
      </c>
      <c r="O188" s="202">
        <v>0</v>
      </c>
      <c r="P188" s="179">
        <v>1</v>
      </c>
      <c r="Q188" s="53"/>
      <c r="R188" s="54" t="s">
        <v>158</v>
      </c>
      <c r="S188" s="54" t="s">
        <v>158</v>
      </c>
      <c r="T188" s="54" t="s">
        <v>158</v>
      </c>
      <c r="U188" s="54" t="s">
        <v>158</v>
      </c>
      <c r="V188" s="157" t="s">
        <v>405</v>
      </c>
      <c r="W188" s="53"/>
      <c r="X188" s="53">
        <f t="shared" si="47"/>
        <v>0</v>
      </c>
      <c r="Y188" s="55"/>
      <c r="Z188" s="55"/>
      <c r="AA188" s="52">
        <f t="shared" si="48"/>
        <v>0</v>
      </c>
      <c r="AB188" s="53">
        <f t="shared" si="49"/>
        <v>0</v>
      </c>
      <c r="AC188" s="53">
        <f t="shared" si="50"/>
        <v>0</v>
      </c>
      <c r="AD188" s="53">
        <f t="shared" si="51"/>
        <v>0</v>
      </c>
      <c r="AE188" s="53">
        <f t="shared" si="52"/>
        <v>0</v>
      </c>
      <c r="AF188" s="53">
        <f t="shared" si="53"/>
        <v>0</v>
      </c>
      <c r="AG188" s="56">
        <f t="shared" si="54"/>
        <v>0</v>
      </c>
      <c r="AH188" s="53">
        <f t="shared" si="55"/>
        <v>0</v>
      </c>
      <c r="AI188" s="55"/>
      <c r="AJ188" s="53">
        <f t="shared" si="56"/>
        <v>0</v>
      </c>
      <c r="AK188" s="53">
        <f t="shared" si="57"/>
        <v>0</v>
      </c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7"/>
      <c r="AW188" s="57"/>
      <c r="AX188" s="57"/>
    </row>
    <row r="189" spans="2:50">
      <c r="B189" s="45">
        <v>173</v>
      </c>
      <c r="C189" s="196" t="s">
        <v>304</v>
      </c>
      <c r="D189" s="197" t="s">
        <v>406</v>
      </c>
      <c r="E189" s="198" t="s">
        <v>410</v>
      </c>
      <c r="F189" s="199" t="s">
        <v>413</v>
      </c>
      <c r="G189" s="200" t="s">
        <v>306</v>
      </c>
      <c r="H189" s="201">
        <v>42013</v>
      </c>
      <c r="I189" s="202" t="s">
        <v>409</v>
      </c>
      <c r="J189" s="202">
        <f t="shared" si="46"/>
        <v>150</v>
      </c>
      <c r="K189" s="202">
        <v>150</v>
      </c>
      <c r="L189" s="202">
        <v>0</v>
      </c>
      <c r="M189" s="202"/>
      <c r="N189" s="202">
        <v>2</v>
      </c>
      <c r="O189" s="202">
        <v>0</v>
      </c>
      <c r="P189" s="179">
        <v>1</v>
      </c>
      <c r="Q189" s="53"/>
      <c r="R189" s="54" t="s">
        <v>158</v>
      </c>
      <c r="S189" s="54" t="s">
        <v>158</v>
      </c>
      <c r="T189" s="54" t="s">
        <v>158</v>
      </c>
      <c r="U189" s="54" t="s">
        <v>158</v>
      </c>
      <c r="V189" s="157" t="s">
        <v>405</v>
      </c>
      <c r="W189" s="53"/>
      <c r="X189" s="53">
        <f t="shared" si="47"/>
        <v>0</v>
      </c>
      <c r="Y189" s="55"/>
      <c r="Z189" s="55"/>
      <c r="AA189" s="52">
        <f t="shared" si="48"/>
        <v>0</v>
      </c>
      <c r="AB189" s="53">
        <f t="shared" si="49"/>
        <v>0</v>
      </c>
      <c r="AC189" s="53">
        <f t="shared" si="50"/>
        <v>0</v>
      </c>
      <c r="AD189" s="53">
        <f t="shared" si="51"/>
        <v>0</v>
      </c>
      <c r="AE189" s="53">
        <f t="shared" si="52"/>
        <v>0</v>
      </c>
      <c r="AF189" s="53">
        <f t="shared" si="53"/>
        <v>0</v>
      </c>
      <c r="AG189" s="56">
        <f t="shared" si="54"/>
        <v>0</v>
      </c>
      <c r="AH189" s="53">
        <f t="shared" si="55"/>
        <v>0</v>
      </c>
      <c r="AI189" s="55"/>
      <c r="AJ189" s="53">
        <f t="shared" si="56"/>
        <v>0</v>
      </c>
      <c r="AK189" s="53">
        <f t="shared" si="57"/>
        <v>0</v>
      </c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7"/>
      <c r="AW189" s="57"/>
      <c r="AX189" s="57"/>
    </row>
    <row r="190" spans="2:50">
      <c r="B190" s="45">
        <v>174</v>
      </c>
      <c r="C190" s="196" t="s">
        <v>304</v>
      </c>
      <c r="D190" s="197" t="s">
        <v>406</v>
      </c>
      <c r="E190" s="198" t="s">
        <v>410</v>
      </c>
      <c r="F190" s="199" t="s">
        <v>414</v>
      </c>
      <c r="G190" s="200" t="s">
        <v>306</v>
      </c>
      <c r="H190" s="201">
        <v>42661</v>
      </c>
      <c r="I190" s="202" t="s">
        <v>409</v>
      </c>
      <c r="J190" s="202">
        <f t="shared" si="46"/>
        <v>126</v>
      </c>
      <c r="K190" s="202">
        <v>126</v>
      </c>
      <c r="L190" s="202">
        <v>0</v>
      </c>
      <c r="M190" s="202"/>
      <c r="N190" s="202">
        <v>2.1</v>
      </c>
      <c r="O190" s="202">
        <v>0</v>
      </c>
      <c r="P190" s="179">
        <v>1</v>
      </c>
      <c r="Q190" s="53"/>
      <c r="R190" s="54" t="s">
        <v>158</v>
      </c>
      <c r="S190" s="54" t="s">
        <v>158</v>
      </c>
      <c r="T190" s="54" t="s">
        <v>158</v>
      </c>
      <c r="U190" s="54" t="s">
        <v>158</v>
      </c>
      <c r="V190" s="157" t="s">
        <v>405</v>
      </c>
      <c r="W190" s="53"/>
      <c r="X190" s="53">
        <f t="shared" si="47"/>
        <v>0</v>
      </c>
      <c r="Y190" s="55"/>
      <c r="Z190" s="55"/>
      <c r="AA190" s="52">
        <f t="shared" si="48"/>
        <v>0</v>
      </c>
      <c r="AB190" s="53">
        <f t="shared" si="49"/>
        <v>0</v>
      </c>
      <c r="AC190" s="53">
        <f t="shared" si="50"/>
        <v>0</v>
      </c>
      <c r="AD190" s="53">
        <f t="shared" si="51"/>
        <v>0</v>
      </c>
      <c r="AE190" s="53">
        <f t="shared" si="52"/>
        <v>0</v>
      </c>
      <c r="AF190" s="53">
        <f t="shared" si="53"/>
        <v>0</v>
      </c>
      <c r="AG190" s="56">
        <f t="shared" si="54"/>
        <v>0</v>
      </c>
      <c r="AH190" s="53">
        <f t="shared" si="55"/>
        <v>0</v>
      </c>
      <c r="AI190" s="55"/>
      <c r="AJ190" s="53">
        <f t="shared" si="56"/>
        <v>0</v>
      </c>
      <c r="AK190" s="53">
        <f t="shared" si="57"/>
        <v>0</v>
      </c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7"/>
      <c r="AW190" s="57"/>
      <c r="AX190" s="57"/>
    </row>
    <row r="191" spans="2:50">
      <c r="B191" s="45">
        <v>175</v>
      </c>
      <c r="C191" s="196" t="s">
        <v>304</v>
      </c>
      <c r="D191" s="197" t="s">
        <v>406</v>
      </c>
      <c r="E191" s="198" t="s">
        <v>410</v>
      </c>
      <c r="F191" s="199" t="s">
        <v>415</v>
      </c>
      <c r="G191" s="200" t="s">
        <v>306</v>
      </c>
      <c r="H191" s="201">
        <v>42661</v>
      </c>
      <c r="I191" s="202" t="s">
        <v>409</v>
      </c>
      <c r="J191" s="202">
        <f t="shared" si="46"/>
        <v>36</v>
      </c>
      <c r="K191" s="202">
        <v>36</v>
      </c>
      <c r="L191" s="202">
        <v>0</v>
      </c>
      <c r="M191" s="202"/>
      <c r="N191" s="202">
        <v>0.6</v>
      </c>
      <c r="O191" s="202">
        <v>0</v>
      </c>
      <c r="P191" s="179">
        <v>1</v>
      </c>
      <c r="Q191" s="53"/>
      <c r="R191" s="54" t="s">
        <v>158</v>
      </c>
      <c r="S191" s="54" t="s">
        <v>158</v>
      </c>
      <c r="T191" s="54" t="s">
        <v>158</v>
      </c>
      <c r="U191" s="54" t="s">
        <v>158</v>
      </c>
      <c r="V191" s="157" t="s">
        <v>405</v>
      </c>
      <c r="W191" s="53"/>
      <c r="X191" s="53">
        <f t="shared" si="47"/>
        <v>0</v>
      </c>
      <c r="Y191" s="55"/>
      <c r="Z191" s="55"/>
      <c r="AA191" s="52">
        <f t="shared" si="48"/>
        <v>0</v>
      </c>
      <c r="AB191" s="53">
        <f t="shared" si="49"/>
        <v>0</v>
      </c>
      <c r="AC191" s="53">
        <f t="shared" si="50"/>
        <v>0</v>
      </c>
      <c r="AD191" s="53">
        <f t="shared" si="51"/>
        <v>0</v>
      </c>
      <c r="AE191" s="53">
        <f t="shared" si="52"/>
        <v>0</v>
      </c>
      <c r="AF191" s="53">
        <f t="shared" si="53"/>
        <v>0</v>
      </c>
      <c r="AG191" s="56">
        <f t="shared" si="54"/>
        <v>0</v>
      </c>
      <c r="AH191" s="53">
        <f t="shared" si="55"/>
        <v>0</v>
      </c>
      <c r="AI191" s="55"/>
      <c r="AJ191" s="53">
        <f t="shared" si="56"/>
        <v>0</v>
      </c>
      <c r="AK191" s="53">
        <f t="shared" si="57"/>
        <v>0</v>
      </c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7"/>
      <c r="AW191" s="57"/>
      <c r="AX191" s="57"/>
    </row>
    <row r="192" spans="2:50">
      <c r="B192" s="45">
        <v>176</v>
      </c>
      <c r="C192" s="196" t="s">
        <v>304</v>
      </c>
      <c r="D192" s="197" t="s">
        <v>406</v>
      </c>
      <c r="E192" s="198" t="s">
        <v>410</v>
      </c>
      <c r="F192" s="199" t="s">
        <v>416</v>
      </c>
      <c r="G192" s="200" t="s">
        <v>306</v>
      </c>
      <c r="H192" s="201">
        <v>41995</v>
      </c>
      <c r="I192" s="202" t="s">
        <v>409</v>
      </c>
      <c r="J192" s="202">
        <f t="shared" si="46"/>
        <v>90</v>
      </c>
      <c r="K192" s="202">
        <v>90</v>
      </c>
      <c r="L192" s="202">
        <v>0</v>
      </c>
      <c r="M192" s="202"/>
      <c r="N192" s="202">
        <v>1.5</v>
      </c>
      <c r="O192" s="202">
        <v>0</v>
      </c>
      <c r="P192" s="179">
        <v>1</v>
      </c>
      <c r="Q192" s="53"/>
      <c r="R192" s="54" t="s">
        <v>158</v>
      </c>
      <c r="S192" s="54" t="s">
        <v>158</v>
      </c>
      <c r="T192" s="54" t="s">
        <v>158</v>
      </c>
      <c r="U192" s="54" t="s">
        <v>158</v>
      </c>
      <c r="V192" s="157" t="s">
        <v>405</v>
      </c>
      <c r="W192" s="53"/>
      <c r="X192" s="53">
        <f t="shared" si="47"/>
        <v>0</v>
      </c>
      <c r="Y192" s="55"/>
      <c r="Z192" s="55"/>
      <c r="AA192" s="52">
        <f t="shared" si="48"/>
        <v>0</v>
      </c>
      <c r="AB192" s="53">
        <f t="shared" si="49"/>
        <v>0</v>
      </c>
      <c r="AC192" s="53">
        <f t="shared" si="50"/>
        <v>0</v>
      </c>
      <c r="AD192" s="53">
        <f t="shared" si="51"/>
        <v>0</v>
      </c>
      <c r="AE192" s="53">
        <f t="shared" si="52"/>
        <v>0</v>
      </c>
      <c r="AF192" s="53">
        <f t="shared" si="53"/>
        <v>0</v>
      </c>
      <c r="AG192" s="56">
        <f t="shared" si="54"/>
        <v>0</v>
      </c>
      <c r="AH192" s="53">
        <f t="shared" si="55"/>
        <v>0</v>
      </c>
      <c r="AI192" s="55"/>
      <c r="AJ192" s="53">
        <f t="shared" si="56"/>
        <v>0</v>
      </c>
      <c r="AK192" s="53">
        <f t="shared" si="57"/>
        <v>0</v>
      </c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7"/>
      <c r="AW192" s="57"/>
      <c r="AX192" s="57"/>
    </row>
    <row r="193" spans="2:50">
      <c r="B193" s="45">
        <v>177</v>
      </c>
      <c r="C193" s="196" t="s">
        <v>304</v>
      </c>
      <c r="D193" s="197" t="s">
        <v>406</v>
      </c>
      <c r="E193" s="198" t="s">
        <v>417</v>
      </c>
      <c r="F193" s="199" t="s">
        <v>418</v>
      </c>
      <c r="G193" s="200" t="s">
        <v>306</v>
      </c>
      <c r="H193" s="201">
        <v>42355</v>
      </c>
      <c r="I193" s="202" t="s">
        <v>409</v>
      </c>
      <c r="J193" s="202">
        <f t="shared" si="46"/>
        <v>180</v>
      </c>
      <c r="K193" s="202">
        <v>180</v>
      </c>
      <c r="L193" s="202">
        <v>0</v>
      </c>
      <c r="M193" s="202"/>
      <c r="N193" s="202">
        <v>2</v>
      </c>
      <c r="O193" s="202">
        <v>0</v>
      </c>
      <c r="P193" s="179">
        <v>1</v>
      </c>
      <c r="Q193" s="53"/>
      <c r="R193" s="54" t="s">
        <v>158</v>
      </c>
      <c r="S193" s="54" t="s">
        <v>158</v>
      </c>
      <c r="T193" s="54" t="s">
        <v>158</v>
      </c>
      <c r="U193" s="54" t="s">
        <v>158</v>
      </c>
      <c r="V193" s="157" t="s">
        <v>405</v>
      </c>
      <c r="W193" s="53"/>
      <c r="X193" s="53">
        <f t="shared" si="47"/>
        <v>0</v>
      </c>
      <c r="Y193" s="55"/>
      <c r="Z193" s="55"/>
      <c r="AA193" s="52">
        <f t="shared" si="48"/>
        <v>0</v>
      </c>
      <c r="AB193" s="53">
        <f t="shared" si="49"/>
        <v>0</v>
      </c>
      <c r="AC193" s="53">
        <f t="shared" si="50"/>
        <v>0</v>
      </c>
      <c r="AD193" s="53">
        <f t="shared" si="51"/>
        <v>0</v>
      </c>
      <c r="AE193" s="53">
        <f t="shared" si="52"/>
        <v>0</v>
      </c>
      <c r="AF193" s="53">
        <f t="shared" si="53"/>
        <v>0</v>
      </c>
      <c r="AG193" s="56">
        <f t="shared" si="54"/>
        <v>0</v>
      </c>
      <c r="AH193" s="53">
        <f t="shared" si="55"/>
        <v>0</v>
      </c>
      <c r="AI193" s="55"/>
      <c r="AJ193" s="53">
        <f t="shared" si="56"/>
        <v>0</v>
      </c>
      <c r="AK193" s="53">
        <f t="shared" si="57"/>
        <v>0</v>
      </c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7"/>
      <c r="AW193" s="57"/>
      <c r="AX193" s="57"/>
    </row>
    <row r="194" spans="2:50">
      <c r="B194" s="45">
        <v>178</v>
      </c>
      <c r="C194" s="196" t="s">
        <v>304</v>
      </c>
      <c r="D194" s="197" t="s">
        <v>406</v>
      </c>
      <c r="E194" s="198" t="s">
        <v>417</v>
      </c>
      <c r="F194" s="199" t="s">
        <v>419</v>
      </c>
      <c r="G194" s="200" t="s">
        <v>306</v>
      </c>
      <c r="H194" s="201">
        <v>42711</v>
      </c>
      <c r="I194" s="202" t="s">
        <v>409</v>
      </c>
      <c r="J194" s="202">
        <f t="shared" si="46"/>
        <v>87</v>
      </c>
      <c r="K194" s="202">
        <v>87</v>
      </c>
      <c r="L194" s="202">
        <v>0</v>
      </c>
      <c r="M194" s="202"/>
      <c r="N194" s="202">
        <v>1.45</v>
      </c>
      <c r="O194" s="202">
        <v>0</v>
      </c>
      <c r="P194" s="179">
        <v>1</v>
      </c>
      <c r="Q194" s="53"/>
      <c r="R194" s="54" t="s">
        <v>158</v>
      </c>
      <c r="S194" s="54" t="s">
        <v>158</v>
      </c>
      <c r="T194" s="54" t="s">
        <v>158</v>
      </c>
      <c r="U194" s="54" t="s">
        <v>158</v>
      </c>
      <c r="V194" s="157" t="s">
        <v>405</v>
      </c>
      <c r="W194" s="53"/>
      <c r="X194" s="53">
        <f t="shared" si="47"/>
        <v>0</v>
      </c>
      <c r="Y194" s="55"/>
      <c r="Z194" s="55"/>
      <c r="AA194" s="52">
        <f t="shared" si="48"/>
        <v>0</v>
      </c>
      <c r="AB194" s="53">
        <f t="shared" si="49"/>
        <v>0</v>
      </c>
      <c r="AC194" s="53">
        <f t="shared" si="50"/>
        <v>0</v>
      </c>
      <c r="AD194" s="53">
        <f t="shared" si="51"/>
        <v>0</v>
      </c>
      <c r="AE194" s="53">
        <f t="shared" si="52"/>
        <v>0</v>
      </c>
      <c r="AF194" s="53">
        <f t="shared" si="53"/>
        <v>0</v>
      </c>
      <c r="AG194" s="56">
        <f t="shared" si="54"/>
        <v>0</v>
      </c>
      <c r="AH194" s="53">
        <f t="shared" si="55"/>
        <v>0</v>
      </c>
      <c r="AI194" s="55"/>
      <c r="AJ194" s="53">
        <f t="shared" si="56"/>
        <v>0</v>
      </c>
      <c r="AK194" s="53">
        <f t="shared" si="57"/>
        <v>0</v>
      </c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7"/>
      <c r="AW194" s="57"/>
      <c r="AX194" s="57"/>
    </row>
    <row r="195" spans="2:50">
      <c r="B195" s="45">
        <v>179</v>
      </c>
      <c r="C195" s="196" t="s">
        <v>304</v>
      </c>
      <c r="D195" s="197" t="s">
        <v>406</v>
      </c>
      <c r="E195" s="198" t="s">
        <v>417</v>
      </c>
      <c r="F195" s="199" t="s">
        <v>420</v>
      </c>
      <c r="G195" s="200" t="s">
        <v>306</v>
      </c>
      <c r="H195" s="201">
        <v>42472</v>
      </c>
      <c r="I195" s="202" t="s">
        <v>409</v>
      </c>
      <c r="J195" s="202">
        <f t="shared" si="46"/>
        <v>150</v>
      </c>
      <c r="K195" s="202">
        <v>150</v>
      </c>
      <c r="L195" s="202">
        <v>0</v>
      </c>
      <c r="M195" s="202"/>
      <c r="N195" s="202">
        <v>2.2999999999999998</v>
      </c>
      <c r="O195" s="202">
        <v>0</v>
      </c>
      <c r="P195" s="179">
        <v>1</v>
      </c>
      <c r="Q195" s="53"/>
      <c r="R195" s="54" t="s">
        <v>158</v>
      </c>
      <c r="S195" s="54" t="s">
        <v>158</v>
      </c>
      <c r="T195" s="54" t="s">
        <v>158</v>
      </c>
      <c r="U195" s="54" t="s">
        <v>158</v>
      </c>
      <c r="V195" s="157" t="s">
        <v>405</v>
      </c>
      <c r="W195" s="53"/>
      <c r="X195" s="53">
        <f t="shared" si="47"/>
        <v>0</v>
      </c>
      <c r="Y195" s="55"/>
      <c r="Z195" s="55"/>
      <c r="AA195" s="52">
        <f t="shared" si="48"/>
        <v>0</v>
      </c>
      <c r="AB195" s="53">
        <f t="shared" si="49"/>
        <v>0</v>
      </c>
      <c r="AC195" s="53">
        <f t="shared" si="50"/>
        <v>0</v>
      </c>
      <c r="AD195" s="53">
        <f t="shared" si="51"/>
        <v>0</v>
      </c>
      <c r="AE195" s="53">
        <f t="shared" si="52"/>
        <v>0</v>
      </c>
      <c r="AF195" s="53">
        <f t="shared" si="53"/>
        <v>0</v>
      </c>
      <c r="AG195" s="56">
        <f t="shared" si="54"/>
        <v>0</v>
      </c>
      <c r="AH195" s="53">
        <f t="shared" si="55"/>
        <v>0</v>
      </c>
      <c r="AI195" s="55"/>
      <c r="AJ195" s="53">
        <f t="shared" si="56"/>
        <v>0</v>
      </c>
      <c r="AK195" s="53">
        <f t="shared" si="57"/>
        <v>0</v>
      </c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7"/>
      <c r="AW195" s="57"/>
      <c r="AX195" s="57"/>
    </row>
    <row r="196" spans="2:50">
      <c r="B196" s="45">
        <v>180</v>
      </c>
      <c r="C196" s="196" t="s">
        <v>304</v>
      </c>
      <c r="D196" s="197" t="s">
        <v>406</v>
      </c>
      <c r="E196" s="198" t="s">
        <v>417</v>
      </c>
      <c r="F196" s="199" t="s">
        <v>421</v>
      </c>
      <c r="G196" s="200" t="s">
        <v>306</v>
      </c>
      <c r="H196" s="201">
        <v>42439</v>
      </c>
      <c r="I196" s="202" t="s">
        <v>409</v>
      </c>
      <c r="J196" s="202">
        <f t="shared" si="46"/>
        <v>60</v>
      </c>
      <c r="K196" s="202">
        <v>60</v>
      </c>
      <c r="L196" s="202">
        <v>0</v>
      </c>
      <c r="M196" s="202"/>
      <c r="N196" s="202">
        <v>0.8</v>
      </c>
      <c r="O196" s="202">
        <v>0</v>
      </c>
      <c r="P196" s="179">
        <v>1</v>
      </c>
      <c r="Q196" s="53"/>
      <c r="R196" s="54" t="s">
        <v>158</v>
      </c>
      <c r="S196" s="54" t="s">
        <v>158</v>
      </c>
      <c r="T196" s="54" t="s">
        <v>158</v>
      </c>
      <c r="U196" s="54" t="s">
        <v>158</v>
      </c>
      <c r="V196" s="157" t="s">
        <v>405</v>
      </c>
      <c r="W196" s="53"/>
      <c r="X196" s="53">
        <f t="shared" si="47"/>
        <v>0</v>
      </c>
      <c r="Y196" s="55"/>
      <c r="Z196" s="55"/>
      <c r="AA196" s="52">
        <f t="shared" si="48"/>
        <v>0</v>
      </c>
      <c r="AB196" s="53">
        <f t="shared" si="49"/>
        <v>0</v>
      </c>
      <c r="AC196" s="53">
        <f t="shared" si="50"/>
        <v>0</v>
      </c>
      <c r="AD196" s="53">
        <f t="shared" si="51"/>
        <v>0</v>
      </c>
      <c r="AE196" s="53">
        <f t="shared" si="52"/>
        <v>0</v>
      </c>
      <c r="AF196" s="53">
        <f t="shared" si="53"/>
        <v>0</v>
      </c>
      <c r="AG196" s="56">
        <f t="shared" si="54"/>
        <v>0</v>
      </c>
      <c r="AH196" s="53">
        <f t="shared" si="55"/>
        <v>0</v>
      </c>
      <c r="AI196" s="55"/>
      <c r="AJ196" s="53">
        <f t="shared" si="56"/>
        <v>0</v>
      </c>
      <c r="AK196" s="53">
        <f t="shared" si="57"/>
        <v>0</v>
      </c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7"/>
      <c r="AW196" s="57"/>
      <c r="AX196" s="57"/>
    </row>
    <row r="197" spans="2:50">
      <c r="B197" s="45">
        <v>181</v>
      </c>
      <c r="C197" s="196" t="s">
        <v>304</v>
      </c>
      <c r="D197" s="197" t="s">
        <v>406</v>
      </c>
      <c r="E197" s="198" t="s">
        <v>417</v>
      </c>
      <c r="F197" s="199" t="s">
        <v>422</v>
      </c>
      <c r="G197" s="200" t="s">
        <v>306</v>
      </c>
      <c r="H197" s="201">
        <v>42472</v>
      </c>
      <c r="I197" s="202" t="s">
        <v>409</v>
      </c>
      <c r="J197" s="202">
        <f t="shared" si="46"/>
        <v>150</v>
      </c>
      <c r="K197" s="202">
        <v>150</v>
      </c>
      <c r="L197" s="202">
        <v>0</v>
      </c>
      <c r="M197" s="202"/>
      <c r="N197" s="202">
        <v>2.2999999999999998</v>
      </c>
      <c r="O197" s="202">
        <v>0</v>
      </c>
      <c r="P197" s="179">
        <v>1</v>
      </c>
      <c r="Q197" s="53"/>
      <c r="R197" s="54" t="s">
        <v>158</v>
      </c>
      <c r="S197" s="54" t="s">
        <v>158</v>
      </c>
      <c r="T197" s="54" t="s">
        <v>158</v>
      </c>
      <c r="U197" s="54" t="s">
        <v>158</v>
      </c>
      <c r="V197" s="157" t="s">
        <v>405</v>
      </c>
      <c r="W197" s="53"/>
      <c r="X197" s="53">
        <f t="shared" si="47"/>
        <v>0</v>
      </c>
      <c r="Y197" s="55"/>
      <c r="Z197" s="55"/>
      <c r="AA197" s="52">
        <f t="shared" si="48"/>
        <v>0</v>
      </c>
      <c r="AB197" s="53">
        <f t="shared" si="49"/>
        <v>0</v>
      </c>
      <c r="AC197" s="53">
        <f t="shared" si="50"/>
        <v>0</v>
      </c>
      <c r="AD197" s="53">
        <f t="shared" si="51"/>
        <v>0</v>
      </c>
      <c r="AE197" s="53">
        <f t="shared" si="52"/>
        <v>0</v>
      </c>
      <c r="AF197" s="53">
        <f t="shared" si="53"/>
        <v>0</v>
      </c>
      <c r="AG197" s="56">
        <f t="shared" si="54"/>
        <v>0</v>
      </c>
      <c r="AH197" s="53">
        <f t="shared" si="55"/>
        <v>0</v>
      </c>
      <c r="AI197" s="55"/>
      <c r="AJ197" s="53">
        <f t="shared" si="56"/>
        <v>0</v>
      </c>
      <c r="AK197" s="53">
        <f t="shared" si="57"/>
        <v>0</v>
      </c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7"/>
      <c r="AW197" s="57"/>
      <c r="AX197" s="57"/>
    </row>
    <row r="198" spans="2:50">
      <c r="B198" s="45">
        <v>182</v>
      </c>
      <c r="C198" s="196" t="s">
        <v>304</v>
      </c>
      <c r="D198" s="197" t="s">
        <v>406</v>
      </c>
      <c r="E198" s="198" t="s">
        <v>417</v>
      </c>
      <c r="F198" s="199" t="s">
        <v>423</v>
      </c>
      <c r="G198" s="200" t="s">
        <v>306</v>
      </c>
      <c r="H198" s="201">
        <v>42116</v>
      </c>
      <c r="I198" s="202" t="s">
        <v>409</v>
      </c>
      <c r="J198" s="202">
        <f t="shared" si="46"/>
        <v>60</v>
      </c>
      <c r="K198" s="202">
        <v>60</v>
      </c>
      <c r="L198" s="202">
        <v>0</v>
      </c>
      <c r="M198" s="202"/>
      <c r="N198" s="202">
        <v>0.8</v>
      </c>
      <c r="O198" s="202">
        <v>0</v>
      </c>
      <c r="P198" s="179">
        <v>1</v>
      </c>
      <c r="Q198" s="53"/>
      <c r="R198" s="54" t="s">
        <v>158</v>
      </c>
      <c r="S198" s="54" t="s">
        <v>158</v>
      </c>
      <c r="T198" s="54" t="s">
        <v>158</v>
      </c>
      <c r="U198" s="54" t="s">
        <v>158</v>
      </c>
      <c r="V198" s="157" t="s">
        <v>405</v>
      </c>
      <c r="W198" s="53"/>
      <c r="X198" s="53">
        <f t="shared" si="47"/>
        <v>0</v>
      </c>
      <c r="Y198" s="55"/>
      <c r="Z198" s="55"/>
      <c r="AA198" s="52">
        <f t="shared" si="48"/>
        <v>0</v>
      </c>
      <c r="AB198" s="53">
        <f t="shared" si="49"/>
        <v>0</v>
      </c>
      <c r="AC198" s="53">
        <f t="shared" si="50"/>
        <v>0</v>
      </c>
      <c r="AD198" s="53">
        <f t="shared" si="51"/>
        <v>0</v>
      </c>
      <c r="AE198" s="53">
        <f t="shared" si="52"/>
        <v>0</v>
      </c>
      <c r="AF198" s="53">
        <f t="shared" si="53"/>
        <v>0</v>
      </c>
      <c r="AG198" s="56">
        <f t="shared" si="54"/>
        <v>0</v>
      </c>
      <c r="AH198" s="53">
        <f t="shared" si="55"/>
        <v>0</v>
      </c>
      <c r="AI198" s="55"/>
      <c r="AJ198" s="53">
        <f t="shared" si="56"/>
        <v>0</v>
      </c>
      <c r="AK198" s="53">
        <f t="shared" si="57"/>
        <v>0</v>
      </c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7"/>
      <c r="AW198" s="57"/>
      <c r="AX198" s="57"/>
    </row>
    <row r="199" spans="2:50">
      <c r="B199" s="45">
        <v>183</v>
      </c>
      <c r="C199" s="196" t="s">
        <v>304</v>
      </c>
      <c r="D199" s="197" t="s">
        <v>406</v>
      </c>
      <c r="E199" s="198" t="s">
        <v>417</v>
      </c>
      <c r="F199" s="199" t="s">
        <v>424</v>
      </c>
      <c r="G199" s="200" t="s">
        <v>306</v>
      </c>
      <c r="H199" s="201">
        <v>43074</v>
      </c>
      <c r="I199" s="202" t="s">
        <v>409</v>
      </c>
      <c r="J199" s="202">
        <f t="shared" si="46"/>
        <v>90</v>
      </c>
      <c r="K199" s="202">
        <v>90</v>
      </c>
      <c r="L199" s="202">
        <v>0</v>
      </c>
      <c r="M199" s="202"/>
      <c r="N199" s="202">
        <v>1.3</v>
      </c>
      <c r="O199" s="202">
        <v>0</v>
      </c>
      <c r="P199" s="179">
        <v>1</v>
      </c>
      <c r="Q199" s="53"/>
      <c r="R199" s="54" t="s">
        <v>158</v>
      </c>
      <c r="S199" s="54" t="s">
        <v>158</v>
      </c>
      <c r="T199" s="54" t="s">
        <v>158</v>
      </c>
      <c r="U199" s="54" t="s">
        <v>158</v>
      </c>
      <c r="V199" s="157" t="s">
        <v>405</v>
      </c>
      <c r="W199" s="53"/>
      <c r="X199" s="53">
        <f t="shared" si="47"/>
        <v>0</v>
      </c>
      <c r="Y199" s="55"/>
      <c r="Z199" s="55"/>
      <c r="AA199" s="52">
        <f t="shared" si="48"/>
        <v>0</v>
      </c>
      <c r="AB199" s="53">
        <f t="shared" si="49"/>
        <v>0</v>
      </c>
      <c r="AC199" s="53">
        <f t="shared" si="50"/>
        <v>0</v>
      </c>
      <c r="AD199" s="53">
        <f t="shared" si="51"/>
        <v>0</v>
      </c>
      <c r="AE199" s="53">
        <f t="shared" si="52"/>
        <v>0</v>
      </c>
      <c r="AF199" s="53">
        <f t="shared" si="53"/>
        <v>0</v>
      </c>
      <c r="AG199" s="56">
        <f t="shared" si="54"/>
        <v>0</v>
      </c>
      <c r="AH199" s="53">
        <f t="shared" si="55"/>
        <v>0</v>
      </c>
      <c r="AI199" s="55"/>
      <c r="AJ199" s="53">
        <f t="shared" si="56"/>
        <v>0</v>
      </c>
      <c r="AK199" s="53">
        <f t="shared" si="57"/>
        <v>0</v>
      </c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7"/>
      <c r="AW199" s="57"/>
      <c r="AX199" s="57"/>
    </row>
    <row r="200" spans="2:50">
      <c r="B200" s="45">
        <v>184</v>
      </c>
      <c r="C200" s="196" t="s">
        <v>304</v>
      </c>
      <c r="D200" s="197" t="s">
        <v>406</v>
      </c>
      <c r="E200" s="198" t="s">
        <v>417</v>
      </c>
      <c r="F200" s="199" t="s">
        <v>425</v>
      </c>
      <c r="G200" s="200" t="s">
        <v>306</v>
      </c>
      <c r="H200" s="201">
        <v>42390</v>
      </c>
      <c r="I200" s="202" t="s">
        <v>409</v>
      </c>
      <c r="J200" s="202">
        <f t="shared" si="46"/>
        <v>60</v>
      </c>
      <c r="K200" s="202">
        <v>60</v>
      </c>
      <c r="L200" s="202">
        <v>0</v>
      </c>
      <c r="M200" s="202"/>
      <c r="N200" s="202">
        <v>0.8</v>
      </c>
      <c r="O200" s="202">
        <v>0</v>
      </c>
      <c r="P200" s="179">
        <v>1</v>
      </c>
      <c r="Q200" s="53"/>
      <c r="R200" s="54" t="s">
        <v>158</v>
      </c>
      <c r="S200" s="54" t="s">
        <v>158</v>
      </c>
      <c r="T200" s="54" t="s">
        <v>158</v>
      </c>
      <c r="U200" s="54" t="s">
        <v>158</v>
      </c>
      <c r="V200" s="157" t="s">
        <v>405</v>
      </c>
      <c r="W200" s="53"/>
      <c r="X200" s="53">
        <f t="shared" si="47"/>
        <v>0</v>
      </c>
      <c r="Y200" s="55"/>
      <c r="Z200" s="55"/>
      <c r="AA200" s="52">
        <f t="shared" si="48"/>
        <v>0</v>
      </c>
      <c r="AB200" s="53">
        <f t="shared" si="49"/>
        <v>0</v>
      </c>
      <c r="AC200" s="53">
        <f t="shared" si="50"/>
        <v>0</v>
      </c>
      <c r="AD200" s="53">
        <f t="shared" si="51"/>
        <v>0</v>
      </c>
      <c r="AE200" s="53">
        <f t="shared" si="52"/>
        <v>0</v>
      </c>
      <c r="AF200" s="53">
        <f t="shared" si="53"/>
        <v>0</v>
      </c>
      <c r="AG200" s="56">
        <f t="shared" si="54"/>
        <v>0</v>
      </c>
      <c r="AH200" s="53">
        <f t="shared" si="55"/>
        <v>0</v>
      </c>
      <c r="AI200" s="55"/>
      <c r="AJ200" s="53">
        <f t="shared" si="56"/>
        <v>0</v>
      </c>
      <c r="AK200" s="53">
        <f t="shared" si="57"/>
        <v>0</v>
      </c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7"/>
      <c r="AW200" s="57"/>
      <c r="AX200" s="57"/>
    </row>
    <row r="201" spans="2:50">
      <c r="B201" s="45">
        <v>185</v>
      </c>
      <c r="C201" s="196" t="s">
        <v>304</v>
      </c>
      <c r="D201" s="197" t="s">
        <v>406</v>
      </c>
      <c r="E201" s="198" t="s">
        <v>417</v>
      </c>
      <c r="F201" s="199" t="s">
        <v>426</v>
      </c>
      <c r="G201" s="200" t="s">
        <v>306</v>
      </c>
      <c r="H201" s="201">
        <v>42375</v>
      </c>
      <c r="I201" s="202" t="s">
        <v>409</v>
      </c>
      <c r="J201" s="202">
        <f t="shared" si="46"/>
        <v>726</v>
      </c>
      <c r="K201" s="202">
        <v>6</v>
      </c>
      <c r="L201" s="202">
        <v>720</v>
      </c>
      <c r="M201" s="202"/>
      <c r="N201" s="203">
        <v>0.1</v>
      </c>
      <c r="O201" s="203">
        <v>12</v>
      </c>
      <c r="P201" s="179">
        <v>1</v>
      </c>
      <c r="Q201" s="53"/>
      <c r="R201" s="54" t="s">
        <v>158</v>
      </c>
      <c r="S201" s="54" t="s">
        <v>158</v>
      </c>
      <c r="T201" s="54" t="s">
        <v>158</v>
      </c>
      <c r="U201" s="54" t="s">
        <v>158</v>
      </c>
      <c r="V201" s="157" t="s">
        <v>405</v>
      </c>
      <c r="W201" s="53"/>
      <c r="X201" s="53">
        <f t="shared" si="47"/>
        <v>0</v>
      </c>
      <c r="Y201" s="55"/>
      <c r="Z201" s="55"/>
      <c r="AA201" s="52">
        <f t="shared" si="48"/>
        <v>0</v>
      </c>
      <c r="AB201" s="53">
        <f t="shared" si="49"/>
        <v>0</v>
      </c>
      <c r="AC201" s="53">
        <f t="shared" si="50"/>
        <v>0</v>
      </c>
      <c r="AD201" s="53">
        <f t="shared" si="51"/>
        <v>0</v>
      </c>
      <c r="AE201" s="53">
        <f t="shared" si="52"/>
        <v>0</v>
      </c>
      <c r="AF201" s="53">
        <f t="shared" si="53"/>
        <v>0</v>
      </c>
      <c r="AG201" s="56">
        <f t="shared" si="54"/>
        <v>0</v>
      </c>
      <c r="AH201" s="53">
        <f t="shared" si="55"/>
        <v>0</v>
      </c>
      <c r="AI201" s="55"/>
      <c r="AJ201" s="53">
        <f t="shared" si="56"/>
        <v>0</v>
      </c>
      <c r="AK201" s="53">
        <f t="shared" si="57"/>
        <v>0</v>
      </c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7"/>
      <c r="AW201" s="57"/>
      <c r="AX201" s="57"/>
    </row>
    <row r="202" spans="2:50">
      <c r="B202" s="45">
        <v>186</v>
      </c>
      <c r="C202" s="196" t="s">
        <v>304</v>
      </c>
      <c r="D202" s="197" t="s">
        <v>406</v>
      </c>
      <c r="E202" s="198" t="s">
        <v>417</v>
      </c>
      <c r="F202" s="199" t="s">
        <v>427</v>
      </c>
      <c r="G202" s="200" t="s">
        <v>306</v>
      </c>
      <c r="H202" s="201">
        <v>41995</v>
      </c>
      <c r="I202" s="202" t="s">
        <v>409</v>
      </c>
      <c r="J202" s="202">
        <f t="shared" si="46"/>
        <v>726</v>
      </c>
      <c r="K202" s="202">
        <v>6</v>
      </c>
      <c r="L202" s="202">
        <v>720</v>
      </c>
      <c r="M202" s="202"/>
      <c r="N202" s="203">
        <v>0.1</v>
      </c>
      <c r="O202" s="203">
        <v>12</v>
      </c>
      <c r="P202" s="179">
        <v>1</v>
      </c>
      <c r="Q202" s="53"/>
      <c r="R202" s="54" t="s">
        <v>158</v>
      </c>
      <c r="S202" s="54" t="s">
        <v>158</v>
      </c>
      <c r="T202" s="54" t="s">
        <v>158</v>
      </c>
      <c r="U202" s="54" t="s">
        <v>158</v>
      </c>
      <c r="V202" s="157" t="s">
        <v>405</v>
      </c>
      <c r="W202" s="53"/>
      <c r="X202" s="53">
        <f t="shared" si="47"/>
        <v>0</v>
      </c>
      <c r="Y202" s="55"/>
      <c r="Z202" s="55"/>
      <c r="AA202" s="52">
        <f t="shared" si="48"/>
        <v>0</v>
      </c>
      <c r="AB202" s="53">
        <f t="shared" si="49"/>
        <v>0</v>
      </c>
      <c r="AC202" s="53">
        <f t="shared" si="50"/>
        <v>0</v>
      </c>
      <c r="AD202" s="53">
        <f t="shared" si="51"/>
        <v>0</v>
      </c>
      <c r="AE202" s="53">
        <f t="shared" si="52"/>
        <v>0</v>
      </c>
      <c r="AF202" s="53">
        <f t="shared" si="53"/>
        <v>0</v>
      </c>
      <c r="AG202" s="56">
        <f t="shared" si="54"/>
        <v>0</v>
      </c>
      <c r="AH202" s="53">
        <f t="shared" si="55"/>
        <v>0</v>
      </c>
      <c r="AI202" s="55"/>
      <c r="AJ202" s="53">
        <f t="shared" si="56"/>
        <v>0</v>
      </c>
      <c r="AK202" s="53">
        <f t="shared" si="57"/>
        <v>0</v>
      </c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7"/>
      <c r="AW202" s="57"/>
      <c r="AX202" s="57"/>
    </row>
    <row r="203" spans="2:50">
      <c r="B203" s="45">
        <v>187</v>
      </c>
      <c r="C203" s="196" t="s">
        <v>304</v>
      </c>
      <c r="D203" s="197" t="s">
        <v>406</v>
      </c>
      <c r="E203" s="198" t="s">
        <v>417</v>
      </c>
      <c r="F203" s="199" t="s">
        <v>428</v>
      </c>
      <c r="G203" s="200" t="s">
        <v>306</v>
      </c>
      <c r="H203" s="201">
        <v>42375</v>
      </c>
      <c r="I203" s="202" t="s">
        <v>409</v>
      </c>
      <c r="J203" s="202">
        <f t="shared" ref="J203:J266" si="58">SUM(K203:L203)</f>
        <v>726</v>
      </c>
      <c r="K203" s="202">
        <v>6</v>
      </c>
      <c r="L203" s="202">
        <v>720</v>
      </c>
      <c r="M203" s="202"/>
      <c r="N203" s="203">
        <v>0.1</v>
      </c>
      <c r="O203" s="203">
        <v>12</v>
      </c>
      <c r="P203" s="179">
        <v>1</v>
      </c>
      <c r="Q203" s="53"/>
      <c r="R203" s="54" t="s">
        <v>158</v>
      </c>
      <c r="S203" s="54" t="s">
        <v>158</v>
      </c>
      <c r="T203" s="54" t="s">
        <v>158</v>
      </c>
      <c r="U203" s="54" t="s">
        <v>158</v>
      </c>
      <c r="V203" s="157" t="s">
        <v>405</v>
      </c>
      <c r="W203" s="53"/>
      <c r="X203" s="53">
        <f t="shared" si="47"/>
        <v>0</v>
      </c>
      <c r="Y203" s="55"/>
      <c r="Z203" s="55"/>
      <c r="AA203" s="52">
        <f t="shared" si="48"/>
        <v>0</v>
      </c>
      <c r="AB203" s="53">
        <f t="shared" si="49"/>
        <v>0</v>
      </c>
      <c r="AC203" s="53">
        <f t="shared" si="50"/>
        <v>0</v>
      </c>
      <c r="AD203" s="53">
        <f t="shared" si="51"/>
        <v>0</v>
      </c>
      <c r="AE203" s="53">
        <f t="shared" si="52"/>
        <v>0</v>
      </c>
      <c r="AF203" s="53">
        <f t="shared" si="53"/>
        <v>0</v>
      </c>
      <c r="AG203" s="56">
        <f t="shared" si="54"/>
        <v>0</v>
      </c>
      <c r="AH203" s="53">
        <f t="shared" si="55"/>
        <v>0</v>
      </c>
      <c r="AI203" s="55"/>
      <c r="AJ203" s="53">
        <f t="shared" si="56"/>
        <v>0</v>
      </c>
      <c r="AK203" s="53">
        <f t="shared" si="57"/>
        <v>0</v>
      </c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7"/>
      <c r="AW203" s="57"/>
      <c r="AX203" s="57"/>
    </row>
    <row r="204" spans="2:50">
      <c r="B204" s="45">
        <v>188</v>
      </c>
      <c r="C204" s="196" t="s">
        <v>304</v>
      </c>
      <c r="D204" s="197" t="s">
        <v>406</v>
      </c>
      <c r="E204" s="198" t="s">
        <v>417</v>
      </c>
      <c r="F204" s="199" t="s">
        <v>429</v>
      </c>
      <c r="G204" s="200" t="s">
        <v>306</v>
      </c>
      <c r="H204" s="201">
        <v>41995</v>
      </c>
      <c r="I204" s="202" t="s">
        <v>409</v>
      </c>
      <c r="J204" s="202">
        <f t="shared" si="58"/>
        <v>726</v>
      </c>
      <c r="K204" s="202">
        <v>6</v>
      </c>
      <c r="L204" s="202">
        <v>720</v>
      </c>
      <c r="M204" s="202"/>
      <c r="N204" s="203">
        <v>0.1</v>
      </c>
      <c r="O204" s="203">
        <v>12</v>
      </c>
      <c r="P204" s="179">
        <v>1</v>
      </c>
      <c r="Q204" s="53"/>
      <c r="R204" s="54" t="s">
        <v>158</v>
      </c>
      <c r="S204" s="54" t="s">
        <v>158</v>
      </c>
      <c r="T204" s="54" t="s">
        <v>158</v>
      </c>
      <c r="U204" s="54" t="s">
        <v>158</v>
      </c>
      <c r="V204" s="157" t="s">
        <v>405</v>
      </c>
      <c r="W204" s="53"/>
      <c r="X204" s="53">
        <f t="shared" si="47"/>
        <v>0</v>
      </c>
      <c r="Y204" s="55"/>
      <c r="Z204" s="55"/>
      <c r="AA204" s="52">
        <f t="shared" si="48"/>
        <v>0</v>
      </c>
      <c r="AB204" s="53">
        <f t="shared" si="49"/>
        <v>0</v>
      </c>
      <c r="AC204" s="53">
        <f t="shared" si="50"/>
        <v>0</v>
      </c>
      <c r="AD204" s="53">
        <f t="shared" si="51"/>
        <v>0</v>
      </c>
      <c r="AE204" s="53">
        <f t="shared" si="52"/>
        <v>0</v>
      </c>
      <c r="AF204" s="53">
        <f t="shared" si="53"/>
        <v>0</v>
      </c>
      <c r="AG204" s="56">
        <f t="shared" si="54"/>
        <v>0</v>
      </c>
      <c r="AH204" s="53">
        <f t="shared" si="55"/>
        <v>0</v>
      </c>
      <c r="AI204" s="55"/>
      <c r="AJ204" s="53">
        <f t="shared" si="56"/>
        <v>0</v>
      </c>
      <c r="AK204" s="53">
        <f t="shared" si="57"/>
        <v>0</v>
      </c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7"/>
      <c r="AW204" s="57"/>
      <c r="AX204" s="57"/>
    </row>
    <row r="205" spans="2:50">
      <c r="B205" s="45">
        <v>189</v>
      </c>
      <c r="C205" s="196" t="s">
        <v>304</v>
      </c>
      <c r="D205" s="197" t="s">
        <v>406</v>
      </c>
      <c r="E205" s="198" t="s">
        <v>417</v>
      </c>
      <c r="F205" s="199" t="s">
        <v>430</v>
      </c>
      <c r="G205" s="200" t="s">
        <v>306</v>
      </c>
      <c r="H205" s="201">
        <v>41995</v>
      </c>
      <c r="I205" s="202" t="s">
        <v>409</v>
      </c>
      <c r="J205" s="202">
        <f t="shared" si="58"/>
        <v>150</v>
      </c>
      <c r="K205" s="202">
        <v>120</v>
      </c>
      <c r="L205" s="202">
        <v>30</v>
      </c>
      <c r="M205" s="202"/>
      <c r="N205" s="202">
        <v>1.4</v>
      </c>
      <c r="O205" s="202">
        <v>0.5</v>
      </c>
      <c r="P205" s="179">
        <v>1</v>
      </c>
      <c r="Q205" s="53"/>
      <c r="R205" s="54" t="s">
        <v>158</v>
      </c>
      <c r="S205" s="54" t="s">
        <v>158</v>
      </c>
      <c r="T205" s="54" t="s">
        <v>158</v>
      </c>
      <c r="U205" s="54" t="s">
        <v>158</v>
      </c>
      <c r="V205" s="157" t="s">
        <v>405</v>
      </c>
      <c r="W205" s="53"/>
      <c r="X205" s="53">
        <f t="shared" si="47"/>
        <v>0</v>
      </c>
      <c r="Y205" s="55"/>
      <c r="Z205" s="55"/>
      <c r="AA205" s="52">
        <f t="shared" si="48"/>
        <v>0</v>
      </c>
      <c r="AB205" s="53">
        <f t="shared" si="49"/>
        <v>0</v>
      </c>
      <c r="AC205" s="53">
        <f t="shared" si="50"/>
        <v>0</v>
      </c>
      <c r="AD205" s="53">
        <f t="shared" si="51"/>
        <v>0</v>
      </c>
      <c r="AE205" s="53">
        <f t="shared" si="52"/>
        <v>0</v>
      </c>
      <c r="AF205" s="53">
        <f t="shared" si="53"/>
        <v>0</v>
      </c>
      <c r="AG205" s="56">
        <f t="shared" si="54"/>
        <v>0</v>
      </c>
      <c r="AH205" s="53">
        <f t="shared" si="55"/>
        <v>0</v>
      </c>
      <c r="AI205" s="55"/>
      <c r="AJ205" s="53">
        <f t="shared" si="56"/>
        <v>0</v>
      </c>
      <c r="AK205" s="53">
        <f t="shared" si="57"/>
        <v>0</v>
      </c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7"/>
      <c r="AW205" s="57"/>
      <c r="AX205" s="57"/>
    </row>
    <row r="206" spans="2:50">
      <c r="B206" s="45">
        <v>190</v>
      </c>
      <c r="C206" s="196" t="s">
        <v>304</v>
      </c>
      <c r="D206" s="197" t="s">
        <v>406</v>
      </c>
      <c r="E206" s="198" t="s">
        <v>417</v>
      </c>
      <c r="F206" s="199" t="s">
        <v>431</v>
      </c>
      <c r="G206" s="200" t="s">
        <v>306</v>
      </c>
      <c r="H206" s="201">
        <v>41995</v>
      </c>
      <c r="I206" s="202" t="s">
        <v>409</v>
      </c>
      <c r="J206" s="202">
        <f t="shared" si="58"/>
        <v>294</v>
      </c>
      <c r="K206" s="202">
        <v>294</v>
      </c>
      <c r="L206" s="202">
        <v>0</v>
      </c>
      <c r="M206" s="202"/>
      <c r="N206" s="202">
        <v>4.9000000000000004</v>
      </c>
      <c r="O206" s="202">
        <v>0</v>
      </c>
      <c r="P206" s="179">
        <v>1</v>
      </c>
      <c r="Q206" s="53"/>
      <c r="R206" s="54" t="s">
        <v>158</v>
      </c>
      <c r="S206" s="54" t="s">
        <v>158</v>
      </c>
      <c r="T206" s="54" t="s">
        <v>158</v>
      </c>
      <c r="U206" s="54" t="s">
        <v>158</v>
      </c>
      <c r="V206" s="157" t="s">
        <v>405</v>
      </c>
      <c r="W206" s="53"/>
      <c r="X206" s="53">
        <f t="shared" si="47"/>
        <v>0</v>
      </c>
      <c r="Y206" s="55"/>
      <c r="Z206" s="55"/>
      <c r="AA206" s="52">
        <f t="shared" si="48"/>
        <v>0</v>
      </c>
      <c r="AB206" s="53">
        <f t="shared" si="49"/>
        <v>0</v>
      </c>
      <c r="AC206" s="53">
        <f t="shared" si="50"/>
        <v>0</v>
      </c>
      <c r="AD206" s="53">
        <f t="shared" si="51"/>
        <v>0</v>
      </c>
      <c r="AE206" s="53">
        <f t="shared" si="52"/>
        <v>0</v>
      </c>
      <c r="AF206" s="53">
        <f t="shared" si="53"/>
        <v>0</v>
      </c>
      <c r="AG206" s="56">
        <f t="shared" si="54"/>
        <v>0</v>
      </c>
      <c r="AH206" s="53">
        <f t="shared" si="55"/>
        <v>0</v>
      </c>
      <c r="AI206" s="55"/>
      <c r="AJ206" s="53">
        <f t="shared" si="56"/>
        <v>0</v>
      </c>
      <c r="AK206" s="53">
        <f t="shared" si="57"/>
        <v>0</v>
      </c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7"/>
      <c r="AW206" s="57"/>
      <c r="AX206" s="57"/>
    </row>
    <row r="207" spans="2:50">
      <c r="B207" s="45">
        <v>191</v>
      </c>
      <c r="C207" s="196" t="s">
        <v>304</v>
      </c>
      <c r="D207" s="197" t="s">
        <v>406</v>
      </c>
      <c r="E207" s="198" t="s">
        <v>417</v>
      </c>
      <c r="F207" s="199" t="s">
        <v>432</v>
      </c>
      <c r="G207" s="200" t="s">
        <v>300</v>
      </c>
      <c r="H207" s="201">
        <v>41995</v>
      </c>
      <c r="I207" s="202" t="s">
        <v>409</v>
      </c>
      <c r="J207" s="202">
        <f t="shared" si="58"/>
        <v>60</v>
      </c>
      <c r="K207" s="202">
        <v>12</v>
      </c>
      <c r="L207" s="202">
        <v>48</v>
      </c>
      <c r="M207" s="202"/>
      <c r="N207" s="203">
        <v>0.2</v>
      </c>
      <c r="O207" s="203">
        <v>0.8</v>
      </c>
      <c r="P207" s="179">
        <v>1</v>
      </c>
      <c r="Q207" s="53"/>
      <c r="R207" s="54" t="s">
        <v>158</v>
      </c>
      <c r="S207" s="54" t="s">
        <v>158</v>
      </c>
      <c r="T207" s="54" t="s">
        <v>158</v>
      </c>
      <c r="U207" s="54" t="s">
        <v>158</v>
      </c>
      <c r="V207" s="157" t="s">
        <v>405</v>
      </c>
      <c r="W207" s="53"/>
      <c r="X207" s="53">
        <f t="shared" si="47"/>
        <v>0</v>
      </c>
      <c r="Y207" s="55"/>
      <c r="Z207" s="55"/>
      <c r="AA207" s="52">
        <f t="shared" si="48"/>
        <v>0</v>
      </c>
      <c r="AB207" s="53">
        <f t="shared" si="49"/>
        <v>0</v>
      </c>
      <c r="AC207" s="53">
        <f t="shared" si="50"/>
        <v>0</v>
      </c>
      <c r="AD207" s="53">
        <f t="shared" si="51"/>
        <v>0</v>
      </c>
      <c r="AE207" s="53">
        <f t="shared" si="52"/>
        <v>0</v>
      </c>
      <c r="AF207" s="53">
        <f t="shared" si="53"/>
        <v>0</v>
      </c>
      <c r="AG207" s="56">
        <f t="shared" si="54"/>
        <v>0</v>
      </c>
      <c r="AH207" s="53">
        <f t="shared" si="55"/>
        <v>0</v>
      </c>
      <c r="AI207" s="55"/>
      <c r="AJ207" s="53">
        <f t="shared" si="56"/>
        <v>0</v>
      </c>
      <c r="AK207" s="53">
        <f t="shared" si="57"/>
        <v>0</v>
      </c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7"/>
      <c r="AW207" s="57"/>
      <c r="AX207" s="57"/>
    </row>
    <row r="208" spans="2:50">
      <c r="B208" s="45">
        <v>192</v>
      </c>
      <c r="C208" s="196" t="s">
        <v>304</v>
      </c>
      <c r="D208" s="197" t="s">
        <v>406</v>
      </c>
      <c r="E208" s="198" t="s">
        <v>417</v>
      </c>
      <c r="F208" s="199" t="s">
        <v>433</v>
      </c>
      <c r="G208" s="200" t="s">
        <v>300</v>
      </c>
      <c r="H208" s="201">
        <v>41995</v>
      </c>
      <c r="I208" s="202" t="s">
        <v>409</v>
      </c>
      <c r="J208" s="202">
        <f t="shared" si="58"/>
        <v>120</v>
      </c>
      <c r="K208" s="202">
        <v>120</v>
      </c>
      <c r="L208" s="202">
        <v>0</v>
      </c>
      <c r="M208" s="202"/>
      <c r="N208" s="202">
        <v>2</v>
      </c>
      <c r="O208" s="202">
        <v>0</v>
      </c>
      <c r="P208" s="179">
        <v>1</v>
      </c>
      <c r="Q208" s="53"/>
      <c r="R208" s="54" t="s">
        <v>158</v>
      </c>
      <c r="S208" s="54" t="s">
        <v>158</v>
      </c>
      <c r="T208" s="54" t="s">
        <v>158</v>
      </c>
      <c r="U208" s="54" t="s">
        <v>158</v>
      </c>
      <c r="V208" s="157" t="s">
        <v>405</v>
      </c>
      <c r="W208" s="53"/>
      <c r="X208" s="53">
        <f t="shared" si="47"/>
        <v>0</v>
      </c>
      <c r="Y208" s="55"/>
      <c r="Z208" s="55"/>
      <c r="AA208" s="52">
        <f t="shared" si="48"/>
        <v>0</v>
      </c>
      <c r="AB208" s="53">
        <f t="shared" si="49"/>
        <v>0</v>
      </c>
      <c r="AC208" s="53">
        <f t="shared" si="50"/>
        <v>0</v>
      </c>
      <c r="AD208" s="53">
        <f t="shared" si="51"/>
        <v>0</v>
      </c>
      <c r="AE208" s="53">
        <f t="shared" si="52"/>
        <v>0</v>
      </c>
      <c r="AF208" s="53">
        <f t="shared" si="53"/>
        <v>0</v>
      </c>
      <c r="AG208" s="56">
        <f t="shared" si="54"/>
        <v>0</v>
      </c>
      <c r="AH208" s="53">
        <f t="shared" si="55"/>
        <v>0</v>
      </c>
      <c r="AI208" s="55"/>
      <c r="AJ208" s="53">
        <f t="shared" si="56"/>
        <v>0</v>
      </c>
      <c r="AK208" s="53">
        <f t="shared" si="57"/>
        <v>0</v>
      </c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7"/>
      <c r="AW208" s="57"/>
      <c r="AX208" s="57"/>
    </row>
    <row r="209" spans="2:50">
      <c r="B209" s="45">
        <v>193</v>
      </c>
      <c r="C209" s="196" t="s">
        <v>304</v>
      </c>
      <c r="D209" s="197" t="s">
        <v>406</v>
      </c>
      <c r="E209" s="198" t="s">
        <v>417</v>
      </c>
      <c r="F209" s="199" t="s">
        <v>434</v>
      </c>
      <c r="G209" s="200" t="s">
        <v>306</v>
      </c>
      <c r="H209" s="201">
        <v>41995</v>
      </c>
      <c r="I209" s="202" t="s">
        <v>409</v>
      </c>
      <c r="J209" s="202">
        <f t="shared" si="58"/>
        <v>18</v>
      </c>
      <c r="K209" s="202">
        <v>18</v>
      </c>
      <c r="L209" s="202">
        <v>0</v>
      </c>
      <c r="M209" s="202"/>
      <c r="N209" s="202">
        <v>0.11</v>
      </c>
      <c r="O209" s="202">
        <v>0</v>
      </c>
      <c r="P209" s="179">
        <v>1</v>
      </c>
      <c r="Q209" s="53"/>
      <c r="R209" s="54" t="s">
        <v>158</v>
      </c>
      <c r="S209" s="54" t="s">
        <v>158</v>
      </c>
      <c r="T209" s="54" t="s">
        <v>158</v>
      </c>
      <c r="U209" s="54" t="s">
        <v>158</v>
      </c>
      <c r="V209" s="157" t="s">
        <v>405</v>
      </c>
      <c r="W209" s="53"/>
      <c r="X209" s="53">
        <f t="shared" si="47"/>
        <v>0</v>
      </c>
      <c r="Y209" s="55"/>
      <c r="Z209" s="55"/>
      <c r="AA209" s="52">
        <f t="shared" si="48"/>
        <v>0</v>
      </c>
      <c r="AB209" s="53">
        <f t="shared" si="49"/>
        <v>0</v>
      </c>
      <c r="AC209" s="53">
        <f t="shared" si="50"/>
        <v>0</v>
      </c>
      <c r="AD209" s="53">
        <f t="shared" si="51"/>
        <v>0</v>
      </c>
      <c r="AE209" s="53">
        <f t="shared" si="52"/>
        <v>0</v>
      </c>
      <c r="AF209" s="53">
        <f t="shared" si="53"/>
        <v>0</v>
      </c>
      <c r="AG209" s="56">
        <f t="shared" si="54"/>
        <v>0</v>
      </c>
      <c r="AH209" s="53">
        <f t="shared" si="55"/>
        <v>0</v>
      </c>
      <c r="AI209" s="55"/>
      <c r="AJ209" s="53">
        <f t="shared" si="56"/>
        <v>0</v>
      </c>
      <c r="AK209" s="53">
        <f t="shared" si="57"/>
        <v>0</v>
      </c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7"/>
      <c r="AW209" s="57"/>
      <c r="AX209" s="57"/>
    </row>
    <row r="210" spans="2:50">
      <c r="B210" s="45">
        <v>194</v>
      </c>
      <c r="C210" s="196" t="s">
        <v>304</v>
      </c>
      <c r="D210" s="197" t="s">
        <v>406</v>
      </c>
      <c r="E210" s="198" t="s">
        <v>417</v>
      </c>
      <c r="F210" s="199" t="s">
        <v>435</v>
      </c>
      <c r="G210" s="200" t="s">
        <v>300</v>
      </c>
      <c r="H210" s="201">
        <v>42128</v>
      </c>
      <c r="I210" s="202" t="s">
        <v>409</v>
      </c>
      <c r="J210" s="202">
        <f t="shared" si="58"/>
        <v>36</v>
      </c>
      <c r="K210" s="202">
        <v>36</v>
      </c>
      <c r="L210" s="202">
        <v>0</v>
      </c>
      <c r="M210" s="202"/>
      <c r="N210" s="202">
        <v>0.4</v>
      </c>
      <c r="O210" s="202">
        <v>0</v>
      </c>
      <c r="P210" s="179">
        <v>1</v>
      </c>
      <c r="Q210" s="53"/>
      <c r="R210" s="54" t="s">
        <v>158</v>
      </c>
      <c r="S210" s="54" t="s">
        <v>158</v>
      </c>
      <c r="T210" s="54" t="s">
        <v>158</v>
      </c>
      <c r="U210" s="54" t="s">
        <v>158</v>
      </c>
      <c r="V210" s="157" t="s">
        <v>405</v>
      </c>
      <c r="W210" s="53"/>
      <c r="X210" s="53">
        <f t="shared" si="47"/>
        <v>0</v>
      </c>
      <c r="Y210" s="55"/>
      <c r="Z210" s="55"/>
      <c r="AA210" s="52">
        <f t="shared" si="48"/>
        <v>0</v>
      </c>
      <c r="AB210" s="53">
        <f t="shared" si="49"/>
        <v>0</v>
      </c>
      <c r="AC210" s="53">
        <f t="shared" si="50"/>
        <v>0</v>
      </c>
      <c r="AD210" s="53">
        <f t="shared" si="51"/>
        <v>0</v>
      </c>
      <c r="AE210" s="53">
        <f t="shared" si="52"/>
        <v>0</v>
      </c>
      <c r="AF210" s="53">
        <f t="shared" si="53"/>
        <v>0</v>
      </c>
      <c r="AG210" s="56">
        <f t="shared" si="54"/>
        <v>0</v>
      </c>
      <c r="AH210" s="53">
        <f t="shared" si="55"/>
        <v>0</v>
      </c>
      <c r="AI210" s="55"/>
      <c r="AJ210" s="53">
        <f t="shared" si="56"/>
        <v>0</v>
      </c>
      <c r="AK210" s="53">
        <f t="shared" si="57"/>
        <v>0</v>
      </c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7"/>
      <c r="AW210" s="57"/>
      <c r="AX210" s="57"/>
    </row>
    <row r="211" spans="2:50">
      <c r="B211" s="45">
        <v>195</v>
      </c>
      <c r="C211" s="196" t="s">
        <v>304</v>
      </c>
      <c r="D211" s="197" t="s">
        <v>406</v>
      </c>
      <c r="E211" s="198" t="s">
        <v>436</v>
      </c>
      <c r="F211" s="199" t="s">
        <v>437</v>
      </c>
      <c r="G211" s="200" t="s">
        <v>306</v>
      </c>
      <c r="H211" s="201">
        <v>41995</v>
      </c>
      <c r="I211" s="202" t="s">
        <v>409</v>
      </c>
      <c r="J211" s="202">
        <f t="shared" si="58"/>
        <v>6</v>
      </c>
      <c r="K211" s="202">
        <v>6</v>
      </c>
      <c r="L211" s="202">
        <v>0</v>
      </c>
      <c r="M211" s="202"/>
      <c r="N211" s="203">
        <v>0.1</v>
      </c>
      <c r="O211" s="203">
        <v>0</v>
      </c>
      <c r="P211" s="179">
        <v>1</v>
      </c>
      <c r="Q211" s="53"/>
      <c r="R211" s="54" t="s">
        <v>158</v>
      </c>
      <c r="S211" s="54" t="s">
        <v>158</v>
      </c>
      <c r="T211" s="54" t="s">
        <v>158</v>
      </c>
      <c r="U211" s="54" t="s">
        <v>158</v>
      </c>
      <c r="V211" s="157" t="s">
        <v>405</v>
      </c>
      <c r="W211" s="53"/>
      <c r="X211" s="53">
        <f t="shared" si="47"/>
        <v>0</v>
      </c>
      <c r="Y211" s="55"/>
      <c r="Z211" s="55"/>
      <c r="AA211" s="52">
        <f t="shared" si="48"/>
        <v>0</v>
      </c>
      <c r="AB211" s="53">
        <f t="shared" si="49"/>
        <v>0</v>
      </c>
      <c r="AC211" s="53">
        <f t="shared" si="50"/>
        <v>0</v>
      </c>
      <c r="AD211" s="53">
        <f t="shared" si="51"/>
        <v>0</v>
      </c>
      <c r="AE211" s="53">
        <f t="shared" si="52"/>
        <v>0</v>
      </c>
      <c r="AF211" s="53">
        <f t="shared" si="53"/>
        <v>0</v>
      </c>
      <c r="AG211" s="56">
        <f t="shared" si="54"/>
        <v>0</v>
      </c>
      <c r="AH211" s="53">
        <f t="shared" si="55"/>
        <v>0</v>
      </c>
      <c r="AI211" s="55"/>
      <c r="AJ211" s="53">
        <f t="shared" si="56"/>
        <v>0</v>
      </c>
      <c r="AK211" s="53">
        <f t="shared" si="57"/>
        <v>0</v>
      </c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7"/>
      <c r="AW211" s="57"/>
      <c r="AX211" s="57"/>
    </row>
    <row r="212" spans="2:50">
      <c r="B212" s="45">
        <v>196</v>
      </c>
      <c r="C212" s="196" t="s">
        <v>304</v>
      </c>
      <c r="D212" s="197" t="s">
        <v>406</v>
      </c>
      <c r="E212" s="198" t="s">
        <v>436</v>
      </c>
      <c r="F212" s="199" t="s">
        <v>438</v>
      </c>
      <c r="G212" s="200" t="s">
        <v>306</v>
      </c>
      <c r="H212" s="201">
        <v>42429</v>
      </c>
      <c r="I212" s="202" t="s">
        <v>409</v>
      </c>
      <c r="J212" s="202">
        <f t="shared" si="58"/>
        <v>138</v>
      </c>
      <c r="K212" s="202">
        <v>138</v>
      </c>
      <c r="L212" s="202">
        <v>0</v>
      </c>
      <c r="M212" s="202"/>
      <c r="N212" s="202">
        <v>2.2999999999999998</v>
      </c>
      <c r="O212" s="202">
        <v>0</v>
      </c>
      <c r="P212" s="179">
        <v>1</v>
      </c>
      <c r="Q212" s="53"/>
      <c r="R212" s="54" t="s">
        <v>158</v>
      </c>
      <c r="S212" s="54" t="s">
        <v>158</v>
      </c>
      <c r="T212" s="54" t="s">
        <v>158</v>
      </c>
      <c r="U212" s="54" t="s">
        <v>158</v>
      </c>
      <c r="V212" s="157" t="s">
        <v>405</v>
      </c>
      <c r="W212" s="53"/>
      <c r="X212" s="53">
        <f t="shared" si="47"/>
        <v>0</v>
      </c>
      <c r="Y212" s="55"/>
      <c r="Z212" s="55"/>
      <c r="AA212" s="52">
        <f t="shared" si="48"/>
        <v>0</v>
      </c>
      <c r="AB212" s="53">
        <f t="shared" si="49"/>
        <v>0</v>
      </c>
      <c r="AC212" s="53">
        <f t="shared" si="50"/>
        <v>0</v>
      </c>
      <c r="AD212" s="53">
        <f t="shared" si="51"/>
        <v>0</v>
      </c>
      <c r="AE212" s="53">
        <f t="shared" si="52"/>
        <v>0</v>
      </c>
      <c r="AF212" s="53">
        <f t="shared" si="53"/>
        <v>0</v>
      </c>
      <c r="AG212" s="56">
        <f t="shared" si="54"/>
        <v>0</v>
      </c>
      <c r="AH212" s="53">
        <f t="shared" si="55"/>
        <v>0</v>
      </c>
      <c r="AI212" s="55"/>
      <c r="AJ212" s="53">
        <f t="shared" si="56"/>
        <v>0</v>
      </c>
      <c r="AK212" s="53">
        <f t="shared" si="57"/>
        <v>0</v>
      </c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7"/>
      <c r="AW212" s="57"/>
      <c r="AX212" s="57"/>
    </row>
    <row r="213" spans="2:50">
      <c r="B213" s="45">
        <v>197</v>
      </c>
      <c r="C213" s="196" t="s">
        <v>304</v>
      </c>
      <c r="D213" s="197" t="s">
        <v>406</v>
      </c>
      <c r="E213" s="198" t="s">
        <v>436</v>
      </c>
      <c r="F213" s="199" t="s">
        <v>439</v>
      </c>
      <c r="G213" s="200" t="s">
        <v>306</v>
      </c>
      <c r="H213" s="201">
        <v>41995</v>
      </c>
      <c r="I213" s="202" t="s">
        <v>409</v>
      </c>
      <c r="J213" s="202">
        <f t="shared" si="58"/>
        <v>48</v>
      </c>
      <c r="K213" s="202">
        <v>48</v>
      </c>
      <c r="L213" s="202">
        <v>0</v>
      </c>
      <c r="M213" s="202"/>
      <c r="N213" s="202">
        <v>0.8</v>
      </c>
      <c r="O213" s="202">
        <v>0</v>
      </c>
      <c r="P213" s="179">
        <v>1</v>
      </c>
      <c r="Q213" s="53"/>
      <c r="R213" s="54" t="s">
        <v>158</v>
      </c>
      <c r="S213" s="54" t="s">
        <v>158</v>
      </c>
      <c r="T213" s="54" t="s">
        <v>158</v>
      </c>
      <c r="U213" s="54" t="s">
        <v>158</v>
      </c>
      <c r="V213" s="157" t="s">
        <v>405</v>
      </c>
      <c r="W213" s="53"/>
      <c r="X213" s="53">
        <f t="shared" si="47"/>
        <v>0</v>
      </c>
      <c r="Y213" s="55"/>
      <c r="Z213" s="55"/>
      <c r="AA213" s="52">
        <f t="shared" si="48"/>
        <v>0</v>
      </c>
      <c r="AB213" s="53">
        <f t="shared" si="49"/>
        <v>0</v>
      </c>
      <c r="AC213" s="53">
        <f t="shared" si="50"/>
        <v>0</v>
      </c>
      <c r="AD213" s="53">
        <f t="shared" si="51"/>
        <v>0</v>
      </c>
      <c r="AE213" s="53">
        <f t="shared" si="52"/>
        <v>0</v>
      </c>
      <c r="AF213" s="53">
        <f t="shared" si="53"/>
        <v>0</v>
      </c>
      <c r="AG213" s="56">
        <f t="shared" si="54"/>
        <v>0</v>
      </c>
      <c r="AH213" s="53">
        <f t="shared" si="55"/>
        <v>0</v>
      </c>
      <c r="AI213" s="55"/>
      <c r="AJ213" s="53">
        <f t="shared" si="56"/>
        <v>0</v>
      </c>
      <c r="AK213" s="53">
        <f t="shared" si="57"/>
        <v>0</v>
      </c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7"/>
      <c r="AW213" s="57"/>
      <c r="AX213" s="57"/>
    </row>
    <row r="214" spans="2:50">
      <c r="B214" s="45">
        <v>198</v>
      </c>
      <c r="C214" s="196" t="s">
        <v>304</v>
      </c>
      <c r="D214" s="197" t="s">
        <v>406</v>
      </c>
      <c r="E214" s="198" t="s">
        <v>436</v>
      </c>
      <c r="F214" s="199" t="s">
        <v>440</v>
      </c>
      <c r="G214" s="200" t="s">
        <v>306</v>
      </c>
      <c r="H214" s="201">
        <v>42429</v>
      </c>
      <c r="I214" s="202" t="s">
        <v>409</v>
      </c>
      <c r="J214" s="202">
        <f t="shared" si="58"/>
        <v>138</v>
      </c>
      <c r="K214" s="202">
        <v>138</v>
      </c>
      <c r="L214" s="202">
        <v>0</v>
      </c>
      <c r="M214" s="202"/>
      <c r="N214" s="202">
        <v>2.2999999999999998</v>
      </c>
      <c r="O214" s="202">
        <v>0</v>
      </c>
      <c r="P214" s="179">
        <v>1</v>
      </c>
      <c r="Q214" s="53"/>
      <c r="R214" s="54" t="s">
        <v>158</v>
      </c>
      <c r="S214" s="54" t="s">
        <v>158</v>
      </c>
      <c r="T214" s="54" t="s">
        <v>158</v>
      </c>
      <c r="U214" s="54" t="s">
        <v>158</v>
      </c>
      <c r="V214" s="157" t="s">
        <v>405</v>
      </c>
      <c r="W214" s="53"/>
      <c r="X214" s="53">
        <f t="shared" si="47"/>
        <v>0</v>
      </c>
      <c r="Y214" s="55"/>
      <c r="Z214" s="55"/>
      <c r="AA214" s="52">
        <f t="shared" si="48"/>
        <v>0</v>
      </c>
      <c r="AB214" s="53">
        <f t="shared" si="49"/>
        <v>0</v>
      </c>
      <c r="AC214" s="53">
        <f t="shared" si="50"/>
        <v>0</v>
      </c>
      <c r="AD214" s="53">
        <f t="shared" si="51"/>
        <v>0</v>
      </c>
      <c r="AE214" s="53">
        <f t="shared" si="52"/>
        <v>0</v>
      </c>
      <c r="AF214" s="53">
        <f t="shared" si="53"/>
        <v>0</v>
      </c>
      <c r="AG214" s="56">
        <f t="shared" si="54"/>
        <v>0</v>
      </c>
      <c r="AH214" s="53">
        <f t="shared" si="55"/>
        <v>0</v>
      </c>
      <c r="AI214" s="55"/>
      <c r="AJ214" s="53">
        <f t="shared" si="56"/>
        <v>0</v>
      </c>
      <c r="AK214" s="53">
        <f t="shared" si="57"/>
        <v>0</v>
      </c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7"/>
      <c r="AW214" s="57"/>
      <c r="AX214" s="57"/>
    </row>
    <row r="215" spans="2:50">
      <c r="B215" s="45">
        <v>199</v>
      </c>
      <c r="C215" s="196" t="s">
        <v>304</v>
      </c>
      <c r="D215" s="197" t="s">
        <v>406</v>
      </c>
      <c r="E215" s="198" t="s">
        <v>436</v>
      </c>
      <c r="F215" s="199" t="s">
        <v>441</v>
      </c>
      <c r="G215" s="200" t="s">
        <v>306</v>
      </c>
      <c r="H215" s="201">
        <v>41995</v>
      </c>
      <c r="I215" s="202" t="s">
        <v>409</v>
      </c>
      <c r="J215" s="202">
        <f t="shared" si="58"/>
        <v>48</v>
      </c>
      <c r="K215" s="202">
        <v>48</v>
      </c>
      <c r="L215" s="202">
        <v>0</v>
      </c>
      <c r="M215" s="202"/>
      <c r="N215" s="202">
        <v>0.8</v>
      </c>
      <c r="O215" s="202">
        <v>0</v>
      </c>
      <c r="P215" s="179">
        <v>1</v>
      </c>
      <c r="Q215" s="53"/>
      <c r="R215" s="54" t="s">
        <v>158</v>
      </c>
      <c r="S215" s="54" t="s">
        <v>158</v>
      </c>
      <c r="T215" s="54" t="s">
        <v>158</v>
      </c>
      <c r="U215" s="54" t="s">
        <v>158</v>
      </c>
      <c r="V215" s="157" t="s">
        <v>405</v>
      </c>
      <c r="W215" s="53"/>
      <c r="X215" s="53">
        <f t="shared" si="47"/>
        <v>0</v>
      </c>
      <c r="Y215" s="55"/>
      <c r="Z215" s="55"/>
      <c r="AA215" s="52">
        <f t="shared" si="48"/>
        <v>0</v>
      </c>
      <c r="AB215" s="53">
        <f t="shared" si="49"/>
        <v>0</v>
      </c>
      <c r="AC215" s="53">
        <f t="shared" si="50"/>
        <v>0</v>
      </c>
      <c r="AD215" s="53">
        <f t="shared" si="51"/>
        <v>0</v>
      </c>
      <c r="AE215" s="53">
        <f t="shared" si="52"/>
        <v>0</v>
      </c>
      <c r="AF215" s="53">
        <f t="shared" si="53"/>
        <v>0</v>
      </c>
      <c r="AG215" s="56">
        <f t="shared" si="54"/>
        <v>0</v>
      </c>
      <c r="AH215" s="53">
        <f t="shared" si="55"/>
        <v>0</v>
      </c>
      <c r="AI215" s="55"/>
      <c r="AJ215" s="53">
        <f t="shared" si="56"/>
        <v>0</v>
      </c>
      <c r="AK215" s="53">
        <f t="shared" si="57"/>
        <v>0</v>
      </c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7"/>
      <c r="AW215" s="57"/>
      <c r="AX215" s="57"/>
    </row>
    <row r="216" spans="2:50">
      <c r="B216" s="45">
        <v>200</v>
      </c>
      <c r="C216" s="196" t="s">
        <v>304</v>
      </c>
      <c r="D216" s="197" t="s">
        <v>406</v>
      </c>
      <c r="E216" s="198" t="s">
        <v>436</v>
      </c>
      <c r="F216" s="199" t="s">
        <v>442</v>
      </c>
      <c r="G216" s="200" t="s">
        <v>306</v>
      </c>
      <c r="H216" s="201">
        <v>42429</v>
      </c>
      <c r="I216" s="202" t="s">
        <v>409</v>
      </c>
      <c r="J216" s="202">
        <f t="shared" si="58"/>
        <v>78</v>
      </c>
      <c r="K216" s="202">
        <v>78</v>
      </c>
      <c r="L216" s="202">
        <v>0</v>
      </c>
      <c r="M216" s="202"/>
      <c r="N216" s="202">
        <v>1.3</v>
      </c>
      <c r="O216" s="202">
        <v>0</v>
      </c>
      <c r="P216" s="179">
        <v>1</v>
      </c>
      <c r="Q216" s="53"/>
      <c r="R216" s="54" t="s">
        <v>158</v>
      </c>
      <c r="S216" s="54" t="s">
        <v>158</v>
      </c>
      <c r="T216" s="54" t="s">
        <v>158</v>
      </c>
      <c r="U216" s="54" t="s">
        <v>158</v>
      </c>
      <c r="V216" s="157" t="s">
        <v>405</v>
      </c>
      <c r="W216" s="53"/>
      <c r="X216" s="53">
        <f t="shared" si="47"/>
        <v>0</v>
      </c>
      <c r="Y216" s="55"/>
      <c r="Z216" s="55"/>
      <c r="AA216" s="52">
        <f t="shared" si="48"/>
        <v>0</v>
      </c>
      <c r="AB216" s="53">
        <f t="shared" si="49"/>
        <v>0</v>
      </c>
      <c r="AC216" s="53">
        <f t="shared" si="50"/>
        <v>0</v>
      </c>
      <c r="AD216" s="53">
        <f t="shared" si="51"/>
        <v>0</v>
      </c>
      <c r="AE216" s="53">
        <f t="shared" si="52"/>
        <v>0</v>
      </c>
      <c r="AF216" s="53">
        <f t="shared" si="53"/>
        <v>0</v>
      </c>
      <c r="AG216" s="56">
        <f t="shared" si="54"/>
        <v>0</v>
      </c>
      <c r="AH216" s="53">
        <f t="shared" si="55"/>
        <v>0</v>
      </c>
      <c r="AI216" s="55"/>
      <c r="AJ216" s="53">
        <f t="shared" si="56"/>
        <v>0</v>
      </c>
      <c r="AK216" s="53">
        <f t="shared" si="57"/>
        <v>0</v>
      </c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7"/>
      <c r="AW216" s="57"/>
      <c r="AX216" s="57"/>
    </row>
    <row r="217" spans="2:50">
      <c r="B217" s="45">
        <v>201</v>
      </c>
      <c r="C217" s="196" t="s">
        <v>304</v>
      </c>
      <c r="D217" s="197" t="s">
        <v>406</v>
      </c>
      <c r="E217" s="198" t="s">
        <v>436</v>
      </c>
      <c r="F217" s="199" t="s">
        <v>443</v>
      </c>
      <c r="G217" s="200" t="s">
        <v>306</v>
      </c>
      <c r="H217" s="201">
        <v>42390</v>
      </c>
      <c r="I217" s="202" t="s">
        <v>409</v>
      </c>
      <c r="J217" s="202">
        <f t="shared" si="58"/>
        <v>48</v>
      </c>
      <c r="K217" s="202">
        <v>48</v>
      </c>
      <c r="L217" s="202">
        <v>0</v>
      </c>
      <c r="M217" s="202"/>
      <c r="N217" s="203">
        <v>0.8</v>
      </c>
      <c r="O217" s="203">
        <v>0</v>
      </c>
      <c r="P217" s="179">
        <v>1</v>
      </c>
      <c r="Q217" s="53"/>
      <c r="R217" s="54" t="s">
        <v>158</v>
      </c>
      <c r="S217" s="54" t="s">
        <v>158</v>
      </c>
      <c r="T217" s="54" t="s">
        <v>158</v>
      </c>
      <c r="U217" s="54" t="s">
        <v>158</v>
      </c>
      <c r="V217" s="157" t="s">
        <v>405</v>
      </c>
      <c r="W217" s="53"/>
      <c r="X217" s="53">
        <f t="shared" si="47"/>
        <v>0</v>
      </c>
      <c r="Y217" s="55"/>
      <c r="Z217" s="55"/>
      <c r="AA217" s="52">
        <f t="shared" si="48"/>
        <v>0</v>
      </c>
      <c r="AB217" s="53">
        <f t="shared" si="49"/>
        <v>0</v>
      </c>
      <c r="AC217" s="53">
        <f t="shared" si="50"/>
        <v>0</v>
      </c>
      <c r="AD217" s="53">
        <f t="shared" si="51"/>
        <v>0</v>
      </c>
      <c r="AE217" s="53">
        <f t="shared" si="52"/>
        <v>0</v>
      </c>
      <c r="AF217" s="53">
        <f t="shared" si="53"/>
        <v>0</v>
      </c>
      <c r="AG217" s="56">
        <f t="shared" si="54"/>
        <v>0</v>
      </c>
      <c r="AH217" s="53">
        <f t="shared" si="55"/>
        <v>0</v>
      </c>
      <c r="AI217" s="55"/>
      <c r="AJ217" s="53">
        <f t="shared" si="56"/>
        <v>0</v>
      </c>
      <c r="AK217" s="53">
        <f t="shared" si="57"/>
        <v>0</v>
      </c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7"/>
      <c r="AW217" s="57"/>
      <c r="AX217" s="57"/>
    </row>
    <row r="218" spans="2:50">
      <c r="B218" s="45">
        <v>202</v>
      </c>
      <c r="C218" s="196" t="s">
        <v>304</v>
      </c>
      <c r="D218" s="197" t="s">
        <v>406</v>
      </c>
      <c r="E218" s="198" t="s">
        <v>436</v>
      </c>
      <c r="F218" s="199" t="s">
        <v>444</v>
      </c>
      <c r="G218" s="200" t="s">
        <v>306</v>
      </c>
      <c r="H218" s="201">
        <v>42375</v>
      </c>
      <c r="I218" s="202" t="s">
        <v>409</v>
      </c>
      <c r="J218" s="202">
        <f t="shared" si="58"/>
        <v>726</v>
      </c>
      <c r="K218" s="202">
        <v>6</v>
      </c>
      <c r="L218" s="202">
        <v>720</v>
      </c>
      <c r="M218" s="202"/>
      <c r="N218" s="203">
        <v>0.1</v>
      </c>
      <c r="O218" s="203">
        <v>12</v>
      </c>
      <c r="P218" s="179">
        <v>1</v>
      </c>
      <c r="Q218" s="53"/>
      <c r="R218" s="54" t="s">
        <v>158</v>
      </c>
      <c r="S218" s="54" t="s">
        <v>158</v>
      </c>
      <c r="T218" s="54" t="s">
        <v>158</v>
      </c>
      <c r="U218" s="54" t="s">
        <v>158</v>
      </c>
      <c r="V218" s="157" t="s">
        <v>405</v>
      </c>
      <c r="W218" s="53"/>
      <c r="X218" s="53">
        <f t="shared" si="47"/>
        <v>0</v>
      </c>
      <c r="Y218" s="55"/>
      <c r="Z218" s="55"/>
      <c r="AA218" s="52">
        <f t="shared" si="48"/>
        <v>0</v>
      </c>
      <c r="AB218" s="53">
        <f t="shared" si="49"/>
        <v>0</v>
      </c>
      <c r="AC218" s="53">
        <f t="shared" si="50"/>
        <v>0</v>
      </c>
      <c r="AD218" s="53">
        <f t="shared" si="51"/>
        <v>0</v>
      </c>
      <c r="AE218" s="53">
        <f t="shared" si="52"/>
        <v>0</v>
      </c>
      <c r="AF218" s="53">
        <f t="shared" si="53"/>
        <v>0</v>
      </c>
      <c r="AG218" s="56">
        <f t="shared" si="54"/>
        <v>0</v>
      </c>
      <c r="AH218" s="53">
        <f t="shared" si="55"/>
        <v>0</v>
      </c>
      <c r="AI218" s="55"/>
      <c r="AJ218" s="53">
        <f t="shared" si="56"/>
        <v>0</v>
      </c>
      <c r="AK218" s="53">
        <f t="shared" si="57"/>
        <v>0</v>
      </c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7"/>
      <c r="AW218" s="57"/>
      <c r="AX218" s="57"/>
    </row>
    <row r="219" spans="2:50">
      <c r="B219" s="45">
        <v>203</v>
      </c>
      <c r="C219" s="196" t="s">
        <v>304</v>
      </c>
      <c r="D219" s="197" t="s">
        <v>406</v>
      </c>
      <c r="E219" s="198" t="s">
        <v>436</v>
      </c>
      <c r="F219" s="199" t="s">
        <v>445</v>
      </c>
      <c r="G219" s="200" t="s">
        <v>306</v>
      </c>
      <c r="H219" s="201">
        <v>41995</v>
      </c>
      <c r="I219" s="202" t="s">
        <v>409</v>
      </c>
      <c r="J219" s="202">
        <f t="shared" si="58"/>
        <v>726</v>
      </c>
      <c r="K219" s="202">
        <v>6</v>
      </c>
      <c r="L219" s="202">
        <v>720</v>
      </c>
      <c r="M219" s="202"/>
      <c r="N219" s="203">
        <v>0.1</v>
      </c>
      <c r="O219" s="203">
        <v>12</v>
      </c>
      <c r="P219" s="179">
        <v>1</v>
      </c>
      <c r="Q219" s="53"/>
      <c r="R219" s="54" t="s">
        <v>158</v>
      </c>
      <c r="S219" s="54" t="s">
        <v>158</v>
      </c>
      <c r="T219" s="54" t="s">
        <v>158</v>
      </c>
      <c r="U219" s="54" t="s">
        <v>158</v>
      </c>
      <c r="V219" s="157" t="s">
        <v>405</v>
      </c>
      <c r="W219" s="53"/>
      <c r="X219" s="53">
        <f t="shared" si="47"/>
        <v>0</v>
      </c>
      <c r="Y219" s="55"/>
      <c r="Z219" s="55"/>
      <c r="AA219" s="52">
        <f t="shared" si="48"/>
        <v>0</v>
      </c>
      <c r="AB219" s="53">
        <f t="shared" si="49"/>
        <v>0</v>
      </c>
      <c r="AC219" s="53">
        <f t="shared" si="50"/>
        <v>0</v>
      </c>
      <c r="AD219" s="53">
        <f t="shared" si="51"/>
        <v>0</v>
      </c>
      <c r="AE219" s="53">
        <f t="shared" si="52"/>
        <v>0</v>
      </c>
      <c r="AF219" s="53">
        <f t="shared" si="53"/>
        <v>0</v>
      </c>
      <c r="AG219" s="56">
        <f t="shared" si="54"/>
        <v>0</v>
      </c>
      <c r="AH219" s="53">
        <f t="shared" si="55"/>
        <v>0</v>
      </c>
      <c r="AI219" s="55"/>
      <c r="AJ219" s="53">
        <f t="shared" si="56"/>
        <v>0</v>
      </c>
      <c r="AK219" s="53">
        <f t="shared" si="57"/>
        <v>0</v>
      </c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7"/>
      <c r="AW219" s="57"/>
      <c r="AX219" s="57"/>
    </row>
    <row r="220" spans="2:50">
      <c r="B220" s="45">
        <v>204</v>
      </c>
      <c r="C220" s="196" t="s">
        <v>304</v>
      </c>
      <c r="D220" s="197" t="s">
        <v>406</v>
      </c>
      <c r="E220" s="198" t="s">
        <v>436</v>
      </c>
      <c r="F220" s="199" t="s">
        <v>446</v>
      </c>
      <c r="G220" s="200" t="s">
        <v>306</v>
      </c>
      <c r="H220" s="201">
        <v>41995</v>
      </c>
      <c r="I220" s="202" t="s">
        <v>409</v>
      </c>
      <c r="J220" s="202">
        <f t="shared" si="58"/>
        <v>726</v>
      </c>
      <c r="K220" s="202">
        <v>6</v>
      </c>
      <c r="L220" s="202">
        <v>720</v>
      </c>
      <c r="M220" s="202"/>
      <c r="N220" s="203">
        <v>0.1</v>
      </c>
      <c r="O220" s="203">
        <v>12</v>
      </c>
      <c r="P220" s="179">
        <v>1</v>
      </c>
      <c r="Q220" s="53"/>
      <c r="R220" s="54" t="s">
        <v>158</v>
      </c>
      <c r="S220" s="54" t="s">
        <v>158</v>
      </c>
      <c r="T220" s="54" t="s">
        <v>158</v>
      </c>
      <c r="U220" s="54" t="s">
        <v>158</v>
      </c>
      <c r="V220" s="157" t="s">
        <v>405</v>
      </c>
      <c r="W220" s="53"/>
      <c r="X220" s="53">
        <f t="shared" si="47"/>
        <v>0</v>
      </c>
      <c r="Y220" s="55"/>
      <c r="Z220" s="55"/>
      <c r="AA220" s="52">
        <f t="shared" si="48"/>
        <v>0</v>
      </c>
      <c r="AB220" s="53">
        <f t="shared" si="49"/>
        <v>0</v>
      </c>
      <c r="AC220" s="53">
        <f t="shared" si="50"/>
        <v>0</v>
      </c>
      <c r="AD220" s="53">
        <f t="shared" si="51"/>
        <v>0</v>
      </c>
      <c r="AE220" s="53">
        <f t="shared" si="52"/>
        <v>0</v>
      </c>
      <c r="AF220" s="53">
        <f t="shared" si="53"/>
        <v>0</v>
      </c>
      <c r="AG220" s="56">
        <f t="shared" si="54"/>
        <v>0</v>
      </c>
      <c r="AH220" s="53">
        <f t="shared" si="55"/>
        <v>0</v>
      </c>
      <c r="AI220" s="55"/>
      <c r="AJ220" s="53">
        <f t="shared" si="56"/>
        <v>0</v>
      </c>
      <c r="AK220" s="53">
        <f t="shared" si="57"/>
        <v>0</v>
      </c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7"/>
      <c r="AW220" s="57"/>
      <c r="AX220" s="57"/>
    </row>
    <row r="221" spans="2:50">
      <c r="B221" s="45">
        <v>205</v>
      </c>
      <c r="C221" s="196" t="s">
        <v>304</v>
      </c>
      <c r="D221" s="197" t="s">
        <v>406</v>
      </c>
      <c r="E221" s="198" t="s">
        <v>436</v>
      </c>
      <c r="F221" s="199" t="s">
        <v>447</v>
      </c>
      <c r="G221" s="200" t="s">
        <v>306</v>
      </c>
      <c r="H221" s="201">
        <v>41995</v>
      </c>
      <c r="I221" s="202" t="s">
        <v>409</v>
      </c>
      <c r="J221" s="202">
        <f t="shared" si="58"/>
        <v>726</v>
      </c>
      <c r="K221" s="202">
        <v>6</v>
      </c>
      <c r="L221" s="202">
        <v>720</v>
      </c>
      <c r="M221" s="202"/>
      <c r="N221" s="203">
        <v>0.1</v>
      </c>
      <c r="O221" s="203">
        <v>12</v>
      </c>
      <c r="P221" s="179">
        <v>1</v>
      </c>
      <c r="Q221" s="53"/>
      <c r="R221" s="54" t="s">
        <v>158</v>
      </c>
      <c r="S221" s="54" t="s">
        <v>158</v>
      </c>
      <c r="T221" s="54" t="s">
        <v>158</v>
      </c>
      <c r="U221" s="54" t="s">
        <v>158</v>
      </c>
      <c r="V221" s="157" t="s">
        <v>405</v>
      </c>
      <c r="W221" s="53"/>
      <c r="X221" s="53">
        <f t="shared" si="47"/>
        <v>0</v>
      </c>
      <c r="Y221" s="55"/>
      <c r="Z221" s="55"/>
      <c r="AA221" s="52">
        <f t="shared" si="48"/>
        <v>0</v>
      </c>
      <c r="AB221" s="53">
        <f t="shared" si="49"/>
        <v>0</v>
      </c>
      <c r="AC221" s="53">
        <f t="shared" si="50"/>
        <v>0</v>
      </c>
      <c r="AD221" s="53">
        <f t="shared" si="51"/>
        <v>0</v>
      </c>
      <c r="AE221" s="53">
        <f t="shared" si="52"/>
        <v>0</v>
      </c>
      <c r="AF221" s="53">
        <f t="shared" si="53"/>
        <v>0</v>
      </c>
      <c r="AG221" s="56">
        <f t="shared" si="54"/>
        <v>0</v>
      </c>
      <c r="AH221" s="53">
        <f t="shared" si="55"/>
        <v>0</v>
      </c>
      <c r="AI221" s="55"/>
      <c r="AJ221" s="53">
        <f t="shared" si="56"/>
        <v>0</v>
      </c>
      <c r="AK221" s="53">
        <f t="shared" si="57"/>
        <v>0</v>
      </c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7"/>
      <c r="AW221" s="57"/>
      <c r="AX221" s="57"/>
    </row>
    <row r="222" spans="2:50">
      <c r="B222" s="45">
        <v>206</v>
      </c>
      <c r="C222" s="196" t="s">
        <v>304</v>
      </c>
      <c r="D222" s="197" t="s">
        <v>406</v>
      </c>
      <c r="E222" s="198" t="s">
        <v>436</v>
      </c>
      <c r="F222" s="199" t="s">
        <v>430</v>
      </c>
      <c r="G222" s="200" t="s">
        <v>306</v>
      </c>
      <c r="H222" s="201">
        <v>41995</v>
      </c>
      <c r="I222" s="202" t="s">
        <v>409</v>
      </c>
      <c r="J222" s="202">
        <f t="shared" si="58"/>
        <v>114</v>
      </c>
      <c r="K222" s="202">
        <v>84</v>
      </c>
      <c r="L222" s="202">
        <v>30</v>
      </c>
      <c r="M222" s="202"/>
      <c r="N222" s="202">
        <v>1.4</v>
      </c>
      <c r="O222" s="202">
        <v>0.5</v>
      </c>
      <c r="P222" s="179">
        <v>1</v>
      </c>
      <c r="Q222" s="53"/>
      <c r="R222" s="54" t="s">
        <v>158</v>
      </c>
      <c r="S222" s="54" t="s">
        <v>158</v>
      </c>
      <c r="T222" s="54" t="s">
        <v>158</v>
      </c>
      <c r="U222" s="54" t="s">
        <v>158</v>
      </c>
      <c r="V222" s="157" t="s">
        <v>405</v>
      </c>
      <c r="W222" s="53"/>
      <c r="X222" s="53">
        <f t="shared" si="47"/>
        <v>0</v>
      </c>
      <c r="Y222" s="55"/>
      <c r="Z222" s="55"/>
      <c r="AA222" s="52">
        <f t="shared" si="48"/>
        <v>0</v>
      </c>
      <c r="AB222" s="53">
        <f t="shared" si="49"/>
        <v>0</v>
      </c>
      <c r="AC222" s="53">
        <f t="shared" si="50"/>
        <v>0</v>
      </c>
      <c r="AD222" s="53">
        <f t="shared" si="51"/>
        <v>0</v>
      </c>
      <c r="AE222" s="53">
        <f t="shared" si="52"/>
        <v>0</v>
      </c>
      <c r="AF222" s="53">
        <f t="shared" si="53"/>
        <v>0</v>
      </c>
      <c r="AG222" s="56">
        <f t="shared" si="54"/>
        <v>0</v>
      </c>
      <c r="AH222" s="53">
        <f t="shared" si="55"/>
        <v>0</v>
      </c>
      <c r="AI222" s="55"/>
      <c r="AJ222" s="53">
        <f t="shared" si="56"/>
        <v>0</v>
      </c>
      <c r="AK222" s="53">
        <f t="shared" si="57"/>
        <v>0</v>
      </c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7"/>
      <c r="AW222" s="57"/>
      <c r="AX222" s="57"/>
    </row>
    <row r="223" spans="2:50">
      <c r="B223" s="45">
        <v>207</v>
      </c>
      <c r="C223" s="196" t="s">
        <v>304</v>
      </c>
      <c r="D223" s="197" t="s">
        <v>406</v>
      </c>
      <c r="E223" s="198" t="s">
        <v>436</v>
      </c>
      <c r="F223" s="199" t="s">
        <v>448</v>
      </c>
      <c r="G223" s="200" t="s">
        <v>306</v>
      </c>
      <c r="H223" s="201">
        <v>42110</v>
      </c>
      <c r="I223" s="202" t="s">
        <v>409</v>
      </c>
      <c r="J223" s="202">
        <f t="shared" si="58"/>
        <v>210</v>
      </c>
      <c r="K223" s="202">
        <v>210</v>
      </c>
      <c r="L223" s="202">
        <v>0</v>
      </c>
      <c r="M223" s="202"/>
      <c r="N223" s="202">
        <v>3.5</v>
      </c>
      <c r="O223" s="202">
        <v>0</v>
      </c>
      <c r="P223" s="179">
        <v>1</v>
      </c>
      <c r="Q223" s="53"/>
      <c r="R223" s="54" t="s">
        <v>158</v>
      </c>
      <c r="S223" s="54" t="s">
        <v>158</v>
      </c>
      <c r="T223" s="54" t="s">
        <v>158</v>
      </c>
      <c r="U223" s="54" t="s">
        <v>158</v>
      </c>
      <c r="V223" s="157" t="s">
        <v>405</v>
      </c>
      <c r="W223" s="53"/>
      <c r="X223" s="53">
        <f t="shared" si="47"/>
        <v>0</v>
      </c>
      <c r="Y223" s="55"/>
      <c r="Z223" s="55"/>
      <c r="AA223" s="52">
        <f t="shared" si="48"/>
        <v>0</v>
      </c>
      <c r="AB223" s="53">
        <f t="shared" si="49"/>
        <v>0</v>
      </c>
      <c r="AC223" s="53">
        <f t="shared" si="50"/>
        <v>0</v>
      </c>
      <c r="AD223" s="53">
        <f t="shared" si="51"/>
        <v>0</v>
      </c>
      <c r="AE223" s="53">
        <f t="shared" si="52"/>
        <v>0</v>
      </c>
      <c r="AF223" s="53">
        <f t="shared" si="53"/>
        <v>0</v>
      </c>
      <c r="AG223" s="56">
        <f t="shared" si="54"/>
        <v>0</v>
      </c>
      <c r="AH223" s="53">
        <f t="shared" si="55"/>
        <v>0</v>
      </c>
      <c r="AI223" s="55"/>
      <c r="AJ223" s="53">
        <f t="shared" si="56"/>
        <v>0</v>
      </c>
      <c r="AK223" s="53">
        <f t="shared" si="57"/>
        <v>0</v>
      </c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7"/>
      <c r="AW223" s="57"/>
      <c r="AX223" s="57"/>
    </row>
    <row r="224" spans="2:50">
      <c r="B224" s="45">
        <v>208</v>
      </c>
      <c r="C224" s="196" t="s">
        <v>304</v>
      </c>
      <c r="D224" s="197" t="s">
        <v>406</v>
      </c>
      <c r="E224" s="198" t="s">
        <v>436</v>
      </c>
      <c r="F224" s="199" t="s">
        <v>449</v>
      </c>
      <c r="G224" s="200" t="s">
        <v>306</v>
      </c>
      <c r="H224" s="201">
        <v>42110</v>
      </c>
      <c r="I224" s="202" t="s">
        <v>409</v>
      </c>
      <c r="J224" s="202">
        <f t="shared" si="58"/>
        <v>294</v>
      </c>
      <c r="K224" s="202">
        <v>294</v>
      </c>
      <c r="L224" s="202">
        <v>0</v>
      </c>
      <c r="M224" s="202"/>
      <c r="N224" s="202">
        <v>4.5999999999999996</v>
      </c>
      <c r="O224" s="202">
        <v>0</v>
      </c>
      <c r="P224" s="179">
        <v>1</v>
      </c>
      <c r="Q224" s="53"/>
      <c r="R224" s="54" t="s">
        <v>158</v>
      </c>
      <c r="S224" s="54" t="s">
        <v>158</v>
      </c>
      <c r="T224" s="54" t="s">
        <v>158</v>
      </c>
      <c r="U224" s="54" t="s">
        <v>158</v>
      </c>
      <c r="V224" s="157" t="s">
        <v>405</v>
      </c>
      <c r="W224" s="53"/>
      <c r="X224" s="53">
        <f t="shared" si="47"/>
        <v>0</v>
      </c>
      <c r="Y224" s="55"/>
      <c r="Z224" s="55"/>
      <c r="AA224" s="52">
        <f t="shared" si="48"/>
        <v>0</v>
      </c>
      <c r="AB224" s="53">
        <f t="shared" si="49"/>
        <v>0</v>
      </c>
      <c r="AC224" s="53">
        <f t="shared" si="50"/>
        <v>0</v>
      </c>
      <c r="AD224" s="53">
        <f t="shared" si="51"/>
        <v>0</v>
      </c>
      <c r="AE224" s="53">
        <f t="shared" si="52"/>
        <v>0</v>
      </c>
      <c r="AF224" s="53">
        <f t="shared" si="53"/>
        <v>0</v>
      </c>
      <c r="AG224" s="56">
        <f t="shared" si="54"/>
        <v>0</v>
      </c>
      <c r="AH224" s="53">
        <f t="shared" si="55"/>
        <v>0</v>
      </c>
      <c r="AI224" s="55"/>
      <c r="AJ224" s="53">
        <f t="shared" si="56"/>
        <v>0</v>
      </c>
      <c r="AK224" s="53">
        <f t="shared" si="57"/>
        <v>0</v>
      </c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7"/>
      <c r="AW224" s="57"/>
      <c r="AX224" s="57"/>
    </row>
    <row r="225" spans="2:50">
      <c r="B225" s="45">
        <v>209</v>
      </c>
      <c r="C225" s="196" t="s">
        <v>304</v>
      </c>
      <c r="D225" s="197" t="s">
        <v>406</v>
      </c>
      <c r="E225" s="198" t="s">
        <v>436</v>
      </c>
      <c r="F225" s="199" t="s">
        <v>450</v>
      </c>
      <c r="G225" s="200" t="s">
        <v>306</v>
      </c>
      <c r="H225" s="201">
        <v>42128</v>
      </c>
      <c r="I225" s="202" t="s">
        <v>409</v>
      </c>
      <c r="J225" s="202">
        <f t="shared" si="58"/>
        <v>36</v>
      </c>
      <c r="K225" s="202">
        <v>36</v>
      </c>
      <c r="L225" s="202">
        <v>0</v>
      </c>
      <c r="M225" s="202"/>
      <c r="N225" s="202">
        <v>0.4</v>
      </c>
      <c r="O225" s="202">
        <v>0</v>
      </c>
      <c r="P225" s="179">
        <v>1</v>
      </c>
      <c r="Q225" s="53"/>
      <c r="R225" s="54" t="s">
        <v>158</v>
      </c>
      <c r="S225" s="54" t="s">
        <v>158</v>
      </c>
      <c r="T225" s="54" t="s">
        <v>158</v>
      </c>
      <c r="U225" s="54" t="s">
        <v>158</v>
      </c>
      <c r="V225" s="157" t="s">
        <v>405</v>
      </c>
      <c r="W225" s="53"/>
      <c r="X225" s="53">
        <f t="shared" si="47"/>
        <v>0</v>
      </c>
      <c r="Y225" s="55"/>
      <c r="Z225" s="55"/>
      <c r="AA225" s="52">
        <f t="shared" si="48"/>
        <v>0</v>
      </c>
      <c r="AB225" s="53">
        <f t="shared" si="49"/>
        <v>0</v>
      </c>
      <c r="AC225" s="53">
        <f t="shared" si="50"/>
        <v>0</v>
      </c>
      <c r="AD225" s="53">
        <f t="shared" si="51"/>
        <v>0</v>
      </c>
      <c r="AE225" s="53">
        <f t="shared" si="52"/>
        <v>0</v>
      </c>
      <c r="AF225" s="53">
        <f t="shared" si="53"/>
        <v>0</v>
      </c>
      <c r="AG225" s="56">
        <f t="shared" si="54"/>
        <v>0</v>
      </c>
      <c r="AH225" s="53">
        <f t="shared" si="55"/>
        <v>0</v>
      </c>
      <c r="AI225" s="55"/>
      <c r="AJ225" s="53">
        <f t="shared" si="56"/>
        <v>0</v>
      </c>
      <c r="AK225" s="53">
        <f t="shared" si="57"/>
        <v>0</v>
      </c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7"/>
      <c r="AW225" s="57"/>
      <c r="AX225" s="57"/>
    </row>
    <row r="226" spans="2:50">
      <c r="B226" s="45">
        <v>210</v>
      </c>
      <c r="C226" s="196" t="s">
        <v>304</v>
      </c>
      <c r="D226" s="197" t="s">
        <v>406</v>
      </c>
      <c r="E226" s="198" t="s">
        <v>451</v>
      </c>
      <c r="F226" s="197" t="s">
        <v>452</v>
      </c>
      <c r="G226" s="200" t="s">
        <v>300</v>
      </c>
      <c r="H226" s="201">
        <v>42711</v>
      </c>
      <c r="I226" s="202" t="s">
        <v>409</v>
      </c>
      <c r="J226" s="202">
        <f t="shared" si="58"/>
        <v>60</v>
      </c>
      <c r="K226" s="202">
        <v>60</v>
      </c>
      <c r="L226" s="202">
        <v>0</v>
      </c>
      <c r="M226" s="202"/>
      <c r="N226" s="203">
        <v>1</v>
      </c>
      <c r="O226" s="203">
        <v>0</v>
      </c>
      <c r="P226" s="179">
        <v>1</v>
      </c>
      <c r="Q226" s="53"/>
      <c r="R226" s="54" t="s">
        <v>158</v>
      </c>
      <c r="S226" s="54" t="s">
        <v>158</v>
      </c>
      <c r="T226" s="54" t="s">
        <v>158</v>
      </c>
      <c r="U226" s="54" t="s">
        <v>158</v>
      </c>
      <c r="V226" s="157" t="s">
        <v>405</v>
      </c>
      <c r="W226" s="53"/>
      <c r="X226" s="53">
        <f t="shared" si="47"/>
        <v>0</v>
      </c>
      <c r="Y226" s="55"/>
      <c r="Z226" s="55"/>
      <c r="AA226" s="52">
        <f t="shared" si="48"/>
        <v>0</v>
      </c>
      <c r="AB226" s="53">
        <f t="shared" si="49"/>
        <v>0</v>
      </c>
      <c r="AC226" s="53">
        <f t="shared" si="50"/>
        <v>0</v>
      </c>
      <c r="AD226" s="53">
        <f t="shared" si="51"/>
        <v>0</v>
      </c>
      <c r="AE226" s="53">
        <f t="shared" si="52"/>
        <v>0</v>
      </c>
      <c r="AF226" s="53">
        <f t="shared" si="53"/>
        <v>0</v>
      </c>
      <c r="AG226" s="56">
        <f t="shared" si="54"/>
        <v>0</v>
      </c>
      <c r="AH226" s="53">
        <f t="shared" si="55"/>
        <v>0</v>
      </c>
      <c r="AI226" s="55"/>
      <c r="AJ226" s="53">
        <f t="shared" si="56"/>
        <v>0</v>
      </c>
      <c r="AK226" s="53">
        <f t="shared" si="57"/>
        <v>0</v>
      </c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7"/>
      <c r="AW226" s="57"/>
      <c r="AX226" s="57"/>
    </row>
    <row r="227" spans="2:50">
      <c r="B227" s="45">
        <v>211</v>
      </c>
      <c r="C227" s="196" t="s">
        <v>304</v>
      </c>
      <c r="D227" s="197" t="s">
        <v>406</v>
      </c>
      <c r="E227" s="198" t="s">
        <v>451</v>
      </c>
      <c r="F227" s="197" t="s">
        <v>453</v>
      </c>
      <c r="G227" s="200" t="s">
        <v>306</v>
      </c>
      <c r="H227" s="201">
        <v>43649</v>
      </c>
      <c r="I227" s="202" t="s">
        <v>409</v>
      </c>
      <c r="J227" s="202">
        <f t="shared" si="58"/>
        <v>78</v>
      </c>
      <c r="K227" s="202">
        <v>78</v>
      </c>
      <c r="L227" s="202">
        <v>0</v>
      </c>
      <c r="M227" s="202"/>
      <c r="N227" s="202">
        <v>1.6</v>
      </c>
      <c r="O227" s="202">
        <v>0</v>
      </c>
      <c r="P227" s="179">
        <v>1</v>
      </c>
      <c r="Q227" s="53" t="s">
        <v>257</v>
      </c>
      <c r="R227" s="54" t="s">
        <v>158</v>
      </c>
      <c r="S227" s="54" t="s">
        <v>158</v>
      </c>
      <c r="T227" s="54" t="s">
        <v>158</v>
      </c>
      <c r="U227" s="54" t="s">
        <v>158</v>
      </c>
      <c r="V227" s="157" t="s">
        <v>405</v>
      </c>
      <c r="W227" s="53"/>
      <c r="X227" s="53">
        <f t="shared" si="47"/>
        <v>0</v>
      </c>
      <c r="Y227" s="55"/>
      <c r="Z227" s="55"/>
      <c r="AA227" s="52">
        <f t="shared" si="48"/>
        <v>0</v>
      </c>
      <c r="AB227" s="53">
        <f t="shared" si="49"/>
        <v>0</v>
      </c>
      <c r="AC227" s="53">
        <f t="shared" si="50"/>
        <v>0</v>
      </c>
      <c r="AD227" s="53">
        <f t="shared" si="51"/>
        <v>0</v>
      </c>
      <c r="AE227" s="53">
        <f t="shared" si="52"/>
        <v>0</v>
      </c>
      <c r="AF227" s="53">
        <f t="shared" si="53"/>
        <v>0</v>
      </c>
      <c r="AG227" s="56">
        <f t="shared" si="54"/>
        <v>1</v>
      </c>
      <c r="AH227" s="53">
        <f t="shared" si="55"/>
        <v>0</v>
      </c>
      <c r="AI227" s="55"/>
      <c r="AJ227" s="53">
        <f t="shared" si="56"/>
        <v>0</v>
      </c>
      <c r="AK227" s="53">
        <f t="shared" si="57"/>
        <v>0</v>
      </c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7"/>
      <c r="AW227" s="57"/>
      <c r="AX227" s="57"/>
    </row>
    <row r="228" spans="2:50">
      <c r="B228" s="45">
        <v>212</v>
      </c>
      <c r="C228" s="196" t="s">
        <v>304</v>
      </c>
      <c r="D228" s="197" t="s">
        <v>406</v>
      </c>
      <c r="E228" s="198" t="s">
        <v>451</v>
      </c>
      <c r="F228" s="197" t="s">
        <v>454</v>
      </c>
      <c r="G228" s="200" t="s">
        <v>306</v>
      </c>
      <c r="H228" s="201">
        <v>43763</v>
      </c>
      <c r="I228" s="202" t="s">
        <v>409</v>
      </c>
      <c r="J228" s="202">
        <f t="shared" si="58"/>
        <v>138</v>
      </c>
      <c r="K228" s="202">
        <v>138</v>
      </c>
      <c r="L228" s="202">
        <v>0</v>
      </c>
      <c r="M228" s="202"/>
      <c r="N228" s="202">
        <v>2.2999999999999998</v>
      </c>
      <c r="O228" s="202">
        <v>0</v>
      </c>
      <c r="P228" s="179">
        <v>1</v>
      </c>
      <c r="Q228" s="53"/>
      <c r="R228" s="54" t="s">
        <v>158</v>
      </c>
      <c r="S228" s="54" t="s">
        <v>158</v>
      </c>
      <c r="T228" s="54" t="s">
        <v>158</v>
      </c>
      <c r="U228" s="54" t="s">
        <v>158</v>
      </c>
      <c r="V228" s="157" t="s">
        <v>405</v>
      </c>
      <c r="W228" s="53"/>
      <c r="X228" s="53">
        <f t="shared" si="47"/>
        <v>0</v>
      </c>
      <c r="Y228" s="55"/>
      <c r="Z228" s="55"/>
      <c r="AA228" s="52">
        <f t="shared" si="48"/>
        <v>0</v>
      </c>
      <c r="AB228" s="53">
        <f t="shared" si="49"/>
        <v>0</v>
      </c>
      <c r="AC228" s="53">
        <f t="shared" si="50"/>
        <v>0</v>
      </c>
      <c r="AD228" s="53">
        <f t="shared" si="51"/>
        <v>0</v>
      </c>
      <c r="AE228" s="53">
        <f t="shared" si="52"/>
        <v>0</v>
      </c>
      <c r="AF228" s="53">
        <f t="shared" si="53"/>
        <v>0</v>
      </c>
      <c r="AG228" s="56">
        <f t="shared" si="54"/>
        <v>0</v>
      </c>
      <c r="AH228" s="53">
        <f t="shared" si="55"/>
        <v>0</v>
      </c>
      <c r="AI228" s="55"/>
      <c r="AJ228" s="53">
        <f t="shared" si="56"/>
        <v>0</v>
      </c>
      <c r="AK228" s="53">
        <f t="shared" si="57"/>
        <v>0</v>
      </c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7"/>
      <c r="AW228" s="57"/>
      <c r="AX228" s="57"/>
    </row>
    <row r="229" spans="2:50">
      <c r="B229" s="45">
        <v>213</v>
      </c>
      <c r="C229" s="196" t="s">
        <v>304</v>
      </c>
      <c r="D229" s="197" t="s">
        <v>406</v>
      </c>
      <c r="E229" s="198" t="s">
        <v>451</v>
      </c>
      <c r="F229" s="197" t="s">
        <v>455</v>
      </c>
      <c r="G229" s="200" t="s">
        <v>306</v>
      </c>
      <c r="H229" s="201">
        <v>42711</v>
      </c>
      <c r="I229" s="202" t="s">
        <v>409</v>
      </c>
      <c r="J229" s="202">
        <f t="shared" si="58"/>
        <v>24</v>
      </c>
      <c r="K229" s="202">
        <v>24</v>
      </c>
      <c r="L229" s="202">
        <v>0</v>
      </c>
      <c r="M229" s="202"/>
      <c r="N229" s="202">
        <v>0.4</v>
      </c>
      <c r="O229" s="202">
        <v>0</v>
      </c>
      <c r="P229" s="179">
        <v>1</v>
      </c>
      <c r="Q229" s="53"/>
      <c r="R229" s="54" t="s">
        <v>158</v>
      </c>
      <c r="S229" s="54" t="s">
        <v>158</v>
      </c>
      <c r="T229" s="54" t="s">
        <v>158</v>
      </c>
      <c r="U229" s="54" t="s">
        <v>158</v>
      </c>
      <c r="V229" s="157" t="s">
        <v>405</v>
      </c>
      <c r="W229" s="53"/>
      <c r="X229" s="53">
        <f t="shared" si="47"/>
        <v>0</v>
      </c>
      <c r="Y229" s="55"/>
      <c r="Z229" s="55"/>
      <c r="AA229" s="52">
        <f t="shared" si="48"/>
        <v>0</v>
      </c>
      <c r="AB229" s="53">
        <f t="shared" si="49"/>
        <v>0</v>
      </c>
      <c r="AC229" s="53">
        <f t="shared" si="50"/>
        <v>0</v>
      </c>
      <c r="AD229" s="53">
        <f t="shared" si="51"/>
        <v>0</v>
      </c>
      <c r="AE229" s="53">
        <f t="shared" si="52"/>
        <v>0</v>
      </c>
      <c r="AF229" s="53">
        <f t="shared" si="53"/>
        <v>0</v>
      </c>
      <c r="AG229" s="56">
        <f t="shared" si="54"/>
        <v>0</v>
      </c>
      <c r="AH229" s="53">
        <f t="shared" si="55"/>
        <v>0</v>
      </c>
      <c r="AI229" s="55"/>
      <c r="AJ229" s="53">
        <f t="shared" si="56"/>
        <v>0</v>
      </c>
      <c r="AK229" s="53">
        <f t="shared" si="57"/>
        <v>0</v>
      </c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7"/>
      <c r="AW229" s="57"/>
      <c r="AX229" s="57"/>
    </row>
    <row r="230" spans="2:50">
      <c r="B230" s="45">
        <v>214</v>
      </c>
      <c r="C230" s="196" t="s">
        <v>304</v>
      </c>
      <c r="D230" s="197" t="s">
        <v>406</v>
      </c>
      <c r="E230" s="198" t="s">
        <v>451</v>
      </c>
      <c r="F230" s="197" t="s">
        <v>456</v>
      </c>
      <c r="G230" s="200" t="s">
        <v>306</v>
      </c>
      <c r="H230" s="201">
        <v>43763</v>
      </c>
      <c r="I230" s="202" t="s">
        <v>409</v>
      </c>
      <c r="J230" s="202">
        <f t="shared" si="58"/>
        <v>138</v>
      </c>
      <c r="K230" s="202">
        <v>138</v>
      </c>
      <c r="L230" s="202">
        <v>0</v>
      </c>
      <c r="M230" s="202"/>
      <c r="N230" s="202">
        <v>2.2999999999999998</v>
      </c>
      <c r="O230" s="202">
        <v>0</v>
      </c>
      <c r="P230" s="179">
        <v>1</v>
      </c>
      <c r="Q230" s="53"/>
      <c r="R230" s="54" t="s">
        <v>158</v>
      </c>
      <c r="S230" s="54" t="s">
        <v>158</v>
      </c>
      <c r="T230" s="54" t="s">
        <v>158</v>
      </c>
      <c r="U230" s="54" t="s">
        <v>158</v>
      </c>
      <c r="V230" s="157" t="s">
        <v>405</v>
      </c>
      <c r="W230" s="53"/>
      <c r="X230" s="53">
        <f t="shared" si="47"/>
        <v>0</v>
      </c>
      <c r="Y230" s="55"/>
      <c r="Z230" s="55"/>
      <c r="AA230" s="52">
        <f t="shared" si="48"/>
        <v>0</v>
      </c>
      <c r="AB230" s="53">
        <f t="shared" si="49"/>
        <v>0</v>
      </c>
      <c r="AC230" s="53">
        <f t="shared" si="50"/>
        <v>0</v>
      </c>
      <c r="AD230" s="53">
        <f t="shared" si="51"/>
        <v>0</v>
      </c>
      <c r="AE230" s="53">
        <f t="shared" si="52"/>
        <v>0</v>
      </c>
      <c r="AF230" s="53">
        <f t="shared" si="53"/>
        <v>0</v>
      </c>
      <c r="AG230" s="56">
        <f t="shared" si="54"/>
        <v>0</v>
      </c>
      <c r="AH230" s="53">
        <f t="shared" si="55"/>
        <v>0</v>
      </c>
      <c r="AI230" s="55"/>
      <c r="AJ230" s="53">
        <f t="shared" si="56"/>
        <v>0</v>
      </c>
      <c r="AK230" s="53">
        <f t="shared" si="57"/>
        <v>0</v>
      </c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7"/>
      <c r="AW230" s="57"/>
      <c r="AX230" s="57"/>
    </row>
    <row r="231" spans="2:50">
      <c r="B231" s="45">
        <v>215</v>
      </c>
      <c r="C231" s="196" t="s">
        <v>304</v>
      </c>
      <c r="D231" s="197" t="s">
        <v>406</v>
      </c>
      <c r="E231" s="198" t="s">
        <v>451</v>
      </c>
      <c r="F231" s="197" t="s">
        <v>457</v>
      </c>
      <c r="G231" s="200" t="s">
        <v>306</v>
      </c>
      <c r="H231" s="201">
        <v>42711</v>
      </c>
      <c r="I231" s="202" t="s">
        <v>409</v>
      </c>
      <c r="J231" s="202">
        <f t="shared" si="58"/>
        <v>24</v>
      </c>
      <c r="K231" s="202">
        <v>24</v>
      </c>
      <c r="L231" s="202">
        <v>0</v>
      </c>
      <c r="M231" s="202"/>
      <c r="N231" s="202">
        <v>0.4</v>
      </c>
      <c r="O231" s="202">
        <v>0</v>
      </c>
      <c r="P231" s="179">
        <v>1</v>
      </c>
      <c r="Q231" s="53"/>
      <c r="R231" s="54" t="s">
        <v>158</v>
      </c>
      <c r="S231" s="54" t="s">
        <v>158</v>
      </c>
      <c r="T231" s="54" t="s">
        <v>158</v>
      </c>
      <c r="U231" s="54" t="s">
        <v>158</v>
      </c>
      <c r="V231" s="157" t="s">
        <v>405</v>
      </c>
      <c r="W231" s="53"/>
      <c r="X231" s="53">
        <f t="shared" ref="X231:X294" si="59">SUMIF(W231,"Y",K231)</f>
        <v>0</v>
      </c>
      <c r="Y231" s="55"/>
      <c r="Z231" s="55"/>
      <c r="AA231" s="52">
        <f t="shared" ref="AA231:AA294" si="60">(COUNTA(AL231:AU231)-COUNTIF(AL231:AU231, "X"))</f>
        <v>0</v>
      </c>
      <c r="AB231" s="53">
        <f t="shared" ref="AB231:AB294" si="61">(COUNTA(AL231:AU231)-COUNTIF(AL231:AU231, "X"))*P231*K231</f>
        <v>0</v>
      </c>
      <c r="AC231" s="53">
        <f t="shared" ref="AC231:AC294" si="62">COUNTIF(AL231:AU231,"A")</f>
        <v>0</v>
      </c>
      <c r="AD231" s="53">
        <f t="shared" ref="AD231:AD294" si="63">COUNTIF(AL231:AU231,"V")*P231*M231</f>
        <v>0</v>
      </c>
      <c r="AE231" s="53">
        <f t="shared" ref="AE231:AE294" si="64">COUNTIF(AL231:AU231,"L")</f>
        <v>0</v>
      </c>
      <c r="AF231" s="53">
        <f t="shared" ref="AF231:AF294" si="65">COUNTIF(AL231:AU231,"L")*K231*P231</f>
        <v>0</v>
      </c>
      <c r="AG231" s="56">
        <f t="shared" ref="AG231:AG294" si="66">IF(Q231="Y",1,0)</f>
        <v>0</v>
      </c>
      <c r="AH231" s="53">
        <f t="shared" ref="AH231:AH294" si="67">IF(Q231="Y", AA231, 0)*K231*P231/2</f>
        <v>0</v>
      </c>
      <c r="AI231" s="55"/>
      <c r="AJ231" s="53">
        <f t="shared" ref="AJ231:AJ294" si="68">COUNTIF(AL231:AU231, "V")</f>
        <v>0</v>
      </c>
      <c r="AK231" s="53">
        <f t="shared" ref="AK231:AK294" si="69">AB231-AD231-AF231-AH231</f>
        <v>0</v>
      </c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7"/>
      <c r="AW231" s="57"/>
      <c r="AX231" s="57"/>
    </row>
    <row r="232" spans="2:50">
      <c r="B232" s="45">
        <v>216</v>
      </c>
      <c r="C232" s="196" t="s">
        <v>304</v>
      </c>
      <c r="D232" s="197" t="s">
        <v>406</v>
      </c>
      <c r="E232" s="198" t="s">
        <v>451</v>
      </c>
      <c r="F232" s="197" t="s">
        <v>458</v>
      </c>
      <c r="G232" s="200" t="s">
        <v>306</v>
      </c>
      <c r="H232" s="201">
        <v>43690</v>
      </c>
      <c r="I232" s="202" t="s">
        <v>409</v>
      </c>
      <c r="J232" s="202">
        <f t="shared" si="58"/>
        <v>84</v>
      </c>
      <c r="K232" s="202">
        <v>84</v>
      </c>
      <c r="L232" s="202">
        <v>0</v>
      </c>
      <c r="M232" s="202"/>
      <c r="N232" s="202">
        <v>1.4</v>
      </c>
      <c r="O232" s="202">
        <v>0</v>
      </c>
      <c r="P232" s="179">
        <v>1</v>
      </c>
      <c r="Q232" s="53"/>
      <c r="R232" s="54" t="s">
        <v>158</v>
      </c>
      <c r="S232" s="54" t="s">
        <v>158</v>
      </c>
      <c r="T232" s="54" t="s">
        <v>158</v>
      </c>
      <c r="U232" s="54" t="s">
        <v>158</v>
      </c>
      <c r="V232" s="157" t="s">
        <v>405</v>
      </c>
      <c r="W232" s="53"/>
      <c r="X232" s="53">
        <f t="shared" si="59"/>
        <v>0</v>
      </c>
      <c r="Y232" s="55"/>
      <c r="Z232" s="55"/>
      <c r="AA232" s="52">
        <f t="shared" si="60"/>
        <v>0</v>
      </c>
      <c r="AB232" s="53">
        <f t="shared" si="61"/>
        <v>0</v>
      </c>
      <c r="AC232" s="53">
        <f t="shared" si="62"/>
        <v>0</v>
      </c>
      <c r="AD232" s="53">
        <f t="shared" si="63"/>
        <v>0</v>
      </c>
      <c r="AE232" s="53">
        <f t="shared" si="64"/>
        <v>0</v>
      </c>
      <c r="AF232" s="53">
        <f t="shared" si="65"/>
        <v>0</v>
      </c>
      <c r="AG232" s="56">
        <f t="shared" si="66"/>
        <v>0</v>
      </c>
      <c r="AH232" s="53">
        <f t="shared" si="67"/>
        <v>0</v>
      </c>
      <c r="AI232" s="55"/>
      <c r="AJ232" s="53">
        <f t="shared" si="68"/>
        <v>0</v>
      </c>
      <c r="AK232" s="53">
        <f t="shared" si="69"/>
        <v>0</v>
      </c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7"/>
      <c r="AW232" s="57"/>
      <c r="AX232" s="57"/>
    </row>
    <row r="233" spans="2:50">
      <c r="B233" s="45">
        <v>217</v>
      </c>
      <c r="C233" s="196" t="s">
        <v>304</v>
      </c>
      <c r="D233" s="197" t="s">
        <v>406</v>
      </c>
      <c r="E233" s="198" t="s">
        <v>451</v>
      </c>
      <c r="F233" s="197" t="s">
        <v>459</v>
      </c>
      <c r="G233" s="200" t="s">
        <v>306</v>
      </c>
      <c r="H233" s="201">
        <v>42607</v>
      </c>
      <c r="I233" s="202" t="s">
        <v>409</v>
      </c>
      <c r="J233" s="202">
        <f t="shared" si="58"/>
        <v>726</v>
      </c>
      <c r="K233" s="202">
        <v>6</v>
      </c>
      <c r="L233" s="202">
        <v>720</v>
      </c>
      <c r="M233" s="202"/>
      <c r="N233" s="203">
        <v>0</v>
      </c>
      <c r="O233" s="203">
        <v>12</v>
      </c>
      <c r="P233" s="179">
        <v>1</v>
      </c>
      <c r="Q233" s="53"/>
      <c r="R233" s="54" t="s">
        <v>158</v>
      </c>
      <c r="S233" s="54" t="s">
        <v>158</v>
      </c>
      <c r="T233" s="54" t="s">
        <v>158</v>
      </c>
      <c r="U233" s="54" t="s">
        <v>158</v>
      </c>
      <c r="V233" s="157" t="s">
        <v>405</v>
      </c>
      <c r="W233" s="53"/>
      <c r="X233" s="53">
        <f t="shared" si="59"/>
        <v>0</v>
      </c>
      <c r="Y233" s="55"/>
      <c r="Z233" s="55"/>
      <c r="AA233" s="52">
        <f t="shared" si="60"/>
        <v>0</v>
      </c>
      <c r="AB233" s="53">
        <f t="shared" si="61"/>
        <v>0</v>
      </c>
      <c r="AC233" s="53">
        <f t="shared" si="62"/>
        <v>0</v>
      </c>
      <c r="AD233" s="53">
        <f t="shared" si="63"/>
        <v>0</v>
      </c>
      <c r="AE233" s="53">
        <f t="shared" si="64"/>
        <v>0</v>
      </c>
      <c r="AF233" s="53">
        <f t="shared" si="65"/>
        <v>0</v>
      </c>
      <c r="AG233" s="56">
        <f t="shared" si="66"/>
        <v>0</v>
      </c>
      <c r="AH233" s="53">
        <f t="shared" si="67"/>
        <v>0</v>
      </c>
      <c r="AI233" s="55"/>
      <c r="AJ233" s="53">
        <f t="shared" si="68"/>
        <v>0</v>
      </c>
      <c r="AK233" s="53">
        <f t="shared" si="69"/>
        <v>0</v>
      </c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7"/>
      <c r="AW233" s="57"/>
      <c r="AX233" s="57"/>
    </row>
    <row r="234" spans="2:50">
      <c r="B234" s="45">
        <v>218</v>
      </c>
      <c r="C234" s="196" t="s">
        <v>304</v>
      </c>
      <c r="D234" s="197" t="s">
        <v>406</v>
      </c>
      <c r="E234" s="198" t="s">
        <v>451</v>
      </c>
      <c r="F234" s="199" t="s">
        <v>460</v>
      </c>
      <c r="G234" s="200" t="s">
        <v>306</v>
      </c>
      <c r="H234" s="201">
        <v>43679</v>
      </c>
      <c r="I234" s="202" t="s">
        <v>409</v>
      </c>
      <c r="J234" s="202">
        <f t="shared" si="58"/>
        <v>48</v>
      </c>
      <c r="K234" s="202">
        <v>48</v>
      </c>
      <c r="L234" s="202">
        <v>0</v>
      </c>
      <c r="M234" s="202"/>
      <c r="N234" s="203">
        <v>0.8</v>
      </c>
      <c r="O234" s="203">
        <v>0</v>
      </c>
      <c r="P234" s="179">
        <v>1</v>
      </c>
      <c r="Q234" s="53"/>
      <c r="R234" s="54" t="s">
        <v>158</v>
      </c>
      <c r="S234" s="54" t="s">
        <v>158</v>
      </c>
      <c r="T234" s="54" t="s">
        <v>158</v>
      </c>
      <c r="U234" s="54" t="s">
        <v>158</v>
      </c>
      <c r="V234" s="157" t="s">
        <v>405</v>
      </c>
      <c r="W234" s="53"/>
      <c r="X234" s="53">
        <f t="shared" si="59"/>
        <v>0</v>
      </c>
      <c r="Y234" s="55"/>
      <c r="Z234" s="55"/>
      <c r="AA234" s="52">
        <f t="shared" si="60"/>
        <v>0</v>
      </c>
      <c r="AB234" s="53">
        <f t="shared" si="61"/>
        <v>0</v>
      </c>
      <c r="AC234" s="53">
        <f t="shared" si="62"/>
        <v>0</v>
      </c>
      <c r="AD234" s="53">
        <f t="shared" si="63"/>
        <v>0</v>
      </c>
      <c r="AE234" s="53">
        <f t="shared" si="64"/>
        <v>0</v>
      </c>
      <c r="AF234" s="53">
        <f t="shared" si="65"/>
        <v>0</v>
      </c>
      <c r="AG234" s="56">
        <f t="shared" si="66"/>
        <v>0</v>
      </c>
      <c r="AH234" s="53">
        <f t="shared" si="67"/>
        <v>0</v>
      </c>
      <c r="AI234" s="55"/>
      <c r="AJ234" s="53">
        <f t="shared" si="68"/>
        <v>0</v>
      </c>
      <c r="AK234" s="53">
        <f t="shared" si="69"/>
        <v>0</v>
      </c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7"/>
      <c r="AW234" s="57"/>
      <c r="AX234" s="57"/>
    </row>
    <row r="235" spans="2:50">
      <c r="B235" s="45">
        <v>219</v>
      </c>
      <c r="C235" s="196" t="s">
        <v>304</v>
      </c>
      <c r="D235" s="197" t="s">
        <v>406</v>
      </c>
      <c r="E235" s="198" t="s">
        <v>451</v>
      </c>
      <c r="F235" s="197" t="s">
        <v>461</v>
      </c>
      <c r="G235" s="200" t="s">
        <v>306</v>
      </c>
      <c r="H235" s="201">
        <v>43649</v>
      </c>
      <c r="I235" s="202" t="s">
        <v>409</v>
      </c>
      <c r="J235" s="202">
        <f t="shared" si="58"/>
        <v>726</v>
      </c>
      <c r="K235" s="202">
        <v>6</v>
      </c>
      <c r="L235" s="202">
        <v>720</v>
      </c>
      <c r="M235" s="202"/>
      <c r="N235" s="203">
        <v>0.1</v>
      </c>
      <c r="O235" s="203">
        <v>12</v>
      </c>
      <c r="P235" s="179">
        <v>1</v>
      </c>
      <c r="Q235" s="53" t="s">
        <v>257</v>
      </c>
      <c r="R235" s="54" t="s">
        <v>158</v>
      </c>
      <c r="S235" s="54" t="s">
        <v>158</v>
      </c>
      <c r="T235" s="54" t="s">
        <v>158</v>
      </c>
      <c r="U235" s="54" t="s">
        <v>158</v>
      </c>
      <c r="V235" s="157" t="s">
        <v>405</v>
      </c>
      <c r="W235" s="53"/>
      <c r="X235" s="53">
        <f t="shared" si="59"/>
        <v>0</v>
      </c>
      <c r="Y235" s="55"/>
      <c r="Z235" s="55"/>
      <c r="AA235" s="52">
        <f t="shared" si="60"/>
        <v>0</v>
      </c>
      <c r="AB235" s="53">
        <f t="shared" si="61"/>
        <v>0</v>
      </c>
      <c r="AC235" s="53">
        <f t="shared" si="62"/>
        <v>0</v>
      </c>
      <c r="AD235" s="53">
        <f t="shared" si="63"/>
        <v>0</v>
      </c>
      <c r="AE235" s="53">
        <f t="shared" si="64"/>
        <v>0</v>
      </c>
      <c r="AF235" s="53">
        <f t="shared" si="65"/>
        <v>0</v>
      </c>
      <c r="AG235" s="56">
        <f t="shared" si="66"/>
        <v>1</v>
      </c>
      <c r="AH235" s="53">
        <f t="shared" si="67"/>
        <v>0</v>
      </c>
      <c r="AI235" s="55"/>
      <c r="AJ235" s="53">
        <f t="shared" si="68"/>
        <v>0</v>
      </c>
      <c r="AK235" s="53">
        <f t="shared" si="69"/>
        <v>0</v>
      </c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7"/>
      <c r="AW235" s="57"/>
      <c r="AX235" s="57"/>
    </row>
    <row r="236" spans="2:50">
      <c r="B236" s="45">
        <v>220</v>
      </c>
      <c r="C236" s="196" t="s">
        <v>304</v>
      </c>
      <c r="D236" s="197" t="s">
        <v>406</v>
      </c>
      <c r="E236" s="198" t="s">
        <v>451</v>
      </c>
      <c r="F236" s="197" t="s">
        <v>462</v>
      </c>
      <c r="G236" s="200" t="s">
        <v>306</v>
      </c>
      <c r="H236" s="201">
        <v>42711</v>
      </c>
      <c r="I236" s="202" t="s">
        <v>409</v>
      </c>
      <c r="J236" s="202">
        <f t="shared" si="58"/>
        <v>726</v>
      </c>
      <c r="K236" s="202">
        <v>6</v>
      </c>
      <c r="L236" s="202">
        <v>720</v>
      </c>
      <c r="M236" s="202"/>
      <c r="N236" s="203">
        <v>0.05</v>
      </c>
      <c r="O236" s="203">
        <v>12</v>
      </c>
      <c r="P236" s="179">
        <v>1</v>
      </c>
      <c r="Q236" s="53" t="s">
        <v>257</v>
      </c>
      <c r="R236" s="54" t="s">
        <v>158</v>
      </c>
      <c r="S236" s="54" t="s">
        <v>158</v>
      </c>
      <c r="T236" s="54" t="s">
        <v>158</v>
      </c>
      <c r="U236" s="54" t="s">
        <v>158</v>
      </c>
      <c r="V236" s="157" t="s">
        <v>405</v>
      </c>
      <c r="W236" s="53"/>
      <c r="X236" s="53">
        <f t="shared" si="59"/>
        <v>0</v>
      </c>
      <c r="Y236" s="55"/>
      <c r="Z236" s="55"/>
      <c r="AA236" s="52">
        <f t="shared" si="60"/>
        <v>0</v>
      </c>
      <c r="AB236" s="53">
        <f t="shared" si="61"/>
        <v>0</v>
      </c>
      <c r="AC236" s="53">
        <f t="shared" si="62"/>
        <v>0</v>
      </c>
      <c r="AD236" s="53">
        <f t="shared" si="63"/>
        <v>0</v>
      </c>
      <c r="AE236" s="53">
        <f t="shared" si="64"/>
        <v>0</v>
      </c>
      <c r="AF236" s="53">
        <f t="shared" si="65"/>
        <v>0</v>
      </c>
      <c r="AG236" s="56">
        <f t="shared" si="66"/>
        <v>1</v>
      </c>
      <c r="AH236" s="53">
        <f t="shared" si="67"/>
        <v>0</v>
      </c>
      <c r="AI236" s="55"/>
      <c r="AJ236" s="53">
        <f t="shared" si="68"/>
        <v>0</v>
      </c>
      <c r="AK236" s="53">
        <f t="shared" si="69"/>
        <v>0</v>
      </c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7"/>
      <c r="AW236" s="57"/>
      <c r="AX236" s="57"/>
    </row>
    <row r="237" spans="2:50">
      <c r="B237" s="45">
        <v>221</v>
      </c>
      <c r="C237" s="196" t="s">
        <v>304</v>
      </c>
      <c r="D237" s="197" t="s">
        <v>406</v>
      </c>
      <c r="E237" s="198" t="s">
        <v>451</v>
      </c>
      <c r="F237" s="197" t="s">
        <v>463</v>
      </c>
      <c r="G237" s="200" t="s">
        <v>306</v>
      </c>
      <c r="H237" s="201">
        <v>43416</v>
      </c>
      <c r="I237" s="202" t="s">
        <v>409</v>
      </c>
      <c r="J237" s="202">
        <f t="shared" si="58"/>
        <v>726</v>
      </c>
      <c r="K237" s="202">
        <v>6</v>
      </c>
      <c r="L237" s="202">
        <v>720</v>
      </c>
      <c r="M237" s="202"/>
      <c r="N237" s="203">
        <v>0.1</v>
      </c>
      <c r="O237" s="203">
        <v>12</v>
      </c>
      <c r="P237" s="179">
        <v>1</v>
      </c>
      <c r="Q237" s="53" t="s">
        <v>257</v>
      </c>
      <c r="R237" s="54" t="s">
        <v>158</v>
      </c>
      <c r="S237" s="54" t="s">
        <v>158</v>
      </c>
      <c r="T237" s="54" t="s">
        <v>158</v>
      </c>
      <c r="U237" s="54" t="s">
        <v>158</v>
      </c>
      <c r="V237" s="157" t="s">
        <v>405</v>
      </c>
      <c r="W237" s="53"/>
      <c r="X237" s="53">
        <f t="shared" si="59"/>
        <v>0</v>
      </c>
      <c r="Y237" s="55"/>
      <c r="Z237" s="55"/>
      <c r="AA237" s="52">
        <f t="shared" si="60"/>
        <v>0</v>
      </c>
      <c r="AB237" s="53">
        <f t="shared" si="61"/>
        <v>0</v>
      </c>
      <c r="AC237" s="53">
        <f t="shared" si="62"/>
        <v>0</v>
      </c>
      <c r="AD237" s="53">
        <f t="shared" si="63"/>
        <v>0</v>
      </c>
      <c r="AE237" s="53">
        <f t="shared" si="64"/>
        <v>0</v>
      </c>
      <c r="AF237" s="53">
        <f t="shared" si="65"/>
        <v>0</v>
      </c>
      <c r="AG237" s="56">
        <f t="shared" si="66"/>
        <v>1</v>
      </c>
      <c r="AH237" s="53">
        <f t="shared" si="67"/>
        <v>0</v>
      </c>
      <c r="AI237" s="55"/>
      <c r="AJ237" s="53">
        <f t="shared" si="68"/>
        <v>0</v>
      </c>
      <c r="AK237" s="53">
        <f t="shared" si="69"/>
        <v>0</v>
      </c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7"/>
      <c r="AW237" s="57"/>
      <c r="AX237" s="57"/>
    </row>
    <row r="238" spans="2:50">
      <c r="B238" s="45">
        <v>222</v>
      </c>
      <c r="C238" s="196" t="s">
        <v>304</v>
      </c>
      <c r="D238" s="197" t="s">
        <v>406</v>
      </c>
      <c r="E238" s="198" t="s">
        <v>451</v>
      </c>
      <c r="F238" s="197" t="s">
        <v>464</v>
      </c>
      <c r="G238" s="200" t="s">
        <v>306</v>
      </c>
      <c r="H238" s="201">
        <v>42711</v>
      </c>
      <c r="I238" s="202" t="s">
        <v>409</v>
      </c>
      <c r="J238" s="202">
        <f t="shared" si="58"/>
        <v>726</v>
      </c>
      <c r="K238" s="202">
        <v>6</v>
      </c>
      <c r="L238" s="202">
        <v>720</v>
      </c>
      <c r="M238" s="202"/>
      <c r="N238" s="203">
        <v>0.1</v>
      </c>
      <c r="O238" s="203">
        <v>12</v>
      </c>
      <c r="P238" s="179">
        <v>1</v>
      </c>
      <c r="Q238" s="53" t="s">
        <v>257</v>
      </c>
      <c r="R238" s="54" t="s">
        <v>158</v>
      </c>
      <c r="S238" s="54" t="s">
        <v>158</v>
      </c>
      <c r="T238" s="54" t="s">
        <v>158</v>
      </c>
      <c r="U238" s="54" t="s">
        <v>158</v>
      </c>
      <c r="V238" s="157" t="s">
        <v>405</v>
      </c>
      <c r="W238" s="53"/>
      <c r="X238" s="53">
        <f t="shared" si="59"/>
        <v>0</v>
      </c>
      <c r="Y238" s="55"/>
      <c r="Z238" s="55"/>
      <c r="AA238" s="52">
        <f t="shared" si="60"/>
        <v>0</v>
      </c>
      <c r="AB238" s="53">
        <f t="shared" si="61"/>
        <v>0</v>
      </c>
      <c r="AC238" s="53">
        <f t="shared" si="62"/>
        <v>0</v>
      </c>
      <c r="AD238" s="53">
        <f t="shared" si="63"/>
        <v>0</v>
      </c>
      <c r="AE238" s="53">
        <f t="shared" si="64"/>
        <v>0</v>
      </c>
      <c r="AF238" s="53">
        <f t="shared" si="65"/>
        <v>0</v>
      </c>
      <c r="AG238" s="56">
        <f t="shared" si="66"/>
        <v>1</v>
      </c>
      <c r="AH238" s="53">
        <f t="shared" si="67"/>
        <v>0</v>
      </c>
      <c r="AI238" s="55"/>
      <c r="AJ238" s="53">
        <f t="shared" si="68"/>
        <v>0</v>
      </c>
      <c r="AK238" s="53">
        <f t="shared" si="69"/>
        <v>0</v>
      </c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7"/>
      <c r="AW238" s="57"/>
      <c r="AX238" s="57"/>
    </row>
    <row r="239" spans="2:50">
      <c r="B239" s="45">
        <v>223</v>
      </c>
      <c r="C239" s="196" t="s">
        <v>304</v>
      </c>
      <c r="D239" s="197" t="s">
        <v>406</v>
      </c>
      <c r="E239" s="198" t="s">
        <v>451</v>
      </c>
      <c r="F239" s="197" t="s">
        <v>430</v>
      </c>
      <c r="G239" s="200" t="s">
        <v>306</v>
      </c>
      <c r="H239" s="201">
        <v>42711</v>
      </c>
      <c r="I239" s="202" t="s">
        <v>409</v>
      </c>
      <c r="J239" s="202">
        <f t="shared" si="58"/>
        <v>114</v>
      </c>
      <c r="K239" s="202">
        <v>84</v>
      </c>
      <c r="L239" s="202">
        <v>30</v>
      </c>
      <c r="M239" s="202"/>
      <c r="N239" s="202">
        <v>1.4</v>
      </c>
      <c r="O239" s="202">
        <v>0.5</v>
      </c>
      <c r="P239" s="179">
        <v>1</v>
      </c>
      <c r="Q239" s="53"/>
      <c r="R239" s="54" t="s">
        <v>158</v>
      </c>
      <c r="S239" s="54" t="s">
        <v>158</v>
      </c>
      <c r="T239" s="54" t="s">
        <v>158</v>
      </c>
      <c r="U239" s="54" t="s">
        <v>158</v>
      </c>
      <c r="V239" s="157" t="s">
        <v>405</v>
      </c>
      <c r="W239" s="53"/>
      <c r="X239" s="53">
        <f t="shared" si="59"/>
        <v>0</v>
      </c>
      <c r="Y239" s="55"/>
      <c r="Z239" s="55"/>
      <c r="AA239" s="52">
        <f t="shared" si="60"/>
        <v>0</v>
      </c>
      <c r="AB239" s="53">
        <f t="shared" si="61"/>
        <v>0</v>
      </c>
      <c r="AC239" s="53">
        <f t="shared" si="62"/>
        <v>0</v>
      </c>
      <c r="AD239" s="53">
        <f t="shared" si="63"/>
        <v>0</v>
      </c>
      <c r="AE239" s="53">
        <f t="shared" si="64"/>
        <v>0</v>
      </c>
      <c r="AF239" s="53">
        <f t="shared" si="65"/>
        <v>0</v>
      </c>
      <c r="AG239" s="56">
        <f t="shared" si="66"/>
        <v>0</v>
      </c>
      <c r="AH239" s="53">
        <f t="shared" si="67"/>
        <v>0</v>
      </c>
      <c r="AI239" s="55"/>
      <c r="AJ239" s="53">
        <f t="shared" si="68"/>
        <v>0</v>
      </c>
      <c r="AK239" s="53">
        <f t="shared" si="69"/>
        <v>0</v>
      </c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7"/>
      <c r="AW239" s="57"/>
      <c r="AX239" s="57"/>
    </row>
    <row r="240" spans="2:50">
      <c r="B240" s="45">
        <v>224</v>
      </c>
      <c r="C240" s="196" t="s">
        <v>304</v>
      </c>
      <c r="D240" s="197" t="s">
        <v>406</v>
      </c>
      <c r="E240" s="198" t="s">
        <v>451</v>
      </c>
      <c r="F240" s="199" t="s">
        <v>465</v>
      </c>
      <c r="G240" s="200" t="s">
        <v>306</v>
      </c>
      <c r="H240" s="201">
        <v>42585</v>
      </c>
      <c r="I240" s="202" t="s">
        <v>409</v>
      </c>
      <c r="J240" s="203">
        <f t="shared" si="58"/>
        <v>270</v>
      </c>
      <c r="K240" s="203">
        <v>270</v>
      </c>
      <c r="L240" s="203">
        <v>0</v>
      </c>
      <c r="M240" s="203"/>
      <c r="N240" s="203">
        <v>4.5</v>
      </c>
      <c r="O240" s="203">
        <v>0</v>
      </c>
      <c r="P240" s="179">
        <v>1</v>
      </c>
      <c r="Q240" s="53"/>
      <c r="R240" s="54" t="s">
        <v>158</v>
      </c>
      <c r="S240" s="54" t="s">
        <v>158</v>
      </c>
      <c r="T240" s="54" t="s">
        <v>158</v>
      </c>
      <c r="U240" s="54" t="s">
        <v>158</v>
      </c>
      <c r="V240" s="157" t="s">
        <v>405</v>
      </c>
      <c r="W240" s="53"/>
      <c r="X240" s="53">
        <f t="shared" si="59"/>
        <v>0</v>
      </c>
      <c r="Y240" s="55"/>
      <c r="Z240" s="55"/>
      <c r="AA240" s="52">
        <f t="shared" si="60"/>
        <v>0</v>
      </c>
      <c r="AB240" s="53">
        <f t="shared" si="61"/>
        <v>0</v>
      </c>
      <c r="AC240" s="53">
        <f t="shared" si="62"/>
        <v>0</v>
      </c>
      <c r="AD240" s="53">
        <f t="shared" si="63"/>
        <v>0</v>
      </c>
      <c r="AE240" s="53">
        <f t="shared" si="64"/>
        <v>0</v>
      </c>
      <c r="AF240" s="53">
        <f t="shared" si="65"/>
        <v>0</v>
      </c>
      <c r="AG240" s="56">
        <f t="shared" si="66"/>
        <v>0</v>
      </c>
      <c r="AH240" s="53">
        <f t="shared" si="67"/>
        <v>0</v>
      </c>
      <c r="AI240" s="55"/>
      <c r="AJ240" s="53">
        <f t="shared" si="68"/>
        <v>0</v>
      </c>
      <c r="AK240" s="53">
        <f t="shared" si="69"/>
        <v>0</v>
      </c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7"/>
      <c r="AW240" s="57"/>
      <c r="AX240" s="57"/>
    </row>
    <row r="241" spans="2:50">
      <c r="B241" s="45">
        <v>225</v>
      </c>
      <c r="C241" s="196" t="s">
        <v>304</v>
      </c>
      <c r="D241" s="197" t="s">
        <v>406</v>
      </c>
      <c r="E241" s="198" t="s">
        <v>451</v>
      </c>
      <c r="F241" s="197" t="s">
        <v>432</v>
      </c>
      <c r="G241" s="200" t="s">
        <v>300</v>
      </c>
      <c r="H241" s="201">
        <v>42711</v>
      </c>
      <c r="I241" s="202" t="s">
        <v>409</v>
      </c>
      <c r="J241" s="203">
        <f t="shared" si="58"/>
        <v>60</v>
      </c>
      <c r="K241" s="203">
        <v>12</v>
      </c>
      <c r="L241" s="203">
        <v>48</v>
      </c>
      <c r="M241" s="203"/>
      <c r="N241" s="203">
        <v>0.2</v>
      </c>
      <c r="O241" s="203">
        <v>0.8</v>
      </c>
      <c r="P241" s="179">
        <v>1</v>
      </c>
      <c r="Q241" s="53" t="s">
        <v>257</v>
      </c>
      <c r="R241" s="54" t="s">
        <v>158</v>
      </c>
      <c r="S241" s="54" t="s">
        <v>158</v>
      </c>
      <c r="T241" s="54" t="s">
        <v>158</v>
      </c>
      <c r="U241" s="54" t="s">
        <v>158</v>
      </c>
      <c r="V241" s="157" t="s">
        <v>405</v>
      </c>
      <c r="W241" s="53"/>
      <c r="X241" s="53">
        <f t="shared" si="59"/>
        <v>0</v>
      </c>
      <c r="Y241" s="55"/>
      <c r="Z241" s="55"/>
      <c r="AA241" s="52">
        <f t="shared" si="60"/>
        <v>0</v>
      </c>
      <c r="AB241" s="53">
        <f t="shared" si="61"/>
        <v>0</v>
      </c>
      <c r="AC241" s="53">
        <f t="shared" si="62"/>
        <v>0</v>
      </c>
      <c r="AD241" s="53">
        <f t="shared" si="63"/>
        <v>0</v>
      </c>
      <c r="AE241" s="53">
        <f t="shared" si="64"/>
        <v>0</v>
      </c>
      <c r="AF241" s="53">
        <f t="shared" si="65"/>
        <v>0</v>
      </c>
      <c r="AG241" s="56">
        <f t="shared" si="66"/>
        <v>1</v>
      </c>
      <c r="AH241" s="53">
        <f t="shared" si="67"/>
        <v>0</v>
      </c>
      <c r="AI241" s="55"/>
      <c r="AJ241" s="53">
        <f t="shared" si="68"/>
        <v>0</v>
      </c>
      <c r="AK241" s="53">
        <f t="shared" si="69"/>
        <v>0</v>
      </c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7"/>
      <c r="AW241" s="57"/>
      <c r="AX241" s="57"/>
    </row>
    <row r="242" spans="2:50">
      <c r="B242" s="45">
        <v>226</v>
      </c>
      <c r="C242" s="196" t="s">
        <v>304</v>
      </c>
      <c r="D242" s="197" t="s">
        <v>406</v>
      </c>
      <c r="E242" s="198" t="s">
        <v>451</v>
      </c>
      <c r="F242" s="197" t="s">
        <v>433</v>
      </c>
      <c r="G242" s="200" t="s">
        <v>300</v>
      </c>
      <c r="H242" s="201">
        <v>43655</v>
      </c>
      <c r="I242" s="202" t="s">
        <v>409</v>
      </c>
      <c r="J242" s="203">
        <f t="shared" si="58"/>
        <v>60</v>
      </c>
      <c r="K242" s="203">
        <v>60</v>
      </c>
      <c r="L242" s="203">
        <v>0</v>
      </c>
      <c r="M242" s="203"/>
      <c r="N242" s="203">
        <v>1</v>
      </c>
      <c r="O242" s="203">
        <v>0</v>
      </c>
      <c r="P242" s="179">
        <v>1</v>
      </c>
      <c r="Q242" s="53" t="s">
        <v>257</v>
      </c>
      <c r="R242" s="54" t="s">
        <v>158</v>
      </c>
      <c r="S242" s="54" t="s">
        <v>158</v>
      </c>
      <c r="T242" s="54" t="s">
        <v>158</v>
      </c>
      <c r="U242" s="54" t="s">
        <v>158</v>
      </c>
      <c r="V242" s="157" t="s">
        <v>405</v>
      </c>
      <c r="W242" s="53"/>
      <c r="X242" s="53">
        <f t="shared" si="59"/>
        <v>0</v>
      </c>
      <c r="Y242" s="55"/>
      <c r="Z242" s="55"/>
      <c r="AA242" s="52">
        <f t="shared" si="60"/>
        <v>0</v>
      </c>
      <c r="AB242" s="53">
        <f t="shared" si="61"/>
        <v>0</v>
      </c>
      <c r="AC242" s="53">
        <f t="shared" si="62"/>
        <v>0</v>
      </c>
      <c r="AD242" s="53">
        <f t="shared" si="63"/>
        <v>0</v>
      </c>
      <c r="AE242" s="53">
        <f t="shared" si="64"/>
        <v>0</v>
      </c>
      <c r="AF242" s="53">
        <f t="shared" si="65"/>
        <v>0</v>
      </c>
      <c r="AG242" s="56">
        <f t="shared" si="66"/>
        <v>1</v>
      </c>
      <c r="AH242" s="53">
        <f t="shared" si="67"/>
        <v>0</v>
      </c>
      <c r="AI242" s="55"/>
      <c r="AJ242" s="53">
        <f t="shared" si="68"/>
        <v>0</v>
      </c>
      <c r="AK242" s="53">
        <f t="shared" si="69"/>
        <v>0</v>
      </c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7"/>
      <c r="AW242" s="57"/>
      <c r="AX242" s="57"/>
    </row>
    <row r="243" spans="2:50">
      <c r="B243" s="45">
        <v>227</v>
      </c>
      <c r="C243" s="196" t="s">
        <v>304</v>
      </c>
      <c r="D243" s="197" t="s">
        <v>406</v>
      </c>
      <c r="E243" s="198" t="s">
        <v>451</v>
      </c>
      <c r="F243" s="197" t="s">
        <v>434</v>
      </c>
      <c r="G243" s="200" t="s">
        <v>300</v>
      </c>
      <c r="H243" s="201">
        <v>42711</v>
      </c>
      <c r="I243" s="202" t="s">
        <v>409</v>
      </c>
      <c r="J243" s="203">
        <f t="shared" si="58"/>
        <v>6</v>
      </c>
      <c r="K243" s="203">
        <v>6</v>
      </c>
      <c r="L243" s="203">
        <v>0</v>
      </c>
      <c r="M243" s="203"/>
      <c r="N243" s="203">
        <v>0.1</v>
      </c>
      <c r="O243" s="203">
        <v>0</v>
      </c>
      <c r="P243" s="179">
        <v>1</v>
      </c>
      <c r="Q243" s="53" t="s">
        <v>257</v>
      </c>
      <c r="R243" s="54" t="s">
        <v>158</v>
      </c>
      <c r="S243" s="54" t="s">
        <v>158</v>
      </c>
      <c r="T243" s="54" t="s">
        <v>158</v>
      </c>
      <c r="U243" s="54" t="s">
        <v>158</v>
      </c>
      <c r="V243" s="157" t="s">
        <v>405</v>
      </c>
      <c r="W243" s="53"/>
      <c r="X243" s="53">
        <f t="shared" si="59"/>
        <v>0</v>
      </c>
      <c r="Y243" s="55"/>
      <c r="Z243" s="55"/>
      <c r="AA243" s="52">
        <f t="shared" si="60"/>
        <v>0</v>
      </c>
      <c r="AB243" s="53">
        <f t="shared" si="61"/>
        <v>0</v>
      </c>
      <c r="AC243" s="53">
        <f t="shared" si="62"/>
        <v>0</v>
      </c>
      <c r="AD243" s="53">
        <f t="shared" si="63"/>
        <v>0</v>
      </c>
      <c r="AE243" s="53">
        <f t="shared" si="64"/>
        <v>0</v>
      </c>
      <c r="AF243" s="53">
        <f t="shared" si="65"/>
        <v>0</v>
      </c>
      <c r="AG243" s="56">
        <f t="shared" si="66"/>
        <v>1</v>
      </c>
      <c r="AH243" s="53">
        <f t="shared" si="67"/>
        <v>0</v>
      </c>
      <c r="AI243" s="55"/>
      <c r="AJ243" s="53">
        <f t="shared" si="68"/>
        <v>0</v>
      </c>
      <c r="AK243" s="53">
        <f t="shared" si="69"/>
        <v>0</v>
      </c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7"/>
      <c r="AW243" s="57"/>
      <c r="AX243" s="57"/>
    </row>
    <row r="244" spans="2:50">
      <c r="B244" s="45">
        <v>228</v>
      </c>
      <c r="C244" s="196" t="s">
        <v>304</v>
      </c>
      <c r="D244" s="197" t="s">
        <v>406</v>
      </c>
      <c r="E244" s="198" t="s">
        <v>451</v>
      </c>
      <c r="F244" s="197" t="s">
        <v>466</v>
      </c>
      <c r="G244" s="200" t="s">
        <v>306</v>
      </c>
      <c r="H244" s="201">
        <v>43433</v>
      </c>
      <c r="I244" s="202" t="s">
        <v>409</v>
      </c>
      <c r="J244" s="203">
        <f t="shared" si="58"/>
        <v>3639</v>
      </c>
      <c r="K244" s="203">
        <v>423</v>
      </c>
      <c r="L244" s="203">
        <v>3216</v>
      </c>
      <c r="M244" s="203"/>
      <c r="N244" s="203">
        <v>7.05</v>
      </c>
      <c r="O244" s="203">
        <v>53.6</v>
      </c>
      <c r="P244" s="179">
        <v>1</v>
      </c>
      <c r="Q244" s="53"/>
      <c r="R244" s="54" t="s">
        <v>158</v>
      </c>
      <c r="S244" s="54" t="s">
        <v>158</v>
      </c>
      <c r="T244" s="54" t="s">
        <v>158</v>
      </c>
      <c r="U244" s="54" t="s">
        <v>158</v>
      </c>
      <c r="V244" s="157" t="s">
        <v>405</v>
      </c>
      <c r="W244" s="53"/>
      <c r="X244" s="53">
        <f t="shared" si="59"/>
        <v>0</v>
      </c>
      <c r="Y244" s="55"/>
      <c r="Z244" s="55"/>
      <c r="AA244" s="52">
        <f t="shared" si="60"/>
        <v>0</v>
      </c>
      <c r="AB244" s="53">
        <f t="shared" si="61"/>
        <v>0</v>
      </c>
      <c r="AC244" s="53">
        <f t="shared" si="62"/>
        <v>0</v>
      </c>
      <c r="AD244" s="53">
        <f t="shared" si="63"/>
        <v>0</v>
      </c>
      <c r="AE244" s="53">
        <f t="shared" si="64"/>
        <v>0</v>
      </c>
      <c r="AF244" s="53">
        <f t="shared" si="65"/>
        <v>0</v>
      </c>
      <c r="AG244" s="56">
        <f t="shared" si="66"/>
        <v>0</v>
      </c>
      <c r="AH244" s="53">
        <f t="shared" si="67"/>
        <v>0</v>
      </c>
      <c r="AI244" s="55"/>
      <c r="AJ244" s="53">
        <f t="shared" si="68"/>
        <v>0</v>
      </c>
      <c r="AK244" s="53">
        <f t="shared" si="69"/>
        <v>0</v>
      </c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7"/>
      <c r="AW244" s="57"/>
      <c r="AX244" s="57"/>
    </row>
    <row r="245" spans="2:50">
      <c r="B245" s="45">
        <v>229</v>
      </c>
      <c r="C245" s="196" t="s">
        <v>304</v>
      </c>
      <c r="D245" s="197" t="s">
        <v>406</v>
      </c>
      <c r="E245" s="196" t="s">
        <v>467</v>
      </c>
      <c r="F245" s="197" t="s">
        <v>468</v>
      </c>
      <c r="G245" s="200" t="s">
        <v>306</v>
      </c>
      <c r="H245" s="201">
        <v>42744</v>
      </c>
      <c r="I245" s="202" t="s">
        <v>409</v>
      </c>
      <c r="J245" s="203">
        <f t="shared" si="58"/>
        <v>210</v>
      </c>
      <c r="K245" s="203">
        <v>30</v>
      </c>
      <c r="L245" s="203">
        <v>180</v>
      </c>
      <c r="M245" s="203"/>
      <c r="N245" s="203">
        <v>0.5</v>
      </c>
      <c r="O245" s="203">
        <v>1</v>
      </c>
      <c r="P245" s="179">
        <v>1</v>
      </c>
      <c r="Q245" s="53"/>
      <c r="R245" s="54" t="s">
        <v>158</v>
      </c>
      <c r="S245" s="54" t="s">
        <v>158</v>
      </c>
      <c r="T245" s="54" t="s">
        <v>158</v>
      </c>
      <c r="U245" s="54" t="s">
        <v>158</v>
      </c>
      <c r="V245" s="157" t="s">
        <v>405</v>
      </c>
      <c r="W245" s="53"/>
      <c r="X245" s="53">
        <f t="shared" si="59"/>
        <v>0</v>
      </c>
      <c r="Y245" s="55"/>
      <c r="Z245" s="55"/>
      <c r="AA245" s="52">
        <f t="shared" si="60"/>
        <v>0</v>
      </c>
      <c r="AB245" s="53">
        <f t="shared" si="61"/>
        <v>0</v>
      </c>
      <c r="AC245" s="53">
        <f t="shared" si="62"/>
        <v>0</v>
      </c>
      <c r="AD245" s="53">
        <f t="shared" si="63"/>
        <v>0</v>
      </c>
      <c r="AE245" s="53">
        <f t="shared" si="64"/>
        <v>0</v>
      </c>
      <c r="AF245" s="53">
        <f t="shared" si="65"/>
        <v>0</v>
      </c>
      <c r="AG245" s="56">
        <f t="shared" si="66"/>
        <v>0</v>
      </c>
      <c r="AH245" s="53">
        <f t="shared" si="67"/>
        <v>0</v>
      </c>
      <c r="AI245" s="55"/>
      <c r="AJ245" s="53">
        <f t="shared" si="68"/>
        <v>0</v>
      </c>
      <c r="AK245" s="53">
        <f t="shared" si="69"/>
        <v>0</v>
      </c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7"/>
      <c r="AW245" s="57"/>
      <c r="AX245" s="57"/>
    </row>
    <row r="246" spans="2:50">
      <c r="B246" s="45">
        <v>230</v>
      </c>
      <c r="C246" s="196" t="s">
        <v>304</v>
      </c>
      <c r="D246" s="197" t="s">
        <v>406</v>
      </c>
      <c r="E246" s="196" t="s">
        <v>467</v>
      </c>
      <c r="F246" s="197" t="s">
        <v>469</v>
      </c>
      <c r="G246" s="200" t="s">
        <v>306</v>
      </c>
      <c r="H246" s="201">
        <v>42744</v>
      </c>
      <c r="I246" s="202" t="s">
        <v>409</v>
      </c>
      <c r="J246" s="203">
        <f t="shared" si="58"/>
        <v>84</v>
      </c>
      <c r="K246" s="203">
        <v>84</v>
      </c>
      <c r="L246" s="203">
        <v>0</v>
      </c>
      <c r="M246" s="203"/>
      <c r="N246" s="203">
        <v>1.4</v>
      </c>
      <c r="O246" s="203">
        <v>0</v>
      </c>
      <c r="P246" s="179">
        <v>1</v>
      </c>
      <c r="Q246" s="53"/>
      <c r="R246" s="54" t="s">
        <v>158</v>
      </c>
      <c r="S246" s="54" t="s">
        <v>158</v>
      </c>
      <c r="T246" s="54" t="s">
        <v>158</v>
      </c>
      <c r="U246" s="54" t="s">
        <v>158</v>
      </c>
      <c r="V246" s="157" t="s">
        <v>405</v>
      </c>
      <c r="W246" s="53"/>
      <c r="X246" s="53">
        <f t="shared" si="59"/>
        <v>0</v>
      </c>
      <c r="Y246" s="55"/>
      <c r="Z246" s="55"/>
      <c r="AA246" s="52">
        <f t="shared" si="60"/>
        <v>0</v>
      </c>
      <c r="AB246" s="53">
        <f t="shared" si="61"/>
        <v>0</v>
      </c>
      <c r="AC246" s="53">
        <f t="shared" si="62"/>
        <v>0</v>
      </c>
      <c r="AD246" s="53">
        <f t="shared" si="63"/>
        <v>0</v>
      </c>
      <c r="AE246" s="53">
        <f t="shared" si="64"/>
        <v>0</v>
      </c>
      <c r="AF246" s="53">
        <f t="shared" si="65"/>
        <v>0</v>
      </c>
      <c r="AG246" s="56">
        <f t="shared" si="66"/>
        <v>0</v>
      </c>
      <c r="AH246" s="53">
        <f t="shared" si="67"/>
        <v>0</v>
      </c>
      <c r="AI246" s="55"/>
      <c r="AJ246" s="53">
        <f t="shared" si="68"/>
        <v>0</v>
      </c>
      <c r="AK246" s="53">
        <f t="shared" si="69"/>
        <v>0</v>
      </c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7"/>
      <c r="AW246" s="57"/>
      <c r="AX246" s="57"/>
    </row>
    <row r="247" spans="2:50">
      <c r="B247" s="45">
        <v>231</v>
      </c>
      <c r="C247" s="196" t="s">
        <v>304</v>
      </c>
      <c r="D247" s="197" t="s">
        <v>406</v>
      </c>
      <c r="E247" s="196" t="s">
        <v>467</v>
      </c>
      <c r="F247" s="197" t="s">
        <v>470</v>
      </c>
      <c r="G247" s="200" t="s">
        <v>306</v>
      </c>
      <c r="H247" s="201">
        <v>42744</v>
      </c>
      <c r="I247" s="202" t="s">
        <v>409</v>
      </c>
      <c r="J247" s="203">
        <f t="shared" si="58"/>
        <v>108</v>
      </c>
      <c r="K247" s="203">
        <v>108</v>
      </c>
      <c r="L247" s="203">
        <v>0</v>
      </c>
      <c r="M247" s="203"/>
      <c r="N247" s="203">
        <v>1.8</v>
      </c>
      <c r="O247" s="203">
        <v>0</v>
      </c>
      <c r="P247" s="179">
        <v>1</v>
      </c>
      <c r="Q247" s="53"/>
      <c r="R247" s="54" t="s">
        <v>158</v>
      </c>
      <c r="S247" s="54" t="s">
        <v>158</v>
      </c>
      <c r="T247" s="54" t="s">
        <v>158</v>
      </c>
      <c r="U247" s="54" t="s">
        <v>158</v>
      </c>
      <c r="V247" s="157" t="s">
        <v>405</v>
      </c>
      <c r="W247" s="53"/>
      <c r="X247" s="53">
        <f t="shared" si="59"/>
        <v>0</v>
      </c>
      <c r="Y247" s="55"/>
      <c r="Z247" s="55"/>
      <c r="AA247" s="52">
        <f t="shared" si="60"/>
        <v>0</v>
      </c>
      <c r="AB247" s="53">
        <f t="shared" si="61"/>
        <v>0</v>
      </c>
      <c r="AC247" s="53">
        <f t="shared" si="62"/>
        <v>0</v>
      </c>
      <c r="AD247" s="53">
        <f t="shared" si="63"/>
        <v>0</v>
      </c>
      <c r="AE247" s="53">
        <f t="shared" si="64"/>
        <v>0</v>
      </c>
      <c r="AF247" s="53">
        <f t="shared" si="65"/>
        <v>0</v>
      </c>
      <c r="AG247" s="56">
        <f t="shared" si="66"/>
        <v>0</v>
      </c>
      <c r="AH247" s="53">
        <f t="shared" si="67"/>
        <v>0</v>
      </c>
      <c r="AI247" s="55"/>
      <c r="AJ247" s="53">
        <f t="shared" si="68"/>
        <v>0</v>
      </c>
      <c r="AK247" s="53">
        <f t="shared" si="69"/>
        <v>0</v>
      </c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7"/>
      <c r="AW247" s="57"/>
      <c r="AX247" s="57"/>
    </row>
    <row r="248" spans="2:50">
      <c r="B248" s="45">
        <v>232</v>
      </c>
      <c r="C248" s="196" t="s">
        <v>304</v>
      </c>
      <c r="D248" s="197" t="s">
        <v>406</v>
      </c>
      <c r="E248" s="196" t="s">
        <v>467</v>
      </c>
      <c r="F248" s="197" t="s">
        <v>471</v>
      </c>
      <c r="G248" s="200" t="s">
        <v>306</v>
      </c>
      <c r="H248" s="201">
        <v>42744</v>
      </c>
      <c r="I248" s="202" t="s">
        <v>409</v>
      </c>
      <c r="J248" s="203">
        <f t="shared" si="58"/>
        <v>48</v>
      </c>
      <c r="K248" s="203">
        <v>48</v>
      </c>
      <c r="L248" s="203">
        <v>0</v>
      </c>
      <c r="M248" s="203"/>
      <c r="N248" s="203">
        <v>0.8</v>
      </c>
      <c r="O248" s="203">
        <v>0</v>
      </c>
      <c r="P248" s="179">
        <v>1</v>
      </c>
      <c r="Q248" s="53"/>
      <c r="R248" s="54" t="s">
        <v>158</v>
      </c>
      <c r="S248" s="54" t="s">
        <v>158</v>
      </c>
      <c r="T248" s="54" t="s">
        <v>158</v>
      </c>
      <c r="U248" s="54" t="s">
        <v>158</v>
      </c>
      <c r="V248" s="157" t="s">
        <v>405</v>
      </c>
      <c r="W248" s="53"/>
      <c r="X248" s="53">
        <f t="shared" si="59"/>
        <v>0</v>
      </c>
      <c r="Y248" s="55"/>
      <c r="Z248" s="55"/>
      <c r="AA248" s="52">
        <f t="shared" si="60"/>
        <v>0</v>
      </c>
      <c r="AB248" s="53">
        <f t="shared" si="61"/>
        <v>0</v>
      </c>
      <c r="AC248" s="53">
        <f t="shared" si="62"/>
        <v>0</v>
      </c>
      <c r="AD248" s="53">
        <f t="shared" si="63"/>
        <v>0</v>
      </c>
      <c r="AE248" s="53">
        <f t="shared" si="64"/>
        <v>0</v>
      </c>
      <c r="AF248" s="53">
        <f t="shared" si="65"/>
        <v>0</v>
      </c>
      <c r="AG248" s="56">
        <f t="shared" si="66"/>
        <v>0</v>
      </c>
      <c r="AH248" s="53">
        <f t="shared" si="67"/>
        <v>0</v>
      </c>
      <c r="AI248" s="55"/>
      <c r="AJ248" s="53">
        <f t="shared" si="68"/>
        <v>0</v>
      </c>
      <c r="AK248" s="53">
        <f t="shared" si="69"/>
        <v>0</v>
      </c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7"/>
      <c r="AW248" s="57"/>
      <c r="AX248" s="57"/>
    </row>
    <row r="249" spans="2:50">
      <c r="B249" s="45">
        <v>233</v>
      </c>
      <c r="C249" s="196" t="s">
        <v>304</v>
      </c>
      <c r="D249" s="197" t="s">
        <v>406</v>
      </c>
      <c r="E249" s="196" t="s">
        <v>467</v>
      </c>
      <c r="F249" s="197" t="s">
        <v>472</v>
      </c>
      <c r="G249" s="200" t="s">
        <v>306</v>
      </c>
      <c r="H249" s="201">
        <v>42744</v>
      </c>
      <c r="I249" s="202" t="s">
        <v>409</v>
      </c>
      <c r="J249" s="203">
        <f t="shared" si="58"/>
        <v>78</v>
      </c>
      <c r="K249" s="203">
        <v>78</v>
      </c>
      <c r="L249" s="203">
        <v>0</v>
      </c>
      <c r="M249" s="203"/>
      <c r="N249" s="203">
        <v>1.3</v>
      </c>
      <c r="O249" s="203">
        <v>0</v>
      </c>
      <c r="P249" s="179">
        <v>1</v>
      </c>
      <c r="Q249" s="53"/>
      <c r="R249" s="54" t="s">
        <v>158</v>
      </c>
      <c r="S249" s="54" t="s">
        <v>158</v>
      </c>
      <c r="T249" s="54" t="s">
        <v>158</v>
      </c>
      <c r="U249" s="54" t="s">
        <v>158</v>
      </c>
      <c r="V249" s="157" t="s">
        <v>405</v>
      </c>
      <c r="W249" s="53"/>
      <c r="X249" s="53">
        <f t="shared" si="59"/>
        <v>0</v>
      </c>
      <c r="Y249" s="55"/>
      <c r="Z249" s="55"/>
      <c r="AA249" s="52">
        <f t="shared" si="60"/>
        <v>0</v>
      </c>
      <c r="AB249" s="53">
        <f t="shared" si="61"/>
        <v>0</v>
      </c>
      <c r="AC249" s="53">
        <f t="shared" si="62"/>
        <v>0</v>
      </c>
      <c r="AD249" s="53">
        <f t="shared" si="63"/>
        <v>0</v>
      </c>
      <c r="AE249" s="53">
        <f t="shared" si="64"/>
        <v>0</v>
      </c>
      <c r="AF249" s="53">
        <f t="shared" si="65"/>
        <v>0</v>
      </c>
      <c r="AG249" s="56">
        <f t="shared" si="66"/>
        <v>0</v>
      </c>
      <c r="AH249" s="53">
        <f t="shared" si="67"/>
        <v>0</v>
      </c>
      <c r="AI249" s="55"/>
      <c r="AJ249" s="53">
        <f t="shared" si="68"/>
        <v>0</v>
      </c>
      <c r="AK249" s="53">
        <f t="shared" si="69"/>
        <v>0</v>
      </c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7"/>
      <c r="AW249" s="57"/>
      <c r="AX249" s="57"/>
    </row>
    <row r="250" spans="2:50">
      <c r="B250" s="45">
        <v>234</v>
      </c>
      <c r="C250" s="196" t="s">
        <v>304</v>
      </c>
      <c r="D250" s="197" t="s">
        <v>406</v>
      </c>
      <c r="E250" s="196" t="s">
        <v>467</v>
      </c>
      <c r="F250" s="197" t="s">
        <v>473</v>
      </c>
      <c r="G250" s="200" t="s">
        <v>306</v>
      </c>
      <c r="H250" s="201">
        <v>42744</v>
      </c>
      <c r="I250" s="202" t="s">
        <v>409</v>
      </c>
      <c r="J250" s="203">
        <f t="shared" si="58"/>
        <v>24</v>
      </c>
      <c r="K250" s="203">
        <v>24</v>
      </c>
      <c r="L250" s="203">
        <v>0</v>
      </c>
      <c r="M250" s="203"/>
      <c r="N250" s="203">
        <v>0.4</v>
      </c>
      <c r="O250" s="203">
        <v>0</v>
      </c>
      <c r="P250" s="179">
        <v>1</v>
      </c>
      <c r="Q250" s="53"/>
      <c r="R250" s="54" t="s">
        <v>158</v>
      </c>
      <c r="S250" s="54" t="s">
        <v>158</v>
      </c>
      <c r="T250" s="54" t="s">
        <v>158</v>
      </c>
      <c r="U250" s="54" t="s">
        <v>158</v>
      </c>
      <c r="V250" s="157" t="s">
        <v>405</v>
      </c>
      <c r="W250" s="53"/>
      <c r="X250" s="53">
        <f t="shared" si="59"/>
        <v>0</v>
      </c>
      <c r="Y250" s="55"/>
      <c r="Z250" s="55"/>
      <c r="AA250" s="52">
        <f t="shared" si="60"/>
        <v>0</v>
      </c>
      <c r="AB250" s="53">
        <f t="shared" si="61"/>
        <v>0</v>
      </c>
      <c r="AC250" s="53">
        <f t="shared" si="62"/>
        <v>0</v>
      </c>
      <c r="AD250" s="53">
        <f t="shared" si="63"/>
        <v>0</v>
      </c>
      <c r="AE250" s="53">
        <f t="shared" si="64"/>
        <v>0</v>
      </c>
      <c r="AF250" s="53">
        <f t="shared" si="65"/>
        <v>0</v>
      </c>
      <c r="AG250" s="56">
        <f t="shared" si="66"/>
        <v>0</v>
      </c>
      <c r="AH250" s="53">
        <f t="shared" si="67"/>
        <v>0</v>
      </c>
      <c r="AI250" s="55"/>
      <c r="AJ250" s="53">
        <f t="shared" si="68"/>
        <v>0</v>
      </c>
      <c r="AK250" s="53">
        <f t="shared" si="69"/>
        <v>0</v>
      </c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7"/>
      <c r="AW250" s="57"/>
      <c r="AX250" s="57"/>
    </row>
    <row r="251" spans="2:50">
      <c r="B251" s="45">
        <v>235</v>
      </c>
      <c r="C251" s="196" t="s">
        <v>304</v>
      </c>
      <c r="D251" s="197" t="s">
        <v>406</v>
      </c>
      <c r="E251" s="196" t="s">
        <v>467</v>
      </c>
      <c r="F251" s="197" t="s">
        <v>474</v>
      </c>
      <c r="G251" s="200" t="s">
        <v>306</v>
      </c>
      <c r="H251" s="201">
        <v>42744</v>
      </c>
      <c r="I251" s="202" t="s">
        <v>409</v>
      </c>
      <c r="J251" s="203">
        <f t="shared" si="58"/>
        <v>732</v>
      </c>
      <c r="K251" s="203">
        <v>12</v>
      </c>
      <c r="L251" s="203">
        <v>720</v>
      </c>
      <c r="M251" s="203"/>
      <c r="N251" s="203">
        <v>0.2</v>
      </c>
      <c r="O251" s="203">
        <v>12</v>
      </c>
      <c r="P251" s="179">
        <v>1</v>
      </c>
      <c r="Q251" s="53"/>
      <c r="R251" s="54" t="s">
        <v>158</v>
      </c>
      <c r="S251" s="54" t="s">
        <v>158</v>
      </c>
      <c r="T251" s="54" t="s">
        <v>158</v>
      </c>
      <c r="U251" s="54" t="s">
        <v>158</v>
      </c>
      <c r="V251" s="157" t="s">
        <v>405</v>
      </c>
      <c r="W251" s="53"/>
      <c r="X251" s="53">
        <f t="shared" si="59"/>
        <v>0</v>
      </c>
      <c r="Y251" s="55"/>
      <c r="Z251" s="55"/>
      <c r="AA251" s="52">
        <f t="shared" si="60"/>
        <v>0</v>
      </c>
      <c r="AB251" s="53">
        <f t="shared" si="61"/>
        <v>0</v>
      </c>
      <c r="AC251" s="53">
        <f t="shared" si="62"/>
        <v>0</v>
      </c>
      <c r="AD251" s="53">
        <f t="shared" si="63"/>
        <v>0</v>
      </c>
      <c r="AE251" s="53">
        <f t="shared" si="64"/>
        <v>0</v>
      </c>
      <c r="AF251" s="53">
        <f t="shared" si="65"/>
        <v>0</v>
      </c>
      <c r="AG251" s="56">
        <f t="shared" si="66"/>
        <v>0</v>
      </c>
      <c r="AH251" s="53">
        <f t="shared" si="67"/>
        <v>0</v>
      </c>
      <c r="AI251" s="55"/>
      <c r="AJ251" s="53">
        <f t="shared" si="68"/>
        <v>0</v>
      </c>
      <c r="AK251" s="53">
        <f t="shared" si="69"/>
        <v>0</v>
      </c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7"/>
      <c r="AW251" s="57"/>
      <c r="AX251" s="57"/>
    </row>
    <row r="252" spans="2:50">
      <c r="B252" s="45">
        <v>236</v>
      </c>
      <c r="C252" s="196" t="s">
        <v>304</v>
      </c>
      <c r="D252" s="197" t="s">
        <v>406</v>
      </c>
      <c r="E252" s="196" t="s">
        <v>467</v>
      </c>
      <c r="F252" s="197" t="s">
        <v>475</v>
      </c>
      <c r="G252" s="200" t="s">
        <v>306</v>
      </c>
      <c r="H252" s="201">
        <v>42744</v>
      </c>
      <c r="I252" s="202" t="s">
        <v>409</v>
      </c>
      <c r="J252" s="203">
        <f t="shared" si="58"/>
        <v>726</v>
      </c>
      <c r="K252" s="203">
        <v>6</v>
      </c>
      <c r="L252" s="203">
        <v>720</v>
      </c>
      <c r="M252" s="203"/>
      <c r="N252" s="203">
        <v>0.1</v>
      </c>
      <c r="O252" s="203">
        <v>12</v>
      </c>
      <c r="P252" s="179">
        <v>1</v>
      </c>
      <c r="Q252" s="53"/>
      <c r="R252" s="54" t="s">
        <v>158</v>
      </c>
      <c r="S252" s="54" t="s">
        <v>158</v>
      </c>
      <c r="T252" s="54" t="s">
        <v>158</v>
      </c>
      <c r="U252" s="54" t="s">
        <v>158</v>
      </c>
      <c r="V252" s="157" t="s">
        <v>405</v>
      </c>
      <c r="W252" s="53"/>
      <c r="X252" s="53">
        <f t="shared" si="59"/>
        <v>0</v>
      </c>
      <c r="Y252" s="55"/>
      <c r="Z252" s="55"/>
      <c r="AA252" s="52">
        <f t="shared" si="60"/>
        <v>0</v>
      </c>
      <c r="AB252" s="53">
        <f t="shared" si="61"/>
        <v>0</v>
      </c>
      <c r="AC252" s="53">
        <f t="shared" si="62"/>
        <v>0</v>
      </c>
      <c r="AD252" s="53">
        <f t="shared" si="63"/>
        <v>0</v>
      </c>
      <c r="AE252" s="53">
        <f t="shared" si="64"/>
        <v>0</v>
      </c>
      <c r="AF252" s="53">
        <f t="shared" si="65"/>
        <v>0</v>
      </c>
      <c r="AG252" s="56">
        <f t="shared" si="66"/>
        <v>0</v>
      </c>
      <c r="AH252" s="53">
        <f t="shared" si="67"/>
        <v>0</v>
      </c>
      <c r="AI252" s="55"/>
      <c r="AJ252" s="53">
        <f t="shared" si="68"/>
        <v>0</v>
      </c>
      <c r="AK252" s="53">
        <f t="shared" si="69"/>
        <v>0</v>
      </c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7"/>
      <c r="AW252" s="57"/>
      <c r="AX252" s="57"/>
    </row>
    <row r="253" spans="2:50">
      <c r="B253" s="45">
        <v>237</v>
      </c>
      <c r="C253" s="196" t="s">
        <v>304</v>
      </c>
      <c r="D253" s="197" t="s">
        <v>406</v>
      </c>
      <c r="E253" s="196" t="s">
        <v>467</v>
      </c>
      <c r="F253" s="197" t="s">
        <v>430</v>
      </c>
      <c r="G253" s="200" t="s">
        <v>306</v>
      </c>
      <c r="H253" s="201">
        <v>42450</v>
      </c>
      <c r="I253" s="202" t="s">
        <v>409</v>
      </c>
      <c r="J253" s="202">
        <f t="shared" si="58"/>
        <v>114</v>
      </c>
      <c r="K253" s="202">
        <v>84</v>
      </c>
      <c r="L253" s="202">
        <v>30</v>
      </c>
      <c r="M253" s="202"/>
      <c r="N253" s="202">
        <v>1.4</v>
      </c>
      <c r="O253" s="202">
        <v>0.5</v>
      </c>
      <c r="P253" s="179">
        <v>1</v>
      </c>
      <c r="Q253" s="53"/>
      <c r="R253" s="54" t="s">
        <v>158</v>
      </c>
      <c r="S253" s="54" t="s">
        <v>158</v>
      </c>
      <c r="T253" s="54" t="s">
        <v>158</v>
      </c>
      <c r="U253" s="54" t="s">
        <v>158</v>
      </c>
      <c r="V253" s="157" t="s">
        <v>405</v>
      </c>
      <c r="W253" s="53"/>
      <c r="X253" s="53">
        <f t="shared" si="59"/>
        <v>0</v>
      </c>
      <c r="Y253" s="55"/>
      <c r="Z253" s="55"/>
      <c r="AA253" s="52">
        <f t="shared" si="60"/>
        <v>0</v>
      </c>
      <c r="AB253" s="53">
        <f t="shared" si="61"/>
        <v>0</v>
      </c>
      <c r="AC253" s="53">
        <f t="shared" si="62"/>
        <v>0</v>
      </c>
      <c r="AD253" s="53">
        <f t="shared" si="63"/>
        <v>0</v>
      </c>
      <c r="AE253" s="53">
        <f t="shared" si="64"/>
        <v>0</v>
      </c>
      <c r="AF253" s="53">
        <f t="shared" si="65"/>
        <v>0</v>
      </c>
      <c r="AG253" s="56">
        <f t="shared" si="66"/>
        <v>0</v>
      </c>
      <c r="AH253" s="53">
        <f t="shared" si="67"/>
        <v>0</v>
      </c>
      <c r="AI253" s="55"/>
      <c r="AJ253" s="53">
        <f t="shared" si="68"/>
        <v>0</v>
      </c>
      <c r="AK253" s="53">
        <f t="shared" si="69"/>
        <v>0</v>
      </c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7"/>
      <c r="AW253" s="57"/>
      <c r="AX253" s="57"/>
    </row>
    <row r="254" spans="2:50">
      <c r="B254" s="45">
        <v>238</v>
      </c>
      <c r="C254" s="196" t="s">
        <v>304</v>
      </c>
      <c r="D254" s="197" t="s">
        <v>406</v>
      </c>
      <c r="E254" s="196" t="s">
        <v>467</v>
      </c>
      <c r="F254" s="197" t="s">
        <v>434</v>
      </c>
      <c r="G254" s="200" t="s">
        <v>306</v>
      </c>
      <c r="H254" s="201">
        <v>42450</v>
      </c>
      <c r="I254" s="202" t="s">
        <v>409</v>
      </c>
      <c r="J254" s="203">
        <f t="shared" si="58"/>
        <v>6</v>
      </c>
      <c r="K254" s="203">
        <v>6</v>
      </c>
      <c r="L254" s="203">
        <v>0</v>
      </c>
      <c r="M254" s="203"/>
      <c r="N254" s="203">
        <v>0.1</v>
      </c>
      <c r="O254" s="203">
        <v>0</v>
      </c>
      <c r="P254" s="179">
        <v>1</v>
      </c>
      <c r="Q254" s="53"/>
      <c r="R254" s="54" t="s">
        <v>158</v>
      </c>
      <c r="S254" s="54" t="s">
        <v>158</v>
      </c>
      <c r="T254" s="54" t="s">
        <v>158</v>
      </c>
      <c r="U254" s="54" t="s">
        <v>158</v>
      </c>
      <c r="V254" s="157" t="s">
        <v>405</v>
      </c>
      <c r="W254" s="53"/>
      <c r="X254" s="53">
        <f t="shared" si="59"/>
        <v>0</v>
      </c>
      <c r="Y254" s="55"/>
      <c r="Z254" s="55"/>
      <c r="AA254" s="52">
        <f t="shared" si="60"/>
        <v>0</v>
      </c>
      <c r="AB254" s="53">
        <f t="shared" si="61"/>
        <v>0</v>
      </c>
      <c r="AC254" s="53">
        <f t="shared" si="62"/>
        <v>0</v>
      </c>
      <c r="AD254" s="53">
        <f t="shared" si="63"/>
        <v>0</v>
      </c>
      <c r="AE254" s="53">
        <f t="shared" si="64"/>
        <v>0</v>
      </c>
      <c r="AF254" s="53">
        <f t="shared" si="65"/>
        <v>0</v>
      </c>
      <c r="AG254" s="56">
        <f t="shared" si="66"/>
        <v>0</v>
      </c>
      <c r="AH254" s="53">
        <f t="shared" si="67"/>
        <v>0</v>
      </c>
      <c r="AI254" s="55"/>
      <c r="AJ254" s="53">
        <f t="shared" si="68"/>
        <v>0</v>
      </c>
      <c r="AK254" s="53">
        <f t="shared" si="69"/>
        <v>0</v>
      </c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7"/>
      <c r="AW254" s="57"/>
      <c r="AX254" s="57"/>
    </row>
    <row r="255" spans="2:50">
      <c r="B255" s="45">
        <v>239</v>
      </c>
      <c r="C255" s="196" t="s">
        <v>304</v>
      </c>
      <c r="D255" s="197" t="s">
        <v>406</v>
      </c>
      <c r="E255" s="198" t="s">
        <v>476</v>
      </c>
      <c r="F255" s="197" t="s">
        <v>477</v>
      </c>
      <c r="G255" s="200" t="s">
        <v>306</v>
      </c>
      <c r="H255" s="201">
        <v>42573</v>
      </c>
      <c r="I255" s="202" t="s">
        <v>409</v>
      </c>
      <c r="J255" s="203">
        <f t="shared" si="58"/>
        <v>145.19999999999999</v>
      </c>
      <c r="K255" s="203">
        <v>145.19999999999999</v>
      </c>
      <c r="L255" s="203">
        <v>0</v>
      </c>
      <c r="M255" s="203"/>
      <c r="N255" s="203">
        <v>2.42</v>
      </c>
      <c r="O255" s="203">
        <v>0</v>
      </c>
      <c r="P255" s="179">
        <v>1</v>
      </c>
      <c r="Q255" s="53"/>
      <c r="R255" s="54" t="s">
        <v>158</v>
      </c>
      <c r="S255" s="54" t="s">
        <v>158</v>
      </c>
      <c r="T255" s="54" t="s">
        <v>158</v>
      </c>
      <c r="U255" s="54" t="s">
        <v>158</v>
      </c>
      <c r="V255" s="157" t="s">
        <v>405</v>
      </c>
      <c r="W255" s="53"/>
      <c r="X255" s="53">
        <f t="shared" si="59"/>
        <v>0</v>
      </c>
      <c r="Y255" s="55"/>
      <c r="Z255" s="55"/>
      <c r="AA255" s="52">
        <f t="shared" si="60"/>
        <v>0</v>
      </c>
      <c r="AB255" s="53">
        <f t="shared" si="61"/>
        <v>0</v>
      </c>
      <c r="AC255" s="53">
        <f t="shared" si="62"/>
        <v>0</v>
      </c>
      <c r="AD255" s="53">
        <f t="shared" si="63"/>
        <v>0</v>
      </c>
      <c r="AE255" s="53">
        <f t="shared" si="64"/>
        <v>0</v>
      </c>
      <c r="AF255" s="53">
        <f t="shared" si="65"/>
        <v>0</v>
      </c>
      <c r="AG255" s="56">
        <f t="shared" si="66"/>
        <v>0</v>
      </c>
      <c r="AH255" s="53">
        <f t="shared" si="67"/>
        <v>0</v>
      </c>
      <c r="AI255" s="55"/>
      <c r="AJ255" s="53">
        <f t="shared" si="68"/>
        <v>0</v>
      </c>
      <c r="AK255" s="53">
        <f t="shared" si="69"/>
        <v>0</v>
      </c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7"/>
      <c r="AW255" s="57"/>
      <c r="AX255" s="57"/>
    </row>
    <row r="256" spans="2:50">
      <c r="B256" s="45">
        <v>240</v>
      </c>
      <c r="C256" s="196" t="s">
        <v>304</v>
      </c>
      <c r="D256" s="197" t="s">
        <v>406</v>
      </c>
      <c r="E256" s="198" t="s">
        <v>478</v>
      </c>
      <c r="F256" s="199" t="s">
        <v>434</v>
      </c>
      <c r="G256" s="200" t="s">
        <v>306</v>
      </c>
      <c r="H256" s="201">
        <v>41995</v>
      </c>
      <c r="I256" s="202" t="s">
        <v>409</v>
      </c>
      <c r="J256" s="203">
        <f t="shared" si="58"/>
        <v>12</v>
      </c>
      <c r="K256" s="203">
        <v>12</v>
      </c>
      <c r="L256" s="203">
        <v>0</v>
      </c>
      <c r="M256" s="203"/>
      <c r="N256" s="203">
        <v>0.2</v>
      </c>
      <c r="O256" s="203">
        <v>0</v>
      </c>
      <c r="P256" s="179">
        <v>1</v>
      </c>
      <c r="Q256" s="53"/>
      <c r="R256" s="54" t="s">
        <v>158</v>
      </c>
      <c r="S256" s="54" t="s">
        <v>158</v>
      </c>
      <c r="T256" s="54" t="s">
        <v>158</v>
      </c>
      <c r="U256" s="54" t="s">
        <v>158</v>
      </c>
      <c r="V256" s="157" t="s">
        <v>405</v>
      </c>
      <c r="W256" s="53"/>
      <c r="X256" s="53">
        <f t="shared" si="59"/>
        <v>0</v>
      </c>
      <c r="Y256" s="55"/>
      <c r="Z256" s="55"/>
      <c r="AA256" s="52">
        <f t="shared" si="60"/>
        <v>0</v>
      </c>
      <c r="AB256" s="53">
        <f t="shared" si="61"/>
        <v>0</v>
      </c>
      <c r="AC256" s="53">
        <f t="shared" si="62"/>
        <v>0</v>
      </c>
      <c r="AD256" s="53">
        <f t="shared" si="63"/>
        <v>0</v>
      </c>
      <c r="AE256" s="53">
        <f t="shared" si="64"/>
        <v>0</v>
      </c>
      <c r="AF256" s="53">
        <f t="shared" si="65"/>
        <v>0</v>
      </c>
      <c r="AG256" s="56">
        <f t="shared" si="66"/>
        <v>0</v>
      </c>
      <c r="AH256" s="53">
        <f t="shared" si="67"/>
        <v>0</v>
      </c>
      <c r="AI256" s="55"/>
      <c r="AJ256" s="53">
        <f t="shared" si="68"/>
        <v>0</v>
      </c>
      <c r="AK256" s="53">
        <f t="shared" si="69"/>
        <v>0</v>
      </c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7"/>
      <c r="AW256" s="57"/>
      <c r="AX256" s="57"/>
    </row>
    <row r="257" spans="2:50">
      <c r="B257" s="45">
        <v>241</v>
      </c>
      <c r="C257" s="196" t="s">
        <v>304</v>
      </c>
      <c r="D257" s="197" t="s">
        <v>406</v>
      </c>
      <c r="E257" s="196" t="s">
        <v>467</v>
      </c>
      <c r="F257" s="199" t="s">
        <v>479</v>
      </c>
      <c r="G257" s="200" t="s">
        <v>306</v>
      </c>
      <c r="H257" s="201">
        <v>41995</v>
      </c>
      <c r="I257" s="202" t="s">
        <v>409</v>
      </c>
      <c r="J257" s="203">
        <f t="shared" si="58"/>
        <v>72</v>
      </c>
      <c r="K257" s="203">
        <v>72</v>
      </c>
      <c r="L257" s="203">
        <v>0</v>
      </c>
      <c r="M257" s="203"/>
      <c r="N257" s="203">
        <v>1.2</v>
      </c>
      <c r="O257" s="203">
        <v>0</v>
      </c>
      <c r="P257" s="179">
        <v>1</v>
      </c>
      <c r="Q257" s="53"/>
      <c r="R257" s="54" t="s">
        <v>158</v>
      </c>
      <c r="S257" s="54" t="s">
        <v>158</v>
      </c>
      <c r="T257" s="54" t="s">
        <v>158</v>
      </c>
      <c r="U257" s="54" t="s">
        <v>158</v>
      </c>
      <c r="V257" s="157" t="s">
        <v>405</v>
      </c>
      <c r="W257" s="53"/>
      <c r="X257" s="53">
        <f t="shared" si="59"/>
        <v>0</v>
      </c>
      <c r="Y257" s="55"/>
      <c r="Z257" s="55"/>
      <c r="AA257" s="52">
        <f t="shared" si="60"/>
        <v>0</v>
      </c>
      <c r="AB257" s="53">
        <f t="shared" si="61"/>
        <v>0</v>
      </c>
      <c r="AC257" s="53">
        <f t="shared" si="62"/>
        <v>0</v>
      </c>
      <c r="AD257" s="53">
        <f t="shared" si="63"/>
        <v>0</v>
      </c>
      <c r="AE257" s="53">
        <f t="shared" si="64"/>
        <v>0</v>
      </c>
      <c r="AF257" s="53">
        <f t="shared" si="65"/>
        <v>0</v>
      </c>
      <c r="AG257" s="56">
        <f t="shared" si="66"/>
        <v>0</v>
      </c>
      <c r="AH257" s="53">
        <f t="shared" si="67"/>
        <v>0</v>
      </c>
      <c r="AI257" s="55"/>
      <c r="AJ257" s="53">
        <f t="shared" si="68"/>
        <v>0</v>
      </c>
      <c r="AK257" s="53">
        <f t="shared" si="69"/>
        <v>0</v>
      </c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7"/>
      <c r="AW257" s="57"/>
      <c r="AX257" s="57"/>
    </row>
    <row r="258" spans="2:50">
      <c r="B258" s="45">
        <v>242</v>
      </c>
      <c r="C258" s="196" t="s">
        <v>304</v>
      </c>
      <c r="D258" s="197" t="s">
        <v>406</v>
      </c>
      <c r="E258" s="196" t="s">
        <v>467</v>
      </c>
      <c r="F258" s="199" t="s">
        <v>480</v>
      </c>
      <c r="G258" s="200" t="s">
        <v>306</v>
      </c>
      <c r="H258" s="201">
        <v>41995</v>
      </c>
      <c r="I258" s="202" t="s">
        <v>409</v>
      </c>
      <c r="J258" s="203">
        <f t="shared" si="58"/>
        <v>30</v>
      </c>
      <c r="K258" s="203">
        <v>30</v>
      </c>
      <c r="L258" s="203">
        <v>0</v>
      </c>
      <c r="M258" s="203"/>
      <c r="N258" s="203">
        <v>0.5</v>
      </c>
      <c r="O258" s="203">
        <v>0</v>
      </c>
      <c r="P258" s="179">
        <v>1</v>
      </c>
      <c r="Q258" s="53"/>
      <c r="R258" s="54" t="s">
        <v>158</v>
      </c>
      <c r="S258" s="54" t="s">
        <v>158</v>
      </c>
      <c r="T258" s="54" t="s">
        <v>158</v>
      </c>
      <c r="U258" s="54" t="s">
        <v>158</v>
      </c>
      <c r="V258" s="157" t="s">
        <v>405</v>
      </c>
      <c r="W258" s="53"/>
      <c r="X258" s="53">
        <f t="shared" si="59"/>
        <v>0</v>
      </c>
      <c r="Y258" s="55"/>
      <c r="Z258" s="55"/>
      <c r="AA258" s="52">
        <f t="shared" si="60"/>
        <v>0</v>
      </c>
      <c r="AB258" s="53">
        <f t="shared" si="61"/>
        <v>0</v>
      </c>
      <c r="AC258" s="53">
        <f t="shared" si="62"/>
        <v>0</v>
      </c>
      <c r="AD258" s="53">
        <f t="shared" si="63"/>
        <v>0</v>
      </c>
      <c r="AE258" s="53">
        <f t="shared" si="64"/>
        <v>0</v>
      </c>
      <c r="AF258" s="53">
        <f t="shared" si="65"/>
        <v>0</v>
      </c>
      <c r="AG258" s="56">
        <f t="shared" si="66"/>
        <v>0</v>
      </c>
      <c r="AH258" s="53">
        <f t="shared" si="67"/>
        <v>0</v>
      </c>
      <c r="AI258" s="55"/>
      <c r="AJ258" s="53">
        <f t="shared" si="68"/>
        <v>0</v>
      </c>
      <c r="AK258" s="53">
        <f t="shared" si="69"/>
        <v>0</v>
      </c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7"/>
      <c r="AW258" s="57"/>
      <c r="AX258" s="57"/>
    </row>
    <row r="259" spans="2:50">
      <c r="B259" s="45">
        <v>243</v>
      </c>
      <c r="C259" s="196" t="s">
        <v>304</v>
      </c>
      <c r="D259" s="197" t="s">
        <v>406</v>
      </c>
      <c r="E259" s="196" t="s">
        <v>467</v>
      </c>
      <c r="F259" s="199" t="s">
        <v>481</v>
      </c>
      <c r="G259" s="200" t="s">
        <v>306</v>
      </c>
      <c r="H259" s="201">
        <v>41995</v>
      </c>
      <c r="I259" s="202" t="s">
        <v>409</v>
      </c>
      <c r="J259" s="203">
        <f t="shared" si="58"/>
        <v>12</v>
      </c>
      <c r="K259" s="203">
        <v>12</v>
      </c>
      <c r="L259" s="203">
        <v>0</v>
      </c>
      <c r="M259" s="203"/>
      <c r="N259" s="203">
        <v>0.2</v>
      </c>
      <c r="O259" s="203">
        <v>0</v>
      </c>
      <c r="P259" s="179">
        <v>1</v>
      </c>
      <c r="Q259" s="53"/>
      <c r="R259" s="54" t="s">
        <v>158</v>
      </c>
      <c r="S259" s="54" t="s">
        <v>158</v>
      </c>
      <c r="T259" s="54" t="s">
        <v>158</v>
      </c>
      <c r="U259" s="54" t="s">
        <v>158</v>
      </c>
      <c r="V259" s="157" t="s">
        <v>405</v>
      </c>
      <c r="W259" s="53"/>
      <c r="X259" s="53">
        <f t="shared" si="59"/>
        <v>0</v>
      </c>
      <c r="Y259" s="55"/>
      <c r="Z259" s="55"/>
      <c r="AA259" s="52">
        <f t="shared" si="60"/>
        <v>0</v>
      </c>
      <c r="AB259" s="53">
        <f t="shared" si="61"/>
        <v>0</v>
      </c>
      <c r="AC259" s="53">
        <f t="shared" si="62"/>
        <v>0</v>
      </c>
      <c r="AD259" s="53">
        <f t="shared" si="63"/>
        <v>0</v>
      </c>
      <c r="AE259" s="53">
        <f t="shared" si="64"/>
        <v>0</v>
      </c>
      <c r="AF259" s="53">
        <f t="shared" si="65"/>
        <v>0</v>
      </c>
      <c r="AG259" s="56">
        <f t="shared" si="66"/>
        <v>0</v>
      </c>
      <c r="AH259" s="53">
        <f t="shared" si="67"/>
        <v>0</v>
      </c>
      <c r="AI259" s="55"/>
      <c r="AJ259" s="53">
        <f t="shared" si="68"/>
        <v>0</v>
      </c>
      <c r="AK259" s="53">
        <f t="shared" si="69"/>
        <v>0</v>
      </c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7"/>
      <c r="AW259" s="57"/>
      <c r="AX259" s="57"/>
    </row>
    <row r="260" spans="2:50">
      <c r="B260" s="45">
        <v>244</v>
      </c>
      <c r="C260" s="196" t="s">
        <v>304</v>
      </c>
      <c r="D260" s="197" t="s">
        <v>406</v>
      </c>
      <c r="E260" s="196" t="s">
        <v>467</v>
      </c>
      <c r="F260" s="199" t="s">
        <v>482</v>
      </c>
      <c r="G260" s="200" t="s">
        <v>306</v>
      </c>
      <c r="H260" s="201">
        <v>41995</v>
      </c>
      <c r="I260" s="202" t="s">
        <v>409</v>
      </c>
      <c r="J260" s="203">
        <f t="shared" si="58"/>
        <v>18</v>
      </c>
      <c r="K260" s="203">
        <v>18</v>
      </c>
      <c r="L260" s="203">
        <v>0</v>
      </c>
      <c r="M260" s="203"/>
      <c r="N260" s="203">
        <v>0.3</v>
      </c>
      <c r="O260" s="203">
        <v>0</v>
      </c>
      <c r="P260" s="179">
        <v>1</v>
      </c>
      <c r="Q260" s="53"/>
      <c r="R260" s="54" t="s">
        <v>158</v>
      </c>
      <c r="S260" s="54" t="s">
        <v>158</v>
      </c>
      <c r="T260" s="54" t="s">
        <v>158</v>
      </c>
      <c r="U260" s="54" t="s">
        <v>158</v>
      </c>
      <c r="V260" s="157" t="s">
        <v>405</v>
      </c>
      <c r="W260" s="53"/>
      <c r="X260" s="53">
        <f t="shared" si="59"/>
        <v>0</v>
      </c>
      <c r="Y260" s="55"/>
      <c r="Z260" s="55"/>
      <c r="AA260" s="52">
        <f t="shared" si="60"/>
        <v>0</v>
      </c>
      <c r="AB260" s="53">
        <f t="shared" si="61"/>
        <v>0</v>
      </c>
      <c r="AC260" s="53">
        <f t="shared" si="62"/>
        <v>0</v>
      </c>
      <c r="AD260" s="53">
        <f t="shared" si="63"/>
        <v>0</v>
      </c>
      <c r="AE260" s="53">
        <f t="shared" si="64"/>
        <v>0</v>
      </c>
      <c r="AF260" s="53">
        <f t="shared" si="65"/>
        <v>0</v>
      </c>
      <c r="AG260" s="56">
        <f t="shared" si="66"/>
        <v>0</v>
      </c>
      <c r="AH260" s="53">
        <f t="shared" si="67"/>
        <v>0</v>
      </c>
      <c r="AI260" s="55"/>
      <c r="AJ260" s="53">
        <f t="shared" si="68"/>
        <v>0</v>
      </c>
      <c r="AK260" s="53">
        <f t="shared" si="69"/>
        <v>0</v>
      </c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7"/>
      <c r="AW260" s="57"/>
      <c r="AX260" s="57"/>
    </row>
    <row r="261" spans="2:50">
      <c r="B261" s="45">
        <v>245</v>
      </c>
      <c r="C261" s="196" t="s">
        <v>304</v>
      </c>
      <c r="D261" s="197" t="s">
        <v>406</v>
      </c>
      <c r="E261" s="196" t="s">
        <v>467</v>
      </c>
      <c r="F261" s="199" t="s">
        <v>483</v>
      </c>
      <c r="G261" s="200" t="s">
        <v>306</v>
      </c>
      <c r="H261" s="201">
        <v>41995</v>
      </c>
      <c r="I261" s="202" t="s">
        <v>409</v>
      </c>
      <c r="J261" s="203">
        <f t="shared" si="58"/>
        <v>43524</v>
      </c>
      <c r="K261" s="203">
        <v>24</v>
      </c>
      <c r="L261" s="203">
        <v>43500</v>
      </c>
      <c r="M261" s="203"/>
      <c r="N261" s="203">
        <v>0.3</v>
      </c>
      <c r="O261" s="203">
        <v>77</v>
      </c>
      <c r="P261" s="179">
        <v>1</v>
      </c>
      <c r="Q261" s="53"/>
      <c r="R261" s="54" t="s">
        <v>158</v>
      </c>
      <c r="S261" s="54" t="s">
        <v>158</v>
      </c>
      <c r="T261" s="54" t="s">
        <v>158</v>
      </c>
      <c r="U261" s="54" t="s">
        <v>158</v>
      </c>
      <c r="V261" s="157" t="s">
        <v>405</v>
      </c>
      <c r="W261" s="53"/>
      <c r="X261" s="53">
        <f t="shared" si="59"/>
        <v>0</v>
      </c>
      <c r="Y261" s="55"/>
      <c r="Z261" s="55"/>
      <c r="AA261" s="52">
        <f t="shared" si="60"/>
        <v>0</v>
      </c>
      <c r="AB261" s="53">
        <f t="shared" si="61"/>
        <v>0</v>
      </c>
      <c r="AC261" s="53">
        <f t="shared" si="62"/>
        <v>0</v>
      </c>
      <c r="AD261" s="53">
        <f t="shared" si="63"/>
        <v>0</v>
      </c>
      <c r="AE261" s="53">
        <f t="shared" si="64"/>
        <v>0</v>
      </c>
      <c r="AF261" s="53">
        <f t="shared" si="65"/>
        <v>0</v>
      </c>
      <c r="AG261" s="56">
        <f t="shared" si="66"/>
        <v>0</v>
      </c>
      <c r="AH261" s="53">
        <f t="shared" si="67"/>
        <v>0</v>
      </c>
      <c r="AI261" s="55"/>
      <c r="AJ261" s="53">
        <f t="shared" si="68"/>
        <v>0</v>
      </c>
      <c r="AK261" s="53">
        <f t="shared" si="69"/>
        <v>0</v>
      </c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7"/>
      <c r="AW261" s="57"/>
      <c r="AX261" s="57"/>
    </row>
    <row r="262" spans="2:50">
      <c r="B262" s="45">
        <v>246</v>
      </c>
      <c r="C262" s="196" t="s">
        <v>304</v>
      </c>
      <c r="D262" s="197" t="s">
        <v>406</v>
      </c>
      <c r="E262" s="196" t="s">
        <v>467</v>
      </c>
      <c r="F262" s="199" t="s">
        <v>484</v>
      </c>
      <c r="G262" s="200" t="s">
        <v>306</v>
      </c>
      <c r="H262" s="201">
        <v>41995</v>
      </c>
      <c r="I262" s="202" t="s">
        <v>409</v>
      </c>
      <c r="J262" s="203">
        <f t="shared" si="58"/>
        <v>60</v>
      </c>
      <c r="K262" s="203">
        <v>60</v>
      </c>
      <c r="L262" s="203">
        <v>0</v>
      </c>
      <c r="M262" s="203"/>
      <c r="N262" s="203">
        <v>1</v>
      </c>
      <c r="O262" s="203">
        <v>0</v>
      </c>
      <c r="P262" s="179">
        <v>1</v>
      </c>
      <c r="Q262" s="53"/>
      <c r="R262" s="54" t="s">
        <v>158</v>
      </c>
      <c r="S262" s="54" t="s">
        <v>158</v>
      </c>
      <c r="T262" s="54" t="s">
        <v>158</v>
      </c>
      <c r="U262" s="54" t="s">
        <v>158</v>
      </c>
      <c r="V262" s="157" t="s">
        <v>405</v>
      </c>
      <c r="W262" s="53"/>
      <c r="X262" s="53">
        <f t="shared" si="59"/>
        <v>0</v>
      </c>
      <c r="Y262" s="55"/>
      <c r="Z262" s="55"/>
      <c r="AA262" s="52">
        <f t="shared" si="60"/>
        <v>0</v>
      </c>
      <c r="AB262" s="53">
        <f t="shared" si="61"/>
        <v>0</v>
      </c>
      <c r="AC262" s="53">
        <f t="shared" si="62"/>
        <v>0</v>
      </c>
      <c r="AD262" s="53">
        <f t="shared" si="63"/>
        <v>0</v>
      </c>
      <c r="AE262" s="53">
        <f t="shared" si="64"/>
        <v>0</v>
      </c>
      <c r="AF262" s="53">
        <f t="shared" si="65"/>
        <v>0</v>
      </c>
      <c r="AG262" s="56">
        <f t="shared" si="66"/>
        <v>0</v>
      </c>
      <c r="AH262" s="53">
        <f t="shared" si="67"/>
        <v>0</v>
      </c>
      <c r="AI262" s="55"/>
      <c r="AJ262" s="53">
        <f t="shared" si="68"/>
        <v>0</v>
      </c>
      <c r="AK262" s="53">
        <f t="shared" si="69"/>
        <v>0</v>
      </c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7"/>
      <c r="AW262" s="57"/>
      <c r="AX262" s="57"/>
    </row>
    <row r="263" spans="2:50">
      <c r="B263" s="45">
        <v>247</v>
      </c>
      <c r="C263" s="196" t="s">
        <v>304</v>
      </c>
      <c r="D263" s="197" t="s">
        <v>406</v>
      </c>
      <c r="E263" s="196" t="s">
        <v>467</v>
      </c>
      <c r="F263" s="199" t="s">
        <v>485</v>
      </c>
      <c r="G263" s="200" t="s">
        <v>306</v>
      </c>
      <c r="H263" s="201">
        <v>41995</v>
      </c>
      <c r="I263" s="202" t="s">
        <v>409</v>
      </c>
      <c r="J263" s="203">
        <f t="shared" si="58"/>
        <v>120</v>
      </c>
      <c r="K263" s="203">
        <v>120</v>
      </c>
      <c r="L263" s="203">
        <v>0</v>
      </c>
      <c r="M263" s="203"/>
      <c r="N263" s="203">
        <v>2</v>
      </c>
      <c r="O263" s="203">
        <v>0</v>
      </c>
      <c r="P263" s="179">
        <v>1</v>
      </c>
      <c r="Q263" s="53"/>
      <c r="R263" s="54" t="s">
        <v>158</v>
      </c>
      <c r="S263" s="54" t="s">
        <v>158</v>
      </c>
      <c r="T263" s="54" t="s">
        <v>158</v>
      </c>
      <c r="U263" s="54" t="s">
        <v>158</v>
      </c>
      <c r="V263" s="157" t="s">
        <v>405</v>
      </c>
      <c r="W263" s="53"/>
      <c r="X263" s="53">
        <f t="shared" si="59"/>
        <v>0</v>
      </c>
      <c r="Y263" s="55"/>
      <c r="Z263" s="55"/>
      <c r="AA263" s="52">
        <f t="shared" si="60"/>
        <v>0</v>
      </c>
      <c r="AB263" s="53">
        <f t="shared" si="61"/>
        <v>0</v>
      </c>
      <c r="AC263" s="53">
        <f t="shared" si="62"/>
        <v>0</v>
      </c>
      <c r="AD263" s="53">
        <f t="shared" si="63"/>
        <v>0</v>
      </c>
      <c r="AE263" s="53">
        <f t="shared" si="64"/>
        <v>0</v>
      </c>
      <c r="AF263" s="53">
        <f t="shared" si="65"/>
        <v>0</v>
      </c>
      <c r="AG263" s="56">
        <f t="shared" si="66"/>
        <v>0</v>
      </c>
      <c r="AH263" s="53">
        <f t="shared" si="67"/>
        <v>0</v>
      </c>
      <c r="AI263" s="55"/>
      <c r="AJ263" s="53">
        <f t="shared" si="68"/>
        <v>0</v>
      </c>
      <c r="AK263" s="53">
        <f t="shared" si="69"/>
        <v>0</v>
      </c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7"/>
      <c r="AW263" s="57"/>
      <c r="AX263" s="57"/>
    </row>
    <row r="264" spans="2:50">
      <c r="B264" s="45">
        <v>248</v>
      </c>
      <c r="C264" s="196" t="s">
        <v>304</v>
      </c>
      <c r="D264" s="197" t="s">
        <v>406</v>
      </c>
      <c r="E264" s="204" t="s">
        <v>403</v>
      </c>
      <c r="F264" s="199" t="s">
        <v>486</v>
      </c>
      <c r="G264" s="200" t="s">
        <v>306</v>
      </c>
      <c r="H264" s="201">
        <v>42733</v>
      </c>
      <c r="I264" s="202" t="s">
        <v>409</v>
      </c>
      <c r="J264" s="203">
        <f t="shared" si="58"/>
        <v>198</v>
      </c>
      <c r="K264" s="203">
        <v>48</v>
      </c>
      <c r="L264" s="203">
        <v>150</v>
      </c>
      <c r="M264" s="203"/>
      <c r="N264" s="202">
        <v>0.8</v>
      </c>
      <c r="O264" s="202">
        <v>2.5</v>
      </c>
      <c r="P264" s="179">
        <v>1</v>
      </c>
      <c r="Q264" s="53"/>
      <c r="R264" s="54" t="s">
        <v>158</v>
      </c>
      <c r="S264" s="54" t="s">
        <v>158</v>
      </c>
      <c r="T264" s="54" t="s">
        <v>158</v>
      </c>
      <c r="U264" s="54" t="s">
        <v>158</v>
      </c>
      <c r="V264" s="157" t="s">
        <v>405</v>
      </c>
      <c r="W264" s="53"/>
      <c r="X264" s="53">
        <f t="shared" si="59"/>
        <v>0</v>
      </c>
      <c r="Y264" s="55"/>
      <c r="Z264" s="55"/>
      <c r="AA264" s="52">
        <f t="shared" si="60"/>
        <v>0</v>
      </c>
      <c r="AB264" s="53">
        <f t="shared" si="61"/>
        <v>0</v>
      </c>
      <c r="AC264" s="53">
        <f t="shared" si="62"/>
        <v>0</v>
      </c>
      <c r="AD264" s="53">
        <f t="shared" si="63"/>
        <v>0</v>
      </c>
      <c r="AE264" s="53">
        <f t="shared" si="64"/>
        <v>0</v>
      </c>
      <c r="AF264" s="53">
        <f t="shared" si="65"/>
        <v>0</v>
      </c>
      <c r="AG264" s="56">
        <f t="shared" si="66"/>
        <v>0</v>
      </c>
      <c r="AH264" s="53">
        <f t="shared" si="67"/>
        <v>0</v>
      </c>
      <c r="AI264" s="55"/>
      <c r="AJ264" s="53">
        <f t="shared" si="68"/>
        <v>0</v>
      </c>
      <c r="AK264" s="53">
        <f t="shared" si="69"/>
        <v>0</v>
      </c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7"/>
      <c r="AW264" s="57"/>
      <c r="AX264" s="57"/>
    </row>
    <row r="265" spans="2:50">
      <c r="B265" s="45">
        <v>249</v>
      </c>
      <c r="C265" s="205" t="s">
        <v>304</v>
      </c>
      <c r="D265" s="181" t="s">
        <v>487</v>
      </c>
      <c r="E265" s="206" t="s">
        <v>488</v>
      </c>
      <c r="F265" s="207" t="s">
        <v>489</v>
      </c>
      <c r="G265" s="49" t="s">
        <v>190</v>
      </c>
      <c r="H265" s="164">
        <v>41995</v>
      </c>
      <c r="I265" s="164" t="s">
        <v>409</v>
      </c>
      <c r="J265" s="208">
        <f t="shared" si="58"/>
        <v>166</v>
      </c>
      <c r="K265" s="208">
        <v>166</v>
      </c>
      <c r="L265" s="208">
        <v>0</v>
      </c>
      <c r="M265" s="208"/>
      <c r="N265" s="208">
        <v>2.75</v>
      </c>
      <c r="O265" s="208">
        <v>0</v>
      </c>
      <c r="P265" s="179">
        <v>1</v>
      </c>
      <c r="Q265" s="53"/>
      <c r="R265" s="54" t="s">
        <v>158</v>
      </c>
      <c r="S265" s="54" t="s">
        <v>158</v>
      </c>
      <c r="T265" s="54" t="s">
        <v>158</v>
      </c>
      <c r="U265" s="54" t="s">
        <v>158</v>
      </c>
      <c r="V265" s="164" t="s">
        <v>490</v>
      </c>
      <c r="W265" s="53"/>
      <c r="X265" s="53">
        <f t="shared" si="59"/>
        <v>0</v>
      </c>
      <c r="Y265" s="55"/>
      <c r="Z265" s="55"/>
      <c r="AA265" s="52">
        <f t="shared" si="60"/>
        <v>0</v>
      </c>
      <c r="AB265" s="53">
        <f t="shared" si="61"/>
        <v>0</v>
      </c>
      <c r="AC265" s="53">
        <f t="shared" si="62"/>
        <v>0</v>
      </c>
      <c r="AD265" s="53">
        <f t="shared" si="63"/>
        <v>0</v>
      </c>
      <c r="AE265" s="53">
        <f t="shared" si="64"/>
        <v>0</v>
      </c>
      <c r="AF265" s="53">
        <f t="shared" si="65"/>
        <v>0</v>
      </c>
      <c r="AG265" s="56">
        <f t="shared" si="66"/>
        <v>0</v>
      </c>
      <c r="AH265" s="53">
        <f t="shared" si="67"/>
        <v>0</v>
      </c>
      <c r="AI265" s="55"/>
      <c r="AJ265" s="53">
        <f t="shared" si="68"/>
        <v>0</v>
      </c>
      <c r="AK265" s="53">
        <f t="shared" si="69"/>
        <v>0</v>
      </c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7"/>
      <c r="AW265" s="57"/>
      <c r="AX265" s="57"/>
    </row>
    <row r="266" spans="2:50">
      <c r="B266" s="45">
        <v>250</v>
      </c>
      <c r="C266" s="205" t="s">
        <v>304</v>
      </c>
      <c r="D266" s="181" t="s">
        <v>487</v>
      </c>
      <c r="E266" s="206" t="s">
        <v>488</v>
      </c>
      <c r="F266" s="207" t="s">
        <v>491</v>
      </c>
      <c r="G266" s="49" t="s">
        <v>190</v>
      </c>
      <c r="H266" s="164">
        <v>41995</v>
      </c>
      <c r="I266" s="164" t="s">
        <v>409</v>
      </c>
      <c r="J266" s="208">
        <f t="shared" si="58"/>
        <v>5112</v>
      </c>
      <c r="K266" s="208">
        <v>72</v>
      </c>
      <c r="L266" s="208">
        <v>5040</v>
      </c>
      <c r="M266" s="208"/>
      <c r="N266" s="208">
        <v>1.2</v>
      </c>
      <c r="O266" s="208">
        <v>84</v>
      </c>
      <c r="P266" s="179">
        <v>1</v>
      </c>
      <c r="Q266" s="53"/>
      <c r="R266" s="54" t="s">
        <v>158</v>
      </c>
      <c r="S266" s="54" t="s">
        <v>158</v>
      </c>
      <c r="T266" s="54" t="s">
        <v>158</v>
      </c>
      <c r="U266" s="54" t="s">
        <v>158</v>
      </c>
      <c r="V266" s="164" t="s">
        <v>490</v>
      </c>
      <c r="W266" s="53"/>
      <c r="X266" s="53">
        <f t="shared" si="59"/>
        <v>0</v>
      </c>
      <c r="Y266" s="55"/>
      <c r="Z266" s="55"/>
      <c r="AA266" s="52">
        <f t="shared" si="60"/>
        <v>0</v>
      </c>
      <c r="AB266" s="53">
        <f t="shared" si="61"/>
        <v>0</v>
      </c>
      <c r="AC266" s="53">
        <f t="shared" si="62"/>
        <v>0</v>
      </c>
      <c r="AD266" s="53">
        <f t="shared" si="63"/>
        <v>0</v>
      </c>
      <c r="AE266" s="53">
        <f t="shared" si="64"/>
        <v>0</v>
      </c>
      <c r="AF266" s="53">
        <f t="shared" si="65"/>
        <v>0</v>
      </c>
      <c r="AG266" s="56">
        <f t="shared" si="66"/>
        <v>0</v>
      </c>
      <c r="AH266" s="53">
        <f t="shared" si="67"/>
        <v>0</v>
      </c>
      <c r="AI266" s="55"/>
      <c r="AJ266" s="53">
        <f t="shared" si="68"/>
        <v>0</v>
      </c>
      <c r="AK266" s="53">
        <f t="shared" si="69"/>
        <v>0</v>
      </c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7"/>
      <c r="AW266" s="57"/>
      <c r="AX266" s="57"/>
    </row>
    <row r="267" spans="2:50">
      <c r="B267" s="45">
        <v>251</v>
      </c>
      <c r="C267" s="205" t="s">
        <v>304</v>
      </c>
      <c r="D267" s="181" t="s">
        <v>487</v>
      </c>
      <c r="E267" s="206" t="s">
        <v>488</v>
      </c>
      <c r="F267" s="207" t="s">
        <v>492</v>
      </c>
      <c r="G267" s="49" t="s">
        <v>190</v>
      </c>
      <c r="H267" s="164">
        <v>42632</v>
      </c>
      <c r="I267" s="164" t="s">
        <v>409</v>
      </c>
      <c r="J267" s="208">
        <f t="shared" ref="J267:J330" si="70">SUM(K267:L267)</f>
        <v>24</v>
      </c>
      <c r="K267" s="208">
        <v>24</v>
      </c>
      <c r="L267" s="208">
        <v>0</v>
      </c>
      <c r="M267" s="208"/>
      <c r="N267" s="208">
        <v>0.4</v>
      </c>
      <c r="O267" s="208">
        <v>0</v>
      </c>
      <c r="P267" s="179">
        <v>1</v>
      </c>
      <c r="Q267" s="53"/>
      <c r="R267" s="54" t="s">
        <v>158</v>
      </c>
      <c r="S267" s="54" t="s">
        <v>158</v>
      </c>
      <c r="T267" s="54" t="s">
        <v>158</v>
      </c>
      <c r="U267" s="54" t="s">
        <v>158</v>
      </c>
      <c r="V267" s="164" t="s">
        <v>493</v>
      </c>
      <c r="W267" s="53"/>
      <c r="X267" s="53">
        <f t="shared" si="59"/>
        <v>0</v>
      </c>
      <c r="Y267" s="55"/>
      <c r="Z267" s="55"/>
      <c r="AA267" s="52">
        <f t="shared" si="60"/>
        <v>0</v>
      </c>
      <c r="AB267" s="53">
        <f t="shared" si="61"/>
        <v>0</v>
      </c>
      <c r="AC267" s="53">
        <f t="shared" si="62"/>
        <v>0</v>
      </c>
      <c r="AD267" s="53">
        <f t="shared" si="63"/>
        <v>0</v>
      </c>
      <c r="AE267" s="53">
        <f t="shared" si="64"/>
        <v>0</v>
      </c>
      <c r="AF267" s="53">
        <f t="shared" si="65"/>
        <v>0</v>
      </c>
      <c r="AG267" s="56">
        <f t="shared" si="66"/>
        <v>0</v>
      </c>
      <c r="AH267" s="53">
        <f t="shared" si="67"/>
        <v>0</v>
      </c>
      <c r="AI267" s="55"/>
      <c r="AJ267" s="53">
        <f t="shared" si="68"/>
        <v>0</v>
      </c>
      <c r="AK267" s="53">
        <f t="shared" si="69"/>
        <v>0</v>
      </c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7"/>
      <c r="AW267" s="57"/>
      <c r="AX267" s="57"/>
    </row>
    <row r="268" spans="2:50">
      <c r="B268" s="45">
        <v>252</v>
      </c>
      <c r="C268" s="205" t="s">
        <v>304</v>
      </c>
      <c r="D268" s="181" t="s">
        <v>487</v>
      </c>
      <c r="E268" s="206" t="s">
        <v>488</v>
      </c>
      <c r="F268" s="207" t="s">
        <v>494</v>
      </c>
      <c r="G268" s="49" t="s">
        <v>190</v>
      </c>
      <c r="H268" s="164">
        <v>42334</v>
      </c>
      <c r="I268" s="164" t="s">
        <v>409</v>
      </c>
      <c r="J268" s="208">
        <f t="shared" si="70"/>
        <v>864</v>
      </c>
      <c r="K268" s="208">
        <v>24</v>
      </c>
      <c r="L268" s="208">
        <v>840</v>
      </c>
      <c r="M268" s="208"/>
      <c r="N268" s="208">
        <v>0.4</v>
      </c>
      <c r="O268" s="208">
        <v>14</v>
      </c>
      <c r="P268" s="179">
        <v>1</v>
      </c>
      <c r="Q268" s="53"/>
      <c r="R268" s="54" t="s">
        <v>158</v>
      </c>
      <c r="S268" s="54" t="s">
        <v>158</v>
      </c>
      <c r="T268" s="54" t="s">
        <v>158</v>
      </c>
      <c r="U268" s="54" t="s">
        <v>158</v>
      </c>
      <c r="V268" s="164" t="s">
        <v>490</v>
      </c>
      <c r="W268" s="53"/>
      <c r="X268" s="53">
        <f t="shared" si="59"/>
        <v>0</v>
      </c>
      <c r="Y268" s="55"/>
      <c r="Z268" s="55"/>
      <c r="AA268" s="52">
        <f t="shared" si="60"/>
        <v>0</v>
      </c>
      <c r="AB268" s="53">
        <f t="shared" si="61"/>
        <v>0</v>
      </c>
      <c r="AC268" s="53">
        <f t="shared" si="62"/>
        <v>0</v>
      </c>
      <c r="AD268" s="53">
        <f t="shared" si="63"/>
        <v>0</v>
      </c>
      <c r="AE268" s="53">
        <f t="shared" si="64"/>
        <v>0</v>
      </c>
      <c r="AF268" s="53">
        <f t="shared" si="65"/>
        <v>0</v>
      </c>
      <c r="AG268" s="56">
        <f t="shared" si="66"/>
        <v>0</v>
      </c>
      <c r="AH268" s="53">
        <f t="shared" si="67"/>
        <v>0</v>
      </c>
      <c r="AI268" s="55"/>
      <c r="AJ268" s="53">
        <f t="shared" si="68"/>
        <v>0</v>
      </c>
      <c r="AK268" s="53">
        <f t="shared" si="69"/>
        <v>0</v>
      </c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7"/>
      <c r="AW268" s="57"/>
      <c r="AX268" s="57"/>
    </row>
    <row r="269" spans="2:50">
      <c r="B269" s="45">
        <v>253</v>
      </c>
      <c r="C269" s="205" t="s">
        <v>304</v>
      </c>
      <c r="D269" s="181" t="s">
        <v>487</v>
      </c>
      <c r="E269" s="206" t="s">
        <v>488</v>
      </c>
      <c r="F269" s="207" t="s">
        <v>495</v>
      </c>
      <c r="G269" s="49" t="s">
        <v>190</v>
      </c>
      <c r="H269" s="164">
        <v>43731</v>
      </c>
      <c r="I269" s="164" t="s">
        <v>409</v>
      </c>
      <c r="J269" s="208">
        <f t="shared" si="70"/>
        <v>132</v>
      </c>
      <c r="K269" s="208">
        <v>132</v>
      </c>
      <c r="L269" s="208">
        <v>0</v>
      </c>
      <c r="M269" s="208"/>
      <c r="N269" s="208">
        <v>2.2000000000000002</v>
      </c>
      <c r="O269" s="208">
        <v>0</v>
      </c>
      <c r="P269" s="179">
        <v>1</v>
      </c>
      <c r="Q269" s="53"/>
      <c r="R269" s="54" t="s">
        <v>158</v>
      </c>
      <c r="S269" s="54" t="s">
        <v>158</v>
      </c>
      <c r="T269" s="54" t="s">
        <v>158</v>
      </c>
      <c r="U269" s="54" t="s">
        <v>158</v>
      </c>
      <c r="V269" s="164" t="s">
        <v>490</v>
      </c>
      <c r="W269" s="53"/>
      <c r="X269" s="53">
        <f t="shared" si="59"/>
        <v>0</v>
      </c>
      <c r="Y269" s="55"/>
      <c r="Z269" s="55"/>
      <c r="AA269" s="52">
        <f t="shared" si="60"/>
        <v>0</v>
      </c>
      <c r="AB269" s="53">
        <f t="shared" si="61"/>
        <v>0</v>
      </c>
      <c r="AC269" s="53">
        <f t="shared" si="62"/>
        <v>0</v>
      </c>
      <c r="AD269" s="53">
        <f t="shared" si="63"/>
        <v>0</v>
      </c>
      <c r="AE269" s="53">
        <f t="shared" si="64"/>
        <v>0</v>
      </c>
      <c r="AF269" s="53">
        <f t="shared" si="65"/>
        <v>0</v>
      </c>
      <c r="AG269" s="56">
        <f t="shared" si="66"/>
        <v>0</v>
      </c>
      <c r="AH269" s="53">
        <f t="shared" si="67"/>
        <v>0</v>
      </c>
      <c r="AI269" s="55"/>
      <c r="AJ269" s="53">
        <f t="shared" si="68"/>
        <v>0</v>
      </c>
      <c r="AK269" s="53">
        <f t="shared" si="69"/>
        <v>0</v>
      </c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7"/>
      <c r="AW269" s="57"/>
      <c r="AX269" s="57"/>
    </row>
    <row r="270" spans="2:50">
      <c r="B270" s="45">
        <v>254</v>
      </c>
      <c r="C270" s="205" t="s">
        <v>304</v>
      </c>
      <c r="D270" s="181" t="s">
        <v>487</v>
      </c>
      <c r="E270" s="206" t="s">
        <v>488</v>
      </c>
      <c r="F270" s="207" t="s">
        <v>496</v>
      </c>
      <c r="G270" s="49" t="s">
        <v>190</v>
      </c>
      <c r="H270" s="164">
        <v>42348</v>
      </c>
      <c r="I270" s="164" t="s">
        <v>409</v>
      </c>
      <c r="J270" s="208">
        <f t="shared" si="70"/>
        <v>66</v>
      </c>
      <c r="K270" s="208">
        <v>66</v>
      </c>
      <c r="L270" s="208">
        <v>0</v>
      </c>
      <c r="M270" s="208"/>
      <c r="N270" s="208">
        <v>1.1000000000000001</v>
      </c>
      <c r="O270" s="208">
        <v>0</v>
      </c>
      <c r="P270" s="179">
        <v>1</v>
      </c>
      <c r="Q270" s="53"/>
      <c r="R270" s="54" t="s">
        <v>158</v>
      </c>
      <c r="S270" s="54" t="s">
        <v>158</v>
      </c>
      <c r="T270" s="54" t="s">
        <v>158</v>
      </c>
      <c r="U270" s="54" t="s">
        <v>158</v>
      </c>
      <c r="V270" s="164" t="s">
        <v>490</v>
      </c>
      <c r="W270" s="53"/>
      <c r="X270" s="53">
        <f t="shared" si="59"/>
        <v>0</v>
      </c>
      <c r="Y270" s="55"/>
      <c r="Z270" s="55"/>
      <c r="AA270" s="52">
        <f t="shared" si="60"/>
        <v>0</v>
      </c>
      <c r="AB270" s="53">
        <f t="shared" si="61"/>
        <v>0</v>
      </c>
      <c r="AC270" s="53">
        <f t="shared" si="62"/>
        <v>0</v>
      </c>
      <c r="AD270" s="53">
        <f t="shared" si="63"/>
        <v>0</v>
      </c>
      <c r="AE270" s="53">
        <f t="shared" si="64"/>
        <v>0</v>
      </c>
      <c r="AF270" s="53">
        <f t="shared" si="65"/>
        <v>0</v>
      </c>
      <c r="AG270" s="56">
        <f t="shared" si="66"/>
        <v>0</v>
      </c>
      <c r="AH270" s="53">
        <f t="shared" si="67"/>
        <v>0</v>
      </c>
      <c r="AI270" s="55"/>
      <c r="AJ270" s="53">
        <f t="shared" si="68"/>
        <v>0</v>
      </c>
      <c r="AK270" s="53">
        <f t="shared" si="69"/>
        <v>0</v>
      </c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7"/>
      <c r="AW270" s="57"/>
      <c r="AX270" s="57"/>
    </row>
    <row r="271" spans="2:50">
      <c r="B271" s="45">
        <v>255</v>
      </c>
      <c r="C271" s="205" t="s">
        <v>304</v>
      </c>
      <c r="D271" s="181" t="s">
        <v>487</v>
      </c>
      <c r="E271" s="206" t="s">
        <v>488</v>
      </c>
      <c r="F271" s="207" t="s">
        <v>497</v>
      </c>
      <c r="G271" s="49" t="s">
        <v>190</v>
      </c>
      <c r="H271" s="164">
        <v>42348</v>
      </c>
      <c r="I271" s="164" t="s">
        <v>409</v>
      </c>
      <c r="J271" s="208">
        <f t="shared" si="70"/>
        <v>6030</v>
      </c>
      <c r="K271" s="208">
        <v>30</v>
      </c>
      <c r="L271" s="208">
        <v>6000</v>
      </c>
      <c r="M271" s="208"/>
      <c r="N271" s="208">
        <v>0.5</v>
      </c>
      <c r="O271" s="208">
        <v>100</v>
      </c>
      <c r="P271" s="179">
        <v>1</v>
      </c>
      <c r="Q271" s="53"/>
      <c r="R271" s="54" t="s">
        <v>158</v>
      </c>
      <c r="S271" s="54" t="s">
        <v>158</v>
      </c>
      <c r="T271" s="54" t="s">
        <v>158</v>
      </c>
      <c r="U271" s="54" t="s">
        <v>158</v>
      </c>
      <c r="V271" s="164" t="s">
        <v>490</v>
      </c>
      <c r="W271" s="53"/>
      <c r="X271" s="53">
        <f t="shared" si="59"/>
        <v>0</v>
      </c>
      <c r="Y271" s="55"/>
      <c r="Z271" s="55"/>
      <c r="AA271" s="52">
        <f t="shared" si="60"/>
        <v>0</v>
      </c>
      <c r="AB271" s="53">
        <f t="shared" si="61"/>
        <v>0</v>
      </c>
      <c r="AC271" s="53">
        <f t="shared" si="62"/>
        <v>0</v>
      </c>
      <c r="AD271" s="53">
        <f t="shared" si="63"/>
        <v>0</v>
      </c>
      <c r="AE271" s="53">
        <f t="shared" si="64"/>
        <v>0</v>
      </c>
      <c r="AF271" s="53">
        <f t="shared" si="65"/>
        <v>0</v>
      </c>
      <c r="AG271" s="56">
        <f t="shared" si="66"/>
        <v>0</v>
      </c>
      <c r="AH271" s="53">
        <f t="shared" si="67"/>
        <v>0</v>
      </c>
      <c r="AI271" s="55"/>
      <c r="AJ271" s="53">
        <f t="shared" si="68"/>
        <v>0</v>
      </c>
      <c r="AK271" s="53">
        <f t="shared" si="69"/>
        <v>0</v>
      </c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7"/>
      <c r="AW271" s="57"/>
      <c r="AX271" s="57"/>
    </row>
    <row r="272" spans="2:50">
      <c r="B272" s="45">
        <v>256</v>
      </c>
      <c r="C272" s="205" t="s">
        <v>304</v>
      </c>
      <c r="D272" s="181" t="s">
        <v>487</v>
      </c>
      <c r="E272" s="206" t="s">
        <v>488</v>
      </c>
      <c r="F272" s="207" t="s">
        <v>498</v>
      </c>
      <c r="G272" s="49" t="s">
        <v>190</v>
      </c>
      <c r="H272" s="164">
        <v>42816</v>
      </c>
      <c r="I272" s="164" t="s">
        <v>409</v>
      </c>
      <c r="J272" s="208">
        <f t="shared" si="70"/>
        <v>66</v>
      </c>
      <c r="K272" s="208">
        <v>66</v>
      </c>
      <c r="L272" s="208">
        <v>0</v>
      </c>
      <c r="M272" s="208"/>
      <c r="N272" s="208">
        <v>1.1000000000000001</v>
      </c>
      <c r="O272" s="208">
        <v>0</v>
      </c>
      <c r="P272" s="179">
        <v>1</v>
      </c>
      <c r="Q272" s="53"/>
      <c r="R272" s="54" t="s">
        <v>158</v>
      </c>
      <c r="S272" s="54" t="s">
        <v>158</v>
      </c>
      <c r="T272" s="54" t="s">
        <v>158</v>
      </c>
      <c r="U272" s="54" t="s">
        <v>158</v>
      </c>
      <c r="V272" s="164" t="s">
        <v>490</v>
      </c>
      <c r="W272" s="53"/>
      <c r="X272" s="53">
        <f t="shared" si="59"/>
        <v>0</v>
      </c>
      <c r="Y272" s="55"/>
      <c r="Z272" s="55"/>
      <c r="AA272" s="52">
        <f t="shared" si="60"/>
        <v>0</v>
      </c>
      <c r="AB272" s="53">
        <f t="shared" si="61"/>
        <v>0</v>
      </c>
      <c r="AC272" s="53">
        <f t="shared" si="62"/>
        <v>0</v>
      </c>
      <c r="AD272" s="53">
        <f t="shared" si="63"/>
        <v>0</v>
      </c>
      <c r="AE272" s="53">
        <f t="shared" si="64"/>
        <v>0</v>
      </c>
      <c r="AF272" s="53">
        <f t="shared" si="65"/>
        <v>0</v>
      </c>
      <c r="AG272" s="56">
        <f t="shared" si="66"/>
        <v>0</v>
      </c>
      <c r="AH272" s="53">
        <f t="shared" si="67"/>
        <v>0</v>
      </c>
      <c r="AI272" s="55"/>
      <c r="AJ272" s="53">
        <f t="shared" si="68"/>
        <v>0</v>
      </c>
      <c r="AK272" s="53">
        <f t="shared" si="69"/>
        <v>0</v>
      </c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7"/>
      <c r="AW272" s="57"/>
      <c r="AX272" s="57"/>
    </row>
    <row r="273" spans="2:50">
      <c r="B273" s="45">
        <v>257</v>
      </c>
      <c r="C273" s="205" t="s">
        <v>304</v>
      </c>
      <c r="D273" s="181" t="s">
        <v>487</v>
      </c>
      <c r="E273" s="206" t="s">
        <v>488</v>
      </c>
      <c r="F273" s="207" t="s">
        <v>499</v>
      </c>
      <c r="G273" s="49" t="s">
        <v>190</v>
      </c>
      <c r="H273" s="164">
        <v>42870</v>
      </c>
      <c r="I273" s="164" t="s">
        <v>409</v>
      </c>
      <c r="J273" s="208">
        <f t="shared" si="70"/>
        <v>2688</v>
      </c>
      <c r="K273" s="208">
        <v>48</v>
      </c>
      <c r="L273" s="208">
        <v>2640</v>
      </c>
      <c r="M273" s="208"/>
      <c r="N273" s="208">
        <v>0.8</v>
      </c>
      <c r="O273" s="208">
        <v>44</v>
      </c>
      <c r="P273" s="179">
        <v>1</v>
      </c>
      <c r="Q273" s="53"/>
      <c r="R273" s="54" t="s">
        <v>158</v>
      </c>
      <c r="S273" s="54" t="s">
        <v>158</v>
      </c>
      <c r="T273" s="54" t="s">
        <v>158</v>
      </c>
      <c r="U273" s="54" t="s">
        <v>158</v>
      </c>
      <c r="V273" s="164" t="s">
        <v>490</v>
      </c>
      <c r="W273" s="53"/>
      <c r="X273" s="53">
        <f t="shared" si="59"/>
        <v>0</v>
      </c>
      <c r="Y273" s="55"/>
      <c r="Z273" s="55"/>
      <c r="AA273" s="52">
        <f t="shared" si="60"/>
        <v>0</v>
      </c>
      <c r="AB273" s="53">
        <f t="shared" si="61"/>
        <v>0</v>
      </c>
      <c r="AC273" s="53">
        <f t="shared" si="62"/>
        <v>0</v>
      </c>
      <c r="AD273" s="53">
        <f t="shared" si="63"/>
        <v>0</v>
      </c>
      <c r="AE273" s="53">
        <f t="shared" si="64"/>
        <v>0</v>
      </c>
      <c r="AF273" s="53">
        <f t="shared" si="65"/>
        <v>0</v>
      </c>
      <c r="AG273" s="56">
        <f t="shared" si="66"/>
        <v>0</v>
      </c>
      <c r="AH273" s="53">
        <f t="shared" si="67"/>
        <v>0</v>
      </c>
      <c r="AI273" s="55"/>
      <c r="AJ273" s="53">
        <f t="shared" si="68"/>
        <v>0</v>
      </c>
      <c r="AK273" s="53">
        <f t="shared" si="69"/>
        <v>0</v>
      </c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7"/>
      <c r="AW273" s="57"/>
      <c r="AX273" s="57"/>
    </row>
    <row r="274" spans="2:50">
      <c r="B274" s="45">
        <v>258</v>
      </c>
      <c r="C274" s="205" t="s">
        <v>304</v>
      </c>
      <c r="D274" s="181" t="s">
        <v>487</v>
      </c>
      <c r="E274" s="206" t="s">
        <v>488</v>
      </c>
      <c r="F274" s="207" t="s">
        <v>500</v>
      </c>
      <c r="G274" s="49" t="s">
        <v>190</v>
      </c>
      <c r="H274" s="164">
        <v>43780</v>
      </c>
      <c r="I274" s="164" t="s">
        <v>409</v>
      </c>
      <c r="J274" s="208">
        <f t="shared" si="70"/>
        <v>2868</v>
      </c>
      <c r="K274" s="208">
        <v>90</v>
      </c>
      <c r="L274" s="208">
        <v>2778</v>
      </c>
      <c r="M274" s="208"/>
      <c r="N274" s="208">
        <v>1.5000000000000002</v>
      </c>
      <c r="O274" s="208">
        <v>46.3</v>
      </c>
      <c r="P274" s="179">
        <v>1</v>
      </c>
      <c r="Q274" s="53"/>
      <c r="R274" s="54" t="s">
        <v>158</v>
      </c>
      <c r="S274" s="54" t="s">
        <v>158</v>
      </c>
      <c r="T274" s="54" t="s">
        <v>158</v>
      </c>
      <c r="U274" s="54" t="s">
        <v>158</v>
      </c>
      <c r="V274" s="164" t="s">
        <v>490</v>
      </c>
      <c r="W274" s="53"/>
      <c r="X274" s="53">
        <f t="shared" si="59"/>
        <v>0</v>
      </c>
      <c r="Y274" s="55"/>
      <c r="Z274" s="55"/>
      <c r="AA274" s="52">
        <f t="shared" si="60"/>
        <v>0</v>
      </c>
      <c r="AB274" s="53">
        <f t="shared" si="61"/>
        <v>0</v>
      </c>
      <c r="AC274" s="53">
        <f t="shared" si="62"/>
        <v>0</v>
      </c>
      <c r="AD274" s="53">
        <f t="shared" si="63"/>
        <v>0</v>
      </c>
      <c r="AE274" s="53">
        <f t="shared" si="64"/>
        <v>0</v>
      </c>
      <c r="AF274" s="53">
        <f t="shared" si="65"/>
        <v>0</v>
      </c>
      <c r="AG274" s="56">
        <f t="shared" si="66"/>
        <v>0</v>
      </c>
      <c r="AH274" s="53">
        <f t="shared" si="67"/>
        <v>0</v>
      </c>
      <c r="AI274" s="55"/>
      <c r="AJ274" s="53">
        <f t="shared" si="68"/>
        <v>0</v>
      </c>
      <c r="AK274" s="53">
        <f t="shared" si="69"/>
        <v>0</v>
      </c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7"/>
      <c r="AW274" s="57"/>
      <c r="AX274" s="57"/>
    </row>
    <row r="275" spans="2:50">
      <c r="B275" s="45">
        <v>259</v>
      </c>
      <c r="C275" s="205" t="s">
        <v>304</v>
      </c>
      <c r="D275" s="181" t="s">
        <v>487</v>
      </c>
      <c r="E275" s="206" t="s">
        <v>501</v>
      </c>
      <c r="F275" s="207" t="s">
        <v>502</v>
      </c>
      <c r="G275" s="49" t="s">
        <v>190</v>
      </c>
      <c r="H275" s="164">
        <v>43346</v>
      </c>
      <c r="I275" s="164" t="s">
        <v>409</v>
      </c>
      <c r="J275" s="208">
        <f t="shared" si="70"/>
        <v>18</v>
      </c>
      <c r="K275" s="208">
        <v>18</v>
      </c>
      <c r="L275" s="208">
        <v>0</v>
      </c>
      <c r="M275" s="208"/>
      <c r="N275" s="208">
        <v>0.3</v>
      </c>
      <c r="O275" s="208">
        <v>0</v>
      </c>
      <c r="P275" s="179">
        <v>1</v>
      </c>
      <c r="Q275" s="53"/>
      <c r="R275" s="54" t="s">
        <v>158</v>
      </c>
      <c r="S275" s="54" t="s">
        <v>158</v>
      </c>
      <c r="T275" s="54" t="s">
        <v>158</v>
      </c>
      <c r="U275" s="54" t="s">
        <v>158</v>
      </c>
      <c r="V275" s="164" t="s">
        <v>493</v>
      </c>
      <c r="W275" s="53"/>
      <c r="X275" s="53">
        <f t="shared" si="59"/>
        <v>0</v>
      </c>
      <c r="Y275" s="55"/>
      <c r="Z275" s="55"/>
      <c r="AA275" s="52">
        <f t="shared" si="60"/>
        <v>0</v>
      </c>
      <c r="AB275" s="53">
        <f t="shared" si="61"/>
        <v>0</v>
      </c>
      <c r="AC275" s="53">
        <f t="shared" si="62"/>
        <v>0</v>
      </c>
      <c r="AD275" s="53">
        <f t="shared" si="63"/>
        <v>0</v>
      </c>
      <c r="AE275" s="53">
        <f t="shared" si="64"/>
        <v>0</v>
      </c>
      <c r="AF275" s="53">
        <f t="shared" si="65"/>
        <v>0</v>
      </c>
      <c r="AG275" s="56">
        <f t="shared" si="66"/>
        <v>0</v>
      </c>
      <c r="AH275" s="53">
        <f t="shared" si="67"/>
        <v>0</v>
      </c>
      <c r="AI275" s="55"/>
      <c r="AJ275" s="53">
        <f t="shared" si="68"/>
        <v>0</v>
      </c>
      <c r="AK275" s="53">
        <f t="shared" si="69"/>
        <v>0</v>
      </c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7"/>
      <c r="AW275" s="57"/>
      <c r="AX275" s="57"/>
    </row>
    <row r="276" spans="2:50">
      <c r="B276" s="45">
        <v>260</v>
      </c>
      <c r="C276" s="205" t="s">
        <v>304</v>
      </c>
      <c r="D276" s="181" t="s">
        <v>487</v>
      </c>
      <c r="E276" s="206" t="s">
        <v>501</v>
      </c>
      <c r="F276" s="207" t="s">
        <v>503</v>
      </c>
      <c r="G276" s="49" t="s">
        <v>190</v>
      </c>
      <c r="H276" s="164">
        <v>42485</v>
      </c>
      <c r="I276" s="164" t="s">
        <v>409</v>
      </c>
      <c r="J276" s="208">
        <f t="shared" si="70"/>
        <v>1632</v>
      </c>
      <c r="K276" s="208">
        <v>72</v>
      </c>
      <c r="L276" s="208">
        <v>1560</v>
      </c>
      <c r="M276" s="208"/>
      <c r="N276" s="208">
        <v>1.2000000000000002</v>
      </c>
      <c r="O276" s="208">
        <v>26</v>
      </c>
      <c r="P276" s="179">
        <v>1</v>
      </c>
      <c r="Q276" s="53"/>
      <c r="R276" s="54" t="s">
        <v>158</v>
      </c>
      <c r="S276" s="54" t="s">
        <v>158</v>
      </c>
      <c r="T276" s="54" t="s">
        <v>158</v>
      </c>
      <c r="U276" s="54" t="s">
        <v>158</v>
      </c>
      <c r="V276" s="164" t="s">
        <v>490</v>
      </c>
      <c r="W276" s="53"/>
      <c r="X276" s="53">
        <f t="shared" si="59"/>
        <v>0</v>
      </c>
      <c r="Y276" s="55"/>
      <c r="Z276" s="55"/>
      <c r="AA276" s="52">
        <f t="shared" si="60"/>
        <v>0</v>
      </c>
      <c r="AB276" s="53">
        <f t="shared" si="61"/>
        <v>0</v>
      </c>
      <c r="AC276" s="53">
        <f t="shared" si="62"/>
        <v>0</v>
      </c>
      <c r="AD276" s="53">
        <f t="shared" si="63"/>
        <v>0</v>
      </c>
      <c r="AE276" s="53">
        <f t="shared" si="64"/>
        <v>0</v>
      </c>
      <c r="AF276" s="53">
        <f t="shared" si="65"/>
        <v>0</v>
      </c>
      <c r="AG276" s="56">
        <f t="shared" si="66"/>
        <v>0</v>
      </c>
      <c r="AH276" s="53">
        <f t="shared" si="67"/>
        <v>0</v>
      </c>
      <c r="AI276" s="55"/>
      <c r="AJ276" s="53">
        <f t="shared" si="68"/>
        <v>0</v>
      </c>
      <c r="AK276" s="53">
        <f t="shared" si="69"/>
        <v>0</v>
      </c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7"/>
      <c r="AW276" s="57"/>
      <c r="AX276" s="57"/>
    </row>
    <row r="277" spans="2:50">
      <c r="B277" s="45">
        <v>261</v>
      </c>
      <c r="C277" s="205" t="s">
        <v>304</v>
      </c>
      <c r="D277" s="181" t="s">
        <v>487</v>
      </c>
      <c r="E277" s="206" t="s">
        <v>501</v>
      </c>
      <c r="F277" s="207" t="s">
        <v>504</v>
      </c>
      <c r="G277" s="49" t="s">
        <v>190</v>
      </c>
      <c r="H277" s="164">
        <v>42334</v>
      </c>
      <c r="I277" s="164" t="s">
        <v>409</v>
      </c>
      <c r="J277" s="208">
        <f t="shared" si="70"/>
        <v>126</v>
      </c>
      <c r="K277" s="208">
        <v>108</v>
      </c>
      <c r="L277" s="208">
        <v>18</v>
      </c>
      <c r="M277" s="208"/>
      <c r="N277" s="208">
        <v>1.8</v>
      </c>
      <c r="O277" s="208">
        <v>0.3</v>
      </c>
      <c r="P277" s="179">
        <v>1</v>
      </c>
      <c r="Q277" s="53"/>
      <c r="R277" s="54" t="s">
        <v>158</v>
      </c>
      <c r="S277" s="54" t="s">
        <v>158</v>
      </c>
      <c r="T277" s="54" t="s">
        <v>158</v>
      </c>
      <c r="U277" s="54" t="s">
        <v>158</v>
      </c>
      <c r="V277" s="164" t="s">
        <v>490</v>
      </c>
      <c r="W277" s="53"/>
      <c r="X277" s="53">
        <f t="shared" si="59"/>
        <v>0</v>
      </c>
      <c r="Y277" s="55"/>
      <c r="Z277" s="55"/>
      <c r="AA277" s="52">
        <f t="shared" si="60"/>
        <v>0</v>
      </c>
      <c r="AB277" s="53">
        <f t="shared" si="61"/>
        <v>0</v>
      </c>
      <c r="AC277" s="53">
        <f t="shared" si="62"/>
        <v>0</v>
      </c>
      <c r="AD277" s="53">
        <f t="shared" si="63"/>
        <v>0</v>
      </c>
      <c r="AE277" s="53">
        <f t="shared" si="64"/>
        <v>0</v>
      </c>
      <c r="AF277" s="53">
        <f t="shared" si="65"/>
        <v>0</v>
      </c>
      <c r="AG277" s="56">
        <f t="shared" si="66"/>
        <v>0</v>
      </c>
      <c r="AH277" s="53">
        <f t="shared" si="67"/>
        <v>0</v>
      </c>
      <c r="AI277" s="55"/>
      <c r="AJ277" s="53">
        <f t="shared" si="68"/>
        <v>0</v>
      </c>
      <c r="AK277" s="53">
        <f t="shared" si="69"/>
        <v>0</v>
      </c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7"/>
      <c r="AW277" s="57"/>
      <c r="AX277" s="57"/>
    </row>
    <row r="278" spans="2:50">
      <c r="B278" s="45">
        <v>262</v>
      </c>
      <c r="C278" s="205" t="s">
        <v>304</v>
      </c>
      <c r="D278" s="181" t="s">
        <v>487</v>
      </c>
      <c r="E278" s="206" t="s">
        <v>501</v>
      </c>
      <c r="F278" s="209" t="s">
        <v>505</v>
      </c>
      <c r="G278" s="49" t="s">
        <v>190</v>
      </c>
      <c r="H278" s="164">
        <v>43703</v>
      </c>
      <c r="I278" s="164" t="s">
        <v>409</v>
      </c>
      <c r="J278" s="208">
        <f t="shared" si="70"/>
        <v>60</v>
      </c>
      <c r="K278" s="208">
        <v>60</v>
      </c>
      <c r="L278" s="208">
        <v>0</v>
      </c>
      <c r="M278" s="208"/>
      <c r="N278" s="208">
        <v>1</v>
      </c>
      <c r="O278" s="208">
        <v>0</v>
      </c>
      <c r="P278" s="179">
        <v>1</v>
      </c>
      <c r="Q278" s="53"/>
      <c r="R278" s="54" t="s">
        <v>158</v>
      </c>
      <c r="S278" s="54" t="s">
        <v>158</v>
      </c>
      <c r="T278" s="54" t="s">
        <v>158</v>
      </c>
      <c r="U278" s="54" t="s">
        <v>158</v>
      </c>
      <c r="V278" s="164" t="s">
        <v>490</v>
      </c>
      <c r="W278" s="53"/>
      <c r="X278" s="53">
        <f t="shared" si="59"/>
        <v>0</v>
      </c>
      <c r="Y278" s="55"/>
      <c r="Z278" s="55"/>
      <c r="AA278" s="52">
        <f t="shared" si="60"/>
        <v>0</v>
      </c>
      <c r="AB278" s="53">
        <f t="shared" si="61"/>
        <v>0</v>
      </c>
      <c r="AC278" s="53">
        <f t="shared" si="62"/>
        <v>0</v>
      </c>
      <c r="AD278" s="53">
        <f t="shared" si="63"/>
        <v>0</v>
      </c>
      <c r="AE278" s="53">
        <f t="shared" si="64"/>
        <v>0</v>
      </c>
      <c r="AF278" s="53">
        <f t="shared" si="65"/>
        <v>0</v>
      </c>
      <c r="AG278" s="56">
        <f t="shared" si="66"/>
        <v>0</v>
      </c>
      <c r="AH278" s="53">
        <f t="shared" si="67"/>
        <v>0</v>
      </c>
      <c r="AI278" s="55"/>
      <c r="AJ278" s="53">
        <f t="shared" si="68"/>
        <v>0</v>
      </c>
      <c r="AK278" s="53">
        <f t="shared" si="69"/>
        <v>0</v>
      </c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7"/>
      <c r="AW278" s="57"/>
      <c r="AX278" s="57"/>
    </row>
    <row r="279" spans="2:50">
      <c r="B279" s="45">
        <v>263</v>
      </c>
      <c r="C279" s="205" t="s">
        <v>304</v>
      </c>
      <c r="D279" s="181" t="s">
        <v>487</v>
      </c>
      <c r="E279" s="206" t="s">
        <v>501</v>
      </c>
      <c r="F279" s="209" t="s">
        <v>506</v>
      </c>
      <c r="G279" s="49" t="s">
        <v>190</v>
      </c>
      <c r="H279" s="164">
        <v>43780</v>
      </c>
      <c r="I279" s="164" t="s">
        <v>409</v>
      </c>
      <c r="J279" s="208">
        <f t="shared" si="70"/>
        <v>2976</v>
      </c>
      <c r="K279" s="208">
        <v>108</v>
      </c>
      <c r="L279" s="208">
        <v>2868</v>
      </c>
      <c r="M279" s="208"/>
      <c r="N279" s="208">
        <v>1.7999999999999998</v>
      </c>
      <c r="O279" s="208">
        <v>47.8</v>
      </c>
      <c r="P279" s="179">
        <v>1</v>
      </c>
      <c r="Q279" s="53"/>
      <c r="R279" s="54" t="s">
        <v>158</v>
      </c>
      <c r="S279" s="54" t="s">
        <v>158</v>
      </c>
      <c r="T279" s="54" t="s">
        <v>158</v>
      </c>
      <c r="U279" s="54" t="s">
        <v>158</v>
      </c>
      <c r="V279" s="164" t="s">
        <v>490</v>
      </c>
      <c r="W279" s="53"/>
      <c r="X279" s="53">
        <f t="shared" si="59"/>
        <v>0</v>
      </c>
      <c r="Y279" s="55"/>
      <c r="Z279" s="55"/>
      <c r="AA279" s="52">
        <f t="shared" si="60"/>
        <v>0</v>
      </c>
      <c r="AB279" s="53">
        <f t="shared" si="61"/>
        <v>0</v>
      </c>
      <c r="AC279" s="53">
        <f t="shared" si="62"/>
        <v>0</v>
      </c>
      <c r="AD279" s="53">
        <f t="shared" si="63"/>
        <v>0</v>
      </c>
      <c r="AE279" s="53">
        <f t="shared" si="64"/>
        <v>0</v>
      </c>
      <c r="AF279" s="53">
        <f t="shared" si="65"/>
        <v>0</v>
      </c>
      <c r="AG279" s="56">
        <f t="shared" si="66"/>
        <v>0</v>
      </c>
      <c r="AH279" s="53">
        <f t="shared" si="67"/>
        <v>0</v>
      </c>
      <c r="AI279" s="55"/>
      <c r="AJ279" s="53">
        <f t="shared" si="68"/>
        <v>0</v>
      </c>
      <c r="AK279" s="53">
        <f t="shared" si="69"/>
        <v>0</v>
      </c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7"/>
      <c r="AW279" s="57"/>
      <c r="AX279" s="57"/>
    </row>
    <row r="280" spans="2:50">
      <c r="B280" s="45">
        <v>264</v>
      </c>
      <c r="C280" s="205" t="s">
        <v>304</v>
      </c>
      <c r="D280" s="181" t="s">
        <v>487</v>
      </c>
      <c r="E280" s="210" t="s">
        <v>507</v>
      </c>
      <c r="F280" s="207" t="s">
        <v>508</v>
      </c>
      <c r="G280" s="49" t="s">
        <v>300</v>
      </c>
      <c r="H280" s="164">
        <v>43272</v>
      </c>
      <c r="I280" s="164" t="s">
        <v>409</v>
      </c>
      <c r="J280" s="208">
        <f t="shared" si="70"/>
        <v>222</v>
      </c>
      <c r="K280" s="208">
        <v>192</v>
      </c>
      <c r="L280" s="208">
        <v>30</v>
      </c>
      <c r="M280" s="208"/>
      <c r="N280" s="208">
        <v>3.2</v>
      </c>
      <c r="O280" s="208">
        <v>0.5</v>
      </c>
      <c r="P280" s="179">
        <v>1</v>
      </c>
      <c r="Q280" s="53" t="s">
        <v>257</v>
      </c>
      <c r="R280" s="54" t="s">
        <v>158</v>
      </c>
      <c r="S280" s="54" t="s">
        <v>158</v>
      </c>
      <c r="T280" s="54" t="s">
        <v>158</v>
      </c>
      <c r="U280" s="54" t="s">
        <v>158</v>
      </c>
      <c r="V280" s="164" t="s">
        <v>493</v>
      </c>
      <c r="W280" s="53"/>
      <c r="X280" s="53">
        <f t="shared" si="59"/>
        <v>0</v>
      </c>
      <c r="Y280" s="55"/>
      <c r="Z280" s="55"/>
      <c r="AA280" s="52">
        <f t="shared" si="60"/>
        <v>0</v>
      </c>
      <c r="AB280" s="53">
        <f t="shared" si="61"/>
        <v>0</v>
      </c>
      <c r="AC280" s="53">
        <f t="shared" si="62"/>
        <v>0</v>
      </c>
      <c r="AD280" s="53">
        <f t="shared" si="63"/>
        <v>0</v>
      </c>
      <c r="AE280" s="53">
        <f t="shared" si="64"/>
        <v>0</v>
      </c>
      <c r="AF280" s="53">
        <f t="shared" si="65"/>
        <v>0</v>
      </c>
      <c r="AG280" s="56">
        <f t="shared" si="66"/>
        <v>1</v>
      </c>
      <c r="AH280" s="53">
        <f t="shared" si="67"/>
        <v>0</v>
      </c>
      <c r="AI280" s="55"/>
      <c r="AJ280" s="53">
        <f t="shared" si="68"/>
        <v>0</v>
      </c>
      <c r="AK280" s="53">
        <f t="shared" si="69"/>
        <v>0</v>
      </c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7"/>
      <c r="AW280" s="57"/>
      <c r="AX280" s="57"/>
    </row>
    <row r="281" spans="2:50">
      <c r="B281" s="45">
        <v>265</v>
      </c>
      <c r="C281" s="205" t="s">
        <v>304</v>
      </c>
      <c r="D281" s="181" t="s">
        <v>487</v>
      </c>
      <c r="E281" s="210" t="s">
        <v>507</v>
      </c>
      <c r="F281" s="207" t="s">
        <v>509</v>
      </c>
      <c r="G281" s="49" t="s">
        <v>300</v>
      </c>
      <c r="H281" s="164">
        <v>42663</v>
      </c>
      <c r="I281" s="164" t="s">
        <v>409</v>
      </c>
      <c r="J281" s="208">
        <f t="shared" si="70"/>
        <v>2310</v>
      </c>
      <c r="K281" s="208">
        <v>30</v>
      </c>
      <c r="L281" s="208">
        <v>2280</v>
      </c>
      <c r="M281" s="208"/>
      <c r="N281" s="208">
        <v>0.5</v>
      </c>
      <c r="O281" s="208">
        <v>38</v>
      </c>
      <c r="P281" s="179">
        <v>1</v>
      </c>
      <c r="Q281" s="53" t="s">
        <v>257</v>
      </c>
      <c r="R281" s="54" t="s">
        <v>158</v>
      </c>
      <c r="S281" s="54" t="s">
        <v>158</v>
      </c>
      <c r="T281" s="54" t="s">
        <v>158</v>
      </c>
      <c r="U281" s="54" t="s">
        <v>158</v>
      </c>
      <c r="V281" s="164" t="s">
        <v>490</v>
      </c>
      <c r="W281" s="53"/>
      <c r="X281" s="53">
        <f t="shared" si="59"/>
        <v>0</v>
      </c>
      <c r="Y281" s="55"/>
      <c r="Z281" s="55"/>
      <c r="AA281" s="52">
        <f t="shared" si="60"/>
        <v>0</v>
      </c>
      <c r="AB281" s="53">
        <f t="shared" si="61"/>
        <v>0</v>
      </c>
      <c r="AC281" s="53">
        <f t="shared" si="62"/>
        <v>0</v>
      </c>
      <c r="AD281" s="53">
        <f t="shared" si="63"/>
        <v>0</v>
      </c>
      <c r="AE281" s="53">
        <f t="shared" si="64"/>
        <v>0</v>
      </c>
      <c r="AF281" s="53">
        <f t="shared" si="65"/>
        <v>0</v>
      </c>
      <c r="AG281" s="56">
        <f t="shared" si="66"/>
        <v>1</v>
      </c>
      <c r="AH281" s="53">
        <f t="shared" si="67"/>
        <v>0</v>
      </c>
      <c r="AI281" s="55"/>
      <c r="AJ281" s="53">
        <f t="shared" si="68"/>
        <v>0</v>
      </c>
      <c r="AK281" s="53">
        <f t="shared" si="69"/>
        <v>0</v>
      </c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7"/>
      <c r="AW281" s="57"/>
      <c r="AX281" s="57"/>
    </row>
    <row r="282" spans="2:50">
      <c r="B282" s="45">
        <v>266</v>
      </c>
      <c r="C282" s="205" t="s">
        <v>304</v>
      </c>
      <c r="D282" s="181" t="s">
        <v>487</v>
      </c>
      <c r="E282" s="210" t="s">
        <v>510</v>
      </c>
      <c r="F282" s="207" t="s">
        <v>511</v>
      </c>
      <c r="G282" s="49" t="s">
        <v>300</v>
      </c>
      <c r="H282" s="164">
        <v>43347</v>
      </c>
      <c r="I282" s="164" t="s">
        <v>409</v>
      </c>
      <c r="J282" s="208">
        <f t="shared" si="70"/>
        <v>66</v>
      </c>
      <c r="K282" s="208">
        <v>6</v>
      </c>
      <c r="L282" s="208">
        <v>60</v>
      </c>
      <c r="M282" s="208"/>
      <c r="N282" s="208">
        <v>0.1</v>
      </c>
      <c r="O282" s="208">
        <v>1</v>
      </c>
      <c r="P282" s="179">
        <v>1</v>
      </c>
      <c r="Q282" s="53"/>
      <c r="R282" s="54" t="s">
        <v>158</v>
      </c>
      <c r="S282" s="54" t="s">
        <v>158</v>
      </c>
      <c r="T282" s="54" t="s">
        <v>158</v>
      </c>
      <c r="U282" s="54" t="s">
        <v>158</v>
      </c>
      <c r="V282" s="164" t="s">
        <v>490</v>
      </c>
      <c r="W282" s="53"/>
      <c r="X282" s="53">
        <f t="shared" si="59"/>
        <v>0</v>
      </c>
      <c r="Y282" s="55"/>
      <c r="Z282" s="55"/>
      <c r="AA282" s="52">
        <f t="shared" si="60"/>
        <v>0</v>
      </c>
      <c r="AB282" s="53">
        <f t="shared" si="61"/>
        <v>0</v>
      </c>
      <c r="AC282" s="53">
        <f t="shared" si="62"/>
        <v>0</v>
      </c>
      <c r="AD282" s="53">
        <f t="shared" si="63"/>
        <v>0</v>
      </c>
      <c r="AE282" s="53">
        <f t="shared" si="64"/>
        <v>0</v>
      </c>
      <c r="AF282" s="53">
        <f t="shared" si="65"/>
        <v>0</v>
      </c>
      <c r="AG282" s="56">
        <f t="shared" si="66"/>
        <v>0</v>
      </c>
      <c r="AH282" s="53">
        <f t="shared" si="67"/>
        <v>0</v>
      </c>
      <c r="AI282" s="55"/>
      <c r="AJ282" s="53">
        <f t="shared" si="68"/>
        <v>0</v>
      </c>
      <c r="AK282" s="53">
        <f t="shared" si="69"/>
        <v>0</v>
      </c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7"/>
      <c r="AW282" s="57"/>
      <c r="AX282" s="57"/>
    </row>
    <row r="283" spans="2:50">
      <c r="B283" s="45">
        <v>267</v>
      </c>
      <c r="C283" s="205" t="s">
        <v>304</v>
      </c>
      <c r="D283" s="181" t="s">
        <v>512</v>
      </c>
      <c r="E283" s="210" t="s">
        <v>513</v>
      </c>
      <c r="F283" s="207" t="s">
        <v>514</v>
      </c>
      <c r="G283" s="49" t="s">
        <v>300</v>
      </c>
      <c r="H283" s="164">
        <v>42662</v>
      </c>
      <c r="I283" s="164" t="s">
        <v>409</v>
      </c>
      <c r="J283" s="208">
        <f t="shared" si="70"/>
        <v>45</v>
      </c>
      <c r="K283" s="208">
        <v>45</v>
      </c>
      <c r="L283" s="208">
        <v>0</v>
      </c>
      <c r="M283" s="208"/>
      <c r="N283" s="208">
        <v>0.75</v>
      </c>
      <c r="O283" s="208">
        <v>0</v>
      </c>
      <c r="P283" s="179">
        <v>1</v>
      </c>
      <c r="Q283" s="53" t="s">
        <v>257</v>
      </c>
      <c r="R283" s="54" t="s">
        <v>158</v>
      </c>
      <c r="S283" s="54" t="s">
        <v>158</v>
      </c>
      <c r="T283" s="54" t="s">
        <v>158</v>
      </c>
      <c r="U283" s="54" t="s">
        <v>158</v>
      </c>
      <c r="V283" s="211" t="s">
        <v>515</v>
      </c>
      <c r="W283" s="53"/>
      <c r="X283" s="53">
        <f t="shared" si="59"/>
        <v>0</v>
      </c>
      <c r="Y283" s="55"/>
      <c r="Z283" s="55"/>
      <c r="AA283" s="52">
        <f t="shared" si="60"/>
        <v>0</v>
      </c>
      <c r="AB283" s="53">
        <f t="shared" si="61"/>
        <v>0</v>
      </c>
      <c r="AC283" s="53">
        <f t="shared" si="62"/>
        <v>0</v>
      </c>
      <c r="AD283" s="53">
        <f t="shared" si="63"/>
        <v>0</v>
      </c>
      <c r="AE283" s="53">
        <f t="shared" si="64"/>
        <v>0</v>
      </c>
      <c r="AF283" s="53">
        <f t="shared" si="65"/>
        <v>0</v>
      </c>
      <c r="AG283" s="56">
        <f t="shared" si="66"/>
        <v>1</v>
      </c>
      <c r="AH283" s="53">
        <f t="shared" si="67"/>
        <v>0</v>
      </c>
      <c r="AI283" s="55"/>
      <c r="AJ283" s="53">
        <f t="shared" si="68"/>
        <v>0</v>
      </c>
      <c r="AK283" s="53">
        <f t="shared" si="69"/>
        <v>0</v>
      </c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7"/>
      <c r="AW283" s="57"/>
      <c r="AX283" s="57"/>
    </row>
    <row r="284" spans="2:50">
      <c r="B284" s="45">
        <v>268</v>
      </c>
      <c r="C284" s="205" t="s">
        <v>304</v>
      </c>
      <c r="D284" s="181" t="s">
        <v>512</v>
      </c>
      <c r="E284" s="206" t="s">
        <v>516</v>
      </c>
      <c r="F284" s="207" t="s">
        <v>517</v>
      </c>
      <c r="G284" s="49" t="s">
        <v>306</v>
      </c>
      <c r="H284" s="164">
        <v>42507</v>
      </c>
      <c r="I284" s="164" t="s">
        <v>409</v>
      </c>
      <c r="J284" s="208">
        <f t="shared" si="70"/>
        <v>180</v>
      </c>
      <c r="K284" s="208">
        <v>120</v>
      </c>
      <c r="L284" s="208">
        <v>60</v>
      </c>
      <c r="M284" s="208"/>
      <c r="N284" s="208">
        <v>2</v>
      </c>
      <c r="O284" s="208">
        <v>1</v>
      </c>
      <c r="P284" s="179">
        <v>1</v>
      </c>
      <c r="Q284" s="53"/>
      <c r="R284" s="54" t="s">
        <v>158</v>
      </c>
      <c r="S284" s="54" t="s">
        <v>158</v>
      </c>
      <c r="T284" s="54" t="s">
        <v>158</v>
      </c>
      <c r="U284" s="54" t="s">
        <v>158</v>
      </c>
      <c r="V284" s="211" t="s">
        <v>515</v>
      </c>
      <c r="W284" s="53"/>
      <c r="X284" s="53">
        <f t="shared" si="59"/>
        <v>0</v>
      </c>
      <c r="Y284" s="55"/>
      <c r="Z284" s="55"/>
      <c r="AA284" s="52">
        <f t="shared" si="60"/>
        <v>0</v>
      </c>
      <c r="AB284" s="53">
        <f t="shared" si="61"/>
        <v>0</v>
      </c>
      <c r="AC284" s="53">
        <f t="shared" si="62"/>
        <v>0</v>
      </c>
      <c r="AD284" s="53">
        <f t="shared" si="63"/>
        <v>0</v>
      </c>
      <c r="AE284" s="53">
        <f t="shared" si="64"/>
        <v>0</v>
      </c>
      <c r="AF284" s="53">
        <f t="shared" si="65"/>
        <v>0</v>
      </c>
      <c r="AG284" s="56">
        <f t="shared" si="66"/>
        <v>0</v>
      </c>
      <c r="AH284" s="53">
        <f t="shared" si="67"/>
        <v>0</v>
      </c>
      <c r="AI284" s="55"/>
      <c r="AJ284" s="53">
        <f t="shared" si="68"/>
        <v>0</v>
      </c>
      <c r="AK284" s="53">
        <f t="shared" si="69"/>
        <v>0</v>
      </c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7"/>
      <c r="AW284" s="57"/>
      <c r="AX284" s="57"/>
    </row>
    <row r="285" spans="2:50">
      <c r="B285" s="45">
        <v>269</v>
      </c>
      <c r="C285" s="205" t="s">
        <v>304</v>
      </c>
      <c r="D285" s="181" t="s">
        <v>512</v>
      </c>
      <c r="E285" s="206" t="s">
        <v>516</v>
      </c>
      <c r="F285" s="207" t="s">
        <v>518</v>
      </c>
      <c r="G285" s="49" t="s">
        <v>306</v>
      </c>
      <c r="H285" s="164">
        <v>42445</v>
      </c>
      <c r="I285" s="164" t="s">
        <v>409</v>
      </c>
      <c r="J285" s="208">
        <f t="shared" si="70"/>
        <v>390</v>
      </c>
      <c r="K285" s="208">
        <v>210</v>
      </c>
      <c r="L285" s="208">
        <v>180</v>
      </c>
      <c r="M285" s="208"/>
      <c r="N285" s="208">
        <v>3.5000000000000004</v>
      </c>
      <c r="O285" s="208">
        <v>3</v>
      </c>
      <c r="P285" s="179">
        <v>1</v>
      </c>
      <c r="Q285" s="53"/>
      <c r="R285" s="54" t="s">
        <v>158</v>
      </c>
      <c r="S285" s="54" t="s">
        <v>158</v>
      </c>
      <c r="T285" s="54" t="s">
        <v>158</v>
      </c>
      <c r="U285" s="54" t="s">
        <v>158</v>
      </c>
      <c r="V285" s="211" t="s">
        <v>515</v>
      </c>
      <c r="W285" s="53"/>
      <c r="X285" s="53">
        <f t="shared" si="59"/>
        <v>0</v>
      </c>
      <c r="Y285" s="55"/>
      <c r="Z285" s="55"/>
      <c r="AA285" s="52">
        <f t="shared" si="60"/>
        <v>0</v>
      </c>
      <c r="AB285" s="53">
        <f t="shared" si="61"/>
        <v>0</v>
      </c>
      <c r="AC285" s="53">
        <f t="shared" si="62"/>
        <v>0</v>
      </c>
      <c r="AD285" s="53">
        <f t="shared" si="63"/>
        <v>0</v>
      </c>
      <c r="AE285" s="53">
        <f t="shared" si="64"/>
        <v>0</v>
      </c>
      <c r="AF285" s="53">
        <f t="shared" si="65"/>
        <v>0</v>
      </c>
      <c r="AG285" s="56">
        <f t="shared" si="66"/>
        <v>0</v>
      </c>
      <c r="AH285" s="53">
        <f t="shared" si="67"/>
        <v>0</v>
      </c>
      <c r="AI285" s="55"/>
      <c r="AJ285" s="53">
        <f t="shared" si="68"/>
        <v>0</v>
      </c>
      <c r="AK285" s="53">
        <f t="shared" si="69"/>
        <v>0</v>
      </c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7"/>
      <c r="AW285" s="57"/>
      <c r="AX285" s="57"/>
    </row>
    <row r="286" spans="2:50">
      <c r="B286" s="45">
        <v>270</v>
      </c>
      <c r="C286" s="205" t="s">
        <v>304</v>
      </c>
      <c r="D286" s="181" t="s">
        <v>512</v>
      </c>
      <c r="E286" s="206" t="s">
        <v>516</v>
      </c>
      <c r="F286" s="207" t="s">
        <v>198</v>
      </c>
      <c r="G286" s="49" t="s">
        <v>306</v>
      </c>
      <c r="H286" s="164">
        <v>42423</v>
      </c>
      <c r="I286" s="164" t="s">
        <v>409</v>
      </c>
      <c r="J286" s="208">
        <f t="shared" si="70"/>
        <v>7236</v>
      </c>
      <c r="K286" s="208">
        <v>36</v>
      </c>
      <c r="L286" s="208">
        <v>7200</v>
      </c>
      <c r="M286" s="208"/>
      <c r="N286" s="208">
        <v>0.6</v>
      </c>
      <c r="O286" s="208">
        <v>120</v>
      </c>
      <c r="P286" s="179">
        <v>1</v>
      </c>
      <c r="Q286" s="53"/>
      <c r="R286" s="54" t="s">
        <v>158</v>
      </c>
      <c r="S286" s="54" t="s">
        <v>158</v>
      </c>
      <c r="T286" s="54" t="s">
        <v>158</v>
      </c>
      <c r="U286" s="54" t="s">
        <v>158</v>
      </c>
      <c r="V286" s="211" t="s">
        <v>515</v>
      </c>
      <c r="W286" s="53"/>
      <c r="X286" s="53">
        <f t="shared" si="59"/>
        <v>0</v>
      </c>
      <c r="Y286" s="55"/>
      <c r="Z286" s="55"/>
      <c r="AA286" s="52">
        <f t="shared" si="60"/>
        <v>0</v>
      </c>
      <c r="AB286" s="53">
        <f t="shared" si="61"/>
        <v>0</v>
      </c>
      <c r="AC286" s="53">
        <f t="shared" si="62"/>
        <v>0</v>
      </c>
      <c r="AD286" s="53">
        <f t="shared" si="63"/>
        <v>0</v>
      </c>
      <c r="AE286" s="53">
        <f t="shared" si="64"/>
        <v>0</v>
      </c>
      <c r="AF286" s="53">
        <f t="shared" si="65"/>
        <v>0</v>
      </c>
      <c r="AG286" s="56">
        <f t="shared" si="66"/>
        <v>0</v>
      </c>
      <c r="AH286" s="53">
        <f t="shared" si="67"/>
        <v>0</v>
      </c>
      <c r="AI286" s="55"/>
      <c r="AJ286" s="53">
        <f t="shared" si="68"/>
        <v>0</v>
      </c>
      <c r="AK286" s="53">
        <f t="shared" si="69"/>
        <v>0</v>
      </c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7"/>
      <c r="AW286" s="57"/>
      <c r="AX286" s="57"/>
    </row>
    <row r="287" spans="2:50">
      <c r="B287" s="45">
        <v>271</v>
      </c>
      <c r="C287" s="205" t="s">
        <v>304</v>
      </c>
      <c r="D287" s="181" t="s">
        <v>512</v>
      </c>
      <c r="E287" s="206" t="s">
        <v>516</v>
      </c>
      <c r="F287" s="207" t="s">
        <v>519</v>
      </c>
      <c r="G287" s="49" t="s">
        <v>306</v>
      </c>
      <c r="H287" s="164">
        <v>42446</v>
      </c>
      <c r="I287" s="164" t="s">
        <v>409</v>
      </c>
      <c r="J287" s="208">
        <f t="shared" si="70"/>
        <v>420</v>
      </c>
      <c r="K287" s="208">
        <v>120</v>
      </c>
      <c r="L287" s="208">
        <v>300</v>
      </c>
      <c r="M287" s="208"/>
      <c r="N287" s="208">
        <v>2</v>
      </c>
      <c r="O287" s="208">
        <v>5</v>
      </c>
      <c r="P287" s="179">
        <v>1</v>
      </c>
      <c r="Q287" s="53"/>
      <c r="R287" s="54" t="s">
        <v>158</v>
      </c>
      <c r="S287" s="54" t="s">
        <v>158</v>
      </c>
      <c r="T287" s="54" t="s">
        <v>158</v>
      </c>
      <c r="U287" s="54" t="s">
        <v>158</v>
      </c>
      <c r="V287" s="211" t="s">
        <v>515</v>
      </c>
      <c r="W287" s="53"/>
      <c r="X287" s="53">
        <f t="shared" si="59"/>
        <v>0</v>
      </c>
      <c r="Y287" s="55"/>
      <c r="Z287" s="55"/>
      <c r="AA287" s="52">
        <f t="shared" si="60"/>
        <v>0</v>
      </c>
      <c r="AB287" s="53">
        <f t="shared" si="61"/>
        <v>0</v>
      </c>
      <c r="AC287" s="53">
        <f t="shared" si="62"/>
        <v>0</v>
      </c>
      <c r="AD287" s="53">
        <f t="shared" si="63"/>
        <v>0</v>
      </c>
      <c r="AE287" s="53">
        <f t="shared" si="64"/>
        <v>0</v>
      </c>
      <c r="AF287" s="53">
        <f t="shared" si="65"/>
        <v>0</v>
      </c>
      <c r="AG287" s="56">
        <f t="shared" si="66"/>
        <v>0</v>
      </c>
      <c r="AH287" s="53">
        <f t="shared" si="67"/>
        <v>0</v>
      </c>
      <c r="AI287" s="55"/>
      <c r="AJ287" s="53">
        <f t="shared" si="68"/>
        <v>0</v>
      </c>
      <c r="AK287" s="53">
        <f t="shared" si="69"/>
        <v>0</v>
      </c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7"/>
      <c r="AW287" s="57"/>
      <c r="AX287" s="57"/>
    </row>
    <row r="288" spans="2:50">
      <c r="B288" s="45">
        <v>272</v>
      </c>
      <c r="C288" s="205" t="s">
        <v>304</v>
      </c>
      <c r="D288" s="181" t="s">
        <v>512</v>
      </c>
      <c r="E288" s="206" t="s">
        <v>516</v>
      </c>
      <c r="F288" s="207" t="s">
        <v>520</v>
      </c>
      <c r="G288" s="49" t="s">
        <v>306</v>
      </c>
      <c r="H288" s="164">
        <v>42429</v>
      </c>
      <c r="I288" s="164" t="s">
        <v>409</v>
      </c>
      <c r="J288" s="208">
        <f t="shared" si="70"/>
        <v>300</v>
      </c>
      <c r="K288" s="208">
        <v>60</v>
      </c>
      <c r="L288" s="208">
        <v>240</v>
      </c>
      <c r="M288" s="208"/>
      <c r="N288" s="208">
        <v>1</v>
      </c>
      <c r="O288" s="208">
        <v>4</v>
      </c>
      <c r="P288" s="179">
        <v>1</v>
      </c>
      <c r="Q288" s="53"/>
      <c r="R288" s="54" t="s">
        <v>158</v>
      </c>
      <c r="S288" s="54" t="s">
        <v>158</v>
      </c>
      <c r="T288" s="54" t="s">
        <v>158</v>
      </c>
      <c r="U288" s="54" t="s">
        <v>158</v>
      </c>
      <c r="V288" s="211" t="s">
        <v>515</v>
      </c>
      <c r="W288" s="53"/>
      <c r="X288" s="53">
        <f t="shared" si="59"/>
        <v>0</v>
      </c>
      <c r="Y288" s="55"/>
      <c r="Z288" s="55"/>
      <c r="AA288" s="52">
        <f t="shared" si="60"/>
        <v>0</v>
      </c>
      <c r="AB288" s="53">
        <f t="shared" si="61"/>
        <v>0</v>
      </c>
      <c r="AC288" s="53">
        <f t="shared" si="62"/>
        <v>0</v>
      </c>
      <c r="AD288" s="53">
        <f t="shared" si="63"/>
        <v>0</v>
      </c>
      <c r="AE288" s="53">
        <f t="shared" si="64"/>
        <v>0</v>
      </c>
      <c r="AF288" s="53">
        <f t="shared" si="65"/>
        <v>0</v>
      </c>
      <c r="AG288" s="56">
        <f t="shared" si="66"/>
        <v>0</v>
      </c>
      <c r="AH288" s="53">
        <f t="shared" si="67"/>
        <v>0</v>
      </c>
      <c r="AI288" s="55"/>
      <c r="AJ288" s="53">
        <f t="shared" si="68"/>
        <v>0</v>
      </c>
      <c r="AK288" s="53">
        <f t="shared" si="69"/>
        <v>0</v>
      </c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7"/>
      <c r="AW288" s="57"/>
      <c r="AX288" s="57"/>
    </row>
    <row r="289" spans="2:50">
      <c r="B289" s="45">
        <v>273</v>
      </c>
      <c r="C289" s="205" t="s">
        <v>304</v>
      </c>
      <c r="D289" s="181" t="s">
        <v>512</v>
      </c>
      <c r="E289" s="206" t="s">
        <v>516</v>
      </c>
      <c r="F289" s="207" t="s">
        <v>521</v>
      </c>
      <c r="G289" s="49" t="s">
        <v>306</v>
      </c>
      <c r="H289" s="164">
        <v>42429</v>
      </c>
      <c r="I289" s="164" t="s">
        <v>409</v>
      </c>
      <c r="J289" s="208">
        <f t="shared" si="70"/>
        <v>30</v>
      </c>
      <c r="K289" s="208">
        <v>30</v>
      </c>
      <c r="L289" s="208">
        <v>0</v>
      </c>
      <c r="M289" s="208"/>
      <c r="N289" s="208">
        <v>0.5</v>
      </c>
      <c r="O289" s="208">
        <v>0</v>
      </c>
      <c r="P289" s="179">
        <v>1</v>
      </c>
      <c r="Q289" s="53"/>
      <c r="R289" s="54" t="s">
        <v>158</v>
      </c>
      <c r="S289" s="54" t="s">
        <v>158</v>
      </c>
      <c r="T289" s="54" t="s">
        <v>158</v>
      </c>
      <c r="U289" s="54" t="s">
        <v>158</v>
      </c>
      <c r="V289" s="211" t="s">
        <v>515</v>
      </c>
      <c r="W289" s="53"/>
      <c r="X289" s="53">
        <f t="shared" si="59"/>
        <v>0</v>
      </c>
      <c r="Y289" s="55"/>
      <c r="Z289" s="55"/>
      <c r="AA289" s="52">
        <f t="shared" si="60"/>
        <v>0</v>
      </c>
      <c r="AB289" s="53">
        <f t="shared" si="61"/>
        <v>0</v>
      </c>
      <c r="AC289" s="53">
        <f t="shared" si="62"/>
        <v>0</v>
      </c>
      <c r="AD289" s="53">
        <f t="shared" si="63"/>
        <v>0</v>
      </c>
      <c r="AE289" s="53">
        <f t="shared" si="64"/>
        <v>0</v>
      </c>
      <c r="AF289" s="53">
        <f t="shared" si="65"/>
        <v>0</v>
      </c>
      <c r="AG289" s="56">
        <f t="shared" si="66"/>
        <v>0</v>
      </c>
      <c r="AH289" s="53">
        <f t="shared" si="67"/>
        <v>0</v>
      </c>
      <c r="AI289" s="55"/>
      <c r="AJ289" s="53">
        <f t="shared" si="68"/>
        <v>0</v>
      </c>
      <c r="AK289" s="53">
        <f t="shared" si="69"/>
        <v>0</v>
      </c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7"/>
      <c r="AW289" s="57"/>
      <c r="AX289" s="57"/>
    </row>
    <row r="290" spans="2:50">
      <c r="B290" s="45">
        <v>274</v>
      </c>
      <c r="C290" s="205" t="s">
        <v>304</v>
      </c>
      <c r="D290" s="181" t="s">
        <v>512</v>
      </c>
      <c r="E290" s="206" t="s">
        <v>522</v>
      </c>
      <c r="F290" s="207" t="s">
        <v>523</v>
      </c>
      <c r="G290" s="49" t="s">
        <v>306</v>
      </c>
      <c r="H290" s="164">
        <v>41995</v>
      </c>
      <c r="I290" s="164" t="s">
        <v>409</v>
      </c>
      <c r="J290" s="208">
        <f t="shared" si="70"/>
        <v>492</v>
      </c>
      <c r="K290" s="208">
        <v>132</v>
      </c>
      <c r="L290" s="208">
        <v>360</v>
      </c>
      <c r="M290" s="208"/>
      <c r="N290" s="208">
        <v>2.2000000000000002</v>
      </c>
      <c r="O290" s="208">
        <v>6</v>
      </c>
      <c r="P290" s="179">
        <v>1</v>
      </c>
      <c r="Q290" s="53"/>
      <c r="R290" s="54" t="s">
        <v>158</v>
      </c>
      <c r="S290" s="54" t="s">
        <v>158</v>
      </c>
      <c r="T290" s="54" t="s">
        <v>158</v>
      </c>
      <c r="U290" s="54" t="s">
        <v>158</v>
      </c>
      <c r="V290" s="211" t="s">
        <v>515</v>
      </c>
      <c r="W290" s="53"/>
      <c r="X290" s="53">
        <f t="shared" si="59"/>
        <v>0</v>
      </c>
      <c r="Y290" s="55"/>
      <c r="Z290" s="55"/>
      <c r="AA290" s="52">
        <f t="shared" si="60"/>
        <v>0</v>
      </c>
      <c r="AB290" s="53">
        <f t="shared" si="61"/>
        <v>0</v>
      </c>
      <c r="AC290" s="53">
        <f t="shared" si="62"/>
        <v>0</v>
      </c>
      <c r="AD290" s="53">
        <f t="shared" si="63"/>
        <v>0</v>
      </c>
      <c r="AE290" s="53">
        <f t="shared" si="64"/>
        <v>0</v>
      </c>
      <c r="AF290" s="53">
        <f t="shared" si="65"/>
        <v>0</v>
      </c>
      <c r="AG290" s="56">
        <f t="shared" si="66"/>
        <v>0</v>
      </c>
      <c r="AH290" s="53">
        <f t="shared" si="67"/>
        <v>0</v>
      </c>
      <c r="AI290" s="55"/>
      <c r="AJ290" s="53">
        <f t="shared" si="68"/>
        <v>0</v>
      </c>
      <c r="AK290" s="53">
        <f t="shared" si="69"/>
        <v>0</v>
      </c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7"/>
      <c r="AW290" s="57"/>
      <c r="AX290" s="57"/>
    </row>
    <row r="291" spans="2:50">
      <c r="B291" s="45">
        <v>275</v>
      </c>
      <c r="C291" s="205" t="s">
        <v>304</v>
      </c>
      <c r="D291" s="181" t="s">
        <v>512</v>
      </c>
      <c r="E291" s="206" t="s">
        <v>522</v>
      </c>
      <c r="F291" s="207" t="s">
        <v>524</v>
      </c>
      <c r="G291" s="49" t="s">
        <v>306</v>
      </c>
      <c r="H291" s="164">
        <v>41995</v>
      </c>
      <c r="I291" s="164" t="s">
        <v>409</v>
      </c>
      <c r="J291" s="208">
        <f t="shared" si="70"/>
        <v>18</v>
      </c>
      <c r="K291" s="208">
        <v>18</v>
      </c>
      <c r="L291" s="208">
        <v>0</v>
      </c>
      <c r="M291" s="208"/>
      <c r="N291" s="208">
        <v>0.3</v>
      </c>
      <c r="O291" s="208">
        <v>0</v>
      </c>
      <c r="P291" s="179">
        <v>1</v>
      </c>
      <c r="Q291" s="53"/>
      <c r="R291" s="54" t="s">
        <v>158</v>
      </c>
      <c r="S291" s="54" t="s">
        <v>158</v>
      </c>
      <c r="T291" s="54" t="s">
        <v>158</v>
      </c>
      <c r="U291" s="54" t="s">
        <v>158</v>
      </c>
      <c r="V291" s="211" t="s">
        <v>515</v>
      </c>
      <c r="W291" s="53"/>
      <c r="X291" s="53">
        <f t="shared" si="59"/>
        <v>0</v>
      </c>
      <c r="Y291" s="55"/>
      <c r="Z291" s="55"/>
      <c r="AA291" s="52">
        <f t="shared" si="60"/>
        <v>0</v>
      </c>
      <c r="AB291" s="53">
        <f t="shared" si="61"/>
        <v>0</v>
      </c>
      <c r="AC291" s="53">
        <f t="shared" si="62"/>
        <v>0</v>
      </c>
      <c r="AD291" s="53">
        <f t="shared" si="63"/>
        <v>0</v>
      </c>
      <c r="AE291" s="53">
        <f t="shared" si="64"/>
        <v>0</v>
      </c>
      <c r="AF291" s="53">
        <f t="shared" si="65"/>
        <v>0</v>
      </c>
      <c r="AG291" s="56">
        <f t="shared" si="66"/>
        <v>0</v>
      </c>
      <c r="AH291" s="53">
        <f t="shared" si="67"/>
        <v>0</v>
      </c>
      <c r="AI291" s="55"/>
      <c r="AJ291" s="53">
        <f t="shared" si="68"/>
        <v>0</v>
      </c>
      <c r="AK291" s="53">
        <f t="shared" si="69"/>
        <v>0</v>
      </c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7"/>
      <c r="AW291" s="57"/>
      <c r="AX291" s="57"/>
    </row>
    <row r="292" spans="2:50">
      <c r="B292" s="45">
        <v>276</v>
      </c>
      <c r="C292" s="205" t="s">
        <v>304</v>
      </c>
      <c r="D292" s="181" t="s">
        <v>512</v>
      </c>
      <c r="E292" s="206" t="s">
        <v>522</v>
      </c>
      <c r="F292" s="207" t="s">
        <v>525</v>
      </c>
      <c r="G292" s="49" t="s">
        <v>306</v>
      </c>
      <c r="H292" s="164">
        <v>41995</v>
      </c>
      <c r="I292" s="164" t="s">
        <v>409</v>
      </c>
      <c r="J292" s="208">
        <f t="shared" si="70"/>
        <v>60</v>
      </c>
      <c r="K292" s="208">
        <v>60</v>
      </c>
      <c r="L292" s="208">
        <v>0</v>
      </c>
      <c r="M292" s="208"/>
      <c r="N292" s="208">
        <v>1</v>
      </c>
      <c r="O292" s="208">
        <v>0</v>
      </c>
      <c r="P292" s="179">
        <v>1</v>
      </c>
      <c r="Q292" s="53"/>
      <c r="R292" s="54" t="s">
        <v>158</v>
      </c>
      <c r="S292" s="54" t="s">
        <v>158</v>
      </c>
      <c r="T292" s="54" t="s">
        <v>158</v>
      </c>
      <c r="U292" s="54" t="s">
        <v>158</v>
      </c>
      <c r="V292" s="211" t="s">
        <v>515</v>
      </c>
      <c r="W292" s="53"/>
      <c r="X292" s="53">
        <f t="shared" si="59"/>
        <v>0</v>
      </c>
      <c r="Y292" s="55"/>
      <c r="Z292" s="55"/>
      <c r="AA292" s="52">
        <f t="shared" si="60"/>
        <v>0</v>
      </c>
      <c r="AB292" s="53">
        <f t="shared" si="61"/>
        <v>0</v>
      </c>
      <c r="AC292" s="53">
        <f t="shared" si="62"/>
        <v>0</v>
      </c>
      <c r="AD292" s="53">
        <f t="shared" si="63"/>
        <v>0</v>
      </c>
      <c r="AE292" s="53">
        <f t="shared" si="64"/>
        <v>0</v>
      </c>
      <c r="AF292" s="53">
        <f t="shared" si="65"/>
        <v>0</v>
      </c>
      <c r="AG292" s="56">
        <f t="shared" si="66"/>
        <v>0</v>
      </c>
      <c r="AH292" s="53">
        <f t="shared" si="67"/>
        <v>0</v>
      </c>
      <c r="AI292" s="55"/>
      <c r="AJ292" s="53">
        <f t="shared" si="68"/>
        <v>0</v>
      </c>
      <c r="AK292" s="53">
        <f t="shared" si="69"/>
        <v>0</v>
      </c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7"/>
      <c r="AW292" s="57"/>
      <c r="AX292" s="57"/>
    </row>
    <row r="293" spans="2:50">
      <c r="B293" s="45">
        <v>277</v>
      </c>
      <c r="C293" s="205" t="s">
        <v>304</v>
      </c>
      <c r="D293" s="181" t="s">
        <v>512</v>
      </c>
      <c r="E293" s="206" t="s">
        <v>522</v>
      </c>
      <c r="F293" s="207" t="s">
        <v>526</v>
      </c>
      <c r="G293" s="49" t="s">
        <v>306</v>
      </c>
      <c r="H293" s="164">
        <v>41995</v>
      </c>
      <c r="I293" s="164" t="s">
        <v>409</v>
      </c>
      <c r="J293" s="208">
        <f t="shared" si="70"/>
        <v>726</v>
      </c>
      <c r="K293" s="208">
        <v>6</v>
      </c>
      <c r="L293" s="208">
        <v>720</v>
      </c>
      <c r="M293" s="208"/>
      <c r="N293" s="208">
        <v>0.1</v>
      </c>
      <c r="O293" s="208">
        <v>12</v>
      </c>
      <c r="P293" s="179">
        <v>1</v>
      </c>
      <c r="Q293" s="53"/>
      <c r="R293" s="54" t="s">
        <v>158</v>
      </c>
      <c r="S293" s="54" t="s">
        <v>158</v>
      </c>
      <c r="T293" s="54" t="s">
        <v>158</v>
      </c>
      <c r="U293" s="54" t="s">
        <v>158</v>
      </c>
      <c r="V293" s="211" t="s">
        <v>515</v>
      </c>
      <c r="W293" s="53"/>
      <c r="X293" s="53">
        <f t="shared" si="59"/>
        <v>0</v>
      </c>
      <c r="Y293" s="55"/>
      <c r="Z293" s="55"/>
      <c r="AA293" s="52">
        <f t="shared" si="60"/>
        <v>0</v>
      </c>
      <c r="AB293" s="53">
        <f t="shared" si="61"/>
        <v>0</v>
      </c>
      <c r="AC293" s="53">
        <f t="shared" si="62"/>
        <v>0</v>
      </c>
      <c r="AD293" s="53">
        <f t="shared" si="63"/>
        <v>0</v>
      </c>
      <c r="AE293" s="53">
        <f t="shared" si="64"/>
        <v>0</v>
      </c>
      <c r="AF293" s="53">
        <f t="shared" si="65"/>
        <v>0</v>
      </c>
      <c r="AG293" s="56">
        <f t="shared" si="66"/>
        <v>0</v>
      </c>
      <c r="AH293" s="53">
        <f t="shared" si="67"/>
        <v>0</v>
      </c>
      <c r="AI293" s="55"/>
      <c r="AJ293" s="53">
        <f t="shared" si="68"/>
        <v>0</v>
      </c>
      <c r="AK293" s="53">
        <f t="shared" si="69"/>
        <v>0</v>
      </c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7"/>
      <c r="AW293" s="57"/>
      <c r="AX293" s="57"/>
    </row>
    <row r="294" spans="2:50">
      <c r="B294" s="45">
        <v>278</v>
      </c>
      <c r="C294" s="205" t="s">
        <v>304</v>
      </c>
      <c r="D294" s="181" t="s">
        <v>512</v>
      </c>
      <c r="E294" s="206" t="s">
        <v>522</v>
      </c>
      <c r="F294" s="207" t="s">
        <v>527</v>
      </c>
      <c r="G294" s="49" t="s">
        <v>306</v>
      </c>
      <c r="H294" s="164">
        <v>41995</v>
      </c>
      <c r="I294" s="164" t="s">
        <v>409</v>
      </c>
      <c r="J294" s="208">
        <f t="shared" si="70"/>
        <v>72</v>
      </c>
      <c r="K294" s="208">
        <v>72</v>
      </c>
      <c r="L294" s="208">
        <v>0</v>
      </c>
      <c r="M294" s="208"/>
      <c r="N294" s="208">
        <v>1.2</v>
      </c>
      <c r="O294" s="208">
        <v>0</v>
      </c>
      <c r="P294" s="179">
        <v>1</v>
      </c>
      <c r="Q294" s="53"/>
      <c r="R294" s="54" t="s">
        <v>158</v>
      </c>
      <c r="S294" s="54" t="s">
        <v>158</v>
      </c>
      <c r="T294" s="54" t="s">
        <v>158</v>
      </c>
      <c r="U294" s="54" t="s">
        <v>158</v>
      </c>
      <c r="V294" s="211" t="s">
        <v>515</v>
      </c>
      <c r="W294" s="53"/>
      <c r="X294" s="53">
        <f t="shared" si="59"/>
        <v>0</v>
      </c>
      <c r="Y294" s="55"/>
      <c r="Z294" s="55"/>
      <c r="AA294" s="52">
        <f t="shared" si="60"/>
        <v>0</v>
      </c>
      <c r="AB294" s="53">
        <f t="shared" si="61"/>
        <v>0</v>
      </c>
      <c r="AC294" s="53">
        <f t="shared" si="62"/>
        <v>0</v>
      </c>
      <c r="AD294" s="53">
        <f t="shared" si="63"/>
        <v>0</v>
      </c>
      <c r="AE294" s="53">
        <f t="shared" si="64"/>
        <v>0</v>
      </c>
      <c r="AF294" s="53">
        <f t="shared" si="65"/>
        <v>0</v>
      </c>
      <c r="AG294" s="56">
        <f t="shared" si="66"/>
        <v>0</v>
      </c>
      <c r="AH294" s="53">
        <f t="shared" si="67"/>
        <v>0</v>
      </c>
      <c r="AI294" s="55"/>
      <c r="AJ294" s="53">
        <f t="shared" si="68"/>
        <v>0</v>
      </c>
      <c r="AK294" s="53">
        <f t="shared" si="69"/>
        <v>0</v>
      </c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7"/>
      <c r="AW294" s="57"/>
      <c r="AX294" s="57"/>
    </row>
    <row r="295" spans="2:50">
      <c r="B295" s="45">
        <v>279</v>
      </c>
      <c r="C295" s="205" t="s">
        <v>304</v>
      </c>
      <c r="D295" s="181" t="s">
        <v>512</v>
      </c>
      <c r="E295" s="206" t="s">
        <v>528</v>
      </c>
      <c r="F295" s="207" t="s">
        <v>529</v>
      </c>
      <c r="G295" s="49" t="s">
        <v>306</v>
      </c>
      <c r="H295" s="164">
        <v>42474</v>
      </c>
      <c r="I295" s="164" t="s">
        <v>409</v>
      </c>
      <c r="J295" s="208">
        <f t="shared" si="70"/>
        <v>9</v>
      </c>
      <c r="K295" s="208">
        <v>9</v>
      </c>
      <c r="L295" s="208">
        <v>0</v>
      </c>
      <c r="M295" s="208"/>
      <c r="N295" s="208">
        <v>0.15</v>
      </c>
      <c r="O295" s="208">
        <v>0</v>
      </c>
      <c r="P295" s="179">
        <v>1</v>
      </c>
      <c r="Q295" s="53"/>
      <c r="R295" s="54" t="s">
        <v>158</v>
      </c>
      <c r="S295" s="54" t="s">
        <v>158</v>
      </c>
      <c r="T295" s="54" t="s">
        <v>158</v>
      </c>
      <c r="U295" s="54" t="s">
        <v>158</v>
      </c>
      <c r="V295" s="211" t="s">
        <v>515</v>
      </c>
      <c r="W295" s="53"/>
      <c r="X295" s="53">
        <f t="shared" ref="X295:X331" si="71">SUMIF(W295,"Y",K295)</f>
        <v>0</v>
      </c>
      <c r="Y295" s="55"/>
      <c r="Z295" s="55"/>
      <c r="AA295" s="52">
        <f t="shared" ref="AA295:AA331" si="72">(COUNTA(AL295:AU295)-COUNTIF(AL295:AU295, "X"))</f>
        <v>0</v>
      </c>
      <c r="AB295" s="53">
        <f t="shared" ref="AB295:AB331" si="73">(COUNTA(AL295:AU295)-COUNTIF(AL295:AU295, "X"))*P295*K295</f>
        <v>0</v>
      </c>
      <c r="AC295" s="53">
        <f t="shared" ref="AC295:AC331" si="74">COUNTIF(AL295:AU295,"A")</f>
        <v>0</v>
      </c>
      <c r="AD295" s="53">
        <f t="shared" ref="AD295:AD331" si="75">COUNTIF(AL295:AU295,"V")*P295*M295</f>
        <v>0</v>
      </c>
      <c r="AE295" s="53">
        <f t="shared" ref="AE295:AE331" si="76">COUNTIF(AL295:AU295,"L")</f>
        <v>0</v>
      </c>
      <c r="AF295" s="53">
        <f t="shared" ref="AF295:AF331" si="77">COUNTIF(AL295:AU295,"L")*K295*P295</f>
        <v>0</v>
      </c>
      <c r="AG295" s="56">
        <f t="shared" ref="AG295:AG331" si="78">IF(Q295="Y",1,0)</f>
        <v>0</v>
      </c>
      <c r="AH295" s="53">
        <f t="shared" ref="AH295:AH331" si="79">IF(Q295="Y", AA295, 0)*K295*P295/2</f>
        <v>0</v>
      </c>
      <c r="AI295" s="55"/>
      <c r="AJ295" s="53">
        <f t="shared" ref="AJ295:AJ331" si="80">COUNTIF(AL295:AU295, "V")</f>
        <v>0</v>
      </c>
      <c r="AK295" s="53">
        <f t="shared" ref="AK295:AK331" si="81">AB295-AD295-AF295-AH295</f>
        <v>0</v>
      </c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7"/>
      <c r="AW295" s="57"/>
      <c r="AX295" s="57"/>
    </row>
    <row r="296" spans="2:50">
      <c r="B296" s="45">
        <v>280</v>
      </c>
      <c r="C296" s="205" t="s">
        <v>304</v>
      </c>
      <c r="D296" s="181" t="s">
        <v>512</v>
      </c>
      <c r="E296" s="206" t="s">
        <v>528</v>
      </c>
      <c r="F296" s="207" t="s">
        <v>530</v>
      </c>
      <c r="G296" s="49" t="s">
        <v>306</v>
      </c>
      <c r="H296" s="164">
        <v>42717</v>
      </c>
      <c r="I296" s="164" t="s">
        <v>409</v>
      </c>
      <c r="J296" s="208">
        <f t="shared" si="70"/>
        <v>39</v>
      </c>
      <c r="K296" s="208">
        <v>39</v>
      </c>
      <c r="L296" s="208">
        <v>0</v>
      </c>
      <c r="M296" s="208"/>
      <c r="N296" s="208">
        <v>0.65</v>
      </c>
      <c r="O296" s="208">
        <v>0</v>
      </c>
      <c r="P296" s="179">
        <v>1</v>
      </c>
      <c r="Q296" s="53"/>
      <c r="R296" s="54" t="s">
        <v>158</v>
      </c>
      <c r="S296" s="54" t="s">
        <v>158</v>
      </c>
      <c r="T296" s="54" t="s">
        <v>158</v>
      </c>
      <c r="U296" s="54" t="s">
        <v>158</v>
      </c>
      <c r="V296" s="211" t="s">
        <v>515</v>
      </c>
      <c r="W296" s="53"/>
      <c r="X296" s="53">
        <f t="shared" si="71"/>
        <v>0</v>
      </c>
      <c r="Y296" s="55"/>
      <c r="Z296" s="55"/>
      <c r="AA296" s="52">
        <f t="shared" si="72"/>
        <v>0</v>
      </c>
      <c r="AB296" s="53">
        <f t="shared" si="73"/>
        <v>0</v>
      </c>
      <c r="AC296" s="53">
        <f t="shared" si="74"/>
        <v>0</v>
      </c>
      <c r="AD296" s="53">
        <f t="shared" si="75"/>
        <v>0</v>
      </c>
      <c r="AE296" s="53">
        <f t="shared" si="76"/>
        <v>0</v>
      </c>
      <c r="AF296" s="53">
        <f t="shared" si="77"/>
        <v>0</v>
      </c>
      <c r="AG296" s="56">
        <f t="shared" si="78"/>
        <v>0</v>
      </c>
      <c r="AH296" s="53">
        <f t="shared" si="79"/>
        <v>0</v>
      </c>
      <c r="AI296" s="55"/>
      <c r="AJ296" s="53">
        <f t="shared" si="80"/>
        <v>0</v>
      </c>
      <c r="AK296" s="53">
        <f t="shared" si="81"/>
        <v>0</v>
      </c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7"/>
      <c r="AW296" s="57"/>
      <c r="AX296" s="57"/>
    </row>
    <row r="297" spans="2:50">
      <c r="B297" s="45">
        <v>281</v>
      </c>
      <c r="C297" s="205" t="s">
        <v>304</v>
      </c>
      <c r="D297" s="181" t="s">
        <v>512</v>
      </c>
      <c r="E297" s="206" t="s">
        <v>528</v>
      </c>
      <c r="F297" s="207" t="s">
        <v>531</v>
      </c>
      <c r="G297" s="49" t="s">
        <v>306</v>
      </c>
      <c r="H297" s="164">
        <v>43056</v>
      </c>
      <c r="I297" s="164" t="s">
        <v>409</v>
      </c>
      <c r="J297" s="208">
        <f t="shared" si="70"/>
        <v>600</v>
      </c>
      <c r="K297" s="208">
        <v>210</v>
      </c>
      <c r="L297" s="208">
        <v>390</v>
      </c>
      <c r="M297" s="208"/>
      <c r="N297" s="208">
        <v>3.5000000000000004</v>
      </c>
      <c r="O297" s="208">
        <v>6.5</v>
      </c>
      <c r="P297" s="179">
        <v>1</v>
      </c>
      <c r="Q297" s="53"/>
      <c r="R297" s="54" t="s">
        <v>158</v>
      </c>
      <c r="S297" s="54" t="s">
        <v>158</v>
      </c>
      <c r="T297" s="54" t="s">
        <v>158</v>
      </c>
      <c r="U297" s="54" t="s">
        <v>158</v>
      </c>
      <c r="V297" s="211" t="s">
        <v>515</v>
      </c>
      <c r="W297" s="53"/>
      <c r="X297" s="53">
        <f t="shared" si="71"/>
        <v>0</v>
      </c>
      <c r="Y297" s="55"/>
      <c r="Z297" s="55"/>
      <c r="AA297" s="52">
        <f t="shared" si="72"/>
        <v>0</v>
      </c>
      <c r="AB297" s="53">
        <f t="shared" si="73"/>
        <v>0</v>
      </c>
      <c r="AC297" s="53">
        <f t="shared" si="74"/>
        <v>0</v>
      </c>
      <c r="AD297" s="53">
        <f t="shared" si="75"/>
        <v>0</v>
      </c>
      <c r="AE297" s="53">
        <f t="shared" si="76"/>
        <v>0</v>
      </c>
      <c r="AF297" s="53">
        <f t="shared" si="77"/>
        <v>0</v>
      </c>
      <c r="AG297" s="56">
        <f t="shared" si="78"/>
        <v>0</v>
      </c>
      <c r="AH297" s="53">
        <f t="shared" si="79"/>
        <v>0</v>
      </c>
      <c r="AI297" s="55"/>
      <c r="AJ297" s="53">
        <f t="shared" si="80"/>
        <v>0</v>
      </c>
      <c r="AK297" s="53">
        <f t="shared" si="81"/>
        <v>0</v>
      </c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7"/>
      <c r="AW297" s="57"/>
      <c r="AX297" s="57"/>
    </row>
    <row r="298" spans="2:50">
      <c r="B298" s="45">
        <v>282</v>
      </c>
      <c r="C298" s="205" t="s">
        <v>304</v>
      </c>
      <c r="D298" s="181" t="s">
        <v>512</v>
      </c>
      <c r="E298" s="206" t="s">
        <v>528</v>
      </c>
      <c r="F298" s="207" t="s">
        <v>509</v>
      </c>
      <c r="G298" s="49" t="s">
        <v>306</v>
      </c>
      <c r="H298" s="164">
        <v>42425</v>
      </c>
      <c r="I298" s="164" t="s">
        <v>409</v>
      </c>
      <c r="J298" s="208">
        <f t="shared" si="70"/>
        <v>1050</v>
      </c>
      <c r="K298" s="208">
        <v>90</v>
      </c>
      <c r="L298" s="208">
        <v>960</v>
      </c>
      <c r="M298" s="208"/>
      <c r="N298" s="208">
        <v>1.5</v>
      </c>
      <c r="O298" s="208">
        <v>16</v>
      </c>
      <c r="P298" s="179">
        <v>1</v>
      </c>
      <c r="Q298" s="53"/>
      <c r="R298" s="54" t="s">
        <v>158</v>
      </c>
      <c r="S298" s="54" t="s">
        <v>158</v>
      </c>
      <c r="T298" s="54" t="s">
        <v>158</v>
      </c>
      <c r="U298" s="54" t="s">
        <v>158</v>
      </c>
      <c r="V298" s="211" t="s">
        <v>515</v>
      </c>
      <c r="W298" s="53"/>
      <c r="X298" s="53">
        <f t="shared" si="71"/>
        <v>0</v>
      </c>
      <c r="Y298" s="55"/>
      <c r="Z298" s="55"/>
      <c r="AA298" s="52">
        <f t="shared" si="72"/>
        <v>0</v>
      </c>
      <c r="AB298" s="53">
        <f t="shared" si="73"/>
        <v>0</v>
      </c>
      <c r="AC298" s="53">
        <f t="shared" si="74"/>
        <v>0</v>
      </c>
      <c r="AD298" s="53">
        <f t="shared" si="75"/>
        <v>0</v>
      </c>
      <c r="AE298" s="53">
        <f t="shared" si="76"/>
        <v>0</v>
      </c>
      <c r="AF298" s="53">
        <f t="shared" si="77"/>
        <v>0</v>
      </c>
      <c r="AG298" s="56">
        <f t="shared" si="78"/>
        <v>0</v>
      </c>
      <c r="AH298" s="53">
        <f t="shared" si="79"/>
        <v>0</v>
      </c>
      <c r="AI298" s="55"/>
      <c r="AJ298" s="53">
        <f t="shared" si="80"/>
        <v>0</v>
      </c>
      <c r="AK298" s="53">
        <f t="shared" si="81"/>
        <v>0</v>
      </c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7"/>
      <c r="AW298" s="57"/>
      <c r="AX298" s="57"/>
    </row>
    <row r="299" spans="2:50">
      <c r="B299" s="45">
        <v>283</v>
      </c>
      <c r="C299" s="205" t="s">
        <v>304</v>
      </c>
      <c r="D299" s="181" t="s">
        <v>512</v>
      </c>
      <c r="E299" s="206" t="s">
        <v>532</v>
      </c>
      <c r="F299" s="207" t="s">
        <v>533</v>
      </c>
      <c r="G299" s="49" t="s">
        <v>306</v>
      </c>
      <c r="H299" s="164">
        <v>43712</v>
      </c>
      <c r="I299" s="164" t="s">
        <v>409</v>
      </c>
      <c r="J299" s="208">
        <f t="shared" si="70"/>
        <v>6</v>
      </c>
      <c r="K299" s="208">
        <v>6</v>
      </c>
      <c r="L299" s="208">
        <v>0</v>
      </c>
      <c r="M299" s="208"/>
      <c r="N299" s="208">
        <v>0.1</v>
      </c>
      <c r="O299" s="208">
        <v>0</v>
      </c>
      <c r="P299" s="179">
        <v>1</v>
      </c>
      <c r="Q299" s="53"/>
      <c r="R299" s="54" t="s">
        <v>158</v>
      </c>
      <c r="S299" s="54" t="s">
        <v>158</v>
      </c>
      <c r="T299" s="54" t="s">
        <v>158</v>
      </c>
      <c r="U299" s="54" t="s">
        <v>158</v>
      </c>
      <c r="V299" s="211" t="s">
        <v>515</v>
      </c>
      <c r="W299" s="53"/>
      <c r="X299" s="53">
        <f t="shared" si="71"/>
        <v>0</v>
      </c>
      <c r="Y299" s="55"/>
      <c r="Z299" s="55"/>
      <c r="AA299" s="52">
        <f t="shared" si="72"/>
        <v>0</v>
      </c>
      <c r="AB299" s="53">
        <f t="shared" si="73"/>
        <v>0</v>
      </c>
      <c r="AC299" s="53">
        <f t="shared" si="74"/>
        <v>0</v>
      </c>
      <c r="AD299" s="53">
        <f t="shared" si="75"/>
        <v>0</v>
      </c>
      <c r="AE299" s="53">
        <f t="shared" si="76"/>
        <v>0</v>
      </c>
      <c r="AF299" s="53">
        <f t="shared" si="77"/>
        <v>0</v>
      </c>
      <c r="AG299" s="56">
        <f t="shared" si="78"/>
        <v>0</v>
      </c>
      <c r="AH299" s="53">
        <f t="shared" si="79"/>
        <v>0</v>
      </c>
      <c r="AI299" s="55"/>
      <c r="AJ299" s="53">
        <f t="shared" si="80"/>
        <v>0</v>
      </c>
      <c r="AK299" s="53">
        <f t="shared" si="81"/>
        <v>0</v>
      </c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7"/>
      <c r="AW299" s="57"/>
      <c r="AX299" s="57"/>
    </row>
    <row r="300" spans="2:50">
      <c r="B300" s="45">
        <v>284</v>
      </c>
      <c r="C300" s="205" t="s">
        <v>304</v>
      </c>
      <c r="D300" s="181" t="s">
        <v>512</v>
      </c>
      <c r="E300" s="206" t="s">
        <v>532</v>
      </c>
      <c r="F300" s="207" t="s">
        <v>534</v>
      </c>
      <c r="G300" s="49" t="s">
        <v>306</v>
      </c>
      <c r="H300" s="164">
        <v>43590</v>
      </c>
      <c r="I300" s="164" t="s">
        <v>409</v>
      </c>
      <c r="J300" s="208">
        <f t="shared" si="70"/>
        <v>48</v>
      </c>
      <c r="K300" s="208">
        <v>12</v>
      </c>
      <c r="L300" s="208">
        <v>36</v>
      </c>
      <c r="M300" s="208"/>
      <c r="N300" s="208">
        <v>0.2</v>
      </c>
      <c r="O300" s="208">
        <v>0.6</v>
      </c>
      <c r="P300" s="179">
        <v>1</v>
      </c>
      <c r="Q300" s="53"/>
      <c r="R300" s="54" t="s">
        <v>158</v>
      </c>
      <c r="S300" s="54" t="s">
        <v>158</v>
      </c>
      <c r="T300" s="54" t="s">
        <v>158</v>
      </c>
      <c r="U300" s="54" t="s">
        <v>158</v>
      </c>
      <c r="V300" s="211" t="s">
        <v>515</v>
      </c>
      <c r="W300" s="53"/>
      <c r="X300" s="53">
        <f t="shared" si="71"/>
        <v>0</v>
      </c>
      <c r="Y300" s="55"/>
      <c r="Z300" s="55"/>
      <c r="AA300" s="52">
        <f t="shared" si="72"/>
        <v>0</v>
      </c>
      <c r="AB300" s="53">
        <f t="shared" si="73"/>
        <v>0</v>
      </c>
      <c r="AC300" s="53">
        <f t="shared" si="74"/>
        <v>0</v>
      </c>
      <c r="AD300" s="53">
        <f t="shared" si="75"/>
        <v>0</v>
      </c>
      <c r="AE300" s="53">
        <f t="shared" si="76"/>
        <v>0</v>
      </c>
      <c r="AF300" s="53">
        <f t="shared" si="77"/>
        <v>0</v>
      </c>
      <c r="AG300" s="56">
        <f t="shared" si="78"/>
        <v>0</v>
      </c>
      <c r="AH300" s="53">
        <f t="shared" si="79"/>
        <v>0</v>
      </c>
      <c r="AI300" s="55"/>
      <c r="AJ300" s="53">
        <f t="shared" si="80"/>
        <v>0</v>
      </c>
      <c r="AK300" s="53">
        <f t="shared" si="81"/>
        <v>0</v>
      </c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7"/>
      <c r="AW300" s="57"/>
      <c r="AX300" s="57"/>
    </row>
    <row r="301" spans="2:50">
      <c r="B301" s="45">
        <v>285</v>
      </c>
      <c r="C301" s="205" t="s">
        <v>304</v>
      </c>
      <c r="D301" s="181" t="s">
        <v>512</v>
      </c>
      <c r="E301" s="206" t="s">
        <v>532</v>
      </c>
      <c r="F301" s="207" t="s">
        <v>535</v>
      </c>
      <c r="G301" s="49" t="s">
        <v>306</v>
      </c>
      <c r="H301" s="164">
        <v>43590</v>
      </c>
      <c r="I301" s="164" t="s">
        <v>409</v>
      </c>
      <c r="J301" s="208">
        <f t="shared" si="70"/>
        <v>54</v>
      </c>
      <c r="K301" s="208">
        <v>54</v>
      </c>
      <c r="L301" s="208">
        <v>0</v>
      </c>
      <c r="M301" s="208"/>
      <c r="N301" s="208">
        <v>0.9</v>
      </c>
      <c r="O301" s="208">
        <v>0</v>
      </c>
      <c r="P301" s="179">
        <v>1</v>
      </c>
      <c r="Q301" s="53"/>
      <c r="R301" s="54" t="s">
        <v>158</v>
      </c>
      <c r="S301" s="54" t="s">
        <v>158</v>
      </c>
      <c r="T301" s="54" t="s">
        <v>158</v>
      </c>
      <c r="U301" s="54" t="s">
        <v>158</v>
      </c>
      <c r="V301" s="211" t="s">
        <v>515</v>
      </c>
      <c r="W301" s="53"/>
      <c r="X301" s="53">
        <f t="shared" si="71"/>
        <v>0</v>
      </c>
      <c r="Y301" s="55"/>
      <c r="Z301" s="55"/>
      <c r="AA301" s="52">
        <f t="shared" si="72"/>
        <v>0</v>
      </c>
      <c r="AB301" s="53">
        <f t="shared" si="73"/>
        <v>0</v>
      </c>
      <c r="AC301" s="53">
        <f t="shared" si="74"/>
        <v>0</v>
      </c>
      <c r="AD301" s="53">
        <f t="shared" si="75"/>
        <v>0</v>
      </c>
      <c r="AE301" s="53">
        <f t="shared" si="76"/>
        <v>0</v>
      </c>
      <c r="AF301" s="53">
        <f t="shared" si="77"/>
        <v>0</v>
      </c>
      <c r="AG301" s="56">
        <f t="shared" si="78"/>
        <v>0</v>
      </c>
      <c r="AH301" s="53">
        <f t="shared" si="79"/>
        <v>0</v>
      </c>
      <c r="AI301" s="55"/>
      <c r="AJ301" s="53">
        <f t="shared" si="80"/>
        <v>0</v>
      </c>
      <c r="AK301" s="53">
        <f t="shared" si="81"/>
        <v>0</v>
      </c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7"/>
      <c r="AW301" s="57"/>
      <c r="AX301" s="57"/>
    </row>
    <row r="302" spans="2:50">
      <c r="B302" s="45">
        <v>286</v>
      </c>
      <c r="C302" s="205" t="s">
        <v>304</v>
      </c>
      <c r="D302" s="181" t="s">
        <v>512</v>
      </c>
      <c r="E302" s="206" t="s">
        <v>532</v>
      </c>
      <c r="F302" s="207" t="s">
        <v>536</v>
      </c>
      <c r="G302" s="49" t="s">
        <v>306</v>
      </c>
      <c r="H302" s="164">
        <v>43654</v>
      </c>
      <c r="I302" s="164" t="s">
        <v>409</v>
      </c>
      <c r="J302" s="208">
        <f t="shared" si="70"/>
        <v>18</v>
      </c>
      <c r="K302" s="208">
        <v>18</v>
      </c>
      <c r="L302" s="208">
        <v>0</v>
      </c>
      <c r="M302" s="208"/>
      <c r="N302" s="208">
        <v>0.3</v>
      </c>
      <c r="O302" s="208">
        <v>0</v>
      </c>
      <c r="P302" s="179">
        <v>1</v>
      </c>
      <c r="Q302" s="53"/>
      <c r="R302" s="54" t="s">
        <v>158</v>
      </c>
      <c r="S302" s="54" t="s">
        <v>158</v>
      </c>
      <c r="T302" s="54" t="s">
        <v>158</v>
      </c>
      <c r="U302" s="54" t="s">
        <v>158</v>
      </c>
      <c r="V302" s="211" t="s">
        <v>515</v>
      </c>
      <c r="W302" s="53"/>
      <c r="X302" s="53">
        <f t="shared" si="71"/>
        <v>0</v>
      </c>
      <c r="Y302" s="55"/>
      <c r="Z302" s="55"/>
      <c r="AA302" s="52">
        <f t="shared" si="72"/>
        <v>0</v>
      </c>
      <c r="AB302" s="53">
        <f t="shared" si="73"/>
        <v>0</v>
      </c>
      <c r="AC302" s="53">
        <f t="shared" si="74"/>
        <v>0</v>
      </c>
      <c r="AD302" s="53">
        <f t="shared" si="75"/>
        <v>0</v>
      </c>
      <c r="AE302" s="53">
        <f t="shared" si="76"/>
        <v>0</v>
      </c>
      <c r="AF302" s="53">
        <f t="shared" si="77"/>
        <v>0</v>
      </c>
      <c r="AG302" s="56">
        <f t="shared" si="78"/>
        <v>0</v>
      </c>
      <c r="AH302" s="53">
        <f t="shared" si="79"/>
        <v>0</v>
      </c>
      <c r="AI302" s="55"/>
      <c r="AJ302" s="53">
        <f t="shared" si="80"/>
        <v>0</v>
      </c>
      <c r="AK302" s="53">
        <f t="shared" si="81"/>
        <v>0</v>
      </c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7"/>
      <c r="AW302" s="57"/>
      <c r="AX302" s="57"/>
    </row>
    <row r="303" spans="2:50">
      <c r="B303" s="45">
        <v>287</v>
      </c>
      <c r="C303" s="205" t="s">
        <v>304</v>
      </c>
      <c r="D303" s="181" t="s">
        <v>512</v>
      </c>
      <c r="E303" s="206" t="s">
        <v>532</v>
      </c>
      <c r="F303" s="207" t="s">
        <v>537</v>
      </c>
      <c r="G303" s="49" t="s">
        <v>306</v>
      </c>
      <c r="H303" s="164">
        <v>43712</v>
      </c>
      <c r="I303" s="164" t="s">
        <v>409</v>
      </c>
      <c r="J303" s="208">
        <f t="shared" si="70"/>
        <v>102</v>
      </c>
      <c r="K303" s="208">
        <v>42</v>
      </c>
      <c r="L303" s="208">
        <v>60</v>
      </c>
      <c r="M303" s="208"/>
      <c r="N303" s="208">
        <v>0.7</v>
      </c>
      <c r="O303" s="208">
        <v>1</v>
      </c>
      <c r="P303" s="179">
        <v>1</v>
      </c>
      <c r="Q303" s="53"/>
      <c r="R303" s="54" t="s">
        <v>158</v>
      </c>
      <c r="S303" s="54" t="s">
        <v>158</v>
      </c>
      <c r="T303" s="54" t="s">
        <v>158</v>
      </c>
      <c r="U303" s="54" t="s">
        <v>158</v>
      </c>
      <c r="V303" s="211" t="s">
        <v>515</v>
      </c>
      <c r="W303" s="53"/>
      <c r="X303" s="53">
        <f t="shared" si="71"/>
        <v>0</v>
      </c>
      <c r="Y303" s="55"/>
      <c r="Z303" s="55"/>
      <c r="AA303" s="52">
        <f t="shared" si="72"/>
        <v>0</v>
      </c>
      <c r="AB303" s="53">
        <f t="shared" si="73"/>
        <v>0</v>
      </c>
      <c r="AC303" s="53">
        <f t="shared" si="74"/>
        <v>0</v>
      </c>
      <c r="AD303" s="53">
        <f t="shared" si="75"/>
        <v>0</v>
      </c>
      <c r="AE303" s="53">
        <f t="shared" si="76"/>
        <v>0</v>
      </c>
      <c r="AF303" s="53">
        <f t="shared" si="77"/>
        <v>0</v>
      </c>
      <c r="AG303" s="56">
        <f t="shared" si="78"/>
        <v>0</v>
      </c>
      <c r="AH303" s="53">
        <f t="shared" si="79"/>
        <v>0</v>
      </c>
      <c r="AI303" s="55"/>
      <c r="AJ303" s="53">
        <f t="shared" si="80"/>
        <v>0</v>
      </c>
      <c r="AK303" s="53">
        <f t="shared" si="81"/>
        <v>0</v>
      </c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7"/>
      <c r="AW303" s="57"/>
      <c r="AX303" s="57"/>
    </row>
    <row r="304" spans="2:50">
      <c r="B304" s="45">
        <v>288</v>
      </c>
      <c r="C304" s="205" t="s">
        <v>304</v>
      </c>
      <c r="D304" s="181" t="s">
        <v>512</v>
      </c>
      <c r="E304" s="206" t="s">
        <v>532</v>
      </c>
      <c r="F304" s="207" t="s">
        <v>527</v>
      </c>
      <c r="G304" s="49" t="s">
        <v>306</v>
      </c>
      <c r="H304" s="164">
        <v>43654</v>
      </c>
      <c r="I304" s="164" t="s">
        <v>409</v>
      </c>
      <c r="J304" s="208">
        <f t="shared" si="70"/>
        <v>2676</v>
      </c>
      <c r="K304" s="208">
        <v>114</v>
      </c>
      <c r="L304" s="208">
        <v>2562</v>
      </c>
      <c r="M304" s="208"/>
      <c r="N304" s="208">
        <v>1.9000000000000004</v>
      </c>
      <c r="O304" s="208">
        <v>42.7</v>
      </c>
      <c r="P304" s="179">
        <v>1</v>
      </c>
      <c r="Q304" s="53"/>
      <c r="R304" s="54" t="s">
        <v>158</v>
      </c>
      <c r="S304" s="54" t="s">
        <v>158</v>
      </c>
      <c r="T304" s="54" t="s">
        <v>158</v>
      </c>
      <c r="U304" s="54" t="s">
        <v>158</v>
      </c>
      <c r="V304" s="211" t="s">
        <v>515</v>
      </c>
      <c r="W304" s="53"/>
      <c r="X304" s="53">
        <f t="shared" si="71"/>
        <v>0</v>
      </c>
      <c r="Y304" s="55"/>
      <c r="Z304" s="55"/>
      <c r="AA304" s="52">
        <f t="shared" si="72"/>
        <v>0</v>
      </c>
      <c r="AB304" s="53">
        <f t="shared" si="73"/>
        <v>0</v>
      </c>
      <c r="AC304" s="53">
        <f t="shared" si="74"/>
        <v>0</v>
      </c>
      <c r="AD304" s="53">
        <f t="shared" si="75"/>
        <v>0</v>
      </c>
      <c r="AE304" s="53">
        <f t="shared" si="76"/>
        <v>0</v>
      </c>
      <c r="AF304" s="53">
        <f t="shared" si="77"/>
        <v>0</v>
      </c>
      <c r="AG304" s="56">
        <f t="shared" si="78"/>
        <v>0</v>
      </c>
      <c r="AH304" s="53">
        <f t="shared" si="79"/>
        <v>0</v>
      </c>
      <c r="AI304" s="55"/>
      <c r="AJ304" s="53">
        <f t="shared" si="80"/>
        <v>0</v>
      </c>
      <c r="AK304" s="53">
        <f t="shared" si="81"/>
        <v>0</v>
      </c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7"/>
      <c r="AW304" s="57"/>
      <c r="AX304" s="57"/>
    </row>
    <row r="305" spans="2:50">
      <c r="B305" s="45">
        <v>289</v>
      </c>
      <c r="C305" s="205" t="s">
        <v>304</v>
      </c>
      <c r="D305" s="181" t="s">
        <v>512</v>
      </c>
      <c r="E305" s="206" t="s">
        <v>532</v>
      </c>
      <c r="F305" s="207" t="s">
        <v>538</v>
      </c>
      <c r="G305" s="49" t="s">
        <v>306</v>
      </c>
      <c r="H305" s="164">
        <v>43654</v>
      </c>
      <c r="I305" s="164" t="s">
        <v>409</v>
      </c>
      <c r="J305" s="208">
        <f t="shared" si="70"/>
        <v>6</v>
      </c>
      <c r="K305" s="208">
        <v>6</v>
      </c>
      <c r="L305" s="208">
        <v>0</v>
      </c>
      <c r="M305" s="208"/>
      <c r="N305" s="208">
        <v>0.1</v>
      </c>
      <c r="O305" s="208">
        <v>0</v>
      </c>
      <c r="P305" s="179">
        <v>1</v>
      </c>
      <c r="Q305" s="53"/>
      <c r="R305" s="54" t="s">
        <v>158</v>
      </c>
      <c r="S305" s="54" t="s">
        <v>158</v>
      </c>
      <c r="T305" s="54" t="s">
        <v>158</v>
      </c>
      <c r="U305" s="54" t="s">
        <v>158</v>
      </c>
      <c r="V305" s="211" t="s">
        <v>515</v>
      </c>
      <c r="W305" s="53"/>
      <c r="X305" s="53">
        <f t="shared" si="71"/>
        <v>0</v>
      </c>
      <c r="Y305" s="55"/>
      <c r="Z305" s="55"/>
      <c r="AA305" s="52">
        <f t="shared" si="72"/>
        <v>0</v>
      </c>
      <c r="AB305" s="53">
        <f t="shared" si="73"/>
        <v>0</v>
      </c>
      <c r="AC305" s="53">
        <f t="shared" si="74"/>
        <v>0</v>
      </c>
      <c r="AD305" s="53">
        <f t="shared" si="75"/>
        <v>0</v>
      </c>
      <c r="AE305" s="53">
        <f t="shared" si="76"/>
        <v>0</v>
      </c>
      <c r="AF305" s="53">
        <f t="shared" si="77"/>
        <v>0</v>
      </c>
      <c r="AG305" s="56">
        <f t="shared" si="78"/>
        <v>0</v>
      </c>
      <c r="AH305" s="53">
        <f t="shared" si="79"/>
        <v>0</v>
      </c>
      <c r="AI305" s="55"/>
      <c r="AJ305" s="53">
        <f t="shared" si="80"/>
        <v>0</v>
      </c>
      <c r="AK305" s="53">
        <f t="shared" si="81"/>
        <v>0</v>
      </c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7"/>
      <c r="AW305" s="57"/>
      <c r="AX305" s="57"/>
    </row>
    <row r="306" spans="2:50">
      <c r="B306" s="45">
        <v>290</v>
      </c>
      <c r="C306" s="205" t="s">
        <v>304</v>
      </c>
      <c r="D306" s="181" t="s">
        <v>512</v>
      </c>
      <c r="E306" s="206" t="s">
        <v>532</v>
      </c>
      <c r="F306" s="207" t="s">
        <v>539</v>
      </c>
      <c r="G306" s="49" t="s">
        <v>306</v>
      </c>
      <c r="H306" s="164">
        <v>43663</v>
      </c>
      <c r="I306" s="164" t="s">
        <v>409</v>
      </c>
      <c r="J306" s="208">
        <f t="shared" si="70"/>
        <v>102</v>
      </c>
      <c r="K306" s="208">
        <v>90</v>
      </c>
      <c r="L306" s="208">
        <v>12</v>
      </c>
      <c r="M306" s="208"/>
      <c r="N306" s="208">
        <v>1.5</v>
      </c>
      <c r="O306" s="208">
        <v>0.2</v>
      </c>
      <c r="P306" s="179">
        <v>1</v>
      </c>
      <c r="Q306" s="53"/>
      <c r="R306" s="54" t="s">
        <v>158</v>
      </c>
      <c r="S306" s="54" t="s">
        <v>158</v>
      </c>
      <c r="T306" s="54" t="s">
        <v>158</v>
      </c>
      <c r="U306" s="54" t="s">
        <v>158</v>
      </c>
      <c r="V306" s="211" t="s">
        <v>515</v>
      </c>
      <c r="W306" s="53"/>
      <c r="X306" s="53">
        <f t="shared" si="71"/>
        <v>0</v>
      </c>
      <c r="Y306" s="55"/>
      <c r="Z306" s="55"/>
      <c r="AA306" s="52">
        <f t="shared" si="72"/>
        <v>0</v>
      </c>
      <c r="AB306" s="53">
        <f t="shared" si="73"/>
        <v>0</v>
      </c>
      <c r="AC306" s="53">
        <f t="shared" si="74"/>
        <v>0</v>
      </c>
      <c r="AD306" s="53">
        <f t="shared" si="75"/>
        <v>0</v>
      </c>
      <c r="AE306" s="53">
        <f t="shared" si="76"/>
        <v>0</v>
      </c>
      <c r="AF306" s="53">
        <f t="shared" si="77"/>
        <v>0</v>
      </c>
      <c r="AG306" s="56">
        <f t="shared" si="78"/>
        <v>0</v>
      </c>
      <c r="AH306" s="53">
        <f t="shared" si="79"/>
        <v>0</v>
      </c>
      <c r="AI306" s="55"/>
      <c r="AJ306" s="53">
        <f t="shared" si="80"/>
        <v>0</v>
      </c>
      <c r="AK306" s="53">
        <f t="shared" si="81"/>
        <v>0</v>
      </c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7"/>
      <c r="AW306" s="57"/>
      <c r="AX306" s="57"/>
    </row>
    <row r="307" spans="2:50">
      <c r="B307" s="45">
        <v>291</v>
      </c>
      <c r="C307" s="205" t="s">
        <v>304</v>
      </c>
      <c r="D307" s="181" t="s">
        <v>512</v>
      </c>
      <c r="E307" s="206" t="s">
        <v>532</v>
      </c>
      <c r="F307" s="207" t="s">
        <v>404</v>
      </c>
      <c r="G307" s="49" t="s">
        <v>306</v>
      </c>
      <c r="H307" s="164">
        <v>42977</v>
      </c>
      <c r="I307" s="164" t="s">
        <v>409</v>
      </c>
      <c r="J307" s="208">
        <f t="shared" si="70"/>
        <v>162</v>
      </c>
      <c r="K307" s="208">
        <v>42</v>
      </c>
      <c r="L307" s="208">
        <v>120</v>
      </c>
      <c r="M307" s="208"/>
      <c r="N307" s="208">
        <v>0.7</v>
      </c>
      <c r="O307" s="208">
        <v>2</v>
      </c>
      <c r="P307" s="179">
        <v>1</v>
      </c>
      <c r="Q307" s="53"/>
      <c r="R307" s="54" t="s">
        <v>158</v>
      </c>
      <c r="S307" s="54" t="s">
        <v>158</v>
      </c>
      <c r="T307" s="54" t="s">
        <v>158</v>
      </c>
      <c r="U307" s="54" t="s">
        <v>158</v>
      </c>
      <c r="V307" s="211" t="s">
        <v>515</v>
      </c>
      <c r="W307" s="53"/>
      <c r="X307" s="53">
        <f t="shared" si="71"/>
        <v>0</v>
      </c>
      <c r="Y307" s="55"/>
      <c r="Z307" s="55"/>
      <c r="AA307" s="52">
        <f t="shared" si="72"/>
        <v>0</v>
      </c>
      <c r="AB307" s="53">
        <f t="shared" si="73"/>
        <v>0</v>
      </c>
      <c r="AC307" s="53">
        <f t="shared" si="74"/>
        <v>0</v>
      </c>
      <c r="AD307" s="53">
        <f t="shared" si="75"/>
        <v>0</v>
      </c>
      <c r="AE307" s="53">
        <f t="shared" si="76"/>
        <v>0</v>
      </c>
      <c r="AF307" s="53">
        <f t="shared" si="77"/>
        <v>0</v>
      </c>
      <c r="AG307" s="56">
        <f t="shared" si="78"/>
        <v>0</v>
      </c>
      <c r="AH307" s="53">
        <f t="shared" si="79"/>
        <v>0</v>
      </c>
      <c r="AI307" s="55"/>
      <c r="AJ307" s="53">
        <f t="shared" si="80"/>
        <v>0</v>
      </c>
      <c r="AK307" s="53">
        <f t="shared" si="81"/>
        <v>0</v>
      </c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7"/>
      <c r="AW307" s="57"/>
      <c r="AX307" s="57"/>
    </row>
    <row r="308" spans="2:50">
      <c r="B308" s="45">
        <v>292</v>
      </c>
      <c r="C308" s="205" t="s">
        <v>304</v>
      </c>
      <c r="D308" s="205" t="s">
        <v>512</v>
      </c>
      <c r="E308" s="212" t="s">
        <v>540</v>
      </c>
      <c r="F308" s="209" t="s">
        <v>541</v>
      </c>
      <c r="G308" s="49" t="s">
        <v>306</v>
      </c>
      <c r="H308" s="164">
        <v>43717</v>
      </c>
      <c r="I308" s="164" t="s">
        <v>409</v>
      </c>
      <c r="J308" s="208">
        <f t="shared" si="70"/>
        <v>10800</v>
      </c>
      <c r="K308" s="208">
        <v>7200</v>
      </c>
      <c r="L308" s="208">
        <v>3600</v>
      </c>
      <c r="M308" s="208"/>
      <c r="N308" s="208">
        <v>120</v>
      </c>
      <c r="O308" s="208">
        <v>60</v>
      </c>
      <c r="P308" s="179">
        <v>1</v>
      </c>
      <c r="Q308" s="53"/>
      <c r="R308" s="54" t="s">
        <v>158</v>
      </c>
      <c r="S308" s="54" t="s">
        <v>158</v>
      </c>
      <c r="T308" s="54" t="s">
        <v>158</v>
      </c>
      <c r="U308" s="54" t="s">
        <v>158</v>
      </c>
      <c r="V308" s="211" t="s">
        <v>515</v>
      </c>
      <c r="W308" s="53"/>
      <c r="X308" s="53">
        <f t="shared" si="71"/>
        <v>0</v>
      </c>
      <c r="Y308" s="55"/>
      <c r="Z308" s="55"/>
      <c r="AA308" s="52">
        <f t="shared" si="72"/>
        <v>0</v>
      </c>
      <c r="AB308" s="53">
        <f t="shared" si="73"/>
        <v>0</v>
      </c>
      <c r="AC308" s="53">
        <f t="shared" si="74"/>
        <v>0</v>
      </c>
      <c r="AD308" s="53">
        <f t="shared" si="75"/>
        <v>0</v>
      </c>
      <c r="AE308" s="53">
        <f t="shared" si="76"/>
        <v>0</v>
      </c>
      <c r="AF308" s="53">
        <f t="shared" si="77"/>
        <v>0</v>
      </c>
      <c r="AG308" s="56">
        <f t="shared" si="78"/>
        <v>0</v>
      </c>
      <c r="AH308" s="53">
        <f t="shared" si="79"/>
        <v>0</v>
      </c>
      <c r="AI308" s="55"/>
      <c r="AJ308" s="53">
        <f t="shared" si="80"/>
        <v>0</v>
      </c>
      <c r="AK308" s="53">
        <f t="shared" si="81"/>
        <v>0</v>
      </c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7"/>
      <c r="AW308" s="57"/>
      <c r="AX308" s="57"/>
    </row>
    <row r="309" spans="2:50">
      <c r="B309" s="45">
        <v>293</v>
      </c>
      <c r="C309" s="205" t="s">
        <v>304</v>
      </c>
      <c r="D309" s="205" t="s">
        <v>512</v>
      </c>
      <c r="E309" s="212" t="s">
        <v>542</v>
      </c>
      <c r="F309" s="209" t="s">
        <v>543</v>
      </c>
      <c r="G309" s="49" t="s">
        <v>306</v>
      </c>
      <c r="H309" s="164">
        <v>43788</v>
      </c>
      <c r="I309" s="164" t="s">
        <v>409</v>
      </c>
      <c r="J309" s="208">
        <f t="shared" si="70"/>
        <v>7200</v>
      </c>
      <c r="K309" s="208">
        <v>4800</v>
      </c>
      <c r="L309" s="208">
        <v>2400</v>
      </c>
      <c r="M309" s="208"/>
      <c r="N309" s="208">
        <v>80</v>
      </c>
      <c r="O309" s="208">
        <v>40</v>
      </c>
      <c r="P309" s="179">
        <v>1</v>
      </c>
      <c r="Q309" s="53"/>
      <c r="R309" s="54" t="s">
        <v>158</v>
      </c>
      <c r="S309" s="54" t="s">
        <v>158</v>
      </c>
      <c r="T309" s="54" t="s">
        <v>158</v>
      </c>
      <c r="U309" s="54" t="s">
        <v>158</v>
      </c>
      <c r="V309" s="211" t="s">
        <v>515</v>
      </c>
      <c r="W309" s="53"/>
      <c r="X309" s="53">
        <f t="shared" si="71"/>
        <v>0</v>
      </c>
      <c r="Y309" s="55"/>
      <c r="Z309" s="55"/>
      <c r="AA309" s="52">
        <f t="shared" si="72"/>
        <v>0</v>
      </c>
      <c r="AB309" s="53">
        <f t="shared" si="73"/>
        <v>0</v>
      </c>
      <c r="AC309" s="53">
        <f t="shared" si="74"/>
        <v>0</v>
      </c>
      <c r="AD309" s="53">
        <f t="shared" si="75"/>
        <v>0</v>
      </c>
      <c r="AE309" s="53">
        <f t="shared" si="76"/>
        <v>0</v>
      </c>
      <c r="AF309" s="53">
        <f t="shared" si="77"/>
        <v>0</v>
      </c>
      <c r="AG309" s="56">
        <f t="shared" si="78"/>
        <v>0</v>
      </c>
      <c r="AH309" s="53">
        <f t="shared" si="79"/>
        <v>0</v>
      </c>
      <c r="AI309" s="55"/>
      <c r="AJ309" s="53">
        <f t="shared" si="80"/>
        <v>0</v>
      </c>
      <c r="AK309" s="53">
        <f t="shared" si="81"/>
        <v>0</v>
      </c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7"/>
      <c r="AW309" s="57"/>
      <c r="AX309" s="57"/>
    </row>
    <row r="310" spans="2:50">
      <c r="B310" s="45">
        <v>294</v>
      </c>
      <c r="C310" s="205" t="s">
        <v>304</v>
      </c>
      <c r="D310" s="212" t="s">
        <v>544</v>
      </c>
      <c r="E310" s="212" t="s">
        <v>545</v>
      </c>
      <c r="F310" s="207" t="s">
        <v>546</v>
      </c>
      <c r="G310" s="49" t="s">
        <v>190</v>
      </c>
      <c r="H310" s="164">
        <v>42432</v>
      </c>
      <c r="I310" s="164" t="s">
        <v>409</v>
      </c>
      <c r="J310" s="208">
        <f t="shared" si="70"/>
        <v>12</v>
      </c>
      <c r="K310" s="208">
        <v>12</v>
      </c>
      <c r="L310" s="208">
        <v>0</v>
      </c>
      <c r="M310" s="208"/>
      <c r="N310" s="208">
        <v>0.2</v>
      </c>
      <c r="O310" s="208">
        <v>0</v>
      </c>
      <c r="P310" s="179">
        <v>1</v>
      </c>
      <c r="Q310" s="53"/>
      <c r="R310" s="54" t="s">
        <v>158</v>
      </c>
      <c r="S310" s="54" t="s">
        <v>158</v>
      </c>
      <c r="T310" s="54" t="s">
        <v>158</v>
      </c>
      <c r="U310" s="54" t="s">
        <v>158</v>
      </c>
      <c r="V310" s="211" t="s">
        <v>515</v>
      </c>
      <c r="W310" s="53"/>
      <c r="X310" s="53">
        <f t="shared" si="71"/>
        <v>0</v>
      </c>
      <c r="Y310" s="55"/>
      <c r="Z310" s="55"/>
      <c r="AA310" s="52">
        <f t="shared" si="72"/>
        <v>0</v>
      </c>
      <c r="AB310" s="53">
        <f t="shared" si="73"/>
        <v>0</v>
      </c>
      <c r="AC310" s="53">
        <f t="shared" si="74"/>
        <v>0</v>
      </c>
      <c r="AD310" s="53">
        <f t="shared" si="75"/>
        <v>0</v>
      </c>
      <c r="AE310" s="53">
        <f t="shared" si="76"/>
        <v>0</v>
      </c>
      <c r="AF310" s="53">
        <f t="shared" si="77"/>
        <v>0</v>
      </c>
      <c r="AG310" s="56">
        <f t="shared" si="78"/>
        <v>0</v>
      </c>
      <c r="AH310" s="53">
        <f t="shared" si="79"/>
        <v>0</v>
      </c>
      <c r="AI310" s="55"/>
      <c r="AJ310" s="53">
        <f t="shared" si="80"/>
        <v>0</v>
      </c>
      <c r="AK310" s="53">
        <f t="shared" si="81"/>
        <v>0</v>
      </c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7"/>
      <c r="AW310" s="57"/>
      <c r="AX310" s="57"/>
    </row>
    <row r="311" spans="2:50">
      <c r="B311" s="45">
        <v>295</v>
      </c>
      <c r="C311" s="205" t="s">
        <v>304</v>
      </c>
      <c r="D311" s="212" t="s">
        <v>544</v>
      </c>
      <c r="E311" s="212" t="s">
        <v>545</v>
      </c>
      <c r="F311" s="207" t="s">
        <v>547</v>
      </c>
      <c r="G311" s="49" t="s">
        <v>190</v>
      </c>
      <c r="H311" s="164">
        <v>42233</v>
      </c>
      <c r="I311" s="164" t="s">
        <v>409</v>
      </c>
      <c r="J311" s="208">
        <f t="shared" si="70"/>
        <v>6</v>
      </c>
      <c r="K311" s="208">
        <v>6</v>
      </c>
      <c r="L311" s="208">
        <v>0</v>
      </c>
      <c r="M311" s="208"/>
      <c r="N311" s="208">
        <v>0.1</v>
      </c>
      <c r="O311" s="208">
        <v>0</v>
      </c>
      <c r="P311" s="179">
        <v>1</v>
      </c>
      <c r="Q311" s="53"/>
      <c r="R311" s="54" t="s">
        <v>158</v>
      </c>
      <c r="S311" s="54" t="s">
        <v>158</v>
      </c>
      <c r="T311" s="54" t="s">
        <v>158</v>
      </c>
      <c r="U311" s="54" t="s">
        <v>158</v>
      </c>
      <c r="V311" s="211" t="s">
        <v>515</v>
      </c>
      <c r="W311" s="53"/>
      <c r="X311" s="53">
        <f t="shared" si="71"/>
        <v>0</v>
      </c>
      <c r="Y311" s="55"/>
      <c r="Z311" s="55"/>
      <c r="AA311" s="52">
        <f t="shared" si="72"/>
        <v>0</v>
      </c>
      <c r="AB311" s="53">
        <f t="shared" si="73"/>
        <v>0</v>
      </c>
      <c r="AC311" s="53">
        <f t="shared" si="74"/>
        <v>0</v>
      </c>
      <c r="AD311" s="53">
        <f t="shared" si="75"/>
        <v>0</v>
      </c>
      <c r="AE311" s="53">
        <f t="shared" si="76"/>
        <v>0</v>
      </c>
      <c r="AF311" s="53">
        <f t="shared" si="77"/>
        <v>0</v>
      </c>
      <c r="AG311" s="56">
        <f t="shared" si="78"/>
        <v>0</v>
      </c>
      <c r="AH311" s="53">
        <f t="shared" si="79"/>
        <v>0</v>
      </c>
      <c r="AI311" s="55"/>
      <c r="AJ311" s="53">
        <f t="shared" si="80"/>
        <v>0</v>
      </c>
      <c r="AK311" s="53">
        <f t="shared" si="81"/>
        <v>0</v>
      </c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7"/>
      <c r="AW311" s="57"/>
      <c r="AX311" s="57"/>
    </row>
    <row r="312" spans="2:50">
      <c r="B312" s="45">
        <v>296</v>
      </c>
      <c r="C312" s="205" t="s">
        <v>304</v>
      </c>
      <c r="D312" s="212" t="s">
        <v>544</v>
      </c>
      <c r="E312" s="212" t="s">
        <v>545</v>
      </c>
      <c r="F312" s="207" t="s">
        <v>548</v>
      </c>
      <c r="G312" s="49" t="s">
        <v>190</v>
      </c>
      <c r="H312" s="164">
        <v>42233</v>
      </c>
      <c r="I312" s="164" t="s">
        <v>409</v>
      </c>
      <c r="J312" s="208">
        <f t="shared" si="70"/>
        <v>9</v>
      </c>
      <c r="K312" s="208">
        <v>9</v>
      </c>
      <c r="L312" s="208">
        <v>0</v>
      </c>
      <c r="M312" s="208"/>
      <c r="N312" s="208">
        <v>0.15</v>
      </c>
      <c r="O312" s="208">
        <v>0</v>
      </c>
      <c r="P312" s="179">
        <v>1</v>
      </c>
      <c r="Q312" s="53"/>
      <c r="R312" s="54" t="s">
        <v>158</v>
      </c>
      <c r="S312" s="54" t="s">
        <v>158</v>
      </c>
      <c r="T312" s="54" t="s">
        <v>158</v>
      </c>
      <c r="U312" s="54" t="s">
        <v>158</v>
      </c>
      <c r="V312" s="211" t="s">
        <v>515</v>
      </c>
      <c r="W312" s="53"/>
      <c r="X312" s="53">
        <f t="shared" si="71"/>
        <v>0</v>
      </c>
      <c r="Y312" s="55"/>
      <c r="Z312" s="55"/>
      <c r="AA312" s="52">
        <f t="shared" si="72"/>
        <v>0</v>
      </c>
      <c r="AB312" s="53">
        <f t="shared" si="73"/>
        <v>0</v>
      </c>
      <c r="AC312" s="53">
        <f t="shared" si="74"/>
        <v>0</v>
      </c>
      <c r="AD312" s="53">
        <f t="shared" si="75"/>
        <v>0</v>
      </c>
      <c r="AE312" s="53">
        <f t="shared" si="76"/>
        <v>0</v>
      </c>
      <c r="AF312" s="53">
        <f t="shared" si="77"/>
        <v>0</v>
      </c>
      <c r="AG312" s="56">
        <f t="shared" si="78"/>
        <v>0</v>
      </c>
      <c r="AH312" s="53">
        <f t="shared" si="79"/>
        <v>0</v>
      </c>
      <c r="AI312" s="55"/>
      <c r="AJ312" s="53">
        <f t="shared" si="80"/>
        <v>0</v>
      </c>
      <c r="AK312" s="53">
        <f t="shared" si="81"/>
        <v>0</v>
      </c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7"/>
      <c r="AW312" s="57"/>
      <c r="AX312" s="57"/>
    </row>
    <row r="313" spans="2:50">
      <c r="B313" s="45">
        <v>297</v>
      </c>
      <c r="C313" s="205" t="s">
        <v>304</v>
      </c>
      <c r="D313" s="181" t="s">
        <v>544</v>
      </c>
      <c r="E313" s="206" t="s">
        <v>170</v>
      </c>
      <c r="F313" s="207" t="s">
        <v>549</v>
      </c>
      <c r="G313" s="49" t="s">
        <v>190</v>
      </c>
      <c r="H313" s="164">
        <v>42233</v>
      </c>
      <c r="I313" s="164" t="s">
        <v>409</v>
      </c>
      <c r="J313" s="208">
        <f t="shared" si="70"/>
        <v>22</v>
      </c>
      <c r="K313" s="208">
        <v>22</v>
      </c>
      <c r="L313" s="208">
        <v>0</v>
      </c>
      <c r="M313" s="208"/>
      <c r="N313" s="208">
        <v>0.37</v>
      </c>
      <c r="O313" s="208">
        <v>0</v>
      </c>
      <c r="P313" s="179">
        <v>1</v>
      </c>
      <c r="Q313" s="53"/>
      <c r="R313" s="54" t="s">
        <v>158</v>
      </c>
      <c r="S313" s="54" t="s">
        <v>158</v>
      </c>
      <c r="T313" s="54" t="s">
        <v>158</v>
      </c>
      <c r="U313" s="54" t="s">
        <v>158</v>
      </c>
      <c r="V313" s="211" t="s">
        <v>515</v>
      </c>
      <c r="W313" s="53"/>
      <c r="X313" s="53">
        <f t="shared" si="71"/>
        <v>0</v>
      </c>
      <c r="Y313" s="55"/>
      <c r="Z313" s="55"/>
      <c r="AA313" s="52">
        <f t="shared" si="72"/>
        <v>0</v>
      </c>
      <c r="AB313" s="53">
        <f t="shared" si="73"/>
        <v>0</v>
      </c>
      <c r="AC313" s="53">
        <f t="shared" si="74"/>
        <v>0</v>
      </c>
      <c r="AD313" s="53">
        <f t="shared" si="75"/>
        <v>0</v>
      </c>
      <c r="AE313" s="53">
        <f t="shared" si="76"/>
        <v>0</v>
      </c>
      <c r="AF313" s="53">
        <f t="shared" si="77"/>
        <v>0</v>
      </c>
      <c r="AG313" s="56">
        <f t="shared" si="78"/>
        <v>0</v>
      </c>
      <c r="AH313" s="53">
        <f t="shared" si="79"/>
        <v>0</v>
      </c>
      <c r="AI313" s="55"/>
      <c r="AJ313" s="53">
        <f t="shared" si="80"/>
        <v>0</v>
      </c>
      <c r="AK313" s="53">
        <f t="shared" si="81"/>
        <v>0</v>
      </c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7"/>
      <c r="AW313" s="57"/>
      <c r="AX313" s="57"/>
    </row>
    <row r="314" spans="2:50">
      <c r="B314" s="45">
        <v>298</v>
      </c>
      <c r="C314" s="205" t="s">
        <v>304</v>
      </c>
      <c r="D314" s="181" t="s">
        <v>544</v>
      </c>
      <c r="E314" s="206" t="s">
        <v>170</v>
      </c>
      <c r="F314" s="207" t="s">
        <v>550</v>
      </c>
      <c r="G314" s="49" t="s">
        <v>190</v>
      </c>
      <c r="H314" s="164">
        <v>42233</v>
      </c>
      <c r="I314" s="164" t="s">
        <v>409</v>
      </c>
      <c r="J314" s="208">
        <f t="shared" si="70"/>
        <v>6</v>
      </c>
      <c r="K314" s="208">
        <v>6</v>
      </c>
      <c r="L314" s="208">
        <v>0</v>
      </c>
      <c r="M314" s="208"/>
      <c r="N314" s="208">
        <v>0.1</v>
      </c>
      <c r="O314" s="208">
        <v>0</v>
      </c>
      <c r="P314" s="179">
        <v>1</v>
      </c>
      <c r="Q314" s="53"/>
      <c r="R314" s="54" t="s">
        <v>158</v>
      </c>
      <c r="S314" s="54" t="s">
        <v>158</v>
      </c>
      <c r="T314" s="54" t="s">
        <v>158</v>
      </c>
      <c r="U314" s="54" t="s">
        <v>158</v>
      </c>
      <c r="V314" s="211" t="s">
        <v>515</v>
      </c>
      <c r="W314" s="53"/>
      <c r="X314" s="53">
        <f t="shared" si="71"/>
        <v>0</v>
      </c>
      <c r="Y314" s="55"/>
      <c r="Z314" s="55"/>
      <c r="AA314" s="52">
        <f t="shared" si="72"/>
        <v>0</v>
      </c>
      <c r="AB314" s="53">
        <f t="shared" si="73"/>
        <v>0</v>
      </c>
      <c r="AC314" s="53">
        <f t="shared" si="74"/>
        <v>0</v>
      </c>
      <c r="AD314" s="53">
        <f t="shared" si="75"/>
        <v>0</v>
      </c>
      <c r="AE314" s="53">
        <f t="shared" si="76"/>
        <v>0</v>
      </c>
      <c r="AF314" s="53">
        <f t="shared" si="77"/>
        <v>0</v>
      </c>
      <c r="AG314" s="56">
        <f t="shared" si="78"/>
        <v>0</v>
      </c>
      <c r="AH314" s="53">
        <f t="shared" si="79"/>
        <v>0</v>
      </c>
      <c r="AI314" s="55"/>
      <c r="AJ314" s="53">
        <f t="shared" si="80"/>
        <v>0</v>
      </c>
      <c r="AK314" s="53">
        <f t="shared" si="81"/>
        <v>0</v>
      </c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7"/>
      <c r="AW314" s="57"/>
      <c r="AX314" s="57"/>
    </row>
    <row r="315" spans="2:50">
      <c r="B315" s="45">
        <v>299</v>
      </c>
      <c r="C315" s="205" t="s">
        <v>304</v>
      </c>
      <c r="D315" s="181" t="s">
        <v>544</v>
      </c>
      <c r="E315" s="206" t="s">
        <v>170</v>
      </c>
      <c r="F315" s="207" t="s">
        <v>551</v>
      </c>
      <c r="G315" s="49" t="s">
        <v>190</v>
      </c>
      <c r="H315" s="164">
        <v>42641</v>
      </c>
      <c r="I315" s="164" t="s">
        <v>409</v>
      </c>
      <c r="J315" s="208">
        <f t="shared" si="70"/>
        <v>6</v>
      </c>
      <c r="K315" s="208">
        <v>6</v>
      </c>
      <c r="L315" s="208">
        <v>0</v>
      </c>
      <c r="M315" s="208"/>
      <c r="N315" s="208">
        <v>0.1</v>
      </c>
      <c r="O315" s="208">
        <v>0</v>
      </c>
      <c r="P315" s="179">
        <v>1</v>
      </c>
      <c r="Q315" s="53"/>
      <c r="R315" s="54" t="s">
        <v>158</v>
      </c>
      <c r="S315" s="54" t="s">
        <v>158</v>
      </c>
      <c r="T315" s="54" t="s">
        <v>158</v>
      </c>
      <c r="U315" s="54" t="s">
        <v>158</v>
      </c>
      <c r="V315" s="211" t="s">
        <v>515</v>
      </c>
      <c r="W315" s="53"/>
      <c r="X315" s="53">
        <f t="shared" si="71"/>
        <v>0</v>
      </c>
      <c r="Y315" s="55"/>
      <c r="Z315" s="55"/>
      <c r="AA315" s="52">
        <f t="shared" si="72"/>
        <v>0</v>
      </c>
      <c r="AB315" s="53">
        <f t="shared" si="73"/>
        <v>0</v>
      </c>
      <c r="AC315" s="53">
        <f t="shared" si="74"/>
        <v>0</v>
      </c>
      <c r="AD315" s="53">
        <f t="shared" si="75"/>
        <v>0</v>
      </c>
      <c r="AE315" s="53">
        <f t="shared" si="76"/>
        <v>0</v>
      </c>
      <c r="AF315" s="53">
        <f t="shared" si="77"/>
        <v>0</v>
      </c>
      <c r="AG315" s="56">
        <f t="shared" si="78"/>
        <v>0</v>
      </c>
      <c r="AH315" s="53">
        <f t="shared" si="79"/>
        <v>0</v>
      </c>
      <c r="AI315" s="55"/>
      <c r="AJ315" s="53">
        <f t="shared" si="80"/>
        <v>0</v>
      </c>
      <c r="AK315" s="53">
        <f t="shared" si="81"/>
        <v>0</v>
      </c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7"/>
      <c r="AW315" s="57"/>
      <c r="AX315" s="57"/>
    </row>
    <row r="316" spans="2:50">
      <c r="B316" s="45">
        <v>300</v>
      </c>
      <c r="C316" s="205" t="s">
        <v>304</v>
      </c>
      <c r="D316" s="181" t="s">
        <v>544</v>
      </c>
      <c r="E316" s="206" t="s">
        <v>170</v>
      </c>
      <c r="F316" s="207" t="s">
        <v>552</v>
      </c>
      <c r="G316" s="49" t="s">
        <v>190</v>
      </c>
      <c r="H316" s="164">
        <v>42978</v>
      </c>
      <c r="I316" s="164" t="s">
        <v>409</v>
      </c>
      <c r="J316" s="208">
        <f t="shared" si="70"/>
        <v>24</v>
      </c>
      <c r="K316" s="208">
        <v>24</v>
      </c>
      <c r="L316" s="208">
        <v>0</v>
      </c>
      <c r="M316" s="208"/>
      <c r="N316" s="208">
        <v>0.4</v>
      </c>
      <c r="O316" s="208">
        <v>0</v>
      </c>
      <c r="P316" s="179">
        <v>1</v>
      </c>
      <c r="Q316" s="53"/>
      <c r="R316" s="54" t="s">
        <v>158</v>
      </c>
      <c r="S316" s="54" t="s">
        <v>158</v>
      </c>
      <c r="T316" s="54" t="s">
        <v>158</v>
      </c>
      <c r="U316" s="54" t="s">
        <v>158</v>
      </c>
      <c r="V316" s="211" t="s">
        <v>515</v>
      </c>
      <c r="W316" s="53"/>
      <c r="X316" s="53">
        <f t="shared" si="71"/>
        <v>0</v>
      </c>
      <c r="Y316" s="55"/>
      <c r="Z316" s="55"/>
      <c r="AA316" s="52">
        <f t="shared" si="72"/>
        <v>0</v>
      </c>
      <c r="AB316" s="53">
        <f t="shared" si="73"/>
        <v>0</v>
      </c>
      <c r="AC316" s="53">
        <f t="shared" si="74"/>
        <v>0</v>
      </c>
      <c r="AD316" s="53">
        <f t="shared" si="75"/>
        <v>0</v>
      </c>
      <c r="AE316" s="53">
        <f t="shared" si="76"/>
        <v>0</v>
      </c>
      <c r="AF316" s="53">
        <f t="shared" si="77"/>
        <v>0</v>
      </c>
      <c r="AG316" s="56">
        <f t="shared" si="78"/>
        <v>0</v>
      </c>
      <c r="AH316" s="53">
        <f t="shared" si="79"/>
        <v>0</v>
      </c>
      <c r="AI316" s="55"/>
      <c r="AJ316" s="53">
        <f t="shared" si="80"/>
        <v>0</v>
      </c>
      <c r="AK316" s="53">
        <f t="shared" si="81"/>
        <v>0</v>
      </c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7"/>
      <c r="AW316" s="57"/>
      <c r="AX316" s="57"/>
    </row>
    <row r="317" spans="2:50">
      <c r="B317" s="45">
        <v>301</v>
      </c>
      <c r="C317" s="205" t="s">
        <v>304</v>
      </c>
      <c r="D317" s="181" t="s">
        <v>544</v>
      </c>
      <c r="E317" s="206" t="s">
        <v>170</v>
      </c>
      <c r="F317" s="207" t="s">
        <v>553</v>
      </c>
      <c r="G317" s="49" t="s">
        <v>190</v>
      </c>
      <c r="H317" s="164">
        <v>43775</v>
      </c>
      <c r="I317" s="164" t="s">
        <v>409</v>
      </c>
      <c r="J317" s="208">
        <f t="shared" si="70"/>
        <v>18</v>
      </c>
      <c r="K317" s="208">
        <v>18</v>
      </c>
      <c r="L317" s="208">
        <v>0</v>
      </c>
      <c r="M317" s="208"/>
      <c r="N317" s="208">
        <v>0.3</v>
      </c>
      <c r="O317" s="208">
        <v>0</v>
      </c>
      <c r="P317" s="179">
        <v>1</v>
      </c>
      <c r="Q317" s="53"/>
      <c r="R317" s="54" t="s">
        <v>158</v>
      </c>
      <c r="S317" s="54" t="s">
        <v>158</v>
      </c>
      <c r="T317" s="54" t="s">
        <v>158</v>
      </c>
      <c r="U317" s="54" t="s">
        <v>158</v>
      </c>
      <c r="V317" s="211" t="s">
        <v>515</v>
      </c>
      <c r="W317" s="53"/>
      <c r="X317" s="53">
        <f t="shared" si="71"/>
        <v>0</v>
      </c>
      <c r="Y317" s="55"/>
      <c r="Z317" s="55"/>
      <c r="AA317" s="52">
        <f t="shared" si="72"/>
        <v>0</v>
      </c>
      <c r="AB317" s="53">
        <f t="shared" si="73"/>
        <v>0</v>
      </c>
      <c r="AC317" s="53">
        <f t="shared" si="74"/>
        <v>0</v>
      </c>
      <c r="AD317" s="53">
        <f t="shared" si="75"/>
        <v>0</v>
      </c>
      <c r="AE317" s="53">
        <f t="shared" si="76"/>
        <v>0</v>
      </c>
      <c r="AF317" s="53">
        <f t="shared" si="77"/>
        <v>0</v>
      </c>
      <c r="AG317" s="56">
        <f t="shared" si="78"/>
        <v>0</v>
      </c>
      <c r="AH317" s="53">
        <f t="shared" si="79"/>
        <v>0</v>
      </c>
      <c r="AI317" s="55"/>
      <c r="AJ317" s="53">
        <f t="shared" si="80"/>
        <v>0</v>
      </c>
      <c r="AK317" s="53">
        <f t="shared" si="81"/>
        <v>0</v>
      </c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7"/>
      <c r="AW317" s="57"/>
      <c r="AX317" s="57"/>
    </row>
    <row r="318" spans="2:50">
      <c r="B318" s="45">
        <v>302</v>
      </c>
      <c r="C318" s="205" t="s">
        <v>304</v>
      </c>
      <c r="D318" s="181" t="s">
        <v>544</v>
      </c>
      <c r="E318" s="206" t="s">
        <v>554</v>
      </c>
      <c r="F318" s="207" t="s">
        <v>555</v>
      </c>
      <c r="G318" s="49" t="s">
        <v>190</v>
      </c>
      <c r="H318" s="164">
        <v>41995</v>
      </c>
      <c r="I318" s="164" t="s">
        <v>409</v>
      </c>
      <c r="J318" s="208">
        <f t="shared" si="70"/>
        <v>72</v>
      </c>
      <c r="K318" s="208">
        <v>72</v>
      </c>
      <c r="L318" s="208">
        <v>0</v>
      </c>
      <c r="M318" s="208"/>
      <c r="N318" s="208">
        <v>0.7</v>
      </c>
      <c r="O318" s="208">
        <v>0</v>
      </c>
      <c r="P318" s="179">
        <v>1</v>
      </c>
      <c r="Q318" s="53"/>
      <c r="R318" s="54" t="s">
        <v>158</v>
      </c>
      <c r="S318" s="54" t="s">
        <v>158</v>
      </c>
      <c r="T318" s="54" t="s">
        <v>158</v>
      </c>
      <c r="U318" s="54" t="s">
        <v>158</v>
      </c>
      <c r="V318" s="211" t="s">
        <v>515</v>
      </c>
      <c r="W318" s="53"/>
      <c r="X318" s="53">
        <f t="shared" si="71"/>
        <v>0</v>
      </c>
      <c r="Y318" s="55"/>
      <c r="Z318" s="55"/>
      <c r="AA318" s="52">
        <f t="shared" si="72"/>
        <v>0</v>
      </c>
      <c r="AB318" s="53">
        <f t="shared" si="73"/>
        <v>0</v>
      </c>
      <c r="AC318" s="53">
        <f t="shared" si="74"/>
        <v>0</v>
      </c>
      <c r="AD318" s="53">
        <f t="shared" si="75"/>
        <v>0</v>
      </c>
      <c r="AE318" s="53">
        <f t="shared" si="76"/>
        <v>0</v>
      </c>
      <c r="AF318" s="53">
        <f t="shared" si="77"/>
        <v>0</v>
      </c>
      <c r="AG318" s="56">
        <f t="shared" si="78"/>
        <v>0</v>
      </c>
      <c r="AH318" s="53">
        <f t="shared" si="79"/>
        <v>0</v>
      </c>
      <c r="AI318" s="55"/>
      <c r="AJ318" s="53">
        <f t="shared" si="80"/>
        <v>0</v>
      </c>
      <c r="AK318" s="53">
        <f t="shared" si="81"/>
        <v>0</v>
      </c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7"/>
      <c r="AW318" s="57"/>
      <c r="AX318" s="57"/>
    </row>
    <row r="319" spans="2:50">
      <c r="B319" s="45">
        <v>303</v>
      </c>
      <c r="C319" s="205" t="s">
        <v>304</v>
      </c>
      <c r="D319" s="181" t="s">
        <v>544</v>
      </c>
      <c r="E319" s="206" t="s">
        <v>554</v>
      </c>
      <c r="F319" s="207" t="s">
        <v>556</v>
      </c>
      <c r="G319" s="49" t="s">
        <v>190</v>
      </c>
      <c r="H319" s="164">
        <v>42376</v>
      </c>
      <c r="I319" s="164" t="s">
        <v>409</v>
      </c>
      <c r="J319" s="208">
        <f t="shared" si="70"/>
        <v>18</v>
      </c>
      <c r="K319" s="208">
        <v>18</v>
      </c>
      <c r="L319" s="208">
        <v>0</v>
      </c>
      <c r="M319" s="208"/>
      <c r="N319" s="208">
        <v>0.3</v>
      </c>
      <c r="O319" s="208">
        <v>0</v>
      </c>
      <c r="P319" s="179">
        <v>1</v>
      </c>
      <c r="Q319" s="53"/>
      <c r="R319" s="54" t="s">
        <v>158</v>
      </c>
      <c r="S319" s="54" t="s">
        <v>158</v>
      </c>
      <c r="T319" s="54" t="s">
        <v>158</v>
      </c>
      <c r="U319" s="54" t="s">
        <v>158</v>
      </c>
      <c r="V319" s="211" t="s">
        <v>515</v>
      </c>
      <c r="W319" s="53"/>
      <c r="X319" s="53">
        <f t="shared" si="71"/>
        <v>0</v>
      </c>
      <c r="Y319" s="55"/>
      <c r="Z319" s="55"/>
      <c r="AA319" s="52">
        <f t="shared" si="72"/>
        <v>0</v>
      </c>
      <c r="AB319" s="53">
        <f t="shared" si="73"/>
        <v>0</v>
      </c>
      <c r="AC319" s="53">
        <f t="shared" si="74"/>
        <v>0</v>
      </c>
      <c r="AD319" s="53">
        <f t="shared" si="75"/>
        <v>0</v>
      </c>
      <c r="AE319" s="53">
        <f t="shared" si="76"/>
        <v>0</v>
      </c>
      <c r="AF319" s="53">
        <f t="shared" si="77"/>
        <v>0</v>
      </c>
      <c r="AG319" s="56">
        <f t="shared" si="78"/>
        <v>0</v>
      </c>
      <c r="AH319" s="53">
        <f t="shared" si="79"/>
        <v>0</v>
      </c>
      <c r="AI319" s="55"/>
      <c r="AJ319" s="53">
        <f t="shared" si="80"/>
        <v>0</v>
      </c>
      <c r="AK319" s="53">
        <f t="shared" si="81"/>
        <v>0</v>
      </c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7"/>
      <c r="AW319" s="57"/>
      <c r="AX319" s="57"/>
    </row>
    <row r="320" spans="2:50">
      <c r="B320" s="45">
        <v>304</v>
      </c>
      <c r="C320" s="205" t="s">
        <v>304</v>
      </c>
      <c r="D320" s="181" t="s">
        <v>544</v>
      </c>
      <c r="E320" s="206" t="s">
        <v>557</v>
      </c>
      <c r="F320" s="207" t="s">
        <v>558</v>
      </c>
      <c r="G320" s="49" t="s">
        <v>190</v>
      </c>
      <c r="H320" s="164">
        <v>42467</v>
      </c>
      <c r="I320" s="164" t="s">
        <v>409</v>
      </c>
      <c r="J320" s="208">
        <f t="shared" si="70"/>
        <v>414</v>
      </c>
      <c r="K320" s="208">
        <v>114</v>
      </c>
      <c r="L320" s="208">
        <v>300</v>
      </c>
      <c r="M320" s="208"/>
      <c r="N320" s="208">
        <v>1.5000000000000002</v>
      </c>
      <c r="O320" s="208">
        <v>5</v>
      </c>
      <c r="P320" s="179">
        <v>1</v>
      </c>
      <c r="Q320" s="53"/>
      <c r="R320" s="54" t="s">
        <v>158</v>
      </c>
      <c r="S320" s="54" t="s">
        <v>158</v>
      </c>
      <c r="T320" s="54" t="s">
        <v>158</v>
      </c>
      <c r="U320" s="54" t="s">
        <v>158</v>
      </c>
      <c r="V320" s="211" t="s">
        <v>515</v>
      </c>
      <c r="W320" s="53"/>
      <c r="X320" s="53">
        <f t="shared" si="71"/>
        <v>0</v>
      </c>
      <c r="Y320" s="55"/>
      <c r="Z320" s="55"/>
      <c r="AA320" s="52">
        <f t="shared" si="72"/>
        <v>0</v>
      </c>
      <c r="AB320" s="53">
        <f t="shared" si="73"/>
        <v>0</v>
      </c>
      <c r="AC320" s="53">
        <f t="shared" si="74"/>
        <v>0</v>
      </c>
      <c r="AD320" s="53">
        <f t="shared" si="75"/>
        <v>0</v>
      </c>
      <c r="AE320" s="53">
        <f t="shared" si="76"/>
        <v>0</v>
      </c>
      <c r="AF320" s="53">
        <f t="shared" si="77"/>
        <v>0</v>
      </c>
      <c r="AG320" s="56">
        <f t="shared" si="78"/>
        <v>0</v>
      </c>
      <c r="AH320" s="53">
        <f t="shared" si="79"/>
        <v>0</v>
      </c>
      <c r="AI320" s="55"/>
      <c r="AJ320" s="53">
        <f t="shared" si="80"/>
        <v>0</v>
      </c>
      <c r="AK320" s="53">
        <f t="shared" si="81"/>
        <v>0</v>
      </c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7"/>
      <c r="AW320" s="57"/>
      <c r="AX320" s="57"/>
    </row>
    <row r="321" spans="2:50">
      <c r="B321" s="45">
        <v>305</v>
      </c>
      <c r="C321" s="205" t="s">
        <v>559</v>
      </c>
      <c r="D321" s="181" t="s">
        <v>544</v>
      </c>
      <c r="E321" s="206" t="s">
        <v>557</v>
      </c>
      <c r="F321" s="207" t="s">
        <v>560</v>
      </c>
      <c r="G321" s="49" t="s">
        <v>190</v>
      </c>
      <c r="H321" s="164">
        <v>41995</v>
      </c>
      <c r="I321" s="164" t="s">
        <v>409</v>
      </c>
      <c r="J321" s="208">
        <f t="shared" si="70"/>
        <v>264</v>
      </c>
      <c r="K321" s="208">
        <v>144</v>
      </c>
      <c r="L321" s="208">
        <v>120</v>
      </c>
      <c r="M321" s="208"/>
      <c r="N321" s="208">
        <v>2.0499999999999998</v>
      </c>
      <c r="O321" s="208">
        <v>2</v>
      </c>
      <c r="P321" s="179">
        <v>1</v>
      </c>
      <c r="Q321" s="53"/>
      <c r="R321" s="54" t="s">
        <v>158</v>
      </c>
      <c r="S321" s="54" t="s">
        <v>158</v>
      </c>
      <c r="T321" s="54" t="s">
        <v>158</v>
      </c>
      <c r="U321" s="54" t="s">
        <v>158</v>
      </c>
      <c r="V321" s="211" t="s">
        <v>515</v>
      </c>
      <c r="W321" s="53"/>
      <c r="X321" s="53">
        <f t="shared" si="71"/>
        <v>0</v>
      </c>
      <c r="Y321" s="55"/>
      <c r="Z321" s="55"/>
      <c r="AA321" s="52">
        <f t="shared" si="72"/>
        <v>0</v>
      </c>
      <c r="AB321" s="53">
        <f t="shared" si="73"/>
        <v>0</v>
      </c>
      <c r="AC321" s="53">
        <f t="shared" si="74"/>
        <v>0</v>
      </c>
      <c r="AD321" s="53">
        <f t="shared" si="75"/>
        <v>0</v>
      </c>
      <c r="AE321" s="53">
        <f t="shared" si="76"/>
        <v>0</v>
      </c>
      <c r="AF321" s="53">
        <f t="shared" si="77"/>
        <v>0</v>
      </c>
      <c r="AG321" s="56">
        <f t="shared" si="78"/>
        <v>0</v>
      </c>
      <c r="AH321" s="53">
        <f t="shared" si="79"/>
        <v>0</v>
      </c>
      <c r="AI321" s="55"/>
      <c r="AJ321" s="53">
        <f t="shared" si="80"/>
        <v>0</v>
      </c>
      <c r="AK321" s="53">
        <f t="shared" si="81"/>
        <v>0</v>
      </c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7"/>
      <c r="AW321" s="57"/>
      <c r="AX321" s="57"/>
    </row>
    <row r="322" spans="2:50">
      <c r="B322" s="45">
        <v>306</v>
      </c>
      <c r="C322" s="205" t="s">
        <v>559</v>
      </c>
      <c r="D322" s="181" t="s">
        <v>544</v>
      </c>
      <c r="E322" s="206" t="s">
        <v>557</v>
      </c>
      <c r="F322" s="207" t="s">
        <v>560</v>
      </c>
      <c r="G322" s="49" t="s">
        <v>190</v>
      </c>
      <c r="H322" s="164">
        <v>42180</v>
      </c>
      <c r="I322" s="164" t="s">
        <v>409</v>
      </c>
      <c r="J322" s="208">
        <f t="shared" si="70"/>
        <v>48</v>
      </c>
      <c r="K322" s="208">
        <v>48</v>
      </c>
      <c r="L322" s="208">
        <v>0</v>
      </c>
      <c r="M322" s="208"/>
      <c r="N322" s="208">
        <v>0.8</v>
      </c>
      <c r="O322" s="208">
        <v>0</v>
      </c>
      <c r="P322" s="179">
        <v>1</v>
      </c>
      <c r="Q322" s="53"/>
      <c r="R322" s="54" t="s">
        <v>158</v>
      </c>
      <c r="S322" s="54" t="s">
        <v>158</v>
      </c>
      <c r="T322" s="54" t="s">
        <v>158</v>
      </c>
      <c r="U322" s="54" t="s">
        <v>158</v>
      </c>
      <c r="V322" s="211" t="s">
        <v>515</v>
      </c>
      <c r="W322" s="53"/>
      <c r="X322" s="53">
        <f t="shared" si="71"/>
        <v>0</v>
      </c>
      <c r="Y322" s="55"/>
      <c r="Z322" s="55"/>
      <c r="AA322" s="52">
        <f t="shared" si="72"/>
        <v>0</v>
      </c>
      <c r="AB322" s="53">
        <f t="shared" si="73"/>
        <v>0</v>
      </c>
      <c r="AC322" s="53">
        <f t="shared" si="74"/>
        <v>0</v>
      </c>
      <c r="AD322" s="53">
        <f t="shared" si="75"/>
        <v>0</v>
      </c>
      <c r="AE322" s="53">
        <f t="shared" si="76"/>
        <v>0</v>
      </c>
      <c r="AF322" s="53">
        <f t="shared" si="77"/>
        <v>0</v>
      </c>
      <c r="AG322" s="56">
        <f t="shared" si="78"/>
        <v>0</v>
      </c>
      <c r="AH322" s="53">
        <f t="shared" si="79"/>
        <v>0</v>
      </c>
      <c r="AI322" s="55"/>
      <c r="AJ322" s="53">
        <f t="shared" si="80"/>
        <v>0</v>
      </c>
      <c r="AK322" s="53">
        <f t="shared" si="81"/>
        <v>0</v>
      </c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7"/>
      <c r="AW322" s="57"/>
      <c r="AX322" s="57"/>
    </row>
    <row r="323" spans="2:50">
      <c r="B323" s="45">
        <v>307</v>
      </c>
      <c r="C323" s="205" t="s">
        <v>559</v>
      </c>
      <c r="D323" s="181" t="s">
        <v>544</v>
      </c>
      <c r="E323" s="206" t="s">
        <v>557</v>
      </c>
      <c r="F323" s="207" t="s">
        <v>560</v>
      </c>
      <c r="G323" s="49" t="s">
        <v>190</v>
      </c>
      <c r="H323" s="164">
        <v>41995</v>
      </c>
      <c r="I323" s="164" t="s">
        <v>409</v>
      </c>
      <c r="J323" s="208">
        <f t="shared" si="70"/>
        <v>6</v>
      </c>
      <c r="K323" s="208">
        <v>6</v>
      </c>
      <c r="L323" s="213">
        <v>0</v>
      </c>
      <c r="M323" s="213"/>
      <c r="N323" s="213">
        <v>0.1</v>
      </c>
      <c r="O323" s="213">
        <v>0</v>
      </c>
      <c r="P323" s="179">
        <v>1</v>
      </c>
      <c r="Q323" s="53"/>
      <c r="R323" s="54" t="s">
        <v>158</v>
      </c>
      <c r="S323" s="54" t="s">
        <v>158</v>
      </c>
      <c r="T323" s="54" t="s">
        <v>158</v>
      </c>
      <c r="U323" s="54" t="s">
        <v>158</v>
      </c>
      <c r="V323" s="211" t="s">
        <v>515</v>
      </c>
      <c r="W323" s="53"/>
      <c r="X323" s="53">
        <f t="shared" si="71"/>
        <v>0</v>
      </c>
      <c r="Y323" s="55"/>
      <c r="Z323" s="55"/>
      <c r="AA323" s="52">
        <f t="shared" si="72"/>
        <v>0</v>
      </c>
      <c r="AB323" s="53">
        <f t="shared" si="73"/>
        <v>0</v>
      </c>
      <c r="AC323" s="53">
        <f t="shared" si="74"/>
        <v>0</v>
      </c>
      <c r="AD323" s="53">
        <f t="shared" si="75"/>
        <v>0</v>
      </c>
      <c r="AE323" s="53">
        <f t="shared" si="76"/>
        <v>0</v>
      </c>
      <c r="AF323" s="53">
        <f t="shared" si="77"/>
        <v>0</v>
      </c>
      <c r="AG323" s="56">
        <f t="shared" si="78"/>
        <v>0</v>
      </c>
      <c r="AH323" s="53">
        <f t="shared" si="79"/>
        <v>0</v>
      </c>
      <c r="AI323" s="55"/>
      <c r="AJ323" s="53">
        <f t="shared" si="80"/>
        <v>0</v>
      </c>
      <c r="AK323" s="53">
        <f t="shared" si="81"/>
        <v>0</v>
      </c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7"/>
      <c r="AW323" s="57"/>
      <c r="AX323" s="57"/>
    </row>
    <row r="324" spans="2:50">
      <c r="B324" s="45">
        <v>308</v>
      </c>
      <c r="C324" s="205" t="s">
        <v>561</v>
      </c>
      <c r="D324" s="181" t="s">
        <v>544</v>
      </c>
      <c r="E324" s="206" t="s">
        <v>557</v>
      </c>
      <c r="F324" s="207" t="s">
        <v>560</v>
      </c>
      <c r="G324" s="49" t="s">
        <v>190</v>
      </c>
      <c r="H324" s="164">
        <v>41995</v>
      </c>
      <c r="I324" s="164" t="s">
        <v>409</v>
      </c>
      <c r="J324" s="208">
        <f t="shared" si="70"/>
        <v>384</v>
      </c>
      <c r="K324" s="208">
        <v>24</v>
      </c>
      <c r="L324" s="208">
        <v>360</v>
      </c>
      <c r="M324" s="208"/>
      <c r="N324" s="208">
        <v>0.4</v>
      </c>
      <c r="O324" s="208">
        <v>6</v>
      </c>
      <c r="P324" s="179">
        <v>1</v>
      </c>
      <c r="Q324" s="53"/>
      <c r="R324" s="54" t="s">
        <v>158</v>
      </c>
      <c r="S324" s="54" t="s">
        <v>158</v>
      </c>
      <c r="T324" s="54" t="s">
        <v>158</v>
      </c>
      <c r="U324" s="54" t="s">
        <v>158</v>
      </c>
      <c r="V324" s="211" t="s">
        <v>515</v>
      </c>
      <c r="W324" s="53"/>
      <c r="X324" s="53">
        <f t="shared" si="71"/>
        <v>0</v>
      </c>
      <c r="Y324" s="55"/>
      <c r="Z324" s="55"/>
      <c r="AA324" s="52">
        <f t="shared" si="72"/>
        <v>0</v>
      </c>
      <c r="AB324" s="53">
        <f t="shared" si="73"/>
        <v>0</v>
      </c>
      <c r="AC324" s="53">
        <f t="shared" si="74"/>
        <v>0</v>
      </c>
      <c r="AD324" s="53">
        <f t="shared" si="75"/>
        <v>0</v>
      </c>
      <c r="AE324" s="53">
        <f t="shared" si="76"/>
        <v>0</v>
      </c>
      <c r="AF324" s="53">
        <f t="shared" si="77"/>
        <v>0</v>
      </c>
      <c r="AG324" s="56">
        <f t="shared" si="78"/>
        <v>0</v>
      </c>
      <c r="AH324" s="53">
        <f t="shared" si="79"/>
        <v>0</v>
      </c>
      <c r="AI324" s="55"/>
      <c r="AJ324" s="53">
        <f t="shared" si="80"/>
        <v>0</v>
      </c>
      <c r="AK324" s="53">
        <f t="shared" si="81"/>
        <v>0</v>
      </c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7"/>
      <c r="AW324" s="57"/>
      <c r="AX324" s="57"/>
    </row>
    <row r="325" spans="2:50">
      <c r="B325" s="45">
        <v>309</v>
      </c>
      <c r="C325" s="205" t="s">
        <v>561</v>
      </c>
      <c r="D325" s="181" t="s">
        <v>544</v>
      </c>
      <c r="E325" s="206" t="s">
        <v>557</v>
      </c>
      <c r="F325" s="207" t="s">
        <v>560</v>
      </c>
      <c r="G325" s="49" t="s">
        <v>190</v>
      </c>
      <c r="H325" s="164">
        <v>42467</v>
      </c>
      <c r="I325" s="164" t="s">
        <v>409</v>
      </c>
      <c r="J325" s="208">
        <f t="shared" si="70"/>
        <v>30</v>
      </c>
      <c r="K325" s="208">
        <v>30</v>
      </c>
      <c r="L325" s="208">
        <v>0</v>
      </c>
      <c r="M325" s="208"/>
      <c r="N325" s="208">
        <v>0.5</v>
      </c>
      <c r="O325" s="208">
        <v>0</v>
      </c>
      <c r="P325" s="179">
        <v>1</v>
      </c>
      <c r="Q325" s="53"/>
      <c r="R325" s="54" t="s">
        <v>158</v>
      </c>
      <c r="S325" s="54" t="s">
        <v>158</v>
      </c>
      <c r="T325" s="54" t="s">
        <v>158</v>
      </c>
      <c r="U325" s="54" t="s">
        <v>158</v>
      </c>
      <c r="V325" s="211" t="s">
        <v>515</v>
      </c>
      <c r="W325" s="53"/>
      <c r="X325" s="53">
        <f t="shared" si="71"/>
        <v>0</v>
      </c>
      <c r="Y325" s="55"/>
      <c r="Z325" s="55"/>
      <c r="AA325" s="52">
        <f t="shared" si="72"/>
        <v>0</v>
      </c>
      <c r="AB325" s="53">
        <f t="shared" si="73"/>
        <v>0</v>
      </c>
      <c r="AC325" s="53">
        <f t="shared" si="74"/>
        <v>0</v>
      </c>
      <c r="AD325" s="53">
        <f t="shared" si="75"/>
        <v>0</v>
      </c>
      <c r="AE325" s="53">
        <f t="shared" si="76"/>
        <v>0</v>
      </c>
      <c r="AF325" s="53">
        <f t="shared" si="77"/>
        <v>0</v>
      </c>
      <c r="AG325" s="56">
        <f t="shared" si="78"/>
        <v>0</v>
      </c>
      <c r="AH325" s="53">
        <f t="shared" si="79"/>
        <v>0</v>
      </c>
      <c r="AI325" s="55"/>
      <c r="AJ325" s="53">
        <f t="shared" si="80"/>
        <v>0</v>
      </c>
      <c r="AK325" s="53">
        <f t="shared" si="81"/>
        <v>0</v>
      </c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7"/>
      <c r="AW325" s="57"/>
      <c r="AX325" s="57"/>
    </row>
    <row r="326" spans="2:50">
      <c r="B326" s="45">
        <v>310</v>
      </c>
      <c r="C326" s="205" t="s">
        <v>304</v>
      </c>
      <c r="D326" s="181" t="s">
        <v>544</v>
      </c>
      <c r="E326" s="206" t="s">
        <v>562</v>
      </c>
      <c r="F326" s="207" t="s">
        <v>563</v>
      </c>
      <c r="G326" s="49" t="s">
        <v>190</v>
      </c>
      <c r="H326" s="164">
        <v>42347</v>
      </c>
      <c r="I326" s="164" t="s">
        <v>409</v>
      </c>
      <c r="J326" s="208">
        <f t="shared" si="70"/>
        <v>336</v>
      </c>
      <c r="K326" s="208">
        <v>36</v>
      </c>
      <c r="L326" s="208">
        <v>300</v>
      </c>
      <c r="M326" s="208"/>
      <c r="N326" s="208">
        <v>0.6</v>
      </c>
      <c r="O326" s="208">
        <v>5</v>
      </c>
      <c r="P326" s="179">
        <v>1</v>
      </c>
      <c r="Q326" s="53"/>
      <c r="R326" s="54" t="s">
        <v>158</v>
      </c>
      <c r="S326" s="54" t="s">
        <v>158</v>
      </c>
      <c r="T326" s="54" t="s">
        <v>158</v>
      </c>
      <c r="U326" s="54" t="s">
        <v>158</v>
      </c>
      <c r="V326" s="211" t="s">
        <v>515</v>
      </c>
      <c r="W326" s="53"/>
      <c r="X326" s="53">
        <f t="shared" si="71"/>
        <v>0</v>
      </c>
      <c r="Y326" s="55"/>
      <c r="Z326" s="55"/>
      <c r="AA326" s="52">
        <f t="shared" si="72"/>
        <v>0</v>
      </c>
      <c r="AB326" s="53">
        <f t="shared" si="73"/>
        <v>0</v>
      </c>
      <c r="AC326" s="53">
        <f t="shared" si="74"/>
        <v>0</v>
      </c>
      <c r="AD326" s="53">
        <f t="shared" si="75"/>
        <v>0</v>
      </c>
      <c r="AE326" s="53">
        <f t="shared" si="76"/>
        <v>0</v>
      </c>
      <c r="AF326" s="53">
        <f t="shared" si="77"/>
        <v>0</v>
      </c>
      <c r="AG326" s="56">
        <f t="shared" si="78"/>
        <v>0</v>
      </c>
      <c r="AH326" s="53">
        <f t="shared" si="79"/>
        <v>0</v>
      </c>
      <c r="AI326" s="55"/>
      <c r="AJ326" s="53">
        <f t="shared" si="80"/>
        <v>0</v>
      </c>
      <c r="AK326" s="53">
        <f t="shared" si="81"/>
        <v>0</v>
      </c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7"/>
      <c r="AW326" s="57"/>
      <c r="AX326" s="57"/>
    </row>
    <row r="327" spans="2:50">
      <c r="B327" s="45">
        <v>311</v>
      </c>
      <c r="C327" s="205" t="s">
        <v>304</v>
      </c>
      <c r="D327" s="181" t="s">
        <v>544</v>
      </c>
      <c r="E327" s="206" t="s">
        <v>562</v>
      </c>
      <c r="F327" s="207" t="s">
        <v>564</v>
      </c>
      <c r="G327" s="49" t="s">
        <v>190</v>
      </c>
      <c r="H327" s="164">
        <v>41995</v>
      </c>
      <c r="I327" s="164" t="s">
        <v>409</v>
      </c>
      <c r="J327" s="208">
        <f t="shared" si="70"/>
        <v>336</v>
      </c>
      <c r="K327" s="208">
        <v>36</v>
      </c>
      <c r="L327" s="208">
        <v>300</v>
      </c>
      <c r="M327" s="208"/>
      <c r="N327" s="208">
        <v>0.6</v>
      </c>
      <c r="O327" s="208">
        <v>5</v>
      </c>
      <c r="P327" s="179">
        <v>1</v>
      </c>
      <c r="Q327" s="53"/>
      <c r="R327" s="54" t="s">
        <v>158</v>
      </c>
      <c r="S327" s="54" t="s">
        <v>158</v>
      </c>
      <c r="T327" s="54" t="s">
        <v>158</v>
      </c>
      <c r="U327" s="54" t="s">
        <v>158</v>
      </c>
      <c r="V327" s="211" t="s">
        <v>515</v>
      </c>
      <c r="W327" s="53"/>
      <c r="X327" s="53">
        <f t="shared" si="71"/>
        <v>0</v>
      </c>
      <c r="Y327" s="55"/>
      <c r="Z327" s="55"/>
      <c r="AA327" s="52">
        <f t="shared" si="72"/>
        <v>0</v>
      </c>
      <c r="AB327" s="53">
        <f t="shared" si="73"/>
        <v>0</v>
      </c>
      <c r="AC327" s="53">
        <f t="shared" si="74"/>
        <v>0</v>
      </c>
      <c r="AD327" s="53">
        <f t="shared" si="75"/>
        <v>0</v>
      </c>
      <c r="AE327" s="53">
        <f t="shared" si="76"/>
        <v>0</v>
      </c>
      <c r="AF327" s="53">
        <f t="shared" si="77"/>
        <v>0</v>
      </c>
      <c r="AG327" s="56">
        <f t="shared" si="78"/>
        <v>0</v>
      </c>
      <c r="AH327" s="53">
        <f t="shared" si="79"/>
        <v>0</v>
      </c>
      <c r="AI327" s="55"/>
      <c r="AJ327" s="53">
        <f t="shared" si="80"/>
        <v>0</v>
      </c>
      <c r="AK327" s="53">
        <f t="shared" si="81"/>
        <v>0</v>
      </c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7"/>
      <c r="AW327" s="57"/>
      <c r="AX327" s="57"/>
    </row>
    <row r="328" spans="2:50">
      <c r="B328" s="45">
        <v>312</v>
      </c>
      <c r="C328" s="205" t="s">
        <v>304</v>
      </c>
      <c r="D328" s="181" t="s">
        <v>544</v>
      </c>
      <c r="E328" s="210" t="s">
        <v>565</v>
      </c>
      <c r="F328" s="207" t="s">
        <v>566</v>
      </c>
      <c r="G328" s="49" t="s">
        <v>190</v>
      </c>
      <c r="H328" s="164">
        <v>42621</v>
      </c>
      <c r="I328" s="164" t="s">
        <v>409</v>
      </c>
      <c r="J328" s="208">
        <f t="shared" si="70"/>
        <v>12</v>
      </c>
      <c r="K328" s="208">
        <v>6</v>
      </c>
      <c r="L328" s="208">
        <v>6</v>
      </c>
      <c r="M328" s="208"/>
      <c r="N328" s="208">
        <v>0.1</v>
      </c>
      <c r="O328" s="208">
        <v>0.1</v>
      </c>
      <c r="P328" s="179">
        <v>1</v>
      </c>
      <c r="Q328" s="53"/>
      <c r="R328" s="54" t="s">
        <v>158</v>
      </c>
      <c r="S328" s="54" t="s">
        <v>158</v>
      </c>
      <c r="T328" s="54" t="s">
        <v>158</v>
      </c>
      <c r="U328" s="54" t="s">
        <v>158</v>
      </c>
      <c r="V328" s="211" t="s">
        <v>515</v>
      </c>
      <c r="W328" s="53"/>
      <c r="X328" s="53">
        <f t="shared" si="71"/>
        <v>0</v>
      </c>
      <c r="Y328" s="55"/>
      <c r="Z328" s="55"/>
      <c r="AA328" s="52">
        <f t="shared" si="72"/>
        <v>0</v>
      </c>
      <c r="AB328" s="53">
        <f t="shared" si="73"/>
        <v>0</v>
      </c>
      <c r="AC328" s="53">
        <f t="shared" si="74"/>
        <v>0</v>
      </c>
      <c r="AD328" s="53">
        <f t="shared" si="75"/>
        <v>0</v>
      </c>
      <c r="AE328" s="53">
        <f t="shared" si="76"/>
        <v>0</v>
      </c>
      <c r="AF328" s="53">
        <f t="shared" si="77"/>
        <v>0</v>
      </c>
      <c r="AG328" s="56">
        <f t="shared" si="78"/>
        <v>0</v>
      </c>
      <c r="AH328" s="53">
        <f t="shared" si="79"/>
        <v>0</v>
      </c>
      <c r="AI328" s="55"/>
      <c r="AJ328" s="53">
        <f t="shared" si="80"/>
        <v>0</v>
      </c>
      <c r="AK328" s="53">
        <f t="shared" si="81"/>
        <v>0</v>
      </c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7"/>
      <c r="AW328" s="57"/>
      <c r="AX328" s="57"/>
    </row>
    <row r="329" spans="2:50">
      <c r="B329" s="45">
        <v>313</v>
      </c>
      <c r="C329" s="205" t="s">
        <v>304</v>
      </c>
      <c r="D329" s="181" t="s">
        <v>544</v>
      </c>
      <c r="E329" s="210" t="s">
        <v>567</v>
      </c>
      <c r="F329" s="207" t="s">
        <v>568</v>
      </c>
      <c r="G329" s="49" t="s">
        <v>190</v>
      </c>
      <c r="H329" s="164">
        <v>43770</v>
      </c>
      <c r="I329" s="164" t="s">
        <v>409</v>
      </c>
      <c r="J329" s="208">
        <f t="shared" si="70"/>
        <v>6</v>
      </c>
      <c r="K329" s="208">
        <v>6</v>
      </c>
      <c r="L329" s="208">
        <v>0</v>
      </c>
      <c r="M329" s="208"/>
      <c r="N329" s="208">
        <v>0.1</v>
      </c>
      <c r="O329" s="208">
        <v>0</v>
      </c>
      <c r="P329" s="179">
        <v>1</v>
      </c>
      <c r="Q329" s="53"/>
      <c r="R329" s="54" t="s">
        <v>158</v>
      </c>
      <c r="S329" s="54" t="s">
        <v>158</v>
      </c>
      <c r="T329" s="54" t="s">
        <v>158</v>
      </c>
      <c r="U329" s="54" t="s">
        <v>158</v>
      </c>
      <c r="V329" s="211" t="s">
        <v>515</v>
      </c>
      <c r="W329" s="53"/>
      <c r="X329" s="53">
        <f t="shared" si="71"/>
        <v>0</v>
      </c>
      <c r="Y329" s="55"/>
      <c r="Z329" s="55"/>
      <c r="AA329" s="52">
        <f t="shared" si="72"/>
        <v>0</v>
      </c>
      <c r="AB329" s="53">
        <f t="shared" si="73"/>
        <v>0</v>
      </c>
      <c r="AC329" s="53">
        <f t="shared" si="74"/>
        <v>0</v>
      </c>
      <c r="AD329" s="53">
        <f t="shared" si="75"/>
        <v>0</v>
      </c>
      <c r="AE329" s="53">
        <f t="shared" si="76"/>
        <v>0</v>
      </c>
      <c r="AF329" s="53">
        <f t="shared" si="77"/>
        <v>0</v>
      </c>
      <c r="AG329" s="56">
        <f t="shared" si="78"/>
        <v>0</v>
      </c>
      <c r="AH329" s="53">
        <f t="shared" si="79"/>
        <v>0</v>
      </c>
      <c r="AI329" s="55"/>
      <c r="AJ329" s="53">
        <f t="shared" si="80"/>
        <v>0</v>
      </c>
      <c r="AK329" s="53">
        <f t="shared" si="81"/>
        <v>0</v>
      </c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7"/>
      <c r="AW329" s="57"/>
      <c r="AX329" s="57"/>
    </row>
    <row r="330" spans="2:50">
      <c r="B330" s="45">
        <v>314</v>
      </c>
      <c r="C330" s="205" t="s">
        <v>304</v>
      </c>
      <c r="D330" s="181" t="s">
        <v>544</v>
      </c>
      <c r="E330" s="210" t="s">
        <v>569</v>
      </c>
      <c r="F330" s="207" t="s">
        <v>570</v>
      </c>
      <c r="G330" s="49" t="s">
        <v>190</v>
      </c>
      <c r="H330" s="164">
        <v>43770</v>
      </c>
      <c r="I330" s="164" t="s">
        <v>409</v>
      </c>
      <c r="J330" s="208">
        <f t="shared" si="70"/>
        <v>6</v>
      </c>
      <c r="K330" s="208">
        <v>6</v>
      </c>
      <c r="L330" s="208">
        <v>0</v>
      </c>
      <c r="M330" s="208"/>
      <c r="N330" s="208">
        <v>0.1</v>
      </c>
      <c r="O330" s="208">
        <v>0</v>
      </c>
      <c r="P330" s="179">
        <v>1</v>
      </c>
      <c r="Q330" s="53"/>
      <c r="R330" s="54" t="s">
        <v>158</v>
      </c>
      <c r="S330" s="54" t="s">
        <v>158</v>
      </c>
      <c r="T330" s="54" t="s">
        <v>158</v>
      </c>
      <c r="U330" s="54" t="s">
        <v>158</v>
      </c>
      <c r="V330" s="211" t="s">
        <v>515</v>
      </c>
      <c r="W330" s="53"/>
      <c r="X330" s="53">
        <f t="shared" si="71"/>
        <v>0</v>
      </c>
      <c r="Y330" s="55"/>
      <c r="Z330" s="55"/>
      <c r="AA330" s="52">
        <f t="shared" si="72"/>
        <v>0</v>
      </c>
      <c r="AB330" s="53">
        <f t="shared" si="73"/>
        <v>0</v>
      </c>
      <c r="AC330" s="53">
        <f t="shared" si="74"/>
        <v>0</v>
      </c>
      <c r="AD330" s="53">
        <f t="shared" si="75"/>
        <v>0</v>
      </c>
      <c r="AE330" s="53">
        <f t="shared" si="76"/>
        <v>0</v>
      </c>
      <c r="AF330" s="53">
        <f t="shared" si="77"/>
        <v>0</v>
      </c>
      <c r="AG330" s="56">
        <f t="shared" si="78"/>
        <v>0</v>
      </c>
      <c r="AH330" s="53">
        <f t="shared" si="79"/>
        <v>0</v>
      </c>
      <c r="AI330" s="55"/>
      <c r="AJ330" s="53">
        <f t="shared" si="80"/>
        <v>0</v>
      </c>
      <c r="AK330" s="53">
        <f t="shared" si="81"/>
        <v>0</v>
      </c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7"/>
      <c r="AW330" s="57"/>
      <c r="AX330" s="57"/>
    </row>
    <row r="331" spans="2:50">
      <c r="B331" s="45">
        <v>315</v>
      </c>
      <c r="C331" s="205" t="s">
        <v>304</v>
      </c>
      <c r="D331" s="181" t="s">
        <v>544</v>
      </c>
      <c r="E331" s="210" t="s">
        <v>571</v>
      </c>
      <c r="F331" s="207" t="s">
        <v>572</v>
      </c>
      <c r="G331" s="49" t="s">
        <v>190</v>
      </c>
      <c r="H331" s="164">
        <v>43770</v>
      </c>
      <c r="I331" s="164" t="s">
        <v>409</v>
      </c>
      <c r="J331" s="208">
        <f t="shared" ref="J331:J394" si="82">SUM(K331:L331)</f>
        <v>3</v>
      </c>
      <c r="K331" s="208">
        <v>3</v>
      </c>
      <c r="L331" s="208">
        <v>0</v>
      </c>
      <c r="M331" s="208"/>
      <c r="N331" s="208">
        <v>0.05</v>
      </c>
      <c r="O331" s="208">
        <v>0</v>
      </c>
      <c r="P331" s="179">
        <v>1</v>
      </c>
      <c r="Q331" s="53"/>
      <c r="R331" s="54" t="s">
        <v>158</v>
      </c>
      <c r="S331" s="54" t="s">
        <v>158</v>
      </c>
      <c r="T331" s="54" t="s">
        <v>158</v>
      </c>
      <c r="U331" s="54" t="s">
        <v>158</v>
      </c>
      <c r="V331" s="211" t="s">
        <v>515</v>
      </c>
      <c r="W331" s="53"/>
      <c r="X331" s="53">
        <f t="shared" si="71"/>
        <v>0</v>
      </c>
      <c r="Y331" s="55"/>
      <c r="Z331" s="55"/>
      <c r="AA331" s="52">
        <f t="shared" si="72"/>
        <v>0</v>
      </c>
      <c r="AB331" s="53">
        <f t="shared" si="73"/>
        <v>0</v>
      </c>
      <c r="AC331" s="53">
        <f t="shared" si="74"/>
        <v>0</v>
      </c>
      <c r="AD331" s="53">
        <f t="shared" si="75"/>
        <v>0</v>
      </c>
      <c r="AE331" s="53">
        <f t="shared" si="76"/>
        <v>0</v>
      </c>
      <c r="AF331" s="53">
        <f t="shared" si="77"/>
        <v>0</v>
      </c>
      <c r="AG331" s="56">
        <f t="shared" si="78"/>
        <v>0</v>
      </c>
      <c r="AH331" s="53">
        <f t="shared" si="79"/>
        <v>0</v>
      </c>
      <c r="AI331" s="55"/>
      <c r="AJ331" s="53">
        <f t="shared" si="80"/>
        <v>0</v>
      </c>
      <c r="AK331" s="53">
        <f t="shared" si="81"/>
        <v>0</v>
      </c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7"/>
      <c r="AW331" s="57"/>
      <c r="AX331" s="57"/>
    </row>
    <row r="332" spans="2:50">
      <c r="B332" s="138" t="s">
        <v>573</v>
      </c>
      <c r="C332" s="139"/>
      <c r="D332" s="139"/>
      <c r="E332" s="139"/>
      <c r="F332" s="140"/>
      <c r="G332" s="141"/>
      <c r="H332" s="141"/>
      <c r="I332" s="142" t="s">
        <v>151</v>
      </c>
      <c r="J332" s="143">
        <f t="shared" si="82"/>
        <v>714.71</v>
      </c>
      <c r="K332" s="143">
        <f>K333/60</f>
        <v>258.02000000000004</v>
      </c>
      <c r="L332" s="143">
        <f t="shared" ref="L332:M332" si="83">L333/60</f>
        <v>456.69</v>
      </c>
      <c r="M332" s="143">
        <f t="shared" si="83"/>
        <v>0</v>
      </c>
      <c r="N332" s="143">
        <f>SUMIF($I334:$I485,"DQA",N334:N485)</f>
        <v>245.37</v>
      </c>
      <c r="O332" s="143">
        <f>SUMIF($I334:$I485,"DQA",O334:O485)</f>
        <v>455.6400000000001</v>
      </c>
      <c r="P332" s="143"/>
      <c r="Q332" s="143"/>
      <c r="R332" s="143">
        <f t="shared" ref="R332:V332" si="84">SUMIF($I334:$I485,"DQA",R334:R485)</f>
        <v>0</v>
      </c>
      <c r="S332" s="143">
        <f t="shared" si="84"/>
        <v>0</v>
      </c>
      <c r="T332" s="143">
        <f t="shared" si="84"/>
        <v>0</v>
      </c>
      <c r="U332" s="143">
        <f t="shared" si="84"/>
        <v>0</v>
      </c>
      <c r="V332" s="143">
        <f t="shared" si="84"/>
        <v>0</v>
      </c>
      <c r="W332" s="143"/>
      <c r="X332" s="143">
        <f>X333/60</f>
        <v>0</v>
      </c>
      <c r="Y332" s="143"/>
      <c r="Z332" s="143"/>
      <c r="AA332" s="143"/>
      <c r="AB332" s="143">
        <f t="shared" ref="AB332:AF332" si="85">AB333/60</f>
        <v>0</v>
      </c>
      <c r="AC332" s="143"/>
      <c r="AD332" s="143">
        <f t="shared" si="85"/>
        <v>0</v>
      </c>
      <c r="AE332" s="143"/>
      <c r="AF332" s="143">
        <f t="shared" si="85"/>
        <v>0</v>
      </c>
      <c r="AG332" s="143"/>
      <c r="AH332" s="143">
        <f>AH333/60</f>
        <v>0</v>
      </c>
      <c r="AI332" s="143"/>
      <c r="AJ332" s="143"/>
      <c r="AK332" s="143">
        <f>AK333/60</f>
        <v>0</v>
      </c>
      <c r="AL332" s="143"/>
      <c r="AM332" s="143"/>
      <c r="AN332" s="143"/>
      <c r="AO332" s="143"/>
      <c r="AP332" s="143"/>
      <c r="AQ332" s="143"/>
      <c r="AR332" s="143"/>
      <c r="AS332" s="143"/>
      <c r="AT332" s="143"/>
      <c r="AU332" s="143"/>
      <c r="AV332" s="143"/>
      <c r="AW332" s="143"/>
      <c r="AX332" s="143">
        <f>AX333/60</f>
        <v>0</v>
      </c>
    </row>
    <row r="333" spans="2:50">
      <c r="B333" s="146"/>
      <c r="C333" s="147"/>
      <c r="D333" s="147"/>
      <c r="E333" s="147"/>
      <c r="F333" s="148"/>
      <c r="G333" s="141"/>
      <c r="H333" s="141"/>
      <c r="I333" s="149" t="s">
        <v>153</v>
      </c>
      <c r="J333" s="143">
        <f t="shared" si="82"/>
        <v>42882.600000000006</v>
      </c>
      <c r="K333" s="143">
        <f>SUMIF($I334:$I485,"DQA",K334:K485)</f>
        <v>15481.2</v>
      </c>
      <c r="L333" s="143">
        <f>SUMIF($I334:$I485,"DQA",L334:L485)</f>
        <v>27401.4</v>
      </c>
      <c r="M333" s="143">
        <f>SUMIF($I334:$I485,"DQA",M334:M485)</f>
        <v>0</v>
      </c>
      <c r="N333" s="143">
        <f>N332*60</f>
        <v>14722.2</v>
      </c>
      <c r="O333" s="143">
        <f>O332*60</f>
        <v>27338.400000000005</v>
      </c>
      <c r="P333" s="143"/>
      <c r="Q333" s="143"/>
      <c r="R333" s="143">
        <f t="shared" ref="R333:V333" si="86">R332*60</f>
        <v>0</v>
      </c>
      <c r="S333" s="143">
        <f t="shared" si="86"/>
        <v>0</v>
      </c>
      <c r="T333" s="143">
        <f t="shared" si="86"/>
        <v>0</v>
      </c>
      <c r="U333" s="143">
        <f t="shared" si="86"/>
        <v>0</v>
      </c>
      <c r="V333" s="143">
        <f t="shared" si="86"/>
        <v>0</v>
      </c>
      <c r="W333" s="143"/>
      <c r="X333" s="143">
        <f>SUM(X334:X485)</f>
        <v>0</v>
      </c>
      <c r="Y333" s="143"/>
      <c r="Z333" s="143"/>
      <c r="AA333" s="143"/>
      <c r="AB333" s="143">
        <f>SUM(AB334:AB485)</f>
        <v>0</v>
      </c>
      <c r="AC333" s="143"/>
      <c r="AD333" s="143">
        <f t="shared" ref="AD333:AK333" si="87">SUM(AD334:AD485)</f>
        <v>0</v>
      </c>
      <c r="AE333" s="143"/>
      <c r="AF333" s="143">
        <f t="shared" si="87"/>
        <v>0</v>
      </c>
      <c r="AG333" s="143"/>
      <c r="AH333" s="143">
        <f t="shared" si="87"/>
        <v>0</v>
      </c>
      <c r="AI333" s="143"/>
      <c r="AJ333" s="143"/>
      <c r="AK333" s="143">
        <f t="shared" si="87"/>
        <v>0</v>
      </c>
      <c r="AL333" s="143"/>
      <c r="AM333" s="143"/>
      <c r="AN333" s="143"/>
      <c r="AO333" s="143"/>
      <c r="AP333" s="143"/>
      <c r="AQ333" s="143"/>
      <c r="AR333" s="143"/>
      <c r="AS333" s="143"/>
      <c r="AT333" s="143"/>
      <c r="AU333" s="143"/>
      <c r="AV333" s="143"/>
      <c r="AW333" s="143"/>
      <c r="AX333" s="143">
        <f>SUM(AX334:AX485)</f>
        <v>0</v>
      </c>
    </row>
    <row r="334" spans="2:50">
      <c r="B334" s="45">
        <v>316</v>
      </c>
      <c r="C334" s="214" t="s">
        <v>574</v>
      </c>
      <c r="D334" s="215" t="s">
        <v>575</v>
      </c>
      <c r="E334" s="215" t="s">
        <v>576</v>
      </c>
      <c r="F334" s="216" t="s">
        <v>577</v>
      </c>
      <c r="G334" s="217" t="s">
        <v>578</v>
      </c>
      <c r="H334" s="218">
        <v>42979</v>
      </c>
      <c r="I334" s="164" t="s">
        <v>409</v>
      </c>
      <c r="J334" s="219">
        <f t="shared" si="82"/>
        <v>90</v>
      </c>
      <c r="K334" s="219">
        <v>90</v>
      </c>
      <c r="L334" s="219">
        <v>0</v>
      </c>
      <c r="M334" s="219"/>
      <c r="N334" s="220">
        <v>1.5000000000000002</v>
      </c>
      <c r="O334" s="221">
        <v>0</v>
      </c>
      <c r="P334" s="222">
        <v>1</v>
      </c>
      <c r="Q334" s="53" t="s">
        <v>257</v>
      </c>
      <c r="R334" s="54" t="s">
        <v>158</v>
      </c>
      <c r="S334" s="54" t="s">
        <v>158</v>
      </c>
      <c r="T334" s="54" t="s">
        <v>158</v>
      </c>
      <c r="U334" s="54" t="s">
        <v>158</v>
      </c>
      <c r="V334" s="211" t="s">
        <v>515</v>
      </c>
      <c r="W334" s="53"/>
      <c r="X334" s="53">
        <f t="shared" ref="X334:X397" si="88">SUMIF(W334,"Y",K334)</f>
        <v>0</v>
      </c>
      <c r="Y334" s="55"/>
      <c r="Z334" s="55"/>
      <c r="AA334" s="52">
        <f t="shared" ref="AA334:AA397" si="89">(COUNTA(AL334:AU334)-COUNTIF(AL334:AU334, "X"))</f>
        <v>0</v>
      </c>
      <c r="AB334" s="53">
        <f t="shared" ref="AB334:AB397" si="90">(COUNTA(AL334:AU334)-COUNTIF(AL334:AU334, "X"))*P334*K334</f>
        <v>0</v>
      </c>
      <c r="AC334" s="53">
        <f t="shared" ref="AC334:AC397" si="91">COUNTIF(AL334:AU334,"A")</f>
        <v>0</v>
      </c>
      <c r="AD334" s="53">
        <f t="shared" ref="AD334:AD397" si="92">COUNTIF(AL334:AU334,"V")*P334*M334</f>
        <v>0</v>
      </c>
      <c r="AE334" s="53">
        <f t="shared" ref="AE334:AE397" si="93">COUNTIF(AL334:AU334,"L")</f>
        <v>0</v>
      </c>
      <c r="AF334" s="53">
        <f t="shared" ref="AF334:AF397" si="94">COUNTIF(AL334:AU334,"L")*K334*P334</f>
        <v>0</v>
      </c>
      <c r="AG334" s="56">
        <f t="shared" ref="AG334:AG397" si="95">IF(Q334="Y",1,0)</f>
        <v>1</v>
      </c>
      <c r="AH334" s="53">
        <f t="shared" ref="AH334:AH397" si="96">IF(Q334="Y", AA334, 0)*K334*P334/2</f>
        <v>0</v>
      </c>
      <c r="AI334" s="55"/>
      <c r="AJ334" s="53">
        <f t="shared" ref="AJ334:AJ397" si="97">COUNTIF(AL334:AU334, "V")</f>
        <v>0</v>
      </c>
      <c r="AK334" s="53">
        <f t="shared" ref="AK334:AK397" si="98">AB334-AD334-AF334-AH334</f>
        <v>0</v>
      </c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7"/>
      <c r="AW334" s="57"/>
      <c r="AX334" s="57"/>
    </row>
    <row r="335" spans="2:50">
      <c r="B335" s="45">
        <v>317</v>
      </c>
      <c r="C335" s="214" t="s">
        <v>574</v>
      </c>
      <c r="D335" s="215" t="s">
        <v>575</v>
      </c>
      <c r="E335" s="215" t="s">
        <v>576</v>
      </c>
      <c r="F335" s="216" t="s">
        <v>579</v>
      </c>
      <c r="G335" s="217" t="s">
        <v>578</v>
      </c>
      <c r="H335" s="218">
        <v>42796</v>
      </c>
      <c r="I335" s="164" t="s">
        <v>409</v>
      </c>
      <c r="J335" s="219">
        <f t="shared" si="82"/>
        <v>171</v>
      </c>
      <c r="K335" s="219">
        <v>171</v>
      </c>
      <c r="L335" s="219">
        <v>0</v>
      </c>
      <c r="M335" s="219"/>
      <c r="N335" s="223">
        <v>2</v>
      </c>
      <c r="O335" s="223">
        <v>0</v>
      </c>
      <c r="P335" s="224">
        <v>1</v>
      </c>
      <c r="Q335" s="53"/>
      <c r="R335" s="54" t="s">
        <v>158</v>
      </c>
      <c r="S335" s="54" t="s">
        <v>158</v>
      </c>
      <c r="T335" s="54" t="s">
        <v>158</v>
      </c>
      <c r="U335" s="54" t="s">
        <v>158</v>
      </c>
      <c r="V335" s="211" t="s">
        <v>580</v>
      </c>
      <c r="W335" s="53"/>
      <c r="X335" s="53">
        <f t="shared" si="88"/>
        <v>0</v>
      </c>
      <c r="Y335" s="55"/>
      <c r="Z335" s="55"/>
      <c r="AA335" s="52">
        <f t="shared" si="89"/>
        <v>0</v>
      </c>
      <c r="AB335" s="53">
        <f t="shared" si="90"/>
        <v>0</v>
      </c>
      <c r="AC335" s="53">
        <f t="shared" si="91"/>
        <v>0</v>
      </c>
      <c r="AD335" s="53">
        <f t="shared" si="92"/>
        <v>0</v>
      </c>
      <c r="AE335" s="53">
        <f t="shared" si="93"/>
        <v>0</v>
      </c>
      <c r="AF335" s="53">
        <f t="shared" si="94"/>
        <v>0</v>
      </c>
      <c r="AG335" s="56">
        <f t="shared" si="95"/>
        <v>0</v>
      </c>
      <c r="AH335" s="53">
        <f t="shared" si="96"/>
        <v>0</v>
      </c>
      <c r="AI335" s="55"/>
      <c r="AJ335" s="53">
        <f t="shared" si="97"/>
        <v>0</v>
      </c>
      <c r="AK335" s="53">
        <f t="shared" si="98"/>
        <v>0</v>
      </c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7"/>
      <c r="AW335" s="57"/>
      <c r="AX335" s="57"/>
    </row>
    <row r="336" spans="2:50">
      <c r="B336" s="45">
        <v>318</v>
      </c>
      <c r="C336" s="214" t="s">
        <v>574</v>
      </c>
      <c r="D336" s="215" t="s">
        <v>575</v>
      </c>
      <c r="E336" s="215" t="s">
        <v>576</v>
      </c>
      <c r="F336" s="216" t="s">
        <v>581</v>
      </c>
      <c r="G336" s="217" t="s">
        <v>578</v>
      </c>
      <c r="H336" s="218">
        <v>43594</v>
      </c>
      <c r="I336" s="164" t="s">
        <v>409</v>
      </c>
      <c r="J336" s="219">
        <f t="shared" si="82"/>
        <v>60</v>
      </c>
      <c r="K336" s="219">
        <v>60</v>
      </c>
      <c r="L336" s="219">
        <v>0</v>
      </c>
      <c r="M336" s="219"/>
      <c r="N336" s="223">
        <v>0.9</v>
      </c>
      <c r="O336" s="223">
        <v>0</v>
      </c>
      <c r="P336" s="224">
        <v>1</v>
      </c>
      <c r="Q336" s="53"/>
      <c r="R336" s="54" t="s">
        <v>158</v>
      </c>
      <c r="S336" s="54" t="s">
        <v>158</v>
      </c>
      <c r="T336" s="54" t="s">
        <v>158</v>
      </c>
      <c r="U336" s="54" t="s">
        <v>158</v>
      </c>
      <c r="V336" s="211" t="s">
        <v>582</v>
      </c>
      <c r="W336" s="53"/>
      <c r="X336" s="53">
        <f t="shared" si="88"/>
        <v>0</v>
      </c>
      <c r="Y336" s="55"/>
      <c r="Z336" s="55"/>
      <c r="AA336" s="52">
        <f t="shared" si="89"/>
        <v>0</v>
      </c>
      <c r="AB336" s="53">
        <f t="shared" si="90"/>
        <v>0</v>
      </c>
      <c r="AC336" s="53">
        <f t="shared" si="91"/>
        <v>0</v>
      </c>
      <c r="AD336" s="53">
        <f t="shared" si="92"/>
        <v>0</v>
      </c>
      <c r="AE336" s="53">
        <f t="shared" si="93"/>
        <v>0</v>
      </c>
      <c r="AF336" s="53">
        <f t="shared" si="94"/>
        <v>0</v>
      </c>
      <c r="AG336" s="56">
        <f t="shared" si="95"/>
        <v>0</v>
      </c>
      <c r="AH336" s="53">
        <f t="shared" si="96"/>
        <v>0</v>
      </c>
      <c r="AI336" s="55"/>
      <c r="AJ336" s="53">
        <f t="shared" si="97"/>
        <v>0</v>
      </c>
      <c r="AK336" s="53">
        <f t="shared" si="98"/>
        <v>0</v>
      </c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7"/>
      <c r="AW336" s="57"/>
      <c r="AX336" s="57"/>
    </row>
    <row r="337" spans="2:50">
      <c r="B337" s="45">
        <v>319</v>
      </c>
      <c r="C337" s="214" t="s">
        <v>574</v>
      </c>
      <c r="D337" s="215" t="s">
        <v>575</v>
      </c>
      <c r="E337" s="215" t="s">
        <v>576</v>
      </c>
      <c r="F337" s="216" t="s">
        <v>583</v>
      </c>
      <c r="G337" s="217" t="s">
        <v>578</v>
      </c>
      <c r="H337" s="218">
        <v>43594</v>
      </c>
      <c r="I337" s="164" t="s">
        <v>409</v>
      </c>
      <c r="J337" s="219">
        <f t="shared" si="82"/>
        <v>18</v>
      </c>
      <c r="K337" s="219">
        <v>18</v>
      </c>
      <c r="L337" s="219">
        <v>0</v>
      </c>
      <c r="M337" s="219"/>
      <c r="N337" s="225">
        <v>0.3</v>
      </c>
      <c r="O337" s="226">
        <v>0</v>
      </c>
      <c r="P337" s="227">
        <v>1</v>
      </c>
      <c r="Q337" s="53"/>
      <c r="R337" s="54" t="s">
        <v>158</v>
      </c>
      <c r="S337" s="54" t="s">
        <v>158</v>
      </c>
      <c r="T337" s="54" t="s">
        <v>158</v>
      </c>
      <c r="U337" s="54" t="s">
        <v>158</v>
      </c>
      <c r="V337" s="211" t="s">
        <v>582</v>
      </c>
      <c r="W337" s="53"/>
      <c r="X337" s="53">
        <f t="shared" si="88"/>
        <v>0</v>
      </c>
      <c r="Y337" s="55"/>
      <c r="Z337" s="55"/>
      <c r="AA337" s="52">
        <f t="shared" si="89"/>
        <v>0</v>
      </c>
      <c r="AB337" s="53">
        <f t="shared" si="90"/>
        <v>0</v>
      </c>
      <c r="AC337" s="53">
        <f t="shared" si="91"/>
        <v>0</v>
      </c>
      <c r="AD337" s="53">
        <f t="shared" si="92"/>
        <v>0</v>
      </c>
      <c r="AE337" s="53">
        <f t="shared" si="93"/>
        <v>0</v>
      </c>
      <c r="AF337" s="53">
        <f t="shared" si="94"/>
        <v>0</v>
      </c>
      <c r="AG337" s="56">
        <f t="shared" si="95"/>
        <v>0</v>
      </c>
      <c r="AH337" s="53">
        <f t="shared" si="96"/>
        <v>0</v>
      </c>
      <c r="AI337" s="55"/>
      <c r="AJ337" s="53">
        <f t="shared" si="97"/>
        <v>0</v>
      </c>
      <c r="AK337" s="53">
        <f t="shared" si="98"/>
        <v>0</v>
      </c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7"/>
      <c r="AW337" s="57"/>
      <c r="AX337" s="57"/>
    </row>
    <row r="338" spans="2:50">
      <c r="B338" s="45">
        <v>320</v>
      </c>
      <c r="C338" s="214" t="s">
        <v>574</v>
      </c>
      <c r="D338" s="215" t="s">
        <v>575</v>
      </c>
      <c r="E338" s="215" t="s">
        <v>576</v>
      </c>
      <c r="F338" s="216" t="s">
        <v>584</v>
      </c>
      <c r="G338" s="217" t="s">
        <v>578</v>
      </c>
      <c r="H338" s="218">
        <v>42983</v>
      </c>
      <c r="I338" s="164" t="s">
        <v>409</v>
      </c>
      <c r="J338" s="219">
        <f t="shared" si="82"/>
        <v>3</v>
      </c>
      <c r="K338" s="219">
        <v>3</v>
      </c>
      <c r="L338" s="219">
        <v>0</v>
      </c>
      <c r="M338" s="219"/>
      <c r="N338" s="223">
        <v>0.05</v>
      </c>
      <c r="O338" s="223">
        <v>0</v>
      </c>
      <c r="P338" s="224">
        <v>1</v>
      </c>
      <c r="Q338" s="53"/>
      <c r="R338" s="54" t="s">
        <v>158</v>
      </c>
      <c r="S338" s="54" t="s">
        <v>158</v>
      </c>
      <c r="T338" s="54" t="s">
        <v>158</v>
      </c>
      <c r="U338" s="54" t="s">
        <v>158</v>
      </c>
      <c r="V338" s="211" t="s">
        <v>515</v>
      </c>
      <c r="W338" s="53"/>
      <c r="X338" s="53">
        <f t="shared" si="88"/>
        <v>0</v>
      </c>
      <c r="Y338" s="55"/>
      <c r="Z338" s="55"/>
      <c r="AA338" s="52">
        <f t="shared" si="89"/>
        <v>0</v>
      </c>
      <c r="AB338" s="53">
        <f t="shared" si="90"/>
        <v>0</v>
      </c>
      <c r="AC338" s="53">
        <f t="shared" si="91"/>
        <v>0</v>
      </c>
      <c r="AD338" s="53">
        <f t="shared" si="92"/>
        <v>0</v>
      </c>
      <c r="AE338" s="53">
        <f t="shared" si="93"/>
        <v>0</v>
      </c>
      <c r="AF338" s="53">
        <f t="shared" si="94"/>
        <v>0</v>
      </c>
      <c r="AG338" s="56">
        <f t="shared" si="95"/>
        <v>0</v>
      </c>
      <c r="AH338" s="53">
        <f t="shared" si="96"/>
        <v>0</v>
      </c>
      <c r="AI338" s="55"/>
      <c r="AJ338" s="53">
        <f t="shared" si="97"/>
        <v>0</v>
      </c>
      <c r="AK338" s="53">
        <f t="shared" si="98"/>
        <v>0</v>
      </c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7"/>
      <c r="AW338" s="57"/>
      <c r="AX338" s="57"/>
    </row>
    <row r="339" spans="2:50">
      <c r="B339" s="45">
        <v>321</v>
      </c>
      <c r="C339" s="214" t="s">
        <v>574</v>
      </c>
      <c r="D339" s="215" t="s">
        <v>575</v>
      </c>
      <c r="E339" s="215" t="s">
        <v>576</v>
      </c>
      <c r="F339" s="216" t="s">
        <v>585</v>
      </c>
      <c r="G339" s="217" t="s">
        <v>578</v>
      </c>
      <c r="H339" s="218">
        <v>42983</v>
      </c>
      <c r="I339" s="164" t="s">
        <v>409</v>
      </c>
      <c r="J339" s="219">
        <f t="shared" si="82"/>
        <v>12</v>
      </c>
      <c r="K339" s="219">
        <v>12</v>
      </c>
      <c r="L339" s="219">
        <v>0</v>
      </c>
      <c r="M339" s="219"/>
      <c r="N339" s="228">
        <v>0.2</v>
      </c>
      <c r="O339" s="228">
        <v>0</v>
      </c>
      <c r="P339" s="229">
        <v>1</v>
      </c>
      <c r="Q339" s="53"/>
      <c r="R339" s="54" t="s">
        <v>158</v>
      </c>
      <c r="S339" s="54" t="s">
        <v>158</v>
      </c>
      <c r="T339" s="54" t="s">
        <v>158</v>
      </c>
      <c r="U339" s="54" t="s">
        <v>158</v>
      </c>
      <c r="V339" s="211" t="s">
        <v>515</v>
      </c>
      <c r="W339" s="53"/>
      <c r="X339" s="53">
        <f t="shared" si="88"/>
        <v>0</v>
      </c>
      <c r="Y339" s="55"/>
      <c r="Z339" s="55"/>
      <c r="AA339" s="52">
        <f t="shared" si="89"/>
        <v>0</v>
      </c>
      <c r="AB339" s="53">
        <f t="shared" si="90"/>
        <v>0</v>
      </c>
      <c r="AC339" s="53">
        <f t="shared" si="91"/>
        <v>0</v>
      </c>
      <c r="AD339" s="53">
        <f t="shared" si="92"/>
        <v>0</v>
      </c>
      <c r="AE339" s="53">
        <f t="shared" si="93"/>
        <v>0</v>
      </c>
      <c r="AF339" s="53">
        <f t="shared" si="94"/>
        <v>0</v>
      </c>
      <c r="AG339" s="56">
        <f t="shared" si="95"/>
        <v>0</v>
      </c>
      <c r="AH339" s="53">
        <f t="shared" si="96"/>
        <v>0</v>
      </c>
      <c r="AI339" s="55"/>
      <c r="AJ339" s="53">
        <f t="shared" si="97"/>
        <v>0</v>
      </c>
      <c r="AK339" s="53">
        <f t="shared" si="98"/>
        <v>0</v>
      </c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7"/>
      <c r="AW339" s="57"/>
      <c r="AX339" s="57"/>
    </row>
    <row r="340" spans="2:50">
      <c r="B340" s="45">
        <v>322</v>
      </c>
      <c r="C340" s="214" t="s">
        <v>574</v>
      </c>
      <c r="D340" s="215" t="s">
        <v>575</v>
      </c>
      <c r="E340" s="215" t="s">
        <v>576</v>
      </c>
      <c r="F340" s="216" t="s">
        <v>586</v>
      </c>
      <c r="G340" s="217" t="s">
        <v>578</v>
      </c>
      <c r="H340" s="218">
        <v>42982</v>
      </c>
      <c r="I340" s="164" t="s">
        <v>409</v>
      </c>
      <c r="J340" s="219">
        <f t="shared" si="82"/>
        <v>24</v>
      </c>
      <c r="K340" s="219">
        <v>24</v>
      </c>
      <c r="L340" s="219">
        <v>0</v>
      </c>
      <c r="M340" s="219"/>
      <c r="N340" s="230">
        <v>0.4</v>
      </c>
      <c r="O340" s="230">
        <v>0</v>
      </c>
      <c r="P340" s="231">
        <v>1</v>
      </c>
      <c r="Q340" s="53"/>
      <c r="R340" s="54" t="s">
        <v>158</v>
      </c>
      <c r="S340" s="54" t="s">
        <v>158</v>
      </c>
      <c r="T340" s="54" t="s">
        <v>158</v>
      </c>
      <c r="U340" s="54" t="s">
        <v>158</v>
      </c>
      <c r="V340" s="211" t="s">
        <v>515</v>
      </c>
      <c r="W340" s="53"/>
      <c r="X340" s="53">
        <f t="shared" si="88"/>
        <v>0</v>
      </c>
      <c r="Y340" s="55"/>
      <c r="Z340" s="55"/>
      <c r="AA340" s="52">
        <f t="shared" si="89"/>
        <v>0</v>
      </c>
      <c r="AB340" s="53">
        <f t="shared" si="90"/>
        <v>0</v>
      </c>
      <c r="AC340" s="53">
        <f t="shared" si="91"/>
        <v>0</v>
      </c>
      <c r="AD340" s="53">
        <f t="shared" si="92"/>
        <v>0</v>
      </c>
      <c r="AE340" s="53">
        <f t="shared" si="93"/>
        <v>0</v>
      </c>
      <c r="AF340" s="53">
        <f t="shared" si="94"/>
        <v>0</v>
      </c>
      <c r="AG340" s="56">
        <f t="shared" si="95"/>
        <v>0</v>
      </c>
      <c r="AH340" s="53">
        <f t="shared" si="96"/>
        <v>0</v>
      </c>
      <c r="AI340" s="55"/>
      <c r="AJ340" s="53">
        <f t="shared" si="97"/>
        <v>0</v>
      </c>
      <c r="AK340" s="53">
        <f t="shared" si="98"/>
        <v>0</v>
      </c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7"/>
      <c r="AW340" s="57"/>
      <c r="AX340" s="57"/>
    </row>
    <row r="341" spans="2:50">
      <c r="B341" s="45">
        <v>323</v>
      </c>
      <c r="C341" s="214" t="s">
        <v>574</v>
      </c>
      <c r="D341" s="215" t="s">
        <v>575</v>
      </c>
      <c r="E341" s="215" t="s">
        <v>576</v>
      </c>
      <c r="F341" s="216" t="s">
        <v>587</v>
      </c>
      <c r="G341" s="217" t="s">
        <v>578</v>
      </c>
      <c r="H341" s="218">
        <v>42982</v>
      </c>
      <c r="I341" s="164" t="s">
        <v>409</v>
      </c>
      <c r="J341" s="219">
        <f t="shared" si="82"/>
        <v>748.2</v>
      </c>
      <c r="K341" s="219">
        <v>28.2</v>
      </c>
      <c r="L341" s="219">
        <v>720</v>
      </c>
      <c r="M341" s="219"/>
      <c r="N341" s="223">
        <v>0.39999999999999997</v>
      </c>
      <c r="O341" s="223">
        <v>12</v>
      </c>
      <c r="P341" s="224">
        <v>1</v>
      </c>
      <c r="Q341" s="53" t="s">
        <v>257</v>
      </c>
      <c r="R341" s="54" t="s">
        <v>158</v>
      </c>
      <c r="S341" s="54" t="s">
        <v>158</v>
      </c>
      <c r="T341" s="54" t="s">
        <v>158</v>
      </c>
      <c r="U341" s="54" t="s">
        <v>158</v>
      </c>
      <c r="V341" s="211" t="s">
        <v>515</v>
      </c>
      <c r="W341" s="53"/>
      <c r="X341" s="53">
        <f t="shared" si="88"/>
        <v>0</v>
      </c>
      <c r="Y341" s="55"/>
      <c r="Z341" s="55"/>
      <c r="AA341" s="52">
        <f t="shared" si="89"/>
        <v>0</v>
      </c>
      <c r="AB341" s="53">
        <f t="shared" si="90"/>
        <v>0</v>
      </c>
      <c r="AC341" s="53">
        <f t="shared" si="91"/>
        <v>0</v>
      </c>
      <c r="AD341" s="53">
        <f t="shared" si="92"/>
        <v>0</v>
      </c>
      <c r="AE341" s="53">
        <f t="shared" si="93"/>
        <v>0</v>
      </c>
      <c r="AF341" s="53">
        <f t="shared" si="94"/>
        <v>0</v>
      </c>
      <c r="AG341" s="56">
        <f t="shared" si="95"/>
        <v>1</v>
      </c>
      <c r="AH341" s="53">
        <f t="shared" si="96"/>
        <v>0</v>
      </c>
      <c r="AI341" s="55"/>
      <c r="AJ341" s="53">
        <f t="shared" si="97"/>
        <v>0</v>
      </c>
      <c r="AK341" s="53">
        <f t="shared" si="98"/>
        <v>0</v>
      </c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7"/>
      <c r="AW341" s="57"/>
      <c r="AX341" s="57"/>
    </row>
    <row r="342" spans="2:50">
      <c r="B342" s="45">
        <v>324</v>
      </c>
      <c r="C342" s="214" t="s">
        <v>574</v>
      </c>
      <c r="D342" s="215" t="s">
        <v>575</v>
      </c>
      <c r="E342" s="215" t="s">
        <v>576</v>
      </c>
      <c r="F342" s="216" t="s">
        <v>588</v>
      </c>
      <c r="G342" s="217" t="s">
        <v>578</v>
      </c>
      <c r="H342" s="218">
        <v>42816</v>
      </c>
      <c r="I342" s="164" t="s">
        <v>409</v>
      </c>
      <c r="J342" s="219">
        <f t="shared" si="82"/>
        <v>1569</v>
      </c>
      <c r="K342" s="219">
        <v>39</v>
      </c>
      <c r="L342" s="219">
        <v>1530</v>
      </c>
      <c r="M342" s="219"/>
      <c r="N342" s="223">
        <v>0.5</v>
      </c>
      <c r="O342" s="223">
        <v>25</v>
      </c>
      <c r="P342" s="224">
        <v>1</v>
      </c>
      <c r="Q342" s="53"/>
      <c r="R342" s="54" t="s">
        <v>158</v>
      </c>
      <c r="S342" s="54" t="s">
        <v>158</v>
      </c>
      <c r="T342" s="54" t="s">
        <v>158</v>
      </c>
      <c r="U342" s="54" t="s">
        <v>158</v>
      </c>
      <c r="V342" s="211" t="s">
        <v>515</v>
      </c>
      <c r="W342" s="53"/>
      <c r="X342" s="53">
        <f t="shared" si="88"/>
        <v>0</v>
      </c>
      <c r="Y342" s="55"/>
      <c r="Z342" s="55"/>
      <c r="AA342" s="52">
        <f t="shared" si="89"/>
        <v>0</v>
      </c>
      <c r="AB342" s="53">
        <f t="shared" si="90"/>
        <v>0</v>
      </c>
      <c r="AC342" s="53">
        <f t="shared" si="91"/>
        <v>0</v>
      </c>
      <c r="AD342" s="53">
        <f t="shared" si="92"/>
        <v>0</v>
      </c>
      <c r="AE342" s="53">
        <f t="shared" si="93"/>
        <v>0</v>
      </c>
      <c r="AF342" s="53">
        <f t="shared" si="94"/>
        <v>0</v>
      </c>
      <c r="AG342" s="56">
        <f t="shared" si="95"/>
        <v>0</v>
      </c>
      <c r="AH342" s="53">
        <f t="shared" si="96"/>
        <v>0</v>
      </c>
      <c r="AI342" s="55"/>
      <c r="AJ342" s="53">
        <f t="shared" si="97"/>
        <v>0</v>
      </c>
      <c r="AK342" s="53">
        <f t="shared" si="98"/>
        <v>0</v>
      </c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7"/>
      <c r="AW342" s="57"/>
      <c r="AX342" s="57"/>
    </row>
    <row r="343" spans="2:50">
      <c r="B343" s="45">
        <v>325</v>
      </c>
      <c r="C343" s="214" t="s">
        <v>574</v>
      </c>
      <c r="D343" s="215" t="s">
        <v>575</v>
      </c>
      <c r="E343" s="215" t="s">
        <v>576</v>
      </c>
      <c r="F343" s="216" t="s">
        <v>589</v>
      </c>
      <c r="G343" s="217" t="s">
        <v>578</v>
      </c>
      <c r="H343" s="218">
        <v>43364</v>
      </c>
      <c r="I343" s="164" t="s">
        <v>409</v>
      </c>
      <c r="J343" s="219">
        <f t="shared" si="82"/>
        <v>198</v>
      </c>
      <c r="K343" s="219">
        <v>18</v>
      </c>
      <c r="L343" s="219">
        <v>180</v>
      </c>
      <c r="M343" s="219"/>
      <c r="N343" s="223">
        <v>0.23</v>
      </c>
      <c r="O343" s="223">
        <v>3</v>
      </c>
      <c r="P343" s="224">
        <v>1</v>
      </c>
      <c r="Q343" s="53"/>
      <c r="R343" s="54" t="s">
        <v>158</v>
      </c>
      <c r="S343" s="54" t="s">
        <v>158</v>
      </c>
      <c r="T343" s="54" t="s">
        <v>158</v>
      </c>
      <c r="U343" s="54" t="s">
        <v>158</v>
      </c>
      <c r="V343" s="211" t="s">
        <v>515</v>
      </c>
      <c r="W343" s="53"/>
      <c r="X343" s="53">
        <f t="shared" si="88"/>
        <v>0</v>
      </c>
      <c r="Y343" s="55"/>
      <c r="Z343" s="55"/>
      <c r="AA343" s="52">
        <f t="shared" si="89"/>
        <v>0</v>
      </c>
      <c r="AB343" s="53">
        <f t="shared" si="90"/>
        <v>0</v>
      </c>
      <c r="AC343" s="53">
        <f t="shared" si="91"/>
        <v>0</v>
      </c>
      <c r="AD343" s="53">
        <f t="shared" si="92"/>
        <v>0</v>
      </c>
      <c r="AE343" s="53">
        <f t="shared" si="93"/>
        <v>0</v>
      </c>
      <c r="AF343" s="53">
        <f t="shared" si="94"/>
        <v>0</v>
      </c>
      <c r="AG343" s="56">
        <f t="shared" si="95"/>
        <v>0</v>
      </c>
      <c r="AH343" s="53">
        <f t="shared" si="96"/>
        <v>0</v>
      </c>
      <c r="AI343" s="55"/>
      <c r="AJ343" s="53">
        <f t="shared" si="97"/>
        <v>0</v>
      </c>
      <c r="AK343" s="53">
        <f t="shared" si="98"/>
        <v>0</v>
      </c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7"/>
      <c r="AW343" s="57"/>
      <c r="AX343" s="57"/>
    </row>
    <row r="344" spans="2:50">
      <c r="B344" s="45">
        <v>326</v>
      </c>
      <c r="C344" s="214" t="s">
        <v>574</v>
      </c>
      <c r="D344" s="215" t="s">
        <v>575</v>
      </c>
      <c r="E344" s="215" t="s">
        <v>576</v>
      </c>
      <c r="F344" s="216" t="s">
        <v>590</v>
      </c>
      <c r="G344" s="217" t="s">
        <v>578</v>
      </c>
      <c r="H344" s="218">
        <v>42930</v>
      </c>
      <c r="I344" s="164" t="s">
        <v>409</v>
      </c>
      <c r="J344" s="219">
        <f t="shared" si="82"/>
        <v>24</v>
      </c>
      <c r="K344" s="219">
        <v>24</v>
      </c>
      <c r="L344" s="219">
        <v>0</v>
      </c>
      <c r="M344" s="219"/>
      <c r="N344" s="228">
        <v>0.4</v>
      </c>
      <c r="O344" s="228">
        <v>0</v>
      </c>
      <c r="P344" s="229">
        <v>1</v>
      </c>
      <c r="Q344" s="53"/>
      <c r="R344" s="54" t="s">
        <v>158</v>
      </c>
      <c r="S344" s="54" t="s">
        <v>158</v>
      </c>
      <c r="T344" s="54" t="s">
        <v>158</v>
      </c>
      <c r="U344" s="54" t="s">
        <v>158</v>
      </c>
      <c r="V344" s="211" t="s">
        <v>515</v>
      </c>
      <c r="W344" s="53"/>
      <c r="X344" s="53">
        <f t="shared" si="88"/>
        <v>0</v>
      </c>
      <c r="Y344" s="55"/>
      <c r="Z344" s="55"/>
      <c r="AA344" s="52">
        <f t="shared" si="89"/>
        <v>0</v>
      </c>
      <c r="AB344" s="53">
        <f t="shared" si="90"/>
        <v>0</v>
      </c>
      <c r="AC344" s="53">
        <f t="shared" si="91"/>
        <v>0</v>
      </c>
      <c r="AD344" s="53">
        <f t="shared" si="92"/>
        <v>0</v>
      </c>
      <c r="AE344" s="53">
        <f t="shared" si="93"/>
        <v>0</v>
      </c>
      <c r="AF344" s="53">
        <f t="shared" si="94"/>
        <v>0</v>
      </c>
      <c r="AG344" s="56">
        <f t="shared" si="95"/>
        <v>0</v>
      </c>
      <c r="AH344" s="53">
        <f t="shared" si="96"/>
        <v>0</v>
      </c>
      <c r="AI344" s="55"/>
      <c r="AJ344" s="53">
        <f t="shared" si="97"/>
        <v>0</v>
      </c>
      <c r="AK344" s="53">
        <f t="shared" si="98"/>
        <v>0</v>
      </c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7"/>
      <c r="AW344" s="57"/>
      <c r="AX344" s="57"/>
    </row>
    <row r="345" spans="2:50">
      <c r="B345" s="45">
        <v>327</v>
      </c>
      <c r="C345" s="214" t="s">
        <v>574</v>
      </c>
      <c r="D345" s="215" t="s">
        <v>575</v>
      </c>
      <c r="E345" s="215" t="s">
        <v>576</v>
      </c>
      <c r="F345" s="216" t="s">
        <v>591</v>
      </c>
      <c r="G345" s="217" t="s">
        <v>578</v>
      </c>
      <c r="H345" s="218">
        <v>43069</v>
      </c>
      <c r="I345" s="164" t="s">
        <v>409</v>
      </c>
      <c r="J345" s="219">
        <f t="shared" si="82"/>
        <v>66</v>
      </c>
      <c r="K345" s="219">
        <v>6</v>
      </c>
      <c r="L345" s="219">
        <v>60</v>
      </c>
      <c r="M345" s="219"/>
      <c r="N345" s="232">
        <v>0.1</v>
      </c>
      <c r="O345" s="232">
        <v>0.5</v>
      </c>
      <c r="P345" s="233">
        <v>1</v>
      </c>
      <c r="Q345" s="53"/>
      <c r="R345" s="54" t="s">
        <v>158</v>
      </c>
      <c r="S345" s="54" t="s">
        <v>158</v>
      </c>
      <c r="T345" s="54" t="s">
        <v>158</v>
      </c>
      <c r="U345" s="54" t="s">
        <v>158</v>
      </c>
      <c r="V345" s="211" t="s">
        <v>515</v>
      </c>
      <c r="W345" s="53"/>
      <c r="X345" s="53">
        <f t="shared" si="88"/>
        <v>0</v>
      </c>
      <c r="Y345" s="55"/>
      <c r="Z345" s="55"/>
      <c r="AA345" s="52">
        <f t="shared" si="89"/>
        <v>0</v>
      </c>
      <c r="AB345" s="53">
        <f t="shared" si="90"/>
        <v>0</v>
      </c>
      <c r="AC345" s="53">
        <f t="shared" si="91"/>
        <v>0</v>
      </c>
      <c r="AD345" s="53">
        <f t="shared" si="92"/>
        <v>0</v>
      </c>
      <c r="AE345" s="53">
        <f t="shared" si="93"/>
        <v>0</v>
      </c>
      <c r="AF345" s="53">
        <f t="shared" si="94"/>
        <v>0</v>
      </c>
      <c r="AG345" s="56">
        <f t="shared" si="95"/>
        <v>0</v>
      </c>
      <c r="AH345" s="53">
        <f t="shared" si="96"/>
        <v>0</v>
      </c>
      <c r="AI345" s="55"/>
      <c r="AJ345" s="53">
        <f t="shared" si="97"/>
        <v>0</v>
      </c>
      <c r="AK345" s="53">
        <f t="shared" si="98"/>
        <v>0</v>
      </c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7"/>
      <c r="AW345" s="57"/>
      <c r="AX345" s="57"/>
    </row>
    <row r="346" spans="2:50">
      <c r="B346" s="45">
        <v>328</v>
      </c>
      <c r="C346" s="214" t="s">
        <v>574</v>
      </c>
      <c r="D346" s="215" t="s">
        <v>575</v>
      </c>
      <c r="E346" s="215" t="s">
        <v>576</v>
      </c>
      <c r="F346" s="216" t="s">
        <v>592</v>
      </c>
      <c r="G346" s="217" t="s">
        <v>578</v>
      </c>
      <c r="H346" s="218">
        <v>42982</v>
      </c>
      <c r="I346" s="164" t="s">
        <v>409</v>
      </c>
      <c r="J346" s="219">
        <f t="shared" si="82"/>
        <v>9</v>
      </c>
      <c r="K346" s="219">
        <v>9</v>
      </c>
      <c r="L346" s="219">
        <v>0</v>
      </c>
      <c r="M346" s="219"/>
      <c r="N346" s="223">
        <v>0.11</v>
      </c>
      <c r="O346" s="223">
        <v>0</v>
      </c>
      <c r="P346" s="224">
        <v>1</v>
      </c>
      <c r="Q346" s="53"/>
      <c r="R346" s="54" t="s">
        <v>158</v>
      </c>
      <c r="S346" s="54" t="s">
        <v>158</v>
      </c>
      <c r="T346" s="54" t="s">
        <v>158</v>
      </c>
      <c r="U346" s="54" t="s">
        <v>158</v>
      </c>
      <c r="V346" s="211" t="s">
        <v>515</v>
      </c>
      <c r="W346" s="53"/>
      <c r="X346" s="53">
        <f t="shared" si="88"/>
        <v>0</v>
      </c>
      <c r="Y346" s="55"/>
      <c r="Z346" s="55"/>
      <c r="AA346" s="52">
        <f t="shared" si="89"/>
        <v>0</v>
      </c>
      <c r="AB346" s="53">
        <f t="shared" si="90"/>
        <v>0</v>
      </c>
      <c r="AC346" s="53">
        <f t="shared" si="91"/>
        <v>0</v>
      </c>
      <c r="AD346" s="53">
        <f t="shared" si="92"/>
        <v>0</v>
      </c>
      <c r="AE346" s="53">
        <f t="shared" si="93"/>
        <v>0</v>
      </c>
      <c r="AF346" s="53">
        <f t="shared" si="94"/>
        <v>0</v>
      </c>
      <c r="AG346" s="56">
        <f t="shared" si="95"/>
        <v>0</v>
      </c>
      <c r="AH346" s="53">
        <f t="shared" si="96"/>
        <v>0</v>
      </c>
      <c r="AI346" s="55"/>
      <c r="AJ346" s="53">
        <f t="shared" si="97"/>
        <v>0</v>
      </c>
      <c r="AK346" s="53">
        <f t="shared" si="98"/>
        <v>0</v>
      </c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7"/>
      <c r="AW346" s="57"/>
      <c r="AX346" s="57"/>
    </row>
    <row r="347" spans="2:50">
      <c r="B347" s="45">
        <v>329</v>
      </c>
      <c r="C347" s="214" t="s">
        <v>574</v>
      </c>
      <c r="D347" s="215" t="s">
        <v>575</v>
      </c>
      <c r="E347" s="215" t="s">
        <v>576</v>
      </c>
      <c r="F347" s="216" t="s">
        <v>593</v>
      </c>
      <c r="G347" s="217" t="s">
        <v>578</v>
      </c>
      <c r="H347" s="218">
        <v>43490</v>
      </c>
      <c r="I347" s="164" t="s">
        <v>409</v>
      </c>
      <c r="J347" s="219">
        <f t="shared" si="82"/>
        <v>72</v>
      </c>
      <c r="K347" s="219">
        <v>72</v>
      </c>
      <c r="L347" s="219">
        <v>0</v>
      </c>
      <c r="M347" s="219"/>
      <c r="N347" s="223">
        <v>1.2</v>
      </c>
      <c r="O347" s="234">
        <v>0</v>
      </c>
      <c r="P347" s="235">
        <v>1</v>
      </c>
      <c r="Q347" s="53"/>
      <c r="R347" s="54" t="s">
        <v>158</v>
      </c>
      <c r="S347" s="54" t="s">
        <v>158</v>
      </c>
      <c r="T347" s="54" t="s">
        <v>158</v>
      </c>
      <c r="U347" s="54" t="s">
        <v>158</v>
      </c>
      <c r="V347" s="211" t="s">
        <v>515</v>
      </c>
      <c r="W347" s="53"/>
      <c r="X347" s="53">
        <f t="shared" si="88"/>
        <v>0</v>
      </c>
      <c r="Y347" s="55"/>
      <c r="Z347" s="55"/>
      <c r="AA347" s="52">
        <f t="shared" si="89"/>
        <v>0</v>
      </c>
      <c r="AB347" s="53">
        <f t="shared" si="90"/>
        <v>0</v>
      </c>
      <c r="AC347" s="53">
        <f t="shared" si="91"/>
        <v>0</v>
      </c>
      <c r="AD347" s="53">
        <f t="shared" si="92"/>
        <v>0</v>
      </c>
      <c r="AE347" s="53">
        <f t="shared" si="93"/>
        <v>0</v>
      </c>
      <c r="AF347" s="53">
        <f t="shared" si="94"/>
        <v>0</v>
      </c>
      <c r="AG347" s="56">
        <f t="shared" si="95"/>
        <v>0</v>
      </c>
      <c r="AH347" s="53">
        <f t="shared" si="96"/>
        <v>0</v>
      </c>
      <c r="AI347" s="55"/>
      <c r="AJ347" s="53">
        <f t="shared" si="97"/>
        <v>0</v>
      </c>
      <c r="AK347" s="53">
        <f t="shared" si="98"/>
        <v>0</v>
      </c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7"/>
      <c r="AW347" s="57"/>
      <c r="AX347" s="57"/>
    </row>
    <row r="348" spans="2:50">
      <c r="B348" s="45">
        <v>330</v>
      </c>
      <c r="C348" s="214" t="s">
        <v>574</v>
      </c>
      <c r="D348" s="215" t="s">
        <v>575</v>
      </c>
      <c r="E348" s="215" t="s">
        <v>576</v>
      </c>
      <c r="F348" s="216" t="s">
        <v>594</v>
      </c>
      <c r="G348" s="217" t="s">
        <v>578</v>
      </c>
      <c r="H348" s="218">
        <v>43069</v>
      </c>
      <c r="I348" s="164" t="s">
        <v>409</v>
      </c>
      <c r="J348" s="219">
        <f t="shared" si="82"/>
        <v>1032</v>
      </c>
      <c r="K348" s="219">
        <v>840</v>
      </c>
      <c r="L348" s="219">
        <v>192</v>
      </c>
      <c r="M348" s="219"/>
      <c r="N348" s="223">
        <v>14</v>
      </c>
      <c r="O348" s="223">
        <v>3.2</v>
      </c>
      <c r="P348" s="224">
        <v>1</v>
      </c>
      <c r="Q348" s="53"/>
      <c r="R348" s="54" t="s">
        <v>158</v>
      </c>
      <c r="S348" s="54" t="s">
        <v>158</v>
      </c>
      <c r="T348" s="54" t="s">
        <v>158</v>
      </c>
      <c r="U348" s="54" t="s">
        <v>158</v>
      </c>
      <c r="V348" s="211" t="s">
        <v>580</v>
      </c>
      <c r="W348" s="53"/>
      <c r="X348" s="53">
        <f t="shared" si="88"/>
        <v>0</v>
      </c>
      <c r="Y348" s="55"/>
      <c r="Z348" s="55"/>
      <c r="AA348" s="52">
        <f t="shared" si="89"/>
        <v>0</v>
      </c>
      <c r="AB348" s="53">
        <f t="shared" si="90"/>
        <v>0</v>
      </c>
      <c r="AC348" s="53">
        <f t="shared" si="91"/>
        <v>0</v>
      </c>
      <c r="AD348" s="53">
        <f t="shared" si="92"/>
        <v>0</v>
      </c>
      <c r="AE348" s="53">
        <f t="shared" si="93"/>
        <v>0</v>
      </c>
      <c r="AF348" s="53">
        <f t="shared" si="94"/>
        <v>0</v>
      </c>
      <c r="AG348" s="56">
        <f t="shared" si="95"/>
        <v>0</v>
      </c>
      <c r="AH348" s="53">
        <f t="shared" si="96"/>
        <v>0</v>
      </c>
      <c r="AI348" s="55"/>
      <c r="AJ348" s="53">
        <f t="shared" si="97"/>
        <v>0</v>
      </c>
      <c r="AK348" s="53">
        <f t="shared" si="98"/>
        <v>0</v>
      </c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7"/>
      <c r="AW348" s="57"/>
      <c r="AX348" s="57"/>
    </row>
    <row r="349" spans="2:50">
      <c r="B349" s="45">
        <v>331</v>
      </c>
      <c r="C349" s="214" t="s">
        <v>574</v>
      </c>
      <c r="D349" s="215" t="s">
        <v>575</v>
      </c>
      <c r="E349" s="215" t="s">
        <v>576</v>
      </c>
      <c r="F349" s="216" t="s">
        <v>595</v>
      </c>
      <c r="G349" s="217" t="s">
        <v>578</v>
      </c>
      <c r="H349" s="218">
        <v>42818</v>
      </c>
      <c r="I349" s="164" t="s">
        <v>409</v>
      </c>
      <c r="J349" s="219">
        <f t="shared" si="82"/>
        <v>12</v>
      </c>
      <c r="K349" s="219">
        <v>12</v>
      </c>
      <c r="L349" s="219">
        <v>0</v>
      </c>
      <c r="M349" s="219"/>
      <c r="N349" s="223">
        <v>0.2</v>
      </c>
      <c r="O349" s="223">
        <v>0</v>
      </c>
      <c r="P349" s="224">
        <v>1</v>
      </c>
      <c r="Q349" s="53"/>
      <c r="R349" s="54" t="s">
        <v>158</v>
      </c>
      <c r="S349" s="54" t="s">
        <v>158</v>
      </c>
      <c r="T349" s="54" t="s">
        <v>158</v>
      </c>
      <c r="U349" s="54" t="s">
        <v>158</v>
      </c>
      <c r="V349" s="211" t="s">
        <v>515</v>
      </c>
      <c r="W349" s="53"/>
      <c r="X349" s="53">
        <f t="shared" si="88"/>
        <v>0</v>
      </c>
      <c r="Y349" s="55"/>
      <c r="Z349" s="55"/>
      <c r="AA349" s="52">
        <f t="shared" si="89"/>
        <v>0</v>
      </c>
      <c r="AB349" s="53">
        <f t="shared" si="90"/>
        <v>0</v>
      </c>
      <c r="AC349" s="53">
        <f t="shared" si="91"/>
        <v>0</v>
      </c>
      <c r="AD349" s="53">
        <f t="shared" si="92"/>
        <v>0</v>
      </c>
      <c r="AE349" s="53">
        <f t="shared" si="93"/>
        <v>0</v>
      </c>
      <c r="AF349" s="53">
        <f t="shared" si="94"/>
        <v>0</v>
      </c>
      <c r="AG349" s="56">
        <f t="shared" si="95"/>
        <v>0</v>
      </c>
      <c r="AH349" s="53">
        <f t="shared" si="96"/>
        <v>0</v>
      </c>
      <c r="AI349" s="55"/>
      <c r="AJ349" s="53">
        <f t="shared" si="97"/>
        <v>0</v>
      </c>
      <c r="AK349" s="53">
        <f t="shared" si="98"/>
        <v>0</v>
      </c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7"/>
      <c r="AW349" s="57"/>
      <c r="AX349" s="57"/>
    </row>
    <row r="350" spans="2:50">
      <c r="B350" s="45">
        <v>332</v>
      </c>
      <c r="C350" s="214" t="s">
        <v>574</v>
      </c>
      <c r="D350" s="215" t="s">
        <v>575</v>
      </c>
      <c r="E350" s="215" t="s">
        <v>576</v>
      </c>
      <c r="F350" s="216" t="s">
        <v>596</v>
      </c>
      <c r="G350" s="217" t="s">
        <v>578</v>
      </c>
      <c r="H350" s="218">
        <v>43486</v>
      </c>
      <c r="I350" s="164" t="s">
        <v>409</v>
      </c>
      <c r="J350" s="219">
        <f t="shared" si="82"/>
        <v>135</v>
      </c>
      <c r="K350" s="219">
        <v>135</v>
      </c>
      <c r="L350" s="219">
        <v>0</v>
      </c>
      <c r="M350" s="219"/>
      <c r="N350" s="228">
        <v>1.95</v>
      </c>
      <c r="O350" s="228">
        <v>0</v>
      </c>
      <c r="P350" s="229">
        <v>1</v>
      </c>
      <c r="Q350" s="53"/>
      <c r="R350" s="54" t="s">
        <v>158</v>
      </c>
      <c r="S350" s="54" t="s">
        <v>158</v>
      </c>
      <c r="T350" s="54" t="s">
        <v>158</v>
      </c>
      <c r="U350" s="54" t="s">
        <v>158</v>
      </c>
      <c r="V350" s="211" t="s">
        <v>515</v>
      </c>
      <c r="W350" s="53"/>
      <c r="X350" s="53">
        <f t="shared" si="88"/>
        <v>0</v>
      </c>
      <c r="Y350" s="55"/>
      <c r="Z350" s="55"/>
      <c r="AA350" s="52">
        <f t="shared" si="89"/>
        <v>0</v>
      </c>
      <c r="AB350" s="53">
        <f t="shared" si="90"/>
        <v>0</v>
      </c>
      <c r="AC350" s="53">
        <f t="shared" si="91"/>
        <v>0</v>
      </c>
      <c r="AD350" s="53">
        <f t="shared" si="92"/>
        <v>0</v>
      </c>
      <c r="AE350" s="53">
        <f t="shared" si="93"/>
        <v>0</v>
      </c>
      <c r="AF350" s="53">
        <f t="shared" si="94"/>
        <v>0</v>
      </c>
      <c r="AG350" s="56">
        <f t="shared" si="95"/>
        <v>0</v>
      </c>
      <c r="AH350" s="53">
        <f t="shared" si="96"/>
        <v>0</v>
      </c>
      <c r="AI350" s="55"/>
      <c r="AJ350" s="53">
        <f t="shared" si="97"/>
        <v>0</v>
      </c>
      <c r="AK350" s="53">
        <f t="shared" si="98"/>
        <v>0</v>
      </c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7"/>
      <c r="AW350" s="57"/>
      <c r="AX350" s="57"/>
    </row>
    <row r="351" spans="2:50">
      <c r="B351" s="45">
        <v>333</v>
      </c>
      <c r="C351" s="214" t="s">
        <v>574</v>
      </c>
      <c r="D351" s="215" t="s">
        <v>575</v>
      </c>
      <c r="E351" s="215" t="s">
        <v>576</v>
      </c>
      <c r="F351" s="216" t="s">
        <v>597</v>
      </c>
      <c r="G351" s="217" t="s">
        <v>578</v>
      </c>
      <c r="H351" s="218">
        <v>43045</v>
      </c>
      <c r="I351" s="164" t="s">
        <v>409</v>
      </c>
      <c r="J351" s="219">
        <f t="shared" si="82"/>
        <v>177</v>
      </c>
      <c r="K351" s="219">
        <v>153</v>
      </c>
      <c r="L351" s="219">
        <v>24</v>
      </c>
      <c r="M351" s="219"/>
      <c r="N351" s="228">
        <v>1.85</v>
      </c>
      <c r="O351" s="228">
        <v>0.4</v>
      </c>
      <c r="P351" s="229">
        <v>1</v>
      </c>
      <c r="Q351" s="53"/>
      <c r="R351" s="54" t="s">
        <v>158</v>
      </c>
      <c r="S351" s="54" t="s">
        <v>158</v>
      </c>
      <c r="T351" s="54" t="s">
        <v>158</v>
      </c>
      <c r="U351" s="54" t="s">
        <v>158</v>
      </c>
      <c r="V351" s="211" t="s">
        <v>515</v>
      </c>
      <c r="W351" s="53"/>
      <c r="X351" s="53">
        <f t="shared" si="88"/>
        <v>0</v>
      </c>
      <c r="Y351" s="55"/>
      <c r="Z351" s="55"/>
      <c r="AA351" s="52">
        <f t="shared" si="89"/>
        <v>0</v>
      </c>
      <c r="AB351" s="53">
        <f t="shared" si="90"/>
        <v>0</v>
      </c>
      <c r="AC351" s="53">
        <f t="shared" si="91"/>
        <v>0</v>
      </c>
      <c r="AD351" s="53">
        <f t="shared" si="92"/>
        <v>0</v>
      </c>
      <c r="AE351" s="53">
        <f t="shared" si="93"/>
        <v>0</v>
      </c>
      <c r="AF351" s="53">
        <f t="shared" si="94"/>
        <v>0</v>
      </c>
      <c r="AG351" s="56">
        <f t="shared" si="95"/>
        <v>0</v>
      </c>
      <c r="AH351" s="53">
        <f t="shared" si="96"/>
        <v>0</v>
      </c>
      <c r="AI351" s="55"/>
      <c r="AJ351" s="53">
        <f t="shared" si="97"/>
        <v>0</v>
      </c>
      <c r="AK351" s="53">
        <f t="shared" si="98"/>
        <v>0</v>
      </c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7"/>
      <c r="AW351" s="57"/>
      <c r="AX351" s="57"/>
    </row>
    <row r="352" spans="2:50">
      <c r="B352" s="45">
        <v>334</v>
      </c>
      <c r="C352" s="214" t="s">
        <v>574</v>
      </c>
      <c r="D352" s="215" t="s">
        <v>575</v>
      </c>
      <c r="E352" s="215" t="s">
        <v>576</v>
      </c>
      <c r="F352" s="216" t="s">
        <v>598</v>
      </c>
      <c r="G352" s="217" t="s">
        <v>578</v>
      </c>
      <c r="H352" s="218">
        <v>42983</v>
      </c>
      <c r="I352" s="164" t="s">
        <v>409</v>
      </c>
      <c r="J352" s="219">
        <f t="shared" si="82"/>
        <v>48</v>
      </c>
      <c r="K352" s="219">
        <v>48</v>
      </c>
      <c r="L352" s="219">
        <v>0</v>
      </c>
      <c r="M352" s="219"/>
      <c r="N352" s="223">
        <v>0.75</v>
      </c>
      <c r="O352" s="234">
        <v>0</v>
      </c>
      <c r="P352" s="235">
        <v>1</v>
      </c>
      <c r="Q352" s="53"/>
      <c r="R352" s="54" t="s">
        <v>158</v>
      </c>
      <c r="S352" s="54" t="s">
        <v>158</v>
      </c>
      <c r="T352" s="54" t="s">
        <v>158</v>
      </c>
      <c r="U352" s="54" t="s">
        <v>158</v>
      </c>
      <c r="V352" s="211" t="s">
        <v>515</v>
      </c>
      <c r="W352" s="53"/>
      <c r="X352" s="53">
        <f t="shared" si="88"/>
        <v>0</v>
      </c>
      <c r="Y352" s="55"/>
      <c r="Z352" s="55"/>
      <c r="AA352" s="52">
        <f t="shared" si="89"/>
        <v>0</v>
      </c>
      <c r="AB352" s="53">
        <f t="shared" si="90"/>
        <v>0</v>
      </c>
      <c r="AC352" s="53">
        <f t="shared" si="91"/>
        <v>0</v>
      </c>
      <c r="AD352" s="53">
        <f t="shared" si="92"/>
        <v>0</v>
      </c>
      <c r="AE352" s="53">
        <f t="shared" si="93"/>
        <v>0</v>
      </c>
      <c r="AF352" s="53">
        <f t="shared" si="94"/>
        <v>0</v>
      </c>
      <c r="AG352" s="56">
        <f t="shared" si="95"/>
        <v>0</v>
      </c>
      <c r="AH352" s="53">
        <f t="shared" si="96"/>
        <v>0</v>
      </c>
      <c r="AI352" s="55"/>
      <c r="AJ352" s="53">
        <f t="shared" si="97"/>
        <v>0</v>
      </c>
      <c r="AK352" s="53">
        <f t="shared" si="98"/>
        <v>0</v>
      </c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7"/>
      <c r="AW352" s="57"/>
      <c r="AX352" s="57"/>
    </row>
    <row r="353" spans="2:50">
      <c r="B353" s="45">
        <v>335</v>
      </c>
      <c r="C353" s="214" t="s">
        <v>574</v>
      </c>
      <c r="D353" s="215" t="s">
        <v>575</v>
      </c>
      <c r="E353" s="215" t="s">
        <v>576</v>
      </c>
      <c r="F353" s="216" t="s">
        <v>599</v>
      </c>
      <c r="G353" s="217" t="s">
        <v>578</v>
      </c>
      <c r="H353" s="218">
        <v>43644</v>
      </c>
      <c r="I353" s="164" t="s">
        <v>409</v>
      </c>
      <c r="J353" s="219">
        <f t="shared" si="82"/>
        <v>18</v>
      </c>
      <c r="K353" s="219">
        <v>18</v>
      </c>
      <c r="L353" s="219">
        <v>0</v>
      </c>
      <c r="M353" s="219"/>
      <c r="N353" s="223">
        <v>0.3</v>
      </c>
      <c r="O353" s="223">
        <v>0</v>
      </c>
      <c r="P353" s="224">
        <v>1</v>
      </c>
      <c r="Q353" s="53"/>
      <c r="R353" s="54" t="s">
        <v>158</v>
      </c>
      <c r="S353" s="54" t="s">
        <v>158</v>
      </c>
      <c r="T353" s="54" t="s">
        <v>158</v>
      </c>
      <c r="U353" s="54" t="s">
        <v>158</v>
      </c>
      <c r="V353" s="211" t="s">
        <v>515</v>
      </c>
      <c r="W353" s="53"/>
      <c r="X353" s="53">
        <f t="shared" si="88"/>
        <v>0</v>
      </c>
      <c r="Y353" s="55"/>
      <c r="Z353" s="55"/>
      <c r="AA353" s="52">
        <f t="shared" si="89"/>
        <v>0</v>
      </c>
      <c r="AB353" s="53">
        <f t="shared" si="90"/>
        <v>0</v>
      </c>
      <c r="AC353" s="53">
        <f t="shared" si="91"/>
        <v>0</v>
      </c>
      <c r="AD353" s="53">
        <f t="shared" si="92"/>
        <v>0</v>
      </c>
      <c r="AE353" s="53">
        <f t="shared" si="93"/>
        <v>0</v>
      </c>
      <c r="AF353" s="53">
        <f t="shared" si="94"/>
        <v>0</v>
      </c>
      <c r="AG353" s="56">
        <f t="shared" si="95"/>
        <v>0</v>
      </c>
      <c r="AH353" s="53">
        <f t="shared" si="96"/>
        <v>0</v>
      </c>
      <c r="AI353" s="55"/>
      <c r="AJ353" s="53">
        <f t="shared" si="97"/>
        <v>0</v>
      </c>
      <c r="AK353" s="53">
        <f t="shared" si="98"/>
        <v>0</v>
      </c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7"/>
      <c r="AW353" s="57"/>
      <c r="AX353" s="57"/>
    </row>
    <row r="354" spans="2:50">
      <c r="B354" s="45">
        <v>336</v>
      </c>
      <c r="C354" s="214" t="s">
        <v>574</v>
      </c>
      <c r="D354" s="215" t="s">
        <v>575</v>
      </c>
      <c r="E354" s="215" t="s">
        <v>576</v>
      </c>
      <c r="F354" s="216" t="s">
        <v>600</v>
      </c>
      <c r="G354" s="217" t="s">
        <v>578</v>
      </c>
      <c r="H354" s="218">
        <v>42818</v>
      </c>
      <c r="I354" s="164" t="s">
        <v>409</v>
      </c>
      <c r="J354" s="219">
        <f t="shared" si="82"/>
        <v>2310</v>
      </c>
      <c r="K354" s="219">
        <v>30</v>
      </c>
      <c r="L354" s="219">
        <v>2280</v>
      </c>
      <c r="M354" s="219"/>
      <c r="N354" s="228">
        <v>0.4</v>
      </c>
      <c r="O354" s="228">
        <v>38</v>
      </c>
      <c r="P354" s="229">
        <v>1</v>
      </c>
      <c r="Q354" s="53"/>
      <c r="R354" s="54" t="s">
        <v>158</v>
      </c>
      <c r="S354" s="54" t="s">
        <v>158</v>
      </c>
      <c r="T354" s="54" t="s">
        <v>158</v>
      </c>
      <c r="U354" s="54" t="s">
        <v>158</v>
      </c>
      <c r="V354" s="211" t="s">
        <v>515</v>
      </c>
      <c r="W354" s="53"/>
      <c r="X354" s="53">
        <f t="shared" si="88"/>
        <v>0</v>
      </c>
      <c r="Y354" s="55"/>
      <c r="Z354" s="55"/>
      <c r="AA354" s="52">
        <f t="shared" si="89"/>
        <v>0</v>
      </c>
      <c r="AB354" s="53">
        <f t="shared" si="90"/>
        <v>0</v>
      </c>
      <c r="AC354" s="53">
        <f t="shared" si="91"/>
        <v>0</v>
      </c>
      <c r="AD354" s="53">
        <f t="shared" si="92"/>
        <v>0</v>
      </c>
      <c r="AE354" s="53">
        <f t="shared" si="93"/>
        <v>0</v>
      </c>
      <c r="AF354" s="53">
        <f t="shared" si="94"/>
        <v>0</v>
      </c>
      <c r="AG354" s="56">
        <f t="shared" si="95"/>
        <v>0</v>
      </c>
      <c r="AH354" s="53">
        <f t="shared" si="96"/>
        <v>0</v>
      </c>
      <c r="AI354" s="55"/>
      <c r="AJ354" s="53">
        <f t="shared" si="97"/>
        <v>0</v>
      </c>
      <c r="AK354" s="53">
        <f t="shared" si="98"/>
        <v>0</v>
      </c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7"/>
      <c r="AW354" s="57"/>
      <c r="AX354" s="57"/>
    </row>
    <row r="355" spans="2:50">
      <c r="B355" s="45">
        <v>337</v>
      </c>
      <c r="C355" s="214" t="s">
        <v>574</v>
      </c>
      <c r="D355" s="215" t="s">
        <v>575</v>
      </c>
      <c r="E355" s="215" t="s">
        <v>576</v>
      </c>
      <c r="F355" s="216" t="s">
        <v>601</v>
      </c>
      <c r="G355" s="217" t="s">
        <v>578</v>
      </c>
      <c r="H355" s="218">
        <v>42958</v>
      </c>
      <c r="I355" s="164" t="s">
        <v>409</v>
      </c>
      <c r="J355" s="219">
        <f t="shared" si="82"/>
        <v>432</v>
      </c>
      <c r="K355" s="219">
        <v>432</v>
      </c>
      <c r="L355" s="219">
        <v>0</v>
      </c>
      <c r="M355" s="219"/>
      <c r="N355" s="228">
        <v>7.0600000000000005</v>
      </c>
      <c r="O355" s="228">
        <v>0</v>
      </c>
      <c r="P355" s="229">
        <v>1</v>
      </c>
      <c r="Q355" s="53"/>
      <c r="R355" s="54" t="s">
        <v>158</v>
      </c>
      <c r="S355" s="54" t="s">
        <v>158</v>
      </c>
      <c r="T355" s="54" t="s">
        <v>158</v>
      </c>
      <c r="U355" s="54" t="s">
        <v>158</v>
      </c>
      <c r="V355" s="211" t="s">
        <v>515</v>
      </c>
      <c r="W355" s="53"/>
      <c r="X355" s="53">
        <f t="shared" si="88"/>
        <v>0</v>
      </c>
      <c r="Y355" s="55"/>
      <c r="Z355" s="55"/>
      <c r="AA355" s="52">
        <f t="shared" si="89"/>
        <v>0</v>
      </c>
      <c r="AB355" s="53">
        <f t="shared" si="90"/>
        <v>0</v>
      </c>
      <c r="AC355" s="53">
        <f t="shared" si="91"/>
        <v>0</v>
      </c>
      <c r="AD355" s="53">
        <f t="shared" si="92"/>
        <v>0</v>
      </c>
      <c r="AE355" s="53">
        <f t="shared" si="93"/>
        <v>0</v>
      </c>
      <c r="AF355" s="53">
        <f t="shared" si="94"/>
        <v>0</v>
      </c>
      <c r="AG355" s="56">
        <f t="shared" si="95"/>
        <v>0</v>
      </c>
      <c r="AH355" s="53">
        <f t="shared" si="96"/>
        <v>0</v>
      </c>
      <c r="AI355" s="55"/>
      <c r="AJ355" s="53">
        <f t="shared" si="97"/>
        <v>0</v>
      </c>
      <c r="AK355" s="53">
        <f t="shared" si="98"/>
        <v>0</v>
      </c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7"/>
      <c r="AW355" s="57"/>
      <c r="AX355" s="57"/>
    </row>
    <row r="356" spans="2:50">
      <c r="B356" s="45">
        <v>338</v>
      </c>
      <c r="C356" s="214" t="s">
        <v>574</v>
      </c>
      <c r="D356" s="215" t="s">
        <v>575</v>
      </c>
      <c r="E356" s="215" t="s">
        <v>576</v>
      </c>
      <c r="F356" s="216" t="s">
        <v>602</v>
      </c>
      <c r="G356" s="217" t="s">
        <v>578</v>
      </c>
      <c r="H356" s="218">
        <v>43481</v>
      </c>
      <c r="I356" s="164" t="s">
        <v>409</v>
      </c>
      <c r="J356" s="219">
        <f t="shared" si="82"/>
        <v>4170</v>
      </c>
      <c r="K356" s="219">
        <v>2466</v>
      </c>
      <c r="L356" s="219">
        <v>1704</v>
      </c>
      <c r="M356" s="219"/>
      <c r="N356" s="228">
        <v>41.1</v>
      </c>
      <c r="O356" s="228">
        <v>28.4</v>
      </c>
      <c r="P356" s="229">
        <v>1</v>
      </c>
      <c r="Q356" s="53"/>
      <c r="R356" s="54" t="s">
        <v>158</v>
      </c>
      <c r="S356" s="54" t="s">
        <v>158</v>
      </c>
      <c r="T356" s="54" t="s">
        <v>158</v>
      </c>
      <c r="U356" s="54" t="s">
        <v>158</v>
      </c>
      <c r="V356" s="211" t="s">
        <v>515</v>
      </c>
      <c r="W356" s="53"/>
      <c r="X356" s="53">
        <f t="shared" si="88"/>
        <v>0</v>
      </c>
      <c r="Y356" s="55"/>
      <c r="Z356" s="55"/>
      <c r="AA356" s="52">
        <f t="shared" si="89"/>
        <v>0</v>
      </c>
      <c r="AB356" s="53">
        <f t="shared" si="90"/>
        <v>0</v>
      </c>
      <c r="AC356" s="53">
        <f t="shared" si="91"/>
        <v>0</v>
      </c>
      <c r="AD356" s="53">
        <f t="shared" si="92"/>
        <v>0</v>
      </c>
      <c r="AE356" s="53">
        <f t="shared" si="93"/>
        <v>0</v>
      </c>
      <c r="AF356" s="53">
        <f t="shared" si="94"/>
        <v>0</v>
      </c>
      <c r="AG356" s="56">
        <f t="shared" si="95"/>
        <v>0</v>
      </c>
      <c r="AH356" s="53">
        <f t="shared" si="96"/>
        <v>0</v>
      </c>
      <c r="AI356" s="55"/>
      <c r="AJ356" s="53">
        <f t="shared" si="97"/>
        <v>0</v>
      </c>
      <c r="AK356" s="53">
        <f t="shared" si="98"/>
        <v>0</v>
      </c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7"/>
      <c r="AW356" s="57"/>
      <c r="AX356" s="57"/>
    </row>
    <row r="357" spans="2:50">
      <c r="B357" s="45">
        <v>339</v>
      </c>
      <c r="C357" s="214" t="s">
        <v>574</v>
      </c>
      <c r="D357" s="215" t="s">
        <v>603</v>
      </c>
      <c r="E357" s="215" t="s">
        <v>604</v>
      </c>
      <c r="F357" s="216" t="s">
        <v>605</v>
      </c>
      <c r="G357" s="217" t="s">
        <v>578</v>
      </c>
      <c r="H357" s="218">
        <v>42985</v>
      </c>
      <c r="I357" s="164" t="s">
        <v>409</v>
      </c>
      <c r="J357" s="219">
        <f t="shared" si="82"/>
        <v>213</v>
      </c>
      <c r="K357" s="219">
        <v>213</v>
      </c>
      <c r="L357" s="219">
        <v>0</v>
      </c>
      <c r="M357" s="219"/>
      <c r="N357" s="228">
        <v>3.2</v>
      </c>
      <c r="O357" s="228">
        <v>0</v>
      </c>
      <c r="P357" s="229">
        <v>1</v>
      </c>
      <c r="Q357" s="53"/>
      <c r="R357" s="54" t="s">
        <v>158</v>
      </c>
      <c r="S357" s="54" t="s">
        <v>158</v>
      </c>
      <c r="T357" s="54" t="s">
        <v>158</v>
      </c>
      <c r="U357" s="54" t="s">
        <v>158</v>
      </c>
      <c r="V357" s="211" t="s">
        <v>515</v>
      </c>
      <c r="W357" s="53"/>
      <c r="X357" s="53">
        <f t="shared" si="88"/>
        <v>0</v>
      </c>
      <c r="Y357" s="55"/>
      <c r="Z357" s="55"/>
      <c r="AA357" s="52">
        <f t="shared" si="89"/>
        <v>0</v>
      </c>
      <c r="AB357" s="53">
        <f t="shared" si="90"/>
        <v>0</v>
      </c>
      <c r="AC357" s="53">
        <f t="shared" si="91"/>
        <v>0</v>
      </c>
      <c r="AD357" s="53">
        <f t="shared" si="92"/>
        <v>0</v>
      </c>
      <c r="AE357" s="53">
        <f t="shared" si="93"/>
        <v>0</v>
      </c>
      <c r="AF357" s="53">
        <f t="shared" si="94"/>
        <v>0</v>
      </c>
      <c r="AG357" s="56">
        <f t="shared" si="95"/>
        <v>0</v>
      </c>
      <c r="AH357" s="53">
        <f t="shared" si="96"/>
        <v>0</v>
      </c>
      <c r="AI357" s="55"/>
      <c r="AJ357" s="53">
        <f t="shared" si="97"/>
        <v>0</v>
      </c>
      <c r="AK357" s="53">
        <f t="shared" si="98"/>
        <v>0</v>
      </c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7"/>
      <c r="AW357" s="57"/>
      <c r="AX357" s="57"/>
    </row>
    <row r="358" spans="2:50">
      <c r="B358" s="45">
        <v>340</v>
      </c>
      <c r="C358" s="214" t="s">
        <v>574</v>
      </c>
      <c r="D358" s="215" t="s">
        <v>603</v>
      </c>
      <c r="E358" s="215" t="s">
        <v>604</v>
      </c>
      <c r="F358" s="216" t="s">
        <v>606</v>
      </c>
      <c r="G358" s="217" t="s">
        <v>578</v>
      </c>
      <c r="H358" s="218">
        <v>43468</v>
      </c>
      <c r="I358" s="164" t="s">
        <v>409</v>
      </c>
      <c r="J358" s="219">
        <f t="shared" si="82"/>
        <v>102</v>
      </c>
      <c r="K358" s="219">
        <v>102</v>
      </c>
      <c r="L358" s="219">
        <v>0</v>
      </c>
      <c r="M358" s="219"/>
      <c r="N358" s="228">
        <v>1.7</v>
      </c>
      <c r="O358" s="228">
        <v>0</v>
      </c>
      <c r="P358" s="229">
        <v>1</v>
      </c>
      <c r="Q358" s="53"/>
      <c r="R358" s="54" t="s">
        <v>158</v>
      </c>
      <c r="S358" s="54" t="s">
        <v>158</v>
      </c>
      <c r="T358" s="54" t="s">
        <v>158</v>
      </c>
      <c r="U358" s="54" t="s">
        <v>158</v>
      </c>
      <c r="V358" s="211" t="s">
        <v>515</v>
      </c>
      <c r="W358" s="53"/>
      <c r="X358" s="53">
        <f t="shared" si="88"/>
        <v>0</v>
      </c>
      <c r="Y358" s="55"/>
      <c r="Z358" s="55"/>
      <c r="AA358" s="52">
        <f t="shared" si="89"/>
        <v>0</v>
      </c>
      <c r="AB358" s="53">
        <f t="shared" si="90"/>
        <v>0</v>
      </c>
      <c r="AC358" s="53">
        <f t="shared" si="91"/>
        <v>0</v>
      </c>
      <c r="AD358" s="53">
        <f t="shared" si="92"/>
        <v>0</v>
      </c>
      <c r="AE358" s="53">
        <f t="shared" si="93"/>
        <v>0</v>
      </c>
      <c r="AF358" s="53">
        <f t="shared" si="94"/>
        <v>0</v>
      </c>
      <c r="AG358" s="56">
        <f t="shared" si="95"/>
        <v>0</v>
      </c>
      <c r="AH358" s="53">
        <f t="shared" si="96"/>
        <v>0</v>
      </c>
      <c r="AI358" s="55"/>
      <c r="AJ358" s="53">
        <f t="shared" si="97"/>
        <v>0</v>
      </c>
      <c r="AK358" s="53">
        <f t="shared" si="98"/>
        <v>0</v>
      </c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7"/>
      <c r="AW358" s="57"/>
      <c r="AX358" s="57"/>
    </row>
    <row r="359" spans="2:50">
      <c r="B359" s="45">
        <v>341</v>
      </c>
      <c r="C359" s="214" t="s">
        <v>574</v>
      </c>
      <c r="D359" s="215" t="s">
        <v>603</v>
      </c>
      <c r="E359" s="215" t="s">
        <v>607</v>
      </c>
      <c r="F359" s="216" t="s">
        <v>608</v>
      </c>
      <c r="G359" s="217" t="s">
        <v>578</v>
      </c>
      <c r="H359" s="218">
        <v>43658</v>
      </c>
      <c r="I359" s="164" t="s">
        <v>409</v>
      </c>
      <c r="J359" s="219">
        <f t="shared" si="82"/>
        <v>1707</v>
      </c>
      <c r="K359" s="219">
        <v>507</v>
      </c>
      <c r="L359" s="219">
        <v>1200</v>
      </c>
      <c r="M359" s="219"/>
      <c r="N359" s="228">
        <v>8.1</v>
      </c>
      <c r="O359" s="228">
        <v>20</v>
      </c>
      <c r="P359" s="229">
        <v>1</v>
      </c>
      <c r="Q359" s="53"/>
      <c r="R359" s="54" t="s">
        <v>158</v>
      </c>
      <c r="S359" s="54" t="s">
        <v>158</v>
      </c>
      <c r="T359" s="54" t="s">
        <v>158</v>
      </c>
      <c r="U359" s="54" t="s">
        <v>158</v>
      </c>
      <c r="V359" s="211" t="s">
        <v>515</v>
      </c>
      <c r="W359" s="53"/>
      <c r="X359" s="53">
        <f t="shared" si="88"/>
        <v>0</v>
      </c>
      <c r="Y359" s="55"/>
      <c r="Z359" s="55"/>
      <c r="AA359" s="52">
        <f t="shared" si="89"/>
        <v>0</v>
      </c>
      <c r="AB359" s="53">
        <f t="shared" si="90"/>
        <v>0</v>
      </c>
      <c r="AC359" s="53">
        <f t="shared" si="91"/>
        <v>0</v>
      </c>
      <c r="AD359" s="53">
        <f t="shared" si="92"/>
        <v>0</v>
      </c>
      <c r="AE359" s="53">
        <f t="shared" si="93"/>
        <v>0</v>
      </c>
      <c r="AF359" s="53">
        <f t="shared" si="94"/>
        <v>0</v>
      </c>
      <c r="AG359" s="56">
        <f t="shared" si="95"/>
        <v>0</v>
      </c>
      <c r="AH359" s="53">
        <f t="shared" si="96"/>
        <v>0</v>
      </c>
      <c r="AI359" s="55"/>
      <c r="AJ359" s="53">
        <f t="shared" si="97"/>
        <v>0</v>
      </c>
      <c r="AK359" s="53">
        <f t="shared" si="98"/>
        <v>0</v>
      </c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7"/>
      <c r="AW359" s="57"/>
      <c r="AX359" s="57"/>
    </row>
    <row r="360" spans="2:50">
      <c r="B360" s="45">
        <v>342</v>
      </c>
      <c r="C360" s="214" t="s">
        <v>574</v>
      </c>
      <c r="D360" s="215" t="s">
        <v>603</v>
      </c>
      <c r="E360" s="215" t="s">
        <v>607</v>
      </c>
      <c r="F360" s="216" t="s">
        <v>609</v>
      </c>
      <c r="G360" s="217" t="s">
        <v>578</v>
      </c>
      <c r="H360" s="218">
        <v>42815</v>
      </c>
      <c r="I360" s="164" t="s">
        <v>409</v>
      </c>
      <c r="J360" s="219">
        <f t="shared" si="82"/>
        <v>168</v>
      </c>
      <c r="K360" s="219">
        <v>48</v>
      </c>
      <c r="L360" s="219">
        <v>120</v>
      </c>
      <c r="M360" s="219"/>
      <c r="N360" s="228">
        <v>0.79999999999999993</v>
      </c>
      <c r="O360" s="228">
        <v>2</v>
      </c>
      <c r="P360" s="229">
        <v>1</v>
      </c>
      <c r="Q360" s="53"/>
      <c r="R360" s="54" t="s">
        <v>158</v>
      </c>
      <c r="S360" s="54" t="s">
        <v>158</v>
      </c>
      <c r="T360" s="54" t="s">
        <v>158</v>
      </c>
      <c r="U360" s="54" t="s">
        <v>158</v>
      </c>
      <c r="V360" s="211" t="s">
        <v>515</v>
      </c>
      <c r="W360" s="53"/>
      <c r="X360" s="53">
        <f t="shared" si="88"/>
        <v>0</v>
      </c>
      <c r="Y360" s="55"/>
      <c r="Z360" s="55"/>
      <c r="AA360" s="52">
        <f t="shared" si="89"/>
        <v>0</v>
      </c>
      <c r="AB360" s="53">
        <f t="shared" si="90"/>
        <v>0</v>
      </c>
      <c r="AC360" s="53">
        <f t="shared" si="91"/>
        <v>0</v>
      </c>
      <c r="AD360" s="53">
        <f t="shared" si="92"/>
        <v>0</v>
      </c>
      <c r="AE360" s="53">
        <f t="shared" si="93"/>
        <v>0</v>
      </c>
      <c r="AF360" s="53">
        <f t="shared" si="94"/>
        <v>0</v>
      </c>
      <c r="AG360" s="56">
        <f t="shared" si="95"/>
        <v>0</v>
      </c>
      <c r="AH360" s="53">
        <f t="shared" si="96"/>
        <v>0</v>
      </c>
      <c r="AI360" s="55"/>
      <c r="AJ360" s="53">
        <f t="shared" si="97"/>
        <v>0</v>
      </c>
      <c r="AK360" s="53">
        <f t="shared" si="98"/>
        <v>0</v>
      </c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7"/>
      <c r="AW360" s="57"/>
      <c r="AX360" s="57"/>
    </row>
    <row r="361" spans="2:50">
      <c r="B361" s="45">
        <v>343</v>
      </c>
      <c r="C361" s="214" t="s">
        <v>574</v>
      </c>
      <c r="D361" s="215" t="s">
        <v>603</v>
      </c>
      <c r="E361" s="215" t="s">
        <v>607</v>
      </c>
      <c r="F361" s="216" t="s">
        <v>610</v>
      </c>
      <c r="G361" s="217" t="s">
        <v>578</v>
      </c>
      <c r="H361" s="218">
        <v>42815</v>
      </c>
      <c r="I361" s="164" t="s">
        <v>409</v>
      </c>
      <c r="J361" s="219">
        <f t="shared" si="82"/>
        <v>762</v>
      </c>
      <c r="K361" s="219">
        <v>42</v>
      </c>
      <c r="L361" s="219">
        <v>720</v>
      </c>
      <c r="M361" s="219"/>
      <c r="N361" s="228">
        <v>0.7</v>
      </c>
      <c r="O361" s="228">
        <v>12</v>
      </c>
      <c r="P361" s="229">
        <v>1</v>
      </c>
      <c r="Q361" s="53"/>
      <c r="R361" s="54" t="s">
        <v>158</v>
      </c>
      <c r="S361" s="54" t="s">
        <v>158</v>
      </c>
      <c r="T361" s="54" t="s">
        <v>158</v>
      </c>
      <c r="U361" s="54" t="s">
        <v>158</v>
      </c>
      <c r="V361" s="211" t="s">
        <v>515</v>
      </c>
      <c r="W361" s="53"/>
      <c r="X361" s="53">
        <f t="shared" si="88"/>
        <v>0</v>
      </c>
      <c r="Y361" s="55"/>
      <c r="Z361" s="55"/>
      <c r="AA361" s="52">
        <f t="shared" si="89"/>
        <v>0</v>
      </c>
      <c r="AB361" s="53">
        <f t="shared" si="90"/>
        <v>0</v>
      </c>
      <c r="AC361" s="53">
        <f t="shared" si="91"/>
        <v>0</v>
      </c>
      <c r="AD361" s="53">
        <f t="shared" si="92"/>
        <v>0</v>
      </c>
      <c r="AE361" s="53">
        <f t="shared" si="93"/>
        <v>0</v>
      </c>
      <c r="AF361" s="53">
        <f t="shared" si="94"/>
        <v>0</v>
      </c>
      <c r="AG361" s="56">
        <f t="shared" si="95"/>
        <v>0</v>
      </c>
      <c r="AH361" s="53">
        <f t="shared" si="96"/>
        <v>0</v>
      </c>
      <c r="AI361" s="55"/>
      <c r="AJ361" s="53">
        <f t="shared" si="97"/>
        <v>0</v>
      </c>
      <c r="AK361" s="53">
        <f t="shared" si="98"/>
        <v>0</v>
      </c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7"/>
      <c r="AW361" s="57"/>
      <c r="AX361" s="57"/>
    </row>
    <row r="362" spans="2:50">
      <c r="B362" s="45">
        <v>344</v>
      </c>
      <c r="C362" s="214" t="s">
        <v>574</v>
      </c>
      <c r="D362" s="215" t="s">
        <v>611</v>
      </c>
      <c r="E362" s="215" t="s">
        <v>612</v>
      </c>
      <c r="F362" s="216" t="s">
        <v>613</v>
      </c>
      <c r="G362" s="217" t="s">
        <v>578</v>
      </c>
      <c r="H362" s="218"/>
      <c r="I362" s="164" t="s">
        <v>409</v>
      </c>
      <c r="J362" s="219">
        <f t="shared" si="82"/>
        <v>870</v>
      </c>
      <c r="K362" s="219">
        <v>150</v>
      </c>
      <c r="L362" s="219">
        <v>720</v>
      </c>
      <c r="M362" s="219"/>
      <c r="N362" s="223">
        <v>2.4200000000000004</v>
      </c>
      <c r="O362" s="223">
        <v>12</v>
      </c>
      <c r="P362" s="224">
        <v>1</v>
      </c>
      <c r="Q362" s="53"/>
      <c r="R362" s="54" t="s">
        <v>158</v>
      </c>
      <c r="S362" s="54" t="s">
        <v>158</v>
      </c>
      <c r="T362" s="54" t="s">
        <v>158</v>
      </c>
      <c r="U362" s="54" t="s">
        <v>158</v>
      </c>
      <c r="V362" s="236" t="s">
        <v>582</v>
      </c>
      <c r="W362" s="53"/>
      <c r="X362" s="53">
        <f t="shared" si="88"/>
        <v>0</v>
      </c>
      <c r="Y362" s="55"/>
      <c r="Z362" s="55"/>
      <c r="AA362" s="52">
        <f t="shared" si="89"/>
        <v>0</v>
      </c>
      <c r="AB362" s="53">
        <f t="shared" si="90"/>
        <v>0</v>
      </c>
      <c r="AC362" s="53">
        <f t="shared" si="91"/>
        <v>0</v>
      </c>
      <c r="AD362" s="53">
        <f t="shared" si="92"/>
        <v>0</v>
      </c>
      <c r="AE362" s="53">
        <f t="shared" si="93"/>
        <v>0</v>
      </c>
      <c r="AF362" s="53">
        <f t="shared" si="94"/>
        <v>0</v>
      </c>
      <c r="AG362" s="56">
        <f t="shared" si="95"/>
        <v>0</v>
      </c>
      <c r="AH362" s="53">
        <f t="shared" si="96"/>
        <v>0</v>
      </c>
      <c r="AI362" s="55"/>
      <c r="AJ362" s="53">
        <f t="shared" si="97"/>
        <v>0</v>
      </c>
      <c r="AK362" s="53">
        <f t="shared" si="98"/>
        <v>0</v>
      </c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7"/>
      <c r="AW362" s="57"/>
      <c r="AX362" s="57"/>
    </row>
    <row r="363" spans="2:50">
      <c r="B363" s="45">
        <v>345</v>
      </c>
      <c r="C363" s="214" t="s">
        <v>574</v>
      </c>
      <c r="D363" s="215" t="s">
        <v>603</v>
      </c>
      <c r="E363" s="215" t="s">
        <v>614</v>
      </c>
      <c r="F363" s="216" t="s">
        <v>615</v>
      </c>
      <c r="G363" s="217" t="s">
        <v>578</v>
      </c>
      <c r="H363" s="218">
        <v>43052</v>
      </c>
      <c r="I363" s="164" t="s">
        <v>409</v>
      </c>
      <c r="J363" s="219">
        <f t="shared" si="82"/>
        <v>270</v>
      </c>
      <c r="K363" s="219">
        <v>240</v>
      </c>
      <c r="L363" s="219">
        <v>30</v>
      </c>
      <c r="M363" s="219"/>
      <c r="N363" s="228">
        <v>4</v>
      </c>
      <c r="O363" s="228">
        <v>0.5</v>
      </c>
      <c r="P363" s="229">
        <v>1</v>
      </c>
      <c r="Q363" s="53"/>
      <c r="R363" s="54" t="s">
        <v>158</v>
      </c>
      <c r="S363" s="54" t="s">
        <v>158</v>
      </c>
      <c r="T363" s="54" t="s">
        <v>158</v>
      </c>
      <c r="U363" s="54" t="s">
        <v>158</v>
      </c>
      <c r="V363" s="211" t="s">
        <v>616</v>
      </c>
      <c r="W363" s="53"/>
      <c r="X363" s="53">
        <f t="shared" si="88"/>
        <v>0</v>
      </c>
      <c r="Y363" s="55"/>
      <c r="Z363" s="55"/>
      <c r="AA363" s="52">
        <f t="shared" si="89"/>
        <v>0</v>
      </c>
      <c r="AB363" s="53">
        <f t="shared" si="90"/>
        <v>0</v>
      </c>
      <c r="AC363" s="53">
        <f t="shared" si="91"/>
        <v>0</v>
      </c>
      <c r="AD363" s="53">
        <f t="shared" si="92"/>
        <v>0</v>
      </c>
      <c r="AE363" s="53">
        <f t="shared" si="93"/>
        <v>0</v>
      </c>
      <c r="AF363" s="53">
        <f t="shared" si="94"/>
        <v>0</v>
      </c>
      <c r="AG363" s="56">
        <f t="shared" si="95"/>
        <v>0</v>
      </c>
      <c r="AH363" s="53">
        <f t="shared" si="96"/>
        <v>0</v>
      </c>
      <c r="AI363" s="55"/>
      <c r="AJ363" s="53">
        <f t="shared" si="97"/>
        <v>0</v>
      </c>
      <c r="AK363" s="53">
        <f t="shared" si="98"/>
        <v>0</v>
      </c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7"/>
      <c r="AW363" s="57"/>
      <c r="AX363" s="57"/>
    </row>
    <row r="364" spans="2:50">
      <c r="B364" s="45">
        <v>346</v>
      </c>
      <c r="C364" s="214" t="s">
        <v>574</v>
      </c>
      <c r="D364" s="215" t="s">
        <v>603</v>
      </c>
      <c r="E364" s="215" t="s">
        <v>617</v>
      </c>
      <c r="F364" s="216" t="s">
        <v>617</v>
      </c>
      <c r="G364" s="217" t="s">
        <v>618</v>
      </c>
      <c r="H364" s="218">
        <v>43334</v>
      </c>
      <c r="I364" s="164" t="s">
        <v>409</v>
      </c>
      <c r="J364" s="219">
        <f t="shared" si="82"/>
        <v>2046</v>
      </c>
      <c r="K364" s="219">
        <v>426</v>
      </c>
      <c r="L364" s="219">
        <v>1620</v>
      </c>
      <c r="M364" s="219"/>
      <c r="N364" s="228">
        <v>7.1</v>
      </c>
      <c r="O364" s="228">
        <v>27</v>
      </c>
      <c r="P364" s="229">
        <v>1</v>
      </c>
      <c r="Q364" s="53"/>
      <c r="R364" s="54" t="s">
        <v>158</v>
      </c>
      <c r="S364" s="54" t="s">
        <v>158</v>
      </c>
      <c r="T364" s="54" t="s">
        <v>158</v>
      </c>
      <c r="U364" s="54" t="s">
        <v>158</v>
      </c>
      <c r="V364" s="211" t="s">
        <v>616</v>
      </c>
      <c r="W364" s="53"/>
      <c r="X364" s="53">
        <f t="shared" si="88"/>
        <v>0</v>
      </c>
      <c r="Y364" s="55"/>
      <c r="Z364" s="55"/>
      <c r="AA364" s="52">
        <f t="shared" si="89"/>
        <v>0</v>
      </c>
      <c r="AB364" s="53">
        <f t="shared" si="90"/>
        <v>0</v>
      </c>
      <c r="AC364" s="53">
        <f t="shared" si="91"/>
        <v>0</v>
      </c>
      <c r="AD364" s="53">
        <f t="shared" si="92"/>
        <v>0</v>
      </c>
      <c r="AE364" s="53">
        <f t="shared" si="93"/>
        <v>0</v>
      </c>
      <c r="AF364" s="53">
        <f t="shared" si="94"/>
        <v>0</v>
      </c>
      <c r="AG364" s="56">
        <f t="shared" si="95"/>
        <v>0</v>
      </c>
      <c r="AH364" s="53">
        <f t="shared" si="96"/>
        <v>0</v>
      </c>
      <c r="AI364" s="55"/>
      <c r="AJ364" s="53">
        <f t="shared" si="97"/>
        <v>0</v>
      </c>
      <c r="AK364" s="53">
        <f t="shared" si="98"/>
        <v>0</v>
      </c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7"/>
      <c r="AW364" s="57"/>
      <c r="AX364" s="57"/>
    </row>
    <row r="365" spans="2:50">
      <c r="B365" s="45">
        <v>347</v>
      </c>
      <c r="C365" s="214" t="s">
        <v>574</v>
      </c>
      <c r="D365" s="215" t="s">
        <v>603</v>
      </c>
      <c r="E365" s="215" t="s">
        <v>619</v>
      </c>
      <c r="F365" s="216" t="s">
        <v>619</v>
      </c>
      <c r="G365" s="217" t="s">
        <v>618</v>
      </c>
      <c r="H365" s="218">
        <v>43381</v>
      </c>
      <c r="I365" s="164" t="s">
        <v>409</v>
      </c>
      <c r="J365" s="219">
        <f t="shared" si="82"/>
        <v>4200</v>
      </c>
      <c r="K365" s="219">
        <v>2040</v>
      </c>
      <c r="L365" s="219">
        <v>2160</v>
      </c>
      <c r="M365" s="219"/>
      <c r="N365" s="228">
        <v>33.400000000000006</v>
      </c>
      <c r="O365" s="228">
        <v>36</v>
      </c>
      <c r="P365" s="229">
        <v>1</v>
      </c>
      <c r="Q365" s="53"/>
      <c r="R365" s="54" t="s">
        <v>158</v>
      </c>
      <c r="S365" s="54" t="s">
        <v>158</v>
      </c>
      <c r="T365" s="54" t="s">
        <v>158</v>
      </c>
      <c r="U365" s="54" t="s">
        <v>158</v>
      </c>
      <c r="V365" s="211" t="s">
        <v>616</v>
      </c>
      <c r="W365" s="53"/>
      <c r="X365" s="53">
        <f t="shared" si="88"/>
        <v>0</v>
      </c>
      <c r="Y365" s="55"/>
      <c r="Z365" s="55"/>
      <c r="AA365" s="52">
        <f t="shared" si="89"/>
        <v>0</v>
      </c>
      <c r="AB365" s="53">
        <f t="shared" si="90"/>
        <v>0</v>
      </c>
      <c r="AC365" s="53">
        <f t="shared" si="91"/>
        <v>0</v>
      </c>
      <c r="AD365" s="53">
        <f t="shared" si="92"/>
        <v>0</v>
      </c>
      <c r="AE365" s="53">
        <f t="shared" si="93"/>
        <v>0</v>
      </c>
      <c r="AF365" s="53">
        <f t="shared" si="94"/>
        <v>0</v>
      </c>
      <c r="AG365" s="56">
        <f t="shared" si="95"/>
        <v>0</v>
      </c>
      <c r="AH365" s="53">
        <f t="shared" si="96"/>
        <v>0</v>
      </c>
      <c r="AI365" s="55"/>
      <c r="AJ365" s="53">
        <f t="shared" si="97"/>
        <v>0</v>
      </c>
      <c r="AK365" s="53">
        <f t="shared" si="98"/>
        <v>0</v>
      </c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7"/>
      <c r="AW365" s="57"/>
      <c r="AX365" s="57"/>
    </row>
    <row r="366" spans="2:50">
      <c r="B366" s="45">
        <v>348</v>
      </c>
      <c r="C366" s="214" t="s">
        <v>574</v>
      </c>
      <c r="D366" s="215" t="s">
        <v>603</v>
      </c>
      <c r="E366" s="215" t="s">
        <v>620</v>
      </c>
      <c r="F366" s="216" t="s">
        <v>620</v>
      </c>
      <c r="G366" s="217" t="s">
        <v>578</v>
      </c>
      <c r="H366" s="218">
        <v>43383</v>
      </c>
      <c r="I366" s="164" t="s">
        <v>409</v>
      </c>
      <c r="J366" s="219">
        <f t="shared" si="82"/>
        <v>96</v>
      </c>
      <c r="K366" s="219">
        <v>96</v>
      </c>
      <c r="L366" s="219">
        <v>0</v>
      </c>
      <c r="M366" s="219"/>
      <c r="N366" s="228">
        <v>1.4</v>
      </c>
      <c r="O366" s="228">
        <v>0</v>
      </c>
      <c r="P366" s="229">
        <v>1</v>
      </c>
      <c r="Q366" s="53"/>
      <c r="R366" s="54" t="s">
        <v>158</v>
      </c>
      <c r="S366" s="54" t="s">
        <v>158</v>
      </c>
      <c r="T366" s="54" t="s">
        <v>158</v>
      </c>
      <c r="U366" s="54" t="s">
        <v>158</v>
      </c>
      <c r="V366" s="211" t="s">
        <v>616</v>
      </c>
      <c r="W366" s="53"/>
      <c r="X366" s="53">
        <f t="shared" si="88"/>
        <v>0</v>
      </c>
      <c r="Y366" s="55"/>
      <c r="Z366" s="55"/>
      <c r="AA366" s="52">
        <f t="shared" si="89"/>
        <v>0</v>
      </c>
      <c r="AB366" s="53">
        <f t="shared" si="90"/>
        <v>0</v>
      </c>
      <c r="AC366" s="53">
        <f t="shared" si="91"/>
        <v>0</v>
      </c>
      <c r="AD366" s="53">
        <f t="shared" si="92"/>
        <v>0</v>
      </c>
      <c r="AE366" s="53">
        <f t="shared" si="93"/>
        <v>0</v>
      </c>
      <c r="AF366" s="53">
        <f t="shared" si="94"/>
        <v>0</v>
      </c>
      <c r="AG366" s="56">
        <f t="shared" si="95"/>
        <v>0</v>
      </c>
      <c r="AH366" s="53">
        <f t="shared" si="96"/>
        <v>0</v>
      </c>
      <c r="AI366" s="55"/>
      <c r="AJ366" s="53">
        <f t="shared" si="97"/>
        <v>0</v>
      </c>
      <c r="AK366" s="53">
        <f t="shared" si="98"/>
        <v>0</v>
      </c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7"/>
      <c r="AW366" s="57"/>
      <c r="AX366" s="57"/>
    </row>
    <row r="367" spans="2:50">
      <c r="B367" s="45">
        <v>349</v>
      </c>
      <c r="C367" s="214" t="s">
        <v>574</v>
      </c>
      <c r="D367" s="215" t="s">
        <v>621</v>
      </c>
      <c r="E367" s="215" t="s">
        <v>622</v>
      </c>
      <c r="F367" s="216" t="s">
        <v>623</v>
      </c>
      <c r="G367" s="217" t="s">
        <v>618</v>
      </c>
      <c r="H367" s="218">
        <v>42599</v>
      </c>
      <c r="I367" s="164" t="s">
        <v>409</v>
      </c>
      <c r="J367" s="219">
        <f t="shared" si="82"/>
        <v>12</v>
      </c>
      <c r="K367" s="219">
        <v>12</v>
      </c>
      <c r="L367" s="219">
        <v>0</v>
      </c>
      <c r="M367" s="219"/>
      <c r="N367" s="223">
        <v>0.02</v>
      </c>
      <c r="O367" s="223">
        <v>0</v>
      </c>
      <c r="P367" s="224">
        <v>1</v>
      </c>
      <c r="Q367" s="53"/>
      <c r="R367" s="54" t="s">
        <v>158</v>
      </c>
      <c r="S367" s="54" t="s">
        <v>158</v>
      </c>
      <c r="T367" s="54" t="s">
        <v>158</v>
      </c>
      <c r="U367" s="54" t="s">
        <v>158</v>
      </c>
      <c r="V367" s="211" t="s">
        <v>616</v>
      </c>
      <c r="W367" s="53"/>
      <c r="X367" s="53">
        <f t="shared" si="88"/>
        <v>0</v>
      </c>
      <c r="Y367" s="55"/>
      <c r="Z367" s="55"/>
      <c r="AA367" s="52">
        <f t="shared" si="89"/>
        <v>0</v>
      </c>
      <c r="AB367" s="53">
        <f t="shared" si="90"/>
        <v>0</v>
      </c>
      <c r="AC367" s="53">
        <f t="shared" si="91"/>
        <v>0</v>
      </c>
      <c r="AD367" s="53">
        <f t="shared" si="92"/>
        <v>0</v>
      </c>
      <c r="AE367" s="53">
        <f t="shared" si="93"/>
        <v>0</v>
      </c>
      <c r="AF367" s="53">
        <f t="shared" si="94"/>
        <v>0</v>
      </c>
      <c r="AG367" s="56">
        <f t="shared" si="95"/>
        <v>0</v>
      </c>
      <c r="AH367" s="53">
        <f t="shared" si="96"/>
        <v>0</v>
      </c>
      <c r="AI367" s="55"/>
      <c r="AJ367" s="53">
        <f t="shared" si="97"/>
        <v>0</v>
      </c>
      <c r="AK367" s="53">
        <f t="shared" si="98"/>
        <v>0</v>
      </c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7"/>
      <c r="AW367" s="57"/>
      <c r="AX367" s="57"/>
    </row>
    <row r="368" spans="2:50">
      <c r="B368" s="45">
        <v>350</v>
      </c>
      <c r="C368" s="214" t="s">
        <v>574</v>
      </c>
      <c r="D368" s="215" t="s">
        <v>621</v>
      </c>
      <c r="E368" s="215" t="s">
        <v>622</v>
      </c>
      <c r="F368" s="216" t="s">
        <v>624</v>
      </c>
      <c r="G368" s="217" t="s">
        <v>618</v>
      </c>
      <c r="H368" s="218">
        <v>43216</v>
      </c>
      <c r="I368" s="164" t="s">
        <v>409</v>
      </c>
      <c r="J368" s="219">
        <f t="shared" si="82"/>
        <v>12</v>
      </c>
      <c r="K368" s="219">
        <v>12</v>
      </c>
      <c r="L368" s="219">
        <v>0</v>
      </c>
      <c r="M368" s="219"/>
      <c r="N368" s="223">
        <v>0.04</v>
      </c>
      <c r="O368" s="223">
        <v>0</v>
      </c>
      <c r="P368" s="224">
        <v>1</v>
      </c>
      <c r="Q368" s="53"/>
      <c r="R368" s="54" t="s">
        <v>158</v>
      </c>
      <c r="S368" s="54" t="s">
        <v>158</v>
      </c>
      <c r="T368" s="54" t="s">
        <v>158</v>
      </c>
      <c r="U368" s="54" t="s">
        <v>158</v>
      </c>
      <c r="V368" s="211" t="s">
        <v>616</v>
      </c>
      <c r="W368" s="53"/>
      <c r="X368" s="53">
        <f t="shared" si="88"/>
        <v>0</v>
      </c>
      <c r="Y368" s="55"/>
      <c r="Z368" s="55"/>
      <c r="AA368" s="52">
        <f t="shared" si="89"/>
        <v>0</v>
      </c>
      <c r="AB368" s="53">
        <f t="shared" si="90"/>
        <v>0</v>
      </c>
      <c r="AC368" s="53">
        <f t="shared" si="91"/>
        <v>0</v>
      </c>
      <c r="AD368" s="53">
        <f t="shared" si="92"/>
        <v>0</v>
      </c>
      <c r="AE368" s="53">
        <f t="shared" si="93"/>
        <v>0</v>
      </c>
      <c r="AF368" s="53">
        <f t="shared" si="94"/>
        <v>0</v>
      </c>
      <c r="AG368" s="56">
        <f t="shared" si="95"/>
        <v>0</v>
      </c>
      <c r="AH368" s="53">
        <f t="shared" si="96"/>
        <v>0</v>
      </c>
      <c r="AI368" s="55"/>
      <c r="AJ368" s="53">
        <f t="shared" si="97"/>
        <v>0</v>
      </c>
      <c r="AK368" s="53">
        <f t="shared" si="98"/>
        <v>0</v>
      </c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7"/>
      <c r="AW368" s="57"/>
      <c r="AX368" s="57"/>
    </row>
    <row r="369" spans="2:50">
      <c r="B369" s="45">
        <v>351</v>
      </c>
      <c r="C369" s="214" t="s">
        <v>574</v>
      </c>
      <c r="D369" s="215" t="s">
        <v>621</v>
      </c>
      <c r="E369" s="215" t="s">
        <v>622</v>
      </c>
      <c r="F369" s="216" t="s">
        <v>625</v>
      </c>
      <c r="G369" s="217" t="s">
        <v>618</v>
      </c>
      <c r="H369" s="218">
        <v>42599</v>
      </c>
      <c r="I369" s="164" t="s">
        <v>409</v>
      </c>
      <c r="J369" s="219">
        <f t="shared" si="82"/>
        <v>23.4</v>
      </c>
      <c r="K369" s="219">
        <v>18</v>
      </c>
      <c r="L369" s="219">
        <v>5.4</v>
      </c>
      <c r="M369" s="219"/>
      <c r="N369" s="223">
        <v>0.04</v>
      </c>
      <c r="O369" s="223">
        <v>0.09</v>
      </c>
      <c r="P369" s="224">
        <v>1</v>
      </c>
      <c r="Q369" s="53"/>
      <c r="R369" s="54" t="s">
        <v>158</v>
      </c>
      <c r="S369" s="54" t="s">
        <v>158</v>
      </c>
      <c r="T369" s="54" t="s">
        <v>158</v>
      </c>
      <c r="U369" s="54" t="s">
        <v>158</v>
      </c>
      <c r="V369" s="211" t="s">
        <v>616</v>
      </c>
      <c r="W369" s="53"/>
      <c r="X369" s="53">
        <f t="shared" si="88"/>
        <v>0</v>
      </c>
      <c r="Y369" s="55"/>
      <c r="Z369" s="55"/>
      <c r="AA369" s="52">
        <f t="shared" si="89"/>
        <v>0</v>
      </c>
      <c r="AB369" s="53">
        <f t="shared" si="90"/>
        <v>0</v>
      </c>
      <c r="AC369" s="53">
        <f t="shared" si="91"/>
        <v>0</v>
      </c>
      <c r="AD369" s="53">
        <f t="shared" si="92"/>
        <v>0</v>
      </c>
      <c r="AE369" s="53">
        <f t="shared" si="93"/>
        <v>0</v>
      </c>
      <c r="AF369" s="53">
        <f t="shared" si="94"/>
        <v>0</v>
      </c>
      <c r="AG369" s="56">
        <f t="shared" si="95"/>
        <v>0</v>
      </c>
      <c r="AH369" s="53">
        <f t="shared" si="96"/>
        <v>0</v>
      </c>
      <c r="AI369" s="55"/>
      <c r="AJ369" s="53">
        <f t="shared" si="97"/>
        <v>0</v>
      </c>
      <c r="AK369" s="53">
        <f t="shared" si="98"/>
        <v>0</v>
      </c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7"/>
      <c r="AW369" s="57"/>
      <c r="AX369" s="57"/>
    </row>
    <row r="370" spans="2:50">
      <c r="B370" s="45">
        <v>352</v>
      </c>
      <c r="C370" s="214" t="s">
        <v>574</v>
      </c>
      <c r="D370" s="215" t="s">
        <v>621</v>
      </c>
      <c r="E370" s="215" t="s">
        <v>622</v>
      </c>
      <c r="F370" s="216" t="s">
        <v>626</v>
      </c>
      <c r="G370" s="217" t="s">
        <v>618</v>
      </c>
      <c r="H370" s="218">
        <v>43472</v>
      </c>
      <c r="I370" s="164" t="s">
        <v>409</v>
      </c>
      <c r="J370" s="219">
        <f t="shared" si="82"/>
        <v>72</v>
      </c>
      <c r="K370" s="219">
        <v>12</v>
      </c>
      <c r="L370" s="219">
        <v>60</v>
      </c>
      <c r="M370" s="219"/>
      <c r="N370" s="223">
        <v>0.06</v>
      </c>
      <c r="O370" s="223">
        <v>1</v>
      </c>
      <c r="P370" s="224">
        <v>1</v>
      </c>
      <c r="Q370" s="53"/>
      <c r="R370" s="54" t="s">
        <v>158</v>
      </c>
      <c r="S370" s="54" t="s">
        <v>158</v>
      </c>
      <c r="T370" s="54" t="s">
        <v>158</v>
      </c>
      <c r="U370" s="54" t="s">
        <v>158</v>
      </c>
      <c r="V370" s="211" t="s">
        <v>616</v>
      </c>
      <c r="W370" s="53"/>
      <c r="X370" s="53">
        <f t="shared" si="88"/>
        <v>0</v>
      </c>
      <c r="Y370" s="55"/>
      <c r="Z370" s="55"/>
      <c r="AA370" s="52">
        <f t="shared" si="89"/>
        <v>0</v>
      </c>
      <c r="AB370" s="53">
        <f t="shared" si="90"/>
        <v>0</v>
      </c>
      <c r="AC370" s="53">
        <f t="shared" si="91"/>
        <v>0</v>
      </c>
      <c r="AD370" s="53">
        <f t="shared" si="92"/>
        <v>0</v>
      </c>
      <c r="AE370" s="53">
        <f t="shared" si="93"/>
        <v>0</v>
      </c>
      <c r="AF370" s="53">
        <f t="shared" si="94"/>
        <v>0</v>
      </c>
      <c r="AG370" s="56">
        <f t="shared" si="95"/>
        <v>0</v>
      </c>
      <c r="AH370" s="53">
        <f t="shared" si="96"/>
        <v>0</v>
      </c>
      <c r="AI370" s="55"/>
      <c r="AJ370" s="53">
        <f t="shared" si="97"/>
        <v>0</v>
      </c>
      <c r="AK370" s="53">
        <f t="shared" si="98"/>
        <v>0</v>
      </c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7"/>
      <c r="AW370" s="57"/>
      <c r="AX370" s="57"/>
    </row>
    <row r="371" spans="2:50">
      <c r="B371" s="45">
        <v>353</v>
      </c>
      <c r="C371" s="214" t="s">
        <v>574</v>
      </c>
      <c r="D371" s="215" t="s">
        <v>621</v>
      </c>
      <c r="E371" s="215" t="s">
        <v>622</v>
      </c>
      <c r="F371" s="216" t="s">
        <v>627</v>
      </c>
      <c r="G371" s="217" t="s">
        <v>618</v>
      </c>
      <c r="H371" s="218">
        <v>42599</v>
      </c>
      <c r="I371" s="164" t="s">
        <v>409</v>
      </c>
      <c r="J371" s="219">
        <f t="shared" si="82"/>
        <v>18</v>
      </c>
      <c r="K371" s="219">
        <v>18</v>
      </c>
      <c r="L371" s="219">
        <v>0</v>
      </c>
      <c r="M371" s="219"/>
      <c r="N371" s="223">
        <v>9.0000000000000011E-2</v>
      </c>
      <c r="O371" s="223">
        <v>0</v>
      </c>
      <c r="P371" s="224">
        <v>1</v>
      </c>
      <c r="Q371" s="53"/>
      <c r="R371" s="54" t="s">
        <v>158</v>
      </c>
      <c r="S371" s="54" t="s">
        <v>158</v>
      </c>
      <c r="T371" s="54" t="s">
        <v>158</v>
      </c>
      <c r="U371" s="54" t="s">
        <v>158</v>
      </c>
      <c r="V371" s="211" t="s">
        <v>616</v>
      </c>
      <c r="W371" s="53"/>
      <c r="X371" s="53">
        <f t="shared" si="88"/>
        <v>0</v>
      </c>
      <c r="Y371" s="55"/>
      <c r="Z371" s="55"/>
      <c r="AA371" s="52">
        <f t="shared" si="89"/>
        <v>0</v>
      </c>
      <c r="AB371" s="53">
        <f t="shared" si="90"/>
        <v>0</v>
      </c>
      <c r="AC371" s="53">
        <f t="shared" si="91"/>
        <v>0</v>
      </c>
      <c r="AD371" s="53">
        <f t="shared" si="92"/>
        <v>0</v>
      </c>
      <c r="AE371" s="53">
        <f t="shared" si="93"/>
        <v>0</v>
      </c>
      <c r="AF371" s="53">
        <f t="shared" si="94"/>
        <v>0</v>
      </c>
      <c r="AG371" s="56">
        <f t="shared" si="95"/>
        <v>0</v>
      </c>
      <c r="AH371" s="53">
        <f t="shared" si="96"/>
        <v>0</v>
      </c>
      <c r="AI371" s="55"/>
      <c r="AJ371" s="53">
        <f t="shared" si="97"/>
        <v>0</v>
      </c>
      <c r="AK371" s="53">
        <f t="shared" si="98"/>
        <v>0</v>
      </c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7"/>
      <c r="AW371" s="57"/>
      <c r="AX371" s="57"/>
    </row>
    <row r="372" spans="2:50">
      <c r="B372" s="45">
        <v>354</v>
      </c>
      <c r="C372" s="214" t="s">
        <v>574</v>
      </c>
      <c r="D372" s="215" t="s">
        <v>621</v>
      </c>
      <c r="E372" s="215" t="s">
        <v>622</v>
      </c>
      <c r="F372" s="216" t="s">
        <v>628</v>
      </c>
      <c r="G372" s="217" t="s">
        <v>618</v>
      </c>
      <c r="H372" s="218">
        <v>42599</v>
      </c>
      <c r="I372" s="164" t="s">
        <v>409</v>
      </c>
      <c r="J372" s="219">
        <f t="shared" si="82"/>
        <v>36</v>
      </c>
      <c r="K372" s="219">
        <v>36</v>
      </c>
      <c r="L372" s="219">
        <v>0</v>
      </c>
      <c r="M372" s="219"/>
      <c r="N372" s="223">
        <v>0.26</v>
      </c>
      <c r="O372" s="223">
        <v>0</v>
      </c>
      <c r="P372" s="224">
        <v>1</v>
      </c>
      <c r="Q372" s="53"/>
      <c r="R372" s="54" t="s">
        <v>158</v>
      </c>
      <c r="S372" s="54" t="s">
        <v>158</v>
      </c>
      <c r="T372" s="54" t="s">
        <v>158</v>
      </c>
      <c r="U372" s="54" t="s">
        <v>158</v>
      </c>
      <c r="V372" s="211" t="s">
        <v>616</v>
      </c>
      <c r="W372" s="53"/>
      <c r="X372" s="53">
        <f t="shared" si="88"/>
        <v>0</v>
      </c>
      <c r="Y372" s="55"/>
      <c r="Z372" s="55"/>
      <c r="AA372" s="52">
        <f t="shared" si="89"/>
        <v>0</v>
      </c>
      <c r="AB372" s="53">
        <f t="shared" si="90"/>
        <v>0</v>
      </c>
      <c r="AC372" s="53">
        <f t="shared" si="91"/>
        <v>0</v>
      </c>
      <c r="AD372" s="53">
        <f t="shared" si="92"/>
        <v>0</v>
      </c>
      <c r="AE372" s="53">
        <f t="shared" si="93"/>
        <v>0</v>
      </c>
      <c r="AF372" s="53">
        <f t="shared" si="94"/>
        <v>0</v>
      </c>
      <c r="AG372" s="56">
        <f t="shared" si="95"/>
        <v>0</v>
      </c>
      <c r="AH372" s="53">
        <f t="shared" si="96"/>
        <v>0</v>
      </c>
      <c r="AI372" s="55"/>
      <c r="AJ372" s="53">
        <f t="shared" si="97"/>
        <v>0</v>
      </c>
      <c r="AK372" s="53">
        <f t="shared" si="98"/>
        <v>0</v>
      </c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7"/>
      <c r="AW372" s="57"/>
      <c r="AX372" s="57"/>
    </row>
    <row r="373" spans="2:50">
      <c r="B373" s="45">
        <v>355</v>
      </c>
      <c r="C373" s="214" t="s">
        <v>574</v>
      </c>
      <c r="D373" s="215" t="s">
        <v>621</v>
      </c>
      <c r="E373" s="215" t="s">
        <v>622</v>
      </c>
      <c r="F373" s="216" t="s">
        <v>629</v>
      </c>
      <c r="G373" s="217" t="s">
        <v>618</v>
      </c>
      <c r="H373" s="218">
        <v>43763</v>
      </c>
      <c r="I373" s="164" t="s">
        <v>409</v>
      </c>
      <c r="J373" s="219">
        <f t="shared" si="82"/>
        <v>36</v>
      </c>
      <c r="K373" s="219">
        <v>36</v>
      </c>
      <c r="L373" s="219">
        <v>0</v>
      </c>
      <c r="M373" s="219"/>
      <c r="N373" s="223">
        <v>0.11</v>
      </c>
      <c r="O373" s="223">
        <v>0</v>
      </c>
      <c r="P373" s="224">
        <v>1</v>
      </c>
      <c r="Q373" s="53"/>
      <c r="R373" s="54" t="s">
        <v>158</v>
      </c>
      <c r="S373" s="54" t="s">
        <v>158</v>
      </c>
      <c r="T373" s="54" t="s">
        <v>158</v>
      </c>
      <c r="U373" s="54" t="s">
        <v>158</v>
      </c>
      <c r="V373" s="211" t="s">
        <v>616</v>
      </c>
      <c r="W373" s="53"/>
      <c r="X373" s="53">
        <f t="shared" si="88"/>
        <v>0</v>
      </c>
      <c r="Y373" s="55"/>
      <c r="Z373" s="55"/>
      <c r="AA373" s="52">
        <f t="shared" si="89"/>
        <v>0</v>
      </c>
      <c r="AB373" s="53">
        <f t="shared" si="90"/>
        <v>0</v>
      </c>
      <c r="AC373" s="53">
        <f t="shared" si="91"/>
        <v>0</v>
      </c>
      <c r="AD373" s="53">
        <f t="shared" si="92"/>
        <v>0</v>
      </c>
      <c r="AE373" s="53">
        <f t="shared" si="93"/>
        <v>0</v>
      </c>
      <c r="AF373" s="53">
        <f t="shared" si="94"/>
        <v>0</v>
      </c>
      <c r="AG373" s="56">
        <f t="shared" si="95"/>
        <v>0</v>
      </c>
      <c r="AH373" s="53">
        <f t="shared" si="96"/>
        <v>0</v>
      </c>
      <c r="AI373" s="55"/>
      <c r="AJ373" s="53">
        <f t="shared" si="97"/>
        <v>0</v>
      </c>
      <c r="AK373" s="53">
        <f t="shared" si="98"/>
        <v>0</v>
      </c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7"/>
      <c r="AW373" s="57"/>
      <c r="AX373" s="57"/>
    </row>
    <row r="374" spans="2:50">
      <c r="B374" s="45">
        <v>356</v>
      </c>
      <c r="C374" s="214" t="s">
        <v>574</v>
      </c>
      <c r="D374" s="215" t="s">
        <v>621</v>
      </c>
      <c r="E374" s="215" t="s">
        <v>622</v>
      </c>
      <c r="F374" s="216" t="s">
        <v>630</v>
      </c>
      <c r="G374" s="217" t="s">
        <v>618</v>
      </c>
      <c r="H374" s="218">
        <v>43210</v>
      </c>
      <c r="I374" s="164" t="s">
        <v>409</v>
      </c>
      <c r="J374" s="219">
        <f t="shared" si="82"/>
        <v>6</v>
      </c>
      <c r="K374" s="219">
        <v>6</v>
      </c>
      <c r="L374" s="219">
        <v>0</v>
      </c>
      <c r="M374" s="219"/>
      <c r="N374" s="223">
        <v>0.01</v>
      </c>
      <c r="O374" s="223">
        <v>0</v>
      </c>
      <c r="P374" s="224">
        <v>1</v>
      </c>
      <c r="Q374" s="53"/>
      <c r="R374" s="54" t="s">
        <v>158</v>
      </c>
      <c r="S374" s="54" t="s">
        <v>158</v>
      </c>
      <c r="T374" s="54" t="s">
        <v>158</v>
      </c>
      <c r="U374" s="54" t="s">
        <v>158</v>
      </c>
      <c r="V374" s="211" t="s">
        <v>616</v>
      </c>
      <c r="W374" s="53"/>
      <c r="X374" s="53">
        <f t="shared" si="88"/>
        <v>0</v>
      </c>
      <c r="Y374" s="55"/>
      <c r="Z374" s="55"/>
      <c r="AA374" s="52">
        <f t="shared" si="89"/>
        <v>0</v>
      </c>
      <c r="AB374" s="53">
        <f t="shared" si="90"/>
        <v>0</v>
      </c>
      <c r="AC374" s="53">
        <f t="shared" si="91"/>
        <v>0</v>
      </c>
      <c r="AD374" s="53">
        <f t="shared" si="92"/>
        <v>0</v>
      </c>
      <c r="AE374" s="53">
        <f t="shared" si="93"/>
        <v>0</v>
      </c>
      <c r="AF374" s="53">
        <f t="shared" si="94"/>
        <v>0</v>
      </c>
      <c r="AG374" s="56">
        <f t="shared" si="95"/>
        <v>0</v>
      </c>
      <c r="AH374" s="53">
        <f t="shared" si="96"/>
        <v>0</v>
      </c>
      <c r="AI374" s="55"/>
      <c r="AJ374" s="53">
        <f t="shared" si="97"/>
        <v>0</v>
      </c>
      <c r="AK374" s="53">
        <f t="shared" si="98"/>
        <v>0</v>
      </c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7"/>
      <c r="AW374" s="57"/>
      <c r="AX374" s="57"/>
    </row>
    <row r="375" spans="2:50">
      <c r="B375" s="45">
        <v>357</v>
      </c>
      <c r="C375" s="214" t="s">
        <v>574</v>
      </c>
      <c r="D375" s="215" t="s">
        <v>621</v>
      </c>
      <c r="E375" s="215" t="s">
        <v>622</v>
      </c>
      <c r="F375" s="216" t="s">
        <v>631</v>
      </c>
      <c r="G375" s="217" t="s">
        <v>618</v>
      </c>
      <c r="H375" s="218">
        <v>42599</v>
      </c>
      <c r="I375" s="164" t="s">
        <v>409</v>
      </c>
      <c r="J375" s="219">
        <f t="shared" si="82"/>
        <v>1452</v>
      </c>
      <c r="K375" s="219">
        <v>12</v>
      </c>
      <c r="L375" s="219">
        <v>1440</v>
      </c>
      <c r="M375" s="219"/>
      <c r="N375" s="223">
        <v>0.2</v>
      </c>
      <c r="O375" s="223">
        <v>24</v>
      </c>
      <c r="P375" s="224">
        <v>1</v>
      </c>
      <c r="Q375" s="53"/>
      <c r="R375" s="54" t="s">
        <v>158</v>
      </c>
      <c r="S375" s="54" t="s">
        <v>158</v>
      </c>
      <c r="T375" s="54" t="s">
        <v>158</v>
      </c>
      <c r="U375" s="54" t="s">
        <v>158</v>
      </c>
      <c r="V375" s="211" t="s">
        <v>616</v>
      </c>
      <c r="W375" s="53"/>
      <c r="X375" s="53">
        <f t="shared" si="88"/>
        <v>0</v>
      </c>
      <c r="Y375" s="55"/>
      <c r="Z375" s="55"/>
      <c r="AA375" s="52">
        <f t="shared" si="89"/>
        <v>0</v>
      </c>
      <c r="AB375" s="53">
        <f t="shared" si="90"/>
        <v>0</v>
      </c>
      <c r="AC375" s="53">
        <f t="shared" si="91"/>
        <v>0</v>
      </c>
      <c r="AD375" s="53">
        <f t="shared" si="92"/>
        <v>0</v>
      </c>
      <c r="AE375" s="53">
        <f t="shared" si="93"/>
        <v>0</v>
      </c>
      <c r="AF375" s="53">
        <f t="shared" si="94"/>
        <v>0</v>
      </c>
      <c r="AG375" s="56">
        <f t="shared" si="95"/>
        <v>0</v>
      </c>
      <c r="AH375" s="53">
        <f t="shared" si="96"/>
        <v>0</v>
      </c>
      <c r="AI375" s="55"/>
      <c r="AJ375" s="53">
        <f t="shared" si="97"/>
        <v>0</v>
      </c>
      <c r="AK375" s="53">
        <f t="shared" si="98"/>
        <v>0</v>
      </c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7"/>
      <c r="AW375" s="57"/>
      <c r="AX375" s="57"/>
    </row>
    <row r="376" spans="2:50">
      <c r="B376" s="45">
        <v>358</v>
      </c>
      <c r="C376" s="214" t="s">
        <v>574</v>
      </c>
      <c r="D376" s="215" t="s">
        <v>621</v>
      </c>
      <c r="E376" s="215" t="s">
        <v>632</v>
      </c>
      <c r="F376" s="216" t="s">
        <v>633</v>
      </c>
      <c r="G376" s="217" t="s">
        <v>618</v>
      </c>
      <c r="H376" s="218">
        <v>43734</v>
      </c>
      <c r="I376" s="164" t="s">
        <v>409</v>
      </c>
      <c r="J376" s="219">
        <f t="shared" si="82"/>
        <v>12</v>
      </c>
      <c r="K376" s="219">
        <v>12</v>
      </c>
      <c r="L376" s="219">
        <v>0</v>
      </c>
      <c r="M376" s="219"/>
      <c r="N376" s="223">
        <v>0.11</v>
      </c>
      <c r="O376" s="223">
        <v>0</v>
      </c>
      <c r="P376" s="224">
        <v>1</v>
      </c>
      <c r="Q376" s="53"/>
      <c r="R376" s="54" t="s">
        <v>158</v>
      </c>
      <c r="S376" s="54" t="s">
        <v>158</v>
      </c>
      <c r="T376" s="54" t="s">
        <v>158</v>
      </c>
      <c r="U376" s="54" t="s">
        <v>158</v>
      </c>
      <c r="V376" s="211" t="s">
        <v>616</v>
      </c>
      <c r="W376" s="53"/>
      <c r="X376" s="53">
        <f t="shared" si="88"/>
        <v>0</v>
      </c>
      <c r="Y376" s="55"/>
      <c r="Z376" s="55"/>
      <c r="AA376" s="52">
        <f t="shared" si="89"/>
        <v>0</v>
      </c>
      <c r="AB376" s="53">
        <f t="shared" si="90"/>
        <v>0</v>
      </c>
      <c r="AC376" s="53">
        <f t="shared" si="91"/>
        <v>0</v>
      </c>
      <c r="AD376" s="53">
        <f t="shared" si="92"/>
        <v>0</v>
      </c>
      <c r="AE376" s="53">
        <f t="shared" si="93"/>
        <v>0</v>
      </c>
      <c r="AF376" s="53">
        <f t="shared" si="94"/>
        <v>0</v>
      </c>
      <c r="AG376" s="56">
        <f t="shared" si="95"/>
        <v>0</v>
      </c>
      <c r="AH376" s="53">
        <f t="shared" si="96"/>
        <v>0</v>
      </c>
      <c r="AI376" s="55"/>
      <c r="AJ376" s="53">
        <f t="shared" si="97"/>
        <v>0</v>
      </c>
      <c r="AK376" s="53">
        <f t="shared" si="98"/>
        <v>0</v>
      </c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7"/>
      <c r="AW376" s="57"/>
      <c r="AX376" s="57"/>
    </row>
    <row r="377" spans="2:50">
      <c r="B377" s="45">
        <v>359</v>
      </c>
      <c r="C377" s="214" t="s">
        <v>574</v>
      </c>
      <c r="D377" s="215" t="s">
        <v>621</v>
      </c>
      <c r="E377" s="215" t="s">
        <v>632</v>
      </c>
      <c r="F377" s="216" t="s">
        <v>634</v>
      </c>
      <c r="G377" s="217" t="s">
        <v>618</v>
      </c>
      <c r="H377" s="218">
        <v>42599</v>
      </c>
      <c r="I377" s="164" t="s">
        <v>409</v>
      </c>
      <c r="J377" s="219">
        <f t="shared" si="82"/>
        <v>6</v>
      </c>
      <c r="K377" s="219">
        <v>6</v>
      </c>
      <c r="L377" s="219">
        <v>0</v>
      </c>
      <c r="M377" s="219"/>
      <c r="N377" s="223">
        <v>0.1</v>
      </c>
      <c r="O377" s="223">
        <v>0</v>
      </c>
      <c r="P377" s="224">
        <v>1</v>
      </c>
      <c r="Q377" s="53"/>
      <c r="R377" s="54" t="s">
        <v>158</v>
      </c>
      <c r="S377" s="54" t="s">
        <v>158</v>
      </c>
      <c r="T377" s="54" t="s">
        <v>158</v>
      </c>
      <c r="U377" s="54" t="s">
        <v>158</v>
      </c>
      <c r="V377" s="211" t="s">
        <v>616</v>
      </c>
      <c r="W377" s="53"/>
      <c r="X377" s="53">
        <f t="shared" si="88"/>
        <v>0</v>
      </c>
      <c r="Y377" s="55"/>
      <c r="Z377" s="55"/>
      <c r="AA377" s="52">
        <f t="shared" si="89"/>
        <v>0</v>
      </c>
      <c r="AB377" s="53">
        <f t="shared" si="90"/>
        <v>0</v>
      </c>
      <c r="AC377" s="53">
        <f t="shared" si="91"/>
        <v>0</v>
      </c>
      <c r="AD377" s="53">
        <f t="shared" si="92"/>
        <v>0</v>
      </c>
      <c r="AE377" s="53">
        <f t="shared" si="93"/>
        <v>0</v>
      </c>
      <c r="AF377" s="53">
        <f t="shared" si="94"/>
        <v>0</v>
      </c>
      <c r="AG377" s="56">
        <f t="shared" si="95"/>
        <v>0</v>
      </c>
      <c r="AH377" s="53">
        <f t="shared" si="96"/>
        <v>0</v>
      </c>
      <c r="AI377" s="55"/>
      <c r="AJ377" s="53">
        <f t="shared" si="97"/>
        <v>0</v>
      </c>
      <c r="AK377" s="53">
        <f t="shared" si="98"/>
        <v>0</v>
      </c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7"/>
      <c r="AW377" s="57"/>
      <c r="AX377" s="57"/>
    </row>
    <row r="378" spans="2:50">
      <c r="B378" s="45">
        <v>360</v>
      </c>
      <c r="C378" s="214" t="s">
        <v>574</v>
      </c>
      <c r="D378" s="215" t="s">
        <v>621</v>
      </c>
      <c r="E378" s="215" t="s">
        <v>632</v>
      </c>
      <c r="F378" s="216" t="s">
        <v>635</v>
      </c>
      <c r="G378" s="217" t="s">
        <v>618</v>
      </c>
      <c r="H378" s="218">
        <v>42599</v>
      </c>
      <c r="I378" s="164" t="s">
        <v>409</v>
      </c>
      <c r="J378" s="219">
        <f t="shared" si="82"/>
        <v>6</v>
      </c>
      <c r="K378" s="219">
        <v>6</v>
      </c>
      <c r="L378" s="219">
        <v>0</v>
      </c>
      <c r="M378" s="219"/>
      <c r="N378" s="223">
        <v>0.1</v>
      </c>
      <c r="O378" s="223">
        <v>0</v>
      </c>
      <c r="P378" s="224">
        <v>1</v>
      </c>
      <c r="Q378" s="53"/>
      <c r="R378" s="54" t="s">
        <v>158</v>
      </c>
      <c r="S378" s="54" t="s">
        <v>158</v>
      </c>
      <c r="T378" s="54" t="s">
        <v>158</v>
      </c>
      <c r="U378" s="54" t="s">
        <v>158</v>
      </c>
      <c r="V378" s="211" t="s">
        <v>616</v>
      </c>
      <c r="W378" s="53"/>
      <c r="X378" s="53">
        <f t="shared" si="88"/>
        <v>0</v>
      </c>
      <c r="Y378" s="55"/>
      <c r="Z378" s="55"/>
      <c r="AA378" s="52">
        <f t="shared" si="89"/>
        <v>0</v>
      </c>
      <c r="AB378" s="53">
        <f t="shared" si="90"/>
        <v>0</v>
      </c>
      <c r="AC378" s="53">
        <f t="shared" si="91"/>
        <v>0</v>
      </c>
      <c r="AD378" s="53">
        <f t="shared" si="92"/>
        <v>0</v>
      </c>
      <c r="AE378" s="53">
        <f t="shared" si="93"/>
        <v>0</v>
      </c>
      <c r="AF378" s="53">
        <f t="shared" si="94"/>
        <v>0</v>
      </c>
      <c r="AG378" s="56">
        <f t="shared" si="95"/>
        <v>0</v>
      </c>
      <c r="AH378" s="53">
        <f t="shared" si="96"/>
        <v>0</v>
      </c>
      <c r="AI378" s="55"/>
      <c r="AJ378" s="53">
        <f t="shared" si="97"/>
        <v>0</v>
      </c>
      <c r="AK378" s="53">
        <f t="shared" si="98"/>
        <v>0</v>
      </c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7"/>
      <c r="AW378" s="57"/>
      <c r="AX378" s="57"/>
    </row>
    <row r="379" spans="2:50">
      <c r="B379" s="45">
        <v>361</v>
      </c>
      <c r="C379" s="214" t="s">
        <v>574</v>
      </c>
      <c r="D379" s="215" t="s">
        <v>621</v>
      </c>
      <c r="E379" s="215" t="s">
        <v>632</v>
      </c>
      <c r="F379" s="216" t="s">
        <v>636</v>
      </c>
      <c r="G379" s="217" t="s">
        <v>618</v>
      </c>
      <c r="H379" s="218">
        <v>42599</v>
      </c>
      <c r="I379" s="164" t="s">
        <v>409</v>
      </c>
      <c r="J379" s="219">
        <f t="shared" si="82"/>
        <v>6</v>
      </c>
      <c r="K379" s="219">
        <v>6</v>
      </c>
      <c r="L379" s="219">
        <v>0</v>
      </c>
      <c r="M379" s="219"/>
      <c r="N379" s="223">
        <v>0.1</v>
      </c>
      <c r="O379" s="223">
        <v>0</v>
      </c>
      <c r="P379" s="224">
        <v>1</v>
      </c>
      <c r="Q379" s="53"/>
      <c r="R379" s="54" t="s">
        <v>158</v>
      </c>
      <c r="S379" s="54" t="s">
        <v>158</v>
      </c>
      <c r="T379" s="54" t="s">
        <v>158</v>
      </c>
      <c r="U379" s="54" t="s">
        <v>158</v>
      </c>
      <c r="V379" s="211" t="s">
        <v>616</v>
      </c>
      <c r="W379" s="53"/>
      <c r="X379" s="53">
        <f t="shared" si="88"/>
        <v>0</v>
      </c>
      <c r="Y379" s="55"/>
      <c r="Z379" s="55"/>
      <c r="AA379" s="52">
        <f t="shared" si="89"/>
        <v>0</v>
      </c>
      <c r="AB379" s="53">
        <f t="shared" si="90"/>
        <v>0</v>
      </c>
      <c r="AC379" s="53">
        <f t="shared" si="91"/>
        <v>0</v>
      </c>
      <c r="AD379" s="53">
        <f t="shared" si="92"/>
        <v>0</v>
      </c>
      <c r="AE379" s="53">
        <f t="shared" si="93"/>
        <v>0</v>
      </c>
      <c r="AF379" s="53">
        <f t="shared" si="94"/>
        <v>0</v>
      </c>
      <c r="AG379" s="56">
        <f t="shared" si="95"/>
        <v>0</v>
      </c>
      <c r="AH379" s="53">
        <f t="shared" si="96"/>
        <v>0</v>
      </c>
      <c r="AI379" s="55"/>
      <c r="AJ379" s="53">
        <f t="shared" si="97"/>
        <v>0</v>
      </c>
      <c r="AK379" s="53">
        <f t="shared" si="98"/>
        <v>0</v>
      </c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7"/>
      <c r="AW379" s="57"/>
      <c r="AX379" s="57"/>
    </row>
    <row r="380" spans="2:50">
      <c r="B380" s="45">
        <v>362</v>
      </c>
      <c r="C380" s="214" t="s">
        <v>574</v>
      </c>
      <c r="D380" s="215" t="s">
        <v>621</v>
      </c>
      <c r="E380" s="215" t="s">
        <v>632</v>
      </c>
      <c r="F380" s="216" t="s">
        <v>637</v>
      </c>
      <c r="G380" s="217" t="s">
        <v>618</v>
      </c>
      <c r="H380" s="218">
        <v>42599</v>
      </c>
      <c r="I380" s="164" t="s">
        <v>409</v>
      </c>
      <c r="J380" s="219">
        <f t="shared" si="82"/>
        <v>6</v>
      </c>
      <c r="K380" s="219">
        <v>6</v>
      </c>
      <c r="L380" s="219">
        <v>0</v>
      </c>
      <c r="M380" s="219"/>
      <c r="N380" s="223">
        <v>0.1</v>
      </c>
      <c r="O380" s="223">
        <v>0</v>
      </c>
      <c r="P380" s="224">
        <v>1</v>
      </c>
      <c r="Q380" s="53"/>
      <c r="R380" s="54" t="s">
        <v>158</v>
      </c>
      <c r="S380" s="54" t="s">
        <v>158</v>
      </c>
      <c r="T380" s="54" t="s">
        <v>158</v>
      </c>
      <c r="U380" s="54" t="s">
        <v>158</v>
      </c>
      <c r="V380" s="211" t="s">
        <v>616</v>
      </c>
      <c r="W380" s="53"/>
      <c r="X380" s="53">
        <f t="shared" si="88"/>
        <v>0</v>
      </c>
      <c r="Y380" s="55"/>
      <c r="Z380" s="55"/>
      <c r="AA380" s="52">
        <f t="shared" si="89"/>
        <v>0</v>
      </c>
      <c r="AB380" s="53">
        <f t="shared" si="90"/>
        <v>0</v>
      </c>
      <c r="AC380" s="53">
        <f t="shared" si="91"/>
        <v>0</v>
      </c>
      <c r="AD380" s="53">
        <f t="shared" si="92"/>
        <v>0</v>
      </c>
      <c r="AE380" s="53">
        <f t="shared" si="93"/>
        <v>0</v>
      </c>
      <c r="AF380" s="53">
        <f t="shared" si="94"/>
        <v>0</v>
      </c>
      <c r="AG380" s="56">
        <f t="shared" si="95"/>
        <v>0</v>
      </c>
      <c r="AH380" s="53">
        <f t="shared" si="96"/>
        <v>0</v>
      </c>
      <c r="AI380" s="55"/>
      <c r="AJ380" s="53">
        <f t="shared" si="97"/>
        <v>0</v>
      </c>
      <c r="AK380" s="53">
        <f t="shared" si="98"/>
        <v>0</v>
      </c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7"/>
      <c r="AW380" s="57"/>
      <c r="AX380" s="57"/>
    </row>
    <row r="381" spans="2:50">
      <c r="B381" s="45">
        <v>363</v>
      </c>
      <c r="C381" s="214" t="s">
        <v>574</v>
      </c>
      <c r="D381" s="215" t="s">
        <v>621</v>
      </c>
      <c r="E381" s="215" t="s">
        <v>632</v>
      </c>
      <c r="F381" s="216" t="s">
        <v>638</v>
      </c>
      <c r="G381" s="217" t="s">
        <v>618</v>
      </c>
      <c r="H381" s="218">
        <v>42599</v>
      </c>
      <c r="I381" s="164" t="s">
        <v>409</v>
      </c>
      <c r="J381" s="219">
        <f t="shared" si="82"/>
        <v>12</v>
      </c>
      <c r="K381" s="219">
        <v>12</v>
      </c>
      <c r="L381" s="219">
        <v>0</v>
      </c>
      <c r="M381" s="219"/>
      <c r="N381" s="223">
        <v>0.2</v>
      </c>
      <c r="O381" s="223">
        <v>0</v>
      </c>
      <c r="P381" s="224">
        <v>1</v>
      </c>
      <c r="Q381" s="53"/>
      <c r="R381" s="54" t="s">
        <v>158</v>
      </c>
      <c r="S381" s="54" t="s">
        <v>158</v>
      </c>
      <c r="T381" s="54" t="s">
        <v>158</v>
      </c>
      <c r="U381" s="54" t="s">
        <v>158</v>
      </c>
      <c r="V381" s="211" t="s">
        <v>616</v>
      </c>
      <c r="W381" s="53"/>
      <c r="X381" s="53">
        <f t="shared" si="88"/>
        <v>0</v>
      </c>
      <c r="Y381" s="55"/>
      <c r="Z381" s="55"/>
      <c r="AA381" s="52">
        <f t="shared" si="89"/>
        <v>0</v>
      </c>
      <c r="AB381" s="53">
        <f t="shared" si="90"/>
        <v>0</v>
      </c>
      <c r="AC381" s="53">
        <f t="shared" si="91"/>
        <v>0</v>
      </c>
      <c r="AD381" s="53">
        <f t="shared" si="92"/>
        <v>0</v>
      </c>
      <c r="AE381" s="53">
        <f t="shared" si="93"/>
        <v>0</v>
      </c>
      <c r="AF381" s="53">
        <f t="shared" si="94"/>
        <v>0</v>
      </c>
      <c r="AG381" s="56">
        <f t="shared" si="95"/>
        <v>0</v>
      </c>
      <c r="AH381" s="53">
        <f t="shared" si="96"/>
        <v>0</v>
      </c>
      <c r="AI381" s="55"/>
      <c r="AJ381" s="53">
        <f t="shared" si="97"/>
        <v>0</v>
      </c>
      <c r="AK381" s="53">
        <f t="shared" si="98"/>
        <v>0</v>
      </c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7"/>
      <c r="AW381" s="57"/>
      <c r="AX381" s="57"/>
    </row>
    <row r="382" spans="2:50">
      <c r="B382" s="45">
        <v>364</v>
      </c>
      <c r="C382" s="214" t="s">
        <v>574</v>
      </c>
      <c r="D382" s="215" t="s">
        <v>621</v>
      </c>
      <c r="E382" s="215" t="s">
        <v>632</v>
      </c>
      <c r="F382" s="216" t="s">
        <v>639</v>
      </c>
      <c r="G382" s="217" t="s">
        <v>618</v>
      </c>
      <c r="H382" s="218">
        <v>42599</v>
      </c>
      <c r="I382" s="164" t="s">
        <v>409</v>
      </c>
      <c r="J382" s="219">
        <f t="shared" si="82"/>
        <v>18</v>
      </c>
      <c r="K382" s="219">
        <v>18</v>
      </c>
      <c r="L382" s="219">
        <v>0</v>
      </c>
      <c r="M382" s="219"/>
      <c r="N382" s="223">
        <v>0.30000000000000004</v>
      </c>
      <c r="O382" s="223">
        <v>0</v>
      </c>
      <c r="P382" s="224">
        <v>1</v>
      </c>
      <c r="Q382" s="53"/>
      <c r="R382" s="54" t="s">
        <v>158</v>
      </c>
      <c r="S382" s="54" t="s">
        <v>158</v>
      </c>
      <c r="T382" s="54" t="s">
        <v>158</v>
      </c>
      <c r="U382" s="54" t="s">
        <v>158</v>
      </c>
      <c r="V382" s="211" t="s">
        <v>616</v>
      </c>
      <c r="W382" s="53"/>
      <c r="X382" s="53">
        <f t="shared" si="88"/>
        <v>0</v>
      </c>
      <c r="Y382" s="55"/>
      <c r="Z382" s="55"/>
      <c r="AA382" s="52">
        <f t="shared" si="89"/>
        <v>0</v>
      </c>
      <c r="AB382" s="53">
        <f t="shared" si="90"/>
        <v>0</v>
      </c>
      <c r="AC382" s="53">
        <f t="shared" si="91"/>
        <v>0</v>
      </c>
      <c r="AD382" s="53">
        <f t="shared" si="92"/>
        <v>0</v>
      </c>
      <c r="AE382" s="53">
        <f t="shared" si="93"/>
        <v>0</v>
      </c>
      <c r="AF382" s="53">
        <f t="shared" si="94"/>
        <v>0</v>
      </c>
      <c r="AG382" s="56">
        <f t="shared" si="95"/>
        <v>0</v>
      </c>
      <c r="AH382" s="53">
        <f t="shared" si="96"/>
        <v>0</v>
      </c>
      <c r="AI382" s="55"/>
      <c r="AJ382" s="53">
        <f t="shared" si="97"/>
        <v>0</v>
      </c>
      <c r="AK382" s="53">
        <f t="shared" si="98"/>
        <v>0</v>
      </c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7"/>
      <c r="AW382" s="57"/>
      <c r="AX382" s="57"/>
    </row>
    <row r="383" spans="2:50">
      <c r="B383" s="45">
        <v>365</v>
      </c>
      <c r="C383" s="214" t="s">
        <v>574</v>
      </c>
      <c r="D383" s="215" t="s">
        <v>621</v>
      </c>
      <c r="E383" s="215" t="s">
        <v>632</v>
      </c>
      <c r="F383" s="216" t="s">
        <v>640</v>
      </c>
      <c r="G383" s="217" t="s">
        <v>618</v>
      </c>
      <c r="H383" s="218">
        <v>42599</v>
      </c>
      <c r="I383" s="164" t="s">
        <v>409</v>
      </c>
      <c r="J383" s="219">
        <f t="shared" si="82"/>
        <v>6</v>
      </c>
      <c r="K383" s="219">
        <v>6</v>
      </c>
      <c r="L383" s="219">
        <v>0</v>
      </c>
      <c r="M383" s="219"/>
      <c r="N383" s="223">
        <v>0.1</v>
      </c>
      <c r="O383" s="223">
        <v>0</v>
      </c>
      <c r="P383" s="224">
        <v>1</v>
      </c>
      <c r="Q383" s="53"/>
      <c r="R383" s="54" t="s">
        <v>158</v>
      </c>
      <c r="S383" s="54" t="s">
        <v>158</v>
      </c>
      <c r="T383" s="54" t="s">
        <v>158</v>
      </c>
      <c r="U383" s="54" t="s">
        <v>158</v>
      </c>
      <c r="V383" s="211" t="s">
        <v>616</v>
      </c>
      <c r="W383" s="53"/>
      <c r="X383" s="53">
        <f t="shared" si="88"/>
        <v>0</v>
      </c>
      <c r="Y383" s="55"/>
      <c r="Z383" s="55"/>
      <c r="AA383" s="52">
        <f t="shared" si="89"/>
        <v>0</v>
      </c>
      <c r="AB383" s="53">
        <f t="shared" si="90"/>
        <v>0</v>
      </c>
      <c r="AC383" s="53">
        <f t="shared" si="91"/>
        <v>0</v>
      </c>
      <c r="AD383" s="53">
        <f t="shared" si="92"/>
        <v>0</v>
      </c>
      <c r="AE383" s="53">
        <f t="shared" si="93"/>
        <v>0</v>
      </c>
      <c r="AF383" s="53">
        <f t="shared" si="94"/>
        <v>0</v>
      </c>
      <c r="AG383" s="56">
        <f t="shared" si="95"/>
        <v>0</v>
      </c>
      <c r="AH383" s="53">
        <f t="shared" si="96"/>
        <v>0</v>
      </c>
      <c r="AI383" s="55"/>
      <c r="AJ383" s="53">
        <f t="shared" si="97"/>
        <v>0</v>
      </c>
      <c r="AK383" s="53">
        <f t="shared" si="98"/>
        <v>0</v>
      </c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7"/>
      <c r="AW383" s="57"/>
      <c r="AX383" s="57"/>
    </row>
    <row r="384" spans="2:50">
      <c r="B384" s="45">
        <v>366</v>
      </c>
      <c r="C384" s="214" t="s">
        <v>574</v>
      </c>
      <c r="D384" s="215" t="s">
        <v>621</v>
      </c>
      <c r="E384" s="215" t="s">
        <v>641</v>
      </c>
      <c r="F384" s="216" t="s">
        <v>623</v>
      </c>
      <c r="G384" s="217" t="s">
        <v>618</v>
      </c>
      <c r="H384" s="218">
        <v>42156</v>
      </c>
      <c r="I384" s="164" t="s">
        <v>409</v>
      </c>
      <c r="J384" s="219">
        <f t="shared" si="82"/>
        <v>54</v>
      </c>
      <c r="K384" s="219">
        <v>18</v>
      </c>
      <c r="L384" s="219">
        <v>36</v>
      </c>
      <c r="M384" s="219"/>
      <c r="N384" s="223">
        <v>0.15000000000000002</v>
      </c>
      <c r="O384" s="223">
        <v>0.6</v>
      </c>
      <c r="P384" s="224">
        <v>5</v>
      </c>
      <c r="Q384" s="53"/>
      <c r="R384" s="54" t="s">
        <v>158</v>
      </c>
      <c r="S384" s="54" t="s">
        <v>158</v>
      </c>
      <c r="T384" s="54" t="s">
        <v>158</v>
      </c>
      <c r="U384" s="54" t="s">
        <v>158</v>
      </c>
      <c r="V384" s="236" t="s">
        <v>642</v>
      </c>
      <c r="W384" s="53"/>
      <c r="X384" s="53">
        <f t="shared" si="88"/>
        <v>0</v>
      </c>
      <c r="Y384" s="55"/>
      <c r="Z384" s="55"/>
      <c r="AA384" s="52">
        <f t="shared" si="89"/>
        <v>0</v>
      </c>
      <c r="AB384" s="53">
        <f t="shared" si="90"/>
        <v>0</v>
      </c>
      <c r="AC384" s="53">
        <f t="shared" si="91"/>
        <v>0</v>
      </c>
      <c r="AD384" s="53">
        <f t="shared" si="92"/>
        <v>0</v>
      </c>
      <c r="AE384" s="53">
        <f t="shared" si="93"/>
        <v>0</v>
      </c>
      <c r="AF384" s="53">
        <f t="shared" si="94"/>
        <v>0</v>
      </c>
      <c r="AG384" s="56">
        <f t="shared" si="95"/>
        <v>0</v>
      </c>
      <c r="AH384" s="53">
        <f t="shared" si="96"/>
        <v>0</v>
      </c>
      <c r="AI384" s="55"/>
      <c r="AJ384" s="53">
        <f t="shared" si="97"/>
        <v>0</v>
      </c>
      <c r="AK384" s="53">
        <f t="shared" si="98"/>
        <v>0</v>
      </c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7"/>
      <c r="AW384" s="57"/>
      <c r="AX384" s="57"/>
    </row>
    <row r="385" spans="2:50">
      <c r="B385" s="45">
        <v>367</v>
      </c>
      <c r="C385" s="214" t="s">
        <v>574</v>
      </c>
      <c r="D385" s="215" t="s">
        <v>621</v>
      </c>
      <c r="E385" s="215" t="s">
        <v>641</v>
      </c>
      <c r="F385" s="216" t="s">
        <v>643</v>
      </c>
      <c r="G385" s="217" t="s">
        <v>618</v>
      </c>
      <c r="H385" s="218">
        <v>43752</v>
      </c>
      <c r="I385" s="164" t="s">
        <v>409</v>
      </c>
      <c r="J385" s="219">
        <f t="shared" si="82"/>
        <v>30</v>
      </c>
      <c r="K385" s="219">
        <v>30</v>
      </c>
      <c r="L385" s="219">
        <v>0</v>
      </c>
      <c r="M385" s="219"/>
      <c r="N385" s="223">
        <v>0.15</v>
      </c>
      <c r="O385" s="223">
        <v>0</v>
      </c>
      <c r="P385" s="224">
        <v>5</v>
      </c>
      <c r="Q385" s="53"/>
      <c r="R385" s="54" t="s">
        <v>158</v>
      </c>
      <c r="S385" s="54" t="s">
        <v>158</v>
      </c>
      <c r="T385" s="54" t="s">
        <v>158</v>
      </c>
      <c r="U385" s="54" t="s">
        <v>158</v>
      </c>
      <c r="V385" s="236" t="s">
        <v>642</v>
      </c>
      <c r="W385" s="53"/>
      <c r="X385" s="53">
        <f t="shared" si="88"/>
        <v>0</v>
      </c>
      <c r="Y385" s="55"/>
      <c r="Z385" s="55"/>
      <c r="AA385" s="52">
        <f t="shared" si="89"/>
        <v>0</v>
      </c>
      <c r="AB385" s="53">
        <f t="shared" si="90"/>
        <v>0</v>
      </c>
      <c r="AC385" s="53">
        <f t="shared" si="91"/>
        <v>0</v>
      </c>
      <c r="AD385" s="53">
        <f t="shared" si="92"/>
        <v>0</v>
      </c>
      <c r="AE385" s="53">
        <f t="shared" si="93"/>
        <v>0</v>
      </c>
      <c r="AF385" s="53">
        <f t="shared" si="94"/>
        <v>0</v>
      </c>
      <c r="AG385" s="56">
        <f t="shared" si="95"/>
        <v>0</v>
      </c>
      <c r="AH385" s="53">
        <f t="shared" si="96"/>
        <v>0</v>
      </c>
      <c r="AI385" s="55"/>
      <c r="AJ385" s="53">
        <f t="shared" si="97"/>
        <v>0</v>
      </c>
      <c r="AK385" s="53">
        <f t="shared" si="98"/>
        <v>0</v>
      </c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7"/>
      <c r="AW385" s="57"/>
      <c r="AX385" s="57"/>
    </row>
    <row r="386" spans="2:50">
      <c r="B386" s="45">
        <v>368</v>
      </c>
      <c r="C386" s="214" t="s">
        <v>574</v>
      </c>
      <c r="D386" s="215" t="s">
        <v>621</v>
      </c>
      <c r="E386" s="215" t="s">
        <v>641</v>
      </c>
      <c r="F386" s="216" t="s">
        <v>644</v>
      </c>
      <c r="G386" s="217" t="s">
        <v>618</v>
      </c>
      <c r="H386" s="218">
        <v>43073</v>
      </c>
      <c r="I386" s="164" t="s">
        <v>409</v>
      </c>
      <c r="J386" s="219">
        <f t="shared" si="82"/>
        <v>6</v>
      </c>
      <c r="K386" s="219">
        <v>0</v>
      </c>
      <c r="L386" s="219">
        <v>6</v>
      </c>
      <c r="M386" s="219"/>
      <c r="N386" s="234">
        <v>0</v>
      </c>
      <c r="O386" s="234">
        <v>0.1</v>
      </c>
      <c r="P386" s="235">
        <v>5</v>
      </c>
      <c r="Q386" s="53"/>
      <c r="R386" s="54" t="s">
        <v>158</v>
      </c>
      <c r="S386" s="54" t="s">
        <v>158</v>
      </c>
      <c r="T386" s="54" t="s">
        <v>158</v>
      </c>
      <c r="U386" s="54" t="s">
        <v>158</v>
      </c>
      <c r="V386" s="236" t="s">
        <v>642</v>
      </c>
      <c r="W386" s="53"/>
      <c r="X386" s="53">
        <f t="shared" si="88"/>
        <v>0</v>
      </c>
      <c r="Y386" s="55"/>
      <c r="Z386" s="55"/>
      <c r="AA386" s="52">
        <f t="shared" si="89"/>
        <v>0</v>
      </c>
      <c r="AB386" s="53">
        <f t="shared" si="90"/>
        <v>0</v>
      </c>
      <c r="AC386" s="53">
        <f t="shared" si="91"/>
        <v>0</v>
      </c>
      <c r="AD386" s="53">
        <f t="shared" si="92"/>
        <v>0</v>
      </c>
      <c r="AE386" s="53">
        <f t="shared" si="93"/>
        <v>0</v>
      </c>
      <c r="AF386" s="53">
        <f t="shared" si="94"/>
        <v>0</v>
      </c>
      <c r="AG386" s="56">
        <f t="shared" si="95"/>
        <v>0</v>
      </c>
      <c r="AH386" s="53">
        <f t="shared" si="96"/>
        <v>0</v>
      </c>
      <c r="AI386" s="55"/>
      <c r="AJ386" s="53">
        <f t="shared" si="97"/>
        <v>0</v>
      </c>
      <c r="AK386" s="53">
        <f t="shared" si="98"/>
        <v>0</v>
      </c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7"/>
      <c r="AW386" s="57"/>
      <c r="AX386" s="57"/>
    </row>
    <row r="387" spans="2:50">
      <c r="B387" s="45">
        <v>369</v>
      </c>
      <c r="C387" s="214" t="s">
        <v>574</v>
      </c>
      <c r="D387" s="215" t="s">
        <v>621</v>
      </c>
      <c r="E387" s="215" t="s">
        <v>641</v>
      </c>
      <c r="F387" s="216" t="s">
        <v>645</v>
      </c>
      <c r="G387" s="217" t="s">
        <v>618</v>
      </c>
      <c r="H387" s="218">
        <v>43795</v>
      </c>
      <c r="I387" s="164" t="s">
        <v>409</v>
      </c>
      <c r="J387" s="219">
        <f t="shared" si="82"/>
        <v>336</v>
      </c>
      <c r="K387" s="219">
        <v>96</v>
      </c>
      <c r="L387" s="219">
        <v>240</v>
      </c>
      <c r="M387" s="219"/>
      <c r="N387" s="223">
        <v>1.6</v>
      </c>
      <c r="O387" s="223">
        <v>4</v>
      </c>
      <c r="P387" s="224">
        <v>5</v>
      </c>
      <c r="Q387" s="53"/>
      <c r="R387" s="54" t="s">
        <v>158</v>
      </c>
      <c r="S387" s="54" t="s">
        <v>158</v>
      </c>
      <c r="T387" s="54" t="s">
        <v>158</v>
      </c>
      <c r="U387" s="54" t="s">
        <v>158</v>
      </c>
      <c r="V387" s="236" t="s">
        <v>642</v>
      </c>
      <c r="W387" s="53"/>
      <c r="X387" s="53">
        <f t="shared" si="88"/>
        <v>0</v>
      </c>
      <c r="Y387" s="55"/>
      <c r="Z387" s="55"/>
      <c r="AA387" s="52">
        <f t="shared" si="89"/>
        <v>0</v>
      </c>
      <c r="AB387" s="53">
        <f t="shared" si="90"/>
        <v>0</v>
      </c>
      <c r="AC387" s="53">
        <f t="shared" si="91"/>
        <v>0</v>
      </c>
      <c r="AD387" s="53">
        <f t="shared" si="92"/>
        <v>0</v>
      </c>
      <c r="AE387" s="53">
        <f t="shared" si="93"/>
        <v>0</v>
      </c>
      <c r="AF387" s="53">
        <f t="shared" si="94"/>
        <v>0</v>
      </c>
      <c r="AG387" s="56">
        <f t="shared" si="95"/>
        <v>0</v>
      </c>
      <c r="AH387" s="53">
        <f t="shared" si="96"/>
        <v>0</v>
      </c>
      <c r="AI387" s="55"/>
      <c r="AJ387" s="53">
        <f t="shared" si="97"/>
        <v>0</v>
      </c>
      <c r="AK387" s="53">
        <f t="shared" si="98"/>
        <v>0</v>
      </c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7"/>
      <c r="AW387" s="57"/>
      <c r="AX387" s="57"/>
    </row>
    <row r="388" spans="2:50">
      <c r="B388" s="45">
        <v>370</v>
      </c>
      <c r="C388" s="214" t="s">
        <v>574</v>
      </c>
      <c r="D388" s="215" t="s">
        <v>621</v>
      </c>
      <c r="E388" s="215" t="s">
        <v>641</v>
      </c>
      <c r="F388" s="216" t="s">
        <v>646</v>
      </c>
      <c r="G388" s="217" t="s">
        <v>618</v>
      </c>
      <c r="H388" s="218">
        <v>43795</v>
      </c>
      <c r="I388" s="164" t="s">
        <v>409</v>
      </c>
      <c r="J388" s="219">
        <f t="shared" si="82"/>
        <v>39</v>
      </c>
      <c r="K388" s="219">
        <v>9</v>
      </c>
      <c r="L388" s="219">
        <v>30</v>
      </c>
      <c r="M388" s="219"/>
      <c r="N388" s="223">
        <v>0.15</v>
      </c>
      <c r="O388" s="223">
        <v>0.5</v>
      </c>
      <c r="P388" s="224">
        <v>5</v>
      </c>
      <c r="Q388" s="53"/>
      <c r="R388" s="54" t="s">
        <v>158</v>
      </c>
      <c r="S388" s="54" t="s">
        <v>158</v>
      </c>
      <c r="T388" s="54" t="s">
        <v>158</v>
      </c>
      <c r="U388" s="54" t="s">
        <v>158</v>
      </c>
      <c r="V388" s="236" t="s">
        <v>642</v>
      </c>
      <c r="W388" s="53"/>
      <c r="X388" s="53">
        <f t="shared" si="88"/>
        <v>0</v>
      </c>
      <c r="Y388" s="55"/>
      <c r="Z388" s="55"/>
      <c r="AA388" s="52">
        <f t="shared" si="89"/>
        <v>0</v>
      </c>
      <c r="AB388" s="53">
        <f t="shared" si="90"/>
        <v>0</v>
      </c>
      <c r="AC388" s="53">
        <f t="shared" si="91"/>
        <v>0</v>
      </c>
      <c r="AD388" s="53">
        <f t="shared" si="92"/>
        <v>0</v>
      </c>
      <c r="AE388" s="53">
        <f t="shared" si="93"/>
        <v>0</v>
      </c>
      <c r="AF388" s="53">
        <f t="shared" si="94"/>
        <v>0</v>
      </c>
      <c r="AG388" s="56">
        <f t="shared" si="95"/>
        <v>0</v>
      </c>
      <c r="AH388" s="53">
        <f t="shared" si="96"/>
        <v>0</v>
      </c>
      <c r="AI388" s="55"/>
      <c r="AJ388" s="53">
        <f t="shared" si="97"/>
        <v>0</v>
      </c>
      <c r="AK388" s="53">
        <f t="shared" si="98"/>
        <v>0</v>
      </c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7"/>
      <c r="AW388" s="57"/>
      <c r="AX388" s="57"/>
    </row>
    <row r="389" spans="2:50">
      <c r="B389" s="45">
        <v>371</v>
      </c>
      <c r="C389" s="214" t="s">
        <v>574</v>
      </c>
      <c r="D389" s="215" t="s">
        <v>621</v>
      </c>
      <c r="E389" s="215" t="s">
        <v>641</v>
      </c>
      <c r="F389" s="216" t="s">
        <v>647</v>
      </c>
      <c r="G389" s="217" t="s">
        <v>618</v>
      </c>
      <c r="H389" s="218">
        <v>43795</v>
      </c>
      <c r="I389" s="164" t="s">
        <v>409</v>
      </c>
      <c r="J389" s="219">
        <f t="shared" si="82"/>
        <v>6</v>
      </c>
      <c r="K389" s="219">
        <v>6</v>
      </c>
      <c r="L389" s="219">
        <v>0</v>
      </c>
      <c r="M389" s="219"/>
      <c r="N389" s="223">
        <v>0.03</v>
      </c>
      <c r="O389" s="223">
        <v>0</v>
      </c>
      <c r="P389" s="224">
        <v>5</v>
      </c>
      <c r="Q389" s="53"/>
      <c r="R389" s="54" t="s">
        <v>158</v>
      </c>
      <c r="S389" s="54" t="s">
        <v>158</v>
      </c>
      <c r="T389" s="54" t="s">
        <v>158</v>
      </c>
      <c r="U389" s="54" t="s">
        <v>158</v>
      </c>
      <c r="V389" s="236" t="s">
        <v>642</v>
      </c>
      <c r="W389" s="53"/>
      <c r="X389" s="53">
        <f t="shared" si="88"/>
        <v>0</v>
      </c>
      <c r="Y389" s="55"/>
      <c r="Z389" s="55"/>
      <c r="AA389" s="52">
        <f t="shared" si="89"/>
        <v>0</v>
      </c>
      <c r="AB389" s="53">
        <f t="shared" si="90"/>
        <v>0</v>
      </c>
      <c r="AC389" s="53">
        <f t="shared" si="91"/>
        <v>0</v>
      </c>
      <c r="AD389" s="53">
        <f t="shared" si="92"/>
        <v>0</v>
      </c>
      <c r="AE389" s="53">
        <f t="shared" si="93"/>
        <v>0</v>
      </c>
      <c r="AF389" s="53">
        <f t="shared" si="94"/>
        <v>0</v>
      </c>
      <c r="AG389" s="56">
        <f t="shared" si="95"/>
        <v>0</v>
      </c>
      <c r="AH389" s="53">
        <f t="shared" si="96"/>
        <v>0</v>
      </c>
      <c r="AI389" s="55"/>
      <c r="AJ389" s="53">
        <f t="shared" si="97"/>
        <v>0</v>
      </c>
      <c r="AK389" s="53">
        <f t="shared" si="98"/>
        <v>0</v>
      </c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7"/>
      <c r="AW389" s="57"/>
      <c r="AX389" s="57"/>
    </row>
    <row r="390" spans="2:50">
      <c r="B390" s="45">
        <v>372</v>
      </c>
      <c r="C390" s="214" t="s">
        <v>574</v>
      </c>
      <c r="D390" s="215" t="s">
        <v>621</v>
      </c>
      <c r="E390" s="215" t="s">
        <v>641</v>
      </c>
      <c r="F390" s="216" t="s">
        <v>648</v>
      </c>
      <c r="G390" s="217" t="s">
        <v>618</v>
      </c>
      <c r="H390" s="218">
        <v>43795</v>
      </c>
      <c r="I390" s="164" t="s">
        <v>409</v>
      </c>
      <c r="J390" s="219">
        <f t="shared" si="82"/>
        <v>9</v>
      </c>
      <c r="K390" s="219">
        <v>9</v>
      </c>
      <c r="L390" s="219">
        <v>0</v>
      </c>
      <c r="M390" s="219"/>
      <c r="N390" s="223">
        <v>0.15</v>
      </c>
      <c r="O390" s="223">
        <v>0</v>
      </c>
      <c r="P390" s="224">
        <v>5</v>
      </c>
      <c r="Q390" s="53"/>
      <c r="R390" s="54" t="s">
        <v>158</v>
      </c>
      <c r="S390" s="54" t="s">
        <v>158</v>
      </c>
      <c r="T390" s="54" t="s">
        <v>158</v>
      </c>
      <c r="U390" s="54" t="s">
        <v>158</v>
      </c>
      <c r="V390" s="236" t="s">
        <v>642</v>
      </c>
      <c r="W390" s="53"/>
      <c r="X390" s="53">
        <f t="shared" si="88"/>
        <v>0</v>
      </c>
      <c r="Y390" s="55"/>
      <c r="Z390" s="55"/>
      <c r="AA390" s="52">
        <f t="shared" si="89"/>
        <v>0</v>
      </c>
      <c r="AB390" s="53">
        <f t="shared" si="90"/>
        <v>0</v>
      </c>
      <c r="AC390" s="53">
        <f t="shared" si="91"/>
        <v>0</v>
      </c>
      <c r="AD390" s="53">
        <f t="shared" si="92"/>
        <v>0</v>
      </c>
      <c r="AE390" s="53">
        <f t="shared" si="93"/>
        <v>0</v>
      </c>
      <c r="AF390" s="53">
        <f t="shared" si="94"/>
        <v>0</v>
      </c>
      <c r="AG390" s="56">
        <f t="shared" si="95"/>
        <v>0</v>
      </c>
      <c r="AH390" s="53">
        <f t="shared" si="96"/>
        <v>0</v>
      </c>
      <c r="AI390" s="55"/>
      <c r="AJ390" s="53">
        <f t="shared" si="97"/>
        <v>0</v>
      </c>
      <c r="AK390" s="53">
        <f t="shared" si="98"/>
        <v>0</v>
      </c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7"/>
      <c r="AW390" s="57"/>
      <c r="AX390" s="57"/>
    </row>
    <row r="391" spans="2:50">
      <c r="B391" s="45">
        <v>373</v>
      </c>
      <c r="C391" s="214" t="s">
        <v>574</v>
      </c>
      <c r="D391" s="215" t="s">
        <v>621</v>
      </c>
      <c r="E391" s="215" t="s">
        <v>641</v>
      </c>
      <c r="F391" s="216" t="s">
        <v>649</v>
      </c>
      <c r="G391" s="217" t="s">
        <v>618</v>
      </c>
      <c r="H391" s="218">
        <v>43795</v>
      </c>
      <c r="I391" s="164" t="s">
        <v>409</v>
      </c>
      <c r="J391" s="219">
        <f t="shared" si="82"/>
        <v>9</v>
      </c>
      <c r="K391" s="219">
        <v>9</v>
      </c>
      <c r="L391" s="219">
        <v>0</v>
      </c>
      <c r="M391" s="219"/>
      <c r="N391" s="223">
        <v>0.1</v>
      </c>
      <c r="O391" s="223">
        <v>0</v>
      </c>
      <c r="P391" s="224">
        <v>5</v>
      </c>
      <c r="Q391" s="53"/>
      <c r="R391" s="54" t="s">
        <v>158</v>
      </c>
      <c r="S391" s="54" t="s">
        <v>158</v>
      </c>
      <c r="T391" s="54" t="s">
        <v>158</v>
      </c>
      <c r="U391" s="54" t="s">
        <v>158</v>
      </c>
      <c r="V391" s="236" t="s">
        <v>642</v>
      </c>
      <c r="W391" s="53"/>
      <c r="X391" s="53">
        <f t="shared" si="88"/>
        <v>0</v>
      </c>
      <c r="Y391" s="55"/>
      <c r="Z391" s="55"/>
      <c r="AA391" s="52">
        <f t="shared" si="89"/>
        <v>0</v>
      </c>
      <c r="AB391" s="53">
        <f t="shared" si="90"/>
        <v>0</v>
      </c>
      <c r="AC391" s="53">
        <f t="shared" si="91"/>
        <v>0</v>
      </c>
      <c r="AD391" s="53">
        <f t="shared" si="92"/>
        <v>0</v>
      </c>
      <c r="AE391" s="53">
        <f t="shared" si="93"/>
        <v>0</v>
      </c>
      <c r="AF391" s="53">
        <f t="shared" si="94"/>
        <v>0</v>
      </c>
      <c r="AG391" s="56">
        <f t="shared" si="95"/>
        <v>0</v>
      </c>
      <c r="AH391" s="53">
        <f t="shared" si="96"/>
        <v>0</v>
      </c>
      <c r="AI391" s="55"/>
      <c r="AJ391" s="53">
        <f t="shared" si="97"/>
        <v>0</v>
      </c>
      <c r="AK391" s="53">
        <f t="shared" si="98"/>
        <v>0</v>
      </c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7"/>
      <c r="AW391" s="57"/>
      <c r="AX391" s="57"/>
    </row>
    <row r="392" spans="2:50">
      <c r="B392" s="45">
        <v>374</v>
      </c>
      <c r="C392" s="214" t="s">
        <v>574</v>
      </c>
      <c r="D392" s="215" t="s">
        <v>621</v>
      </c>
      <c r="E392" s="215" t="s">
        <v>641</v>
      </c>
      <c r="F392" s="216" t="s">
        <v>650</v>
      </c>
      <c r="G392" s="217" t="s">
        <v>618</v>
      </c>
      <c r="H392" s="218" t="s">
        <v>651</v>
      </c>
      <c r="I392" s="164" t="s">
        <v>409</v>
      </c>
      <c r="J392" s="219">
        <f t="shared" si="82"/>
        <v>6</v>
      </c>
      <c r="K392" s="219">
        <v>6</v>
      </c>
      <c r="L392" s="219">
        <v>0</v>
      </c>
      <c r="M392" s="219"/>
      <c r="N392" s="223">
        <v>0.1</v>
      </c>
      <c r="O392" s="223">
        <v>0</v>
      </c>
      <c r="P392" s="224">
        <v>5</v>
      </c>
      <c r="Q392" s="53"/>
      <c r="R392" s="54" t="s">
        <v>158</v>
      </c>
      <c r="S392" s="54" t="s">
        <v>158</v>
      </c>
      <c r="T392" s="54" t="s">
        <v>158</v>
      </c>
      <c r="U392" s="54" t="s">
        <v>158</v>
      </c>
      <c r="V392" s="236" t="s">
        <v>642</v>
      </c>
      <c r="W392" s="53"/>
      <c r="X392" s="53">
        <f t="shared" si="88"/>
        <v>0</v>
      </c>
      <c r="Y392" s="55"/>
      <c r="Z392" s="55"/>
      <c r="AA392" s="52">
        <f t="shared" si="89"/>
        <v>0</v>
      </c>
      <c r="AB392" s="53">
        <f t="shared" si="90"/>
        <v>0</v>
      </c>
      <c r="AC392" s="53">
        <f t="shared" si="91"/>
        <v>0</v>
      </c>
      <c r="AD392" s="53">
        <f t="shared" si="92"/>
        <v>0</v>
      </c>
      <c r="AE392" s="53">
        <f t="shared" si="93"/>
        <v>0</v>
      </c>
      <c r="AF392" s="53">
        <f t="shared" si="94"/>
        <v>0</v>
      </c>
      <c r="AG392" s="56">
        <f t="shared" si="95"/>
        <v>0</v>
      </c>
      <c r="AH392" s="53">
        <f t="shared" si="96"/>
        <v>0</v>
      </c>
      <c r="AI392" s="55"/>
      <c r="AJ392" s="53">
        <f t="shared" si="97"/>
        <v>0</v>
      </c>
      <c r="AK392" s="53">
        <f t="shared" si="98"/>
        <v>0</v>
      </c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7"/>
      <c r="AW392" s="57"/>
      <c r="AX392" s="57"/>
    </row>
    <row r="393" spans="2:50">
      <c r="B393" s="45">
        <v>375</v>
      </c>
      <c r="C393" s="214" t="s">
        <v>574</v>
      </c>
      <c r="D393" s="215" t="s">
        <v>621</v>
      </c>
      <c r="E393" s="215" t="s">
        <v>641</v>
      </c>
      <c r="F393" s="216" t="s">
        <v>652</v>
      </c>
      <c r="G393" s="217" t="s">
        <v>618</v>
      </c>
      <c r="H393" s="218">
        <v>43795</v>
      </c>
      <c r="I393" s="164" t="s">
        <v>409</v>
      </c>
      <c r="J393" s="219">
        <f t="shared" si="82"/>
        <v>6</v>
      </c>
      <c r="K393" s="219">
        <v>6</v>
      </c>
      <c r="L393" s="219">
        <v>0</v>
      </c>
      <c r="M393" s="219"/>
      <c r="N393" s="223">
        <v>0.05</v>
      </c>
      <c r="O393" s="223">
        <v>0</v>
      </c>
      <c r="P393" s="224">
        <v>5</v>
      </c>
      <c r="Q393" s="53"/>
      <c r="R393" s="54" t="s">
        <v>158</v>
      </c>
      <c r="S393" s="54" t="s">
        <v>158</v>
      </c>
      <c r="T393" s="54" t="s">
        <v>158</v>
      </c>
      <c r="U393" s="54" t="s">
        <v>158</v>
      </c>
      <c r="V393" s="236" t="s">
        <v>642</v>
      </c>
      <c r="W393" s="53"/>
      <c r="X393" s="53">
        <f t="shared" si="88"/>
        <v>0</v>
      </c>
      <c r="Y393" s="55"/>
      <c r="Z393" s="55"/>
      <c r="AA393" s="52">
        <f t="shared" si="89"/>
        <v>0</v>
      </c>
      <c r="AB393" s="53">
        <f t="shared" si="90"/>
        <v>0</v>
      </c>
      <c r="AC393" s="53">
        <f t="shared" si="91"/>
        <v>0</v>
      </c>
      <c r="AD393" s="53">
        <f t="shared" si="92"/>
        <v>0</v>
      </c>
      <c r="AE393" s="53">
        <f t="shared" si="93"/>
        <v>0</v>
      </c>
      <c r="AF393" s="53">
        <f t="shared" si="94"/>
        <v>0</v>
      </c>
      <c r="AG393" s="56">
        <f t="shared" si="95"/>
        <v>0</v>
      </c>
      <c r="AH393" s="53">
        <f t="shared" si="96"/>
        <v>0</v>
      </c>
      <c r="AI393" s="55"/>
      <c r="AJ393" s="53">
        <f t="shared" si="97"/>
        <v>0</v>
      </c>
      <c r="AK393" s="53">
        <f t="shared" si="98"/>
        <v>0</v>
      </c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7"/>
      <c r="AW393" s="57"/>
      <c r="AX393" s="57"/>
    </row>
    <row r="394" spans="2:50">
      <c r="B394" s="45">
        <v>376</v>
      </c>
      <c r="C394" s="214" t="s">
        <v>574</v>
      </c>
      <c r="D394" s="215" t="s">
        <v>621</v>
      </c>
      <c r="E394" s="215" t="s">
        <v>641</v>
      </c>
      <c r="F394" s="216" t="s">
        <v>653</v>
      </c>
      <c r="G394" s="217" t="s">
        <v>618</v>
      </c>
      <c r="H394" s="218">
        <v>43795</v>
      </c>
      <c r="I394" s="164" t="s">
        <v>409</v>
      </c>
      <c r="J394" s="219">
        <f t="shared" si="82"/>
        <v>4326</v>
      </c>
      <c r="K394" s="219">
        <v>6</v>
      </c>
      <c r="L394" s="219">
        <v>4320</v>
      </c>
      <c r="M394" s="219"/>
      <c r="N394" s="223">
        <v>0.05</v>
      </c>
      <c r="O394" s="223">
        <v>72</v>
      </c>
      <c r="P394" s="224">
        <v>5</v>
      </c>
      <c r="Q394" s="53"/>
      <c r="R394" s="54" t="s">
        <v>158</v>
      </c>
      <c r="S394" s="54" t="s">
        <v>158</v>
      </c>
      <c r="T394" s="54" t="s">
        <v>158</v>
      </c>
      <c r="U394" s="54" t="s">
        <v>158</v>
      </c>
      <c r="V394" s="236" t="s">
        <v>642</v>
      </c>
      <c r="W394" s="53"/>
      <c r="X394" s="53">
        <f t="shared" si="88"/>
        <v>0</v>
      </c>
      <c r="Y394" s="55"/>
      <c r="Z394" s="55"/>
      <c r="AA394" s="52">
        <f t="shared" si="89"/>
        <v>0</v>
      </c>
      <c r="AB394" s="53">
        <f t="shared" si="90"/>
        <v>0</v>
      </c>
      <c r="AC394" s="53">
        <f t="shared" si="91"/>
        <v>0</v>
      </c>
      <c r="AD394" s="53">
        <f t="shared" si="92"/>
        <v>0</v>
      </c>
      <c r="AE394" s="53">
        <f t="shared" si="93"/>
        <v>0</v>
      </c>
      <c r="AF394" s="53">
        <f t="shared" si="94"/>
        <v>0</v>
      </c>
      <c r="AG394" s="56">
        <f t="shared" si="95"/>
        <v>0</v>
      </c>
      <c r="AH394" s="53">
        <f t="shared" si="96"/>
        <v>0</v>
      </c>
      <c r="AI394" s="55"/>
      <c r="AJ394" s="53">
        <f t="shared" si="97"/>
        <v>0</v>
      </c>
      <c r="AK394" s="53">
        <f t="shared" si="98"/>
        <v>0</v>
      </c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7"/>
      <c r="AW394" s="57"/>
      <c r="AX394" s="57"/>
    </row>
    <row r="395" spans="2:50">
      <c r="B395" s="45">
        <v>377</v>
      </c>
      <c r="C395" s="214" t="s">
        <v>574</v>
      </c>
      <c r="D395" s="215" t="s">
        <v>621</v>
      </c>
      <c r="E395" s="215" t="s">
        <v>641</v>
      </c>
      <c r="F395" s="216" t="s">
        <v>654</v>
      </c>
      <c r="G395" s="217" t="s">
        <v>618</v>
      </c>
      <c r="H395" s="218">
        <v>42094</v>
      </c>
      <c r="I395" s="164" t="s">
        <v>409</v>
      </c>
      <c r="J395" s="219">
        <f t="shared" ref="J395:J458" si="99">SUM(K395:L395)</f>
        <v>4329</v>
      </c>
      <c r="K395" s="219">
        <v>9</v>
      </c>
      <c r="L395" s="219">
        <v>4320</v>
      </c>
      <c r="M395" s="219"/>
      <c r="N395" s="223">
        <v>0.15</v>
      </c>
      <c r="O395" s="223">
        <v>72</v>
      </c>
      <c r="P395" s="224">
        <v>5</v>
      </c>
      <c r="Q395" s="53"/>
      <c r="R395" s="54" t="s">
        <v>158</v>
      </c>
      <c r="S395" s="54" t="s">
        <v>158</v>
      </c>
      <c r="T395" s="54" t="s">
        <v>158</v>
      </c>
      <c r="U395" s="54" t="s">
        <v>158</v>
      </c>
      <c r="V395" s="236" t="s">
        <v>642</v>
      </c>
      <c r="W395" s="53"/>
      <c r="X395" s="53">
        <f t="shared" si="88"/>
        <v>0</v>
      </c>
      <c r="Y395" s="55"/>
      <c r="Z395" s="55"/>
      <c r="AA395" s="52">
        <f t="shared" si="89"/>
        <v>0</v>
      </c>
      <c r="AB395" s="53">
        <f t="shared" si="90"/>
        <v>0</v>
      </c>
      <c r="AC395" s="53">
        <f t="shared" si="91"/>
        <v>0</v>
      </c>
      <c r="AD395" s="53">
        <f t="shared" si="92"/>
        <v>0</v>
      </c>
      <c r="AE395" s="53">
        <f t="shared" si="93"/>
        <v>0</v>
      </c>
      <c r="AF395" s="53">
        <f t="shared" si="94"/>
        <v>0</v>
      </c>
      <c r="AG395" s="56">
        <f t="shared" si="95"/>
        <v>0</v>
      </c>
      <c r="AH395" s="53">
        <f t="shared" si="96"/>
        <v>0</v>
      </c>
      <c r="AI395" s="55"/>
      <c r="AJ395" s="53">
        <f t="shared" si="97"/>
        <v>0</v>
      </c>
      <c r="AK395" s="53">
        <f t="shared" si="98"/>
        <v>0</v>
      </c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7"/>
      <c r="AW395" s="57"/>
      <c r="AX395" s="57"/>
    </row>
    <row r="396" spans="2:50">
      <c r="B396" s="45">
        <v>378</v>
      </c>
      <c r="C396" s="214" t="s">
        <v>574</v>
      </c>
      <c r="D396" s="215" t="s">
        <v>621</v>
      </c>
      <c r="E396" s="215" t="s">
        <v>641</v>
      </c>
      <c r="F396" s="216" t="s">
        <v>655</v>
      </c>
      <c r="G396" s="217" t="s">
        <v>618</v>
      </c>
      <c r="H396" s="218">
        <v>43795</v>
      </c>
      <c r="I396" s="164" t="s">
        <v>409</v>
      </c>
      <c r="J396" s="219">
        <f t="shared" si="99"/>
        <v>159</v>
      </c>
      <c r="K396" s="219">
        <v>36</v>
      </c>
      <c r="L396" s="219">
        <v>123</v>
      </c>
      <c r="M396" s="219"/>
      <c r="N396" s="223">
        <v>0.25</v>
      </c>
      <c r="O396" s="223">
        <v>2.0499999999999998</v>
      </c>
      <c r="P396" s="224">
        <v>5</v>
      </c>
      <c r="Q396" s="53"/>
      <c r="R396" s="54" t="s">
        <v>158</v>
      </c>
      <c r="S396" s="54" t="s">
        <v>158</v>
      </c>
      <c r="T396" s="54" t="s">
        <v>158</v>
      </c>
      <c r="U396" s="54" t="s">
        <v>158</v>
      </c>
      <c r="V396" s="236" t="s">
        <v>642</v>
      </c>
      <c r="W396" s="53"/>
      <c r="X396" s="53">
        <f t="shared" si="88"/>
        <v>0</v>
      </c>
      <c r="Y396" s="55"/>
      <c r="Z396" s="55"/>
      <c r="AA396" s="52">
        <f t="shared" si="89"/>
        <v>0</v>
      </c>
      <c r="AB396" s="53">
        <f t="shared" si="90"/>
        <v>0</v>
      </c>
      <c r="AC396" s="53">
        <f t="shared" si="91"/>
        <v>0</v>
      </c>
      <c r="AD396" s="53">
        <f t="shared" si="92"/>
        <v>0</v>
      </c>
      <c r="AE396" s="53">
        <f t="shared" si="93"/>
        <v>0</v>
      </c>
      <c r="AF396" s="53">
        <f t="shared" si="94"/>
        <v>0</v>
      </c>
      <c r="AG396" s="56">
        <f t="shared" si="95"/>
        <v>0</v>
      </c>
      <c r="AH396" s="53">
        <f t="shared" si="96"/>
        <v>0</v>
      </c>
      <c r="AI396" s="55"/>
      <c r="AJ396" s="53">
        <f t="shared" si="97"/>
        <v>0</v>
      </c>
      <c r="AK396" s="53">
        <f t="shared" si="98"/>
        <v>0</v>
      </c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7"/>
      <c r="AW396" s="57"/>
      <c r="AX396" s="57"/>
    </row>
    <row r="397" spans="2:50">
      <c r="B397" s="45">
        <v>379</v>
      </c>
      <c r="C397" s="214" t="s">
        <v>574</v>
      </c>
      <c r="D397" s="215" t="s">
        <v>621</v>
      </c>
      <c r="E397" s="215" t="s">
        <v>641</v>
      </c>
      <c r="F397" s="216" t="s">
        <v>656</v>
      </c>
      <c r="G397" s="217" t="s">
        <v>618</v>
      </c>
      <c r="H397" s="218">
        <v>43752</v>
      </c>
      <c r="I397" s="169" t="s">
        <v>409</v>
      </c>
      <c r="J397" s="219">
        <f t="shared" si="99"/>
        <v>6</v>
      </c>
      <c r="K397" s="219">
        <v>6</v>
      </c>
      <c r="L397" s="219">
        <v>0</v>
      </c>
      <c r="M397" s="219"/>
      <c r="N397" s="228">
        <v>0.1</v>
      </c>
      <c r="O397" s="228">
        <v>0</v>
      </c>
      <c r="P397" s="229">
        <v>5</v>
      </c>
      <c r="Q397" s="53"/>
      <c r="R397" s="54" t="s">
        <v>158</v>
      </c>
      <c r="S397" s="54" t="s">
        <v>158</v>
      </c>
      <c r="T397" s="54" t="s">
        <v>158</v>
      </c>
      <c r="U397" s="54" t="s">
        <v>158</v>
      </c>
      <c r="V397" s="236" t="s">
        <v>642</v>
      </c>
      <c r="W397" s="53"/>
      <c r="X397" s="53">
        <f t="shared" si="88"/>
        <v>0</v>
      </c>
      <c r="Y397" s="55"/>
      <c r="Z397" s="55"/>
      <c r="AA397" s="52">
        <f t="shared" si="89"/>
        <v>0</v>
      </c>
      <c r="AB397" s="53">
        <f t="shared" si="90"/>
        <v>0</v>
      </c>
      <c r="AC397" s="53">
        <f t="shared" si="91"/>
        <v>0</v>
      </c>
      <c r="AD397" s="53">
        <f t="shared" si="92"/>
        <v>0</v>
      </c>
      <c r="AE397" s="53">
        <f t="shared" si="93"/>
        <v>0</v>
      </c>
      <c r="AF397" s="53">
        <f t="shared" si="94"/>
        <v>0</v>
      </c>
      <c r="AG397" s="56">
        <f t="shared" si="95"/>
        <v>0</v>
      </c>
      <c r="AH397" s="53">
        <f t="shared" si="96"/>
        <v>0</v>
      </c>
      <c r="AI397" s="55"/>
      <c r="AJ397" s="53">
        <f t="shared" si="97"/>
        <v>0</v>
      </c>
      <c r="AK397" s="53">
        <f t="shared" si="98"/>
        <v>0</v>
      </c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7"/>
      <c r="AW397" s="57"/>
      <c r="AX397" s="57"/>
    </row>
    <row r="398" spans="2:50">
      <c r="B398" s="45">
        <v>380</v>
      </c>
      <c r="C398" s="214" t="s">
        <v>574</v>
      </c>
      <c r="D398" s="215" t="s">
        <v>621</v>
      </c>
      <c r="E398" s="215" t="s">
        <v>657</v>
      </c>
      <c r="F398" s="216" t="s">
        <v>623</v>
      </c>
      <c r="G398" s="217" t="s">
        <v>618</v>
      </c>
      <c r="H398" s="218">
        <v>42156</v>
      </c>
      <c r="I398" s="164" t="s">
        <v>409</v>
      </c>
      <c r="J398" s="219">
        <f t="shared" si="99"/>
        <v>60</v>
      </c>
      <c r="K398" s="219">
        <v>24</v>
      </c>
      <c r="L398" s="219">
        <v>36</v>
      </c>
      <c r="M398" s="219"/>
      <c r="N398" s="223">
        <v>0.17</v>
      </c>
      <c r="O398" s="223">
        <v>0.6</v>
      </c>
      <c r="P398" s="224">
        <v>5</v>
      </c>
      <c r="Q398" s="53"/>
      <c r="R398" s="54" t="s">
        <v>158</v>
      </c>
      <c r="S398" s="54" t="s">
        <v>158</v>
      </c>
      <c r="T398" s="54" t="s">
        <v>158</v>
      </c>
      <c r="U398" s="54" t="s">
        <v>158</v>
      </c>
      <c r="V398" s="236" t="s">
        <v>642</v>
      </c>
      <c r="W398" s="53"/>
      <c r="X398" s="53">
        <f t="shared" ref="X398:X461" si="100">SUMIF(W398,"Y",K398)</f>
        <v>0</v>
      </c>
      <c r="Y398" s="55"/>
      <c r="Z398" s="55"/>
      <c r="AA398" s="52">
        <f t="shared" ref="AA398:AA461" si="101">(COUNTA(AL398:AU398)-COUNTIF(AL398:AU398, "X"))</f>
        <v>0</v>
      </c>
      <c r="AB398" s="53">
        <f t="shared" ref="AB398:AB461" si="102">(COUNTA(AL398:AU398)-COUNTIF(AL398:AU398, "X"))*P398*K398</f>
        <v>0</v>
      </c>
      <c r="AC398" s="53">
        <f t="shared" ref="AC398:AC461" si="103">COUNTIF(AL398:AU398,"A")</f>
        <v>0</v>
      </c>
      <c r="AD398" s="53">
        <f t="shared" ref="AD398:AD461" si="104">COUNTIF(AL398:AU398,"V")*P398*M398</f>
        <v>0</v>
      </c>
      <c r="AE398" s="53">
        <f t="shared" ref="AE398:AE461" si="105">COUNTIF(AL398:AU398,"L")</f>
        <v>0</v>
      </c>
      <c r="AF398" s="53">
        <f t="shared" ref="AF398:AF461" si="106">COUNTIF(AL398:AU398,"L")*K398*P398</f>
        <v>0</v>
      </c>
      <c r="AG398" s="56">
        <f t="shared" ref="AG398:AG461" si="107">IF(Q398="Y",1,0)</f>
        <v>0</v>
      </c>
      <c r="AH398" s="53">
        <f t="shared" ref="AH398:AH461" si="108">IF(Q398="Y", AA398, 0)*K398*P398/2</f>
        <v>0</v>
      </c>
      <c r="AI398" s="55"/>
      <c r="AJ398" s="53">
        <f t="shared" ref="AJ398:AJ461" si="109">COUNTIF(AL398:AU398, "V")</f>
        <v>0</v>
      </c>
      <c r="AK398" s="53">
        <f t="shared" ref="AK398:AK461" si="110">AB398-AD398-AF398-AH398</f>
        <v>0</v>
      </c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7"/>
      <c r="AW398" s="57"/>
      <c r="AX398" s="57"/>
    </row>
    <row r="399" spans="2:50">
      <c r="B399" s="45">
        <v>381</v>
      </c>
      <c r="C399" s="214" t="s">
        <v>574</v>
      </c>
      <c r="D399" s="215" t="s">
        <v>621</v>
      </c>
      <c r="E399" s="215" t="s">
        <v>657</v>
      </c>
      <c r="F399" s="216" t="s">
        <v>658</v>
      </c>
      <c r="G399" s="217" t="s">
        <v>618</v>
      </c>
      <c r="H399" s="218" t="s">
        <v>659</v>
      </c>
      <c r="I399" s="164" t="s">
        <v>409</v>
      </c>
      <c r="J399" s="219">
        <f t="shared" si="99"/>
        <v>30</v>
      </c>
      <c r="K399" s="219">
        <v>30</v>
      </c>
      <c r="L399" s="219">
        <v>0</v>
      </c>
      <c r="M399" s="219"/>
      <c r="N399" s="223">
        <v>0.22000000000000003</v>
      </c>
      <c r="O399" s="223">
        <v>0</v>
      </c>
      <c r="P399" s="224">
        <v>5</v>
      </c>
      <c r="Q399" s="53"/>
      <c r="R399" s="54" t="s">
        <v>158</v>
      </c>
      <c r="S399" s="54" t="s">
        <v>158</v>
      </c>
      <c r="T399" s="54" t="s">
        <v>158</v>
      </c>
      <c r="U399" s="54" t="s">
        <v>158</v>
      </c>
      <c r="V399" s="236" t="s">
        <v>642</v>
      </c>
      <c r="W399" s="53"/>
      <c r="X399" s="53">
        <f t="shared" si="100"/>
        <v>0</v>
      </c>
      <c r="Y399" s="55"/>
      <c r="Z399" s="55"/>
      <c r="AA399" s="52">
        <f t="shared" si="101"/>
        <v>0</v>
      </c>
      <c r="AB399" s="53">
        <f t="shared" si="102"/>
        <v>0</v>
      </c>
      <c r="AC399" s="53">
        <f t="shared" si="103"/>
        <v>0</v>
      </c>
      <c r="AD399" s="53">
        <f t="shared" si="104"/>
        <v>0</v>
      </c>
      <c r="AE399" s="53">
        <f t="shared" si="105"/>
        <v>0</v>
      </c>
      <c r="AF399" s="53">
        <f t="shared" si="106"/>
        <v>0</v>
      </c>
      <c r="AG399" s="56">
        <f t="shared" si="107"/>
        <v>0</v>
      </c>
      <c r="AH399" s="53">
        <f t="shared" si="108"/>
        <v>0</v>
      </c>
      <c r="AI399" s="55"/>
      <c r="AJ399" s="53">
        <f t="shared" si="109"/>
        <v>0</v>
      </c>
      <c r="AK399" s="53">
        <f t="shared" si="110"/>
        <v>0</v>
      </c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7"/>
      <c r="AW399" s="57"/>
      <c r="AX399" s="57"/>
    </row>
    <row r="400" spans="2:50">
      <c r="B400" s="45">
        <v>382</v>
      </c>
      <c r="C400" s="214" t="s">
        <v>574</v>
      </c>
      <c r="D400" s="215" t="s">
        <v>621</v>
      </c>
      <c r="E400" s="215" t="s">
        <v>657</v>
      </c>
      <c r="F400" s="216" t="s">
        <v>660</v>
      </c>
      <c r="G400" s="217" t="s">
        <v>618</v>
      </c>
      <c r="H400" s="218">
        <v>43795</v>
      </c>
      <c r="I400" s="164" t="s">
        <v>409</v>
      </c>
      <c r="J400" s="219">
        <f t="shared" si="99"/>
        <v>36</v>
      </c>
      <c r="K400" s="219">
        <v>30</v>
      </c>
      <c r="L400" s="219">
        <v>6</v>
      </c>
      <c r="M400" s="219"/>
      <c r="N400" s="223">
        <v>0.2</v>
      </c>
      <c r="O400" s="223">
        <v>0.1</v>
      </c>
      <c r="P400" s="224">
        <v>5</v>
      </c>
      <c r="Q400" s="53"/>
      <c r="R400" s="54" t="s">
        <v>158</v>
      </c>
      <c r="S400" s="54" t="s">
        <v>158</v>
      </c>
      <c r="T400" s="54" t="s">
        <v>158</v>
      </c>
      <c r="U400" s="54" t="s">
        <v>158</v>
      </c>
      <c r="V400" s="236" t="s">
        <v>642</v>
      </c>
      <c r="W400" s="53"/>
      <c r="X400" s="53">
        <f t="shared" si="100"/>
        <v>0</v>
      </c>
      <c r="Y400" s="55"/>
      <c r="Z400" s="55"/>
      <c r="AA400" s="52">
        <f t="shared" si="101"/>
        <v>0</v>
      </c>
      <c r="AB400" s="53">
        <f t="shared" si="102"/>
        <v>0</v>
      </c>
      <c r="AC400" s="53">
        <f t="shared" si="103"/>
        <v>0</v>
      </c>
      <c r="AD400" s="53">
        <f t="shared" si="104"/>
        <v>0</v>
      </c>
      <c r="AE400" s="53">
        <f t="shared" si="105"/>
        <v>0</v>
      </c>
      <c r="AF400" s="53">
        <f t="shared" si="106"/>
        <v>0</v>
      </c>
      <c r="AG400" s="56">
        <f t="shared" si="107"/>
        <v>0</v>
      </c>
      <c r="AH400" s="53">
        <f t="shared" si="108"/>
        <v>0</v>
      </c>
      <c r="AI400" s="55"/>
      <c r="AJ400" s="53">
        <f t="shared" si="109"/>
        <v>0</v>
      </c>
      <c r="AK400" s="53">
        <f t="shared" si="110"/>
        <v>0</v>
      </c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7"/>
      <c r="AW400" s="57"/>
      <c r="AX400" s="57"/>
    </row>
    <row r="401" spans="2:50">
      <c r="B401" s="45">
        <v>383</v>
      </c>
      <c r="C401" s="214" t="s">
        <v>574</v>
      </c>
      <c r="D401" s="215" t="s">
        <v>621</v>
      </c>
      <c r="E401" s="215" t="s">
        <v>657</v>
      </c>
      <c r="F401" s="216" t="s">
        <v>661</v>
      </c>
      <c r="G401" s="217" t="s">
        <v>618</v>
      </c>
      <c r="H401" s="218">
        <v>42347</v>
      </c>
      <c r="I401" s="164" t="s">
        <v>409</v>
      </c>
      <c r="J401" s="219">
        <f t="shared" si="99"/>
        <v>21</v>
      </c>
      <c r="K401" s="219">
        <v>21</v>
      </c>
      <c r="L401" s="219">
        <v>0</v>
      </c>
      <c r="M401" s="219"/>
      <c r="N401" s="223">
        <v>0.3</v>
      </c>
      <c r="O401" s="223">
        <v>0</v>
      </c>
      <c r="P401" s="224">
        <v>5</v>
      </c>
      <c r="Q401" s="53"/>
      <c r="R401" s="54" t="s">
        <v>158</v>
      </c>
      <c r="S401" s="54" t="s">
        <v>158</v>
      </c>
      <c r="T401" s="54" t="s">
        <v>158</v>
      </c>
      <c r="U401" s="54" t="s">
        <v>158</v>
      </c>
      <c r="V401" s="236" t="s">
        <v>642</v>
      </c>
      <c r="W401" s="53"/>
      <c r="X401" s="53">
        <f t="shared" si="100"/>
        <v>0</v>
      </c>
      <c r="Y401" s="55"/>
      <c r="Z401" s="55"/>
      <c r="AA401" s="52">
        <f t="shared" si="101"/>
        <v>0</v>
      </c>
      <c r="AB401" s="53">
        <f t="shared" si="102"/>
        <v>0</v>
      </c>
      <c r="AC401" s="53">
        <f t="shared" si="103"/>
        <v>0</v>
      </c>
      <c r="AD401" s="53">
        <f t="shared" si="104"/>
        <v>0</v>
      </c>
      <c r="AE401" s="53">
        <f t="shared" si="105"/>
        <v>0</v>
      </c>
      <c r="AF401" s="53">
        <f t="shared" si="106"/>
        <v>0</v>
      </c>
      <c r="AG401" s="56">
        <f t="shared" si="107"/>
        <v>0</v>
      </c>
      <c r="AH401" s="53">
        <f t="shared" si="108"/>
        <v>0</v>
      </c>
      <c r="AI401" s="55"/>
      <c r="AJ401" s="53">
        <f t="shared" si="109"/>
        <v>0</v>
      </c>
      <c r="AK401" s="53">
        <f t="shared" si="110"/>
        <v>0</v>
      </c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7"/>
      <c r="AW401" s="57"/>
      <c r="AX401" s="57"/>
    </row>
    <row r="402" spans="2:50">
      <c r="B402" s="45">
        <v>384</v>
      </c>
      <c r="C402" s="214" t="s">
        <v>574</v>
      </c>
      <c r="D402" s="215" t="s">
        <v>621</v>
      </c>
      <c r="E402" s="215" t="s">
        <v>662</v>
      </c>
      <c r="F402" s="216" t="s">
        <v>663</v>
      </c>
      <c r="G402" s="217" t="s">
        <v>618</v>
      </c>
      <c r="H402" s="218">
        <v>43206</v>
      </c>
      <c r="I402" s="164" t="s">
        <v>409</v>
      </c>
      <c r="J402" s="219">
        <f t="shared" si="99"/>
        <v>105</v>
      </c>
      <c r="K402" s="219">
        <v>105</v>
      </c>
      <c r="L402" s="219">
        <v>0</v>
      </c>
      <c r="M402" s="219"/>
      <c r="N402" s="225">
        <v>1.75</v>
      </c>
      <c r="O402" s="226">
        <v>0</v>
      </c>
      <c r="P402" s="227">
        <v>1</v>
      </c>
      <c r="Q402" s="53"/>
      <c r="R402" s="54" t="s">
        <v>158</v>
      </c>
      <c r="S402" s="54" t="s">
        <v>158</v>
      </c>
      <c r="T402" s="54" t="s">
        <v>158</v>
      </c>
      <c r="U402" s="54" t="s">
        <v>158</v>
      </c>
      <c r="V402" s="211" t="s">
        <v>616</v>
      </c>
      <c r="W402" s="53"/>
      <c r="X402" s="53">
        <f t="shared" si="100"/>
        <v>0</v>
      </c>
      <c r="Y402" s="55"/>
      <c r="Z402" s="55"/>
      <c r="AA402" s="52">
        <f t="shared" si="101"/>
        <v>0</v>
      </c>
      <c r="AB402" s="53">
        <f t="shared" si="102"/>
        <v>0</v>
      </c>
      <c r="AC402" s="53">
        <f t="shared" si="103"/>
        <v>0</v>
      </c>
      <c r="AD402" s="53">
        <f t="shared" si="104"/>
        <v>0</v>
      </c>
      <c r="AE402" s="53">
        <f t="shared" si="105"/>
        <v>0</v>
      </c>
      <c r="AF402" s="53">
        <f t="shared" si="106"/>
        <v>0</v>
      </c>
      <c r="AG402" s="56">
        <f t="shared" si="107"/>
        <v>0</v>
      </c>
      <c r="AH402" s="53">
        <f t="shared" si="108"/>
        <v>0</v>
      </c>
      <c r="AI402" s="55"/>
      <c r="AJ402" s="53">
        <f t="shared" si="109"/>
        <v>0</v>
      </c>
      <c r="AK402" s="53">
        <f t="shared" si="110"/>
        <v>0</v>
      </c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7"/>
      <c r="AW402" s="57"/>
      <c r="AX402" s="57"/>
    </row>
    <row r="403" spans="2:50">
      <c r="B403" s="45">
        <v>385</v>
      </c>
      <c r="C403" s="214" t="s">
        <v>574</v>
      </c>
      <c r="D403" s="215" t="s">
        <v>621</v>
      </c>
      <c r="E403" s="215" t="s">
        <v>662</v>
      </c>
      <c r="F403" s="216" t="s">
        <v>664</v>
      </c>
      <c r="G403" s="217" t="s">
        <v>618</v>
      </c>
      <c r="H403" s="218" t="s">
        <v>665</v>
      </c>
      <c r="I403" s="164" t="s">
        <v>409</v>
      </c>
      <c r="J403" s="219">
        <f t="shared" si="99"/>
        <v>120</v>
      </c>
      <c r="K403" s="219">
        <v>120</v>
      </c>
      <c r="L403" s="219">
        <v>0</v>
      </c>
      <c r="M403" s="219"/>
      <c r="N403" s="225">
        <v>2</v>
      </c>
      <c r="O403" s="226">
        <v>0</v>
      </c>
      <c r="P403" s="227">
        <v>1</v>
      </c>
      <c r="Q403" s="53"/>
      <c r="R403" s="54" t="s">
        <v>158</v>
      </c>
      <c r="S403" s="54" t="s">
        <v>158</v>
      </c>
      <c r="T403" s="54" t="s">
        <v>158</v>
      </c>
      <c r="U403" s="54" t="s">
        <v>158</v>
      </c>
      <c r="V403" s="211" t="s">
        <v>616</v>
      </c>
      <c r="W403" s="53"/>
      <c r="X403" s="53">
        <f t="shared" si="100"/>
        <v>0</v>
      </c>
      <c r="Y403" s="55"/>
      <c r="Z403" s="55"/>
      <c r="AA403" s="52">
        <f t="shared" si="101"/>
        <v>0</v>
      </c>
      <c r="AB403" s="53">
        <f t="shared" si="102"/>
        <v>0</v>
      </c>
      <c r="AC403" s="53">
        <f t="shared" si="103"/>
        <v>0</v>
      </c>
      <c r="AD403" s="53">
        <f t="shared" si="104"/>
        <v>0</v>
      </c>
      <c r="AE403" s="53">
        <f t="shared" si="105"/>
        <v>0</v>
      </c>
      <c r="AF403" s="53">
        <f t="shared" si="106"/>
        <v>0</v>
      </c>
      <c r="AG403" s="56">
        <f t="shared" si="107"/>
        <v>0</v>
      </c>
      <c r="AH403" s="53">
        <f t="shared" si="108"/>
        <v>0</v>
      </c>
      <c r="AI403" s="55"/>
      <c r="AJ403" s="53">
        <f t="shared" si="109"/>
        <v>0</v>
      </c>
      <c r="AK403" s="53">
        <f t="shared" si="110"/>
        <v>0</v>
      </c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7"/>
      <c r="AW403" s="57"/>
      <c r="AX403" s="57"/>
    </row>
    <row r="404" spans="2:50">
      <c r="B404" s="45">
        <v>386</v>
      </c>
      <c r="C404" s="214" t="s">
        <v>574</v>
      </c>
      <c r="D404" s="215" t="s">
        <v>621</v>
      </c>
      <c r="E404" s="215" t="s">
        <v>662</v>
      </c>
      <c r="F404" s="216" t="s">
        <v>666</v>
      </c>
      <c r="G404" s="217" t="s">
        <v>618</v>
      </c>
      <c r="H404" s="218">
        <v>43206</v>
      </c>
      <c r="I404" s="164" t="s">
        <v>409</v>
      </c>
      <c r="J404" s="219">
        <f t="shared" si="99"/>
        <v>24</v>
      </c>
      <c r="K404" s="219">
        <v>24</v>
      </c>
      <c r="L404" s="219">
        <v>0</v>
      </c>
      <c r="M404" s="219"/>
      <c r="N404" s="225">
        <v>0.4</v>
      </c>
      <c r="O404" s="226">
        <v>0</v>
      </c>
      <c r="P404" s="227">
        <v>1</v>
      </c>
      <c r="Q404" s="53"/>
      <c r="R404" s="54" t="s">
        <v>158</v>
      </c>
      <c r="S404" s="54" t="s">
        <v>158</v>
      </c>
      <c r="T404" s="54" t="s">
        <v>158</v>
      </c>
      <c r="U404" s="54" t="s">
        <v>158</v>
      </c>
      <c r="V404" s="211" t="s">
        <v>616</v>
      </c>
      <c r="W404" s="53"/>
      <c r="X404" s="53">
        <f t="shared" si="100"/>
        <v>0</v>
      </c>
      <c r="Y404" s="55"/>
      <c r="Z404" s="55"/>
      <c r="AA404" s="52">
        <f t="shared" si="101"/>
        <v>0</v>
      </c>
      <c r="AB404" s="53">
        <f t="shared" si="102"/>
        <v>0</v>
      </c>
      <c r="AC404" s="53">
        <f t="shared" si="103"/>
        <v>0</v>
      </c>
      <c r="AD404" s="53">
        <f t="shared" si="104"/>
        <v>0</v>
      </c>
      <c r="AE404" s="53">
        <f t="shared" si="105"/>
        <v>0</v>
      </c>
      <c r="AF404" s="53">
        <f t="shared" si="106"/>
        <v>0</v>
      </c>
      <c r="AG404" s="56">
        <f t="shared" si="107"/>
        <v>0</v>
      </c>
      <c r="AH404" s="53">
        <f t="shared" si="108"/>
        <v>0</v>
      </c>
      <c r="AI404" s="55"/>
      <c r="AJ404" s="53">
        <f t="shared" si="109"/>
        <v>0</v>
      </c>
      <c r="AK404" s="53">
        <f t="shared" si="110"/>
        <v>0</v>
      </c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7"/>
      <c r="AW404" s="57"/>
      <c r="AX404" s="57"/>
    </row>
    <row r="405" spans="2:50">
      <c r="B405" s="45">
        <v>387</v>
      </c>
      <c r="C405" s="214" t="s">
        <v>574</v>
      </c>
      <c r="D405" s="215" t="s">
        <v>621</v>
      </c>
      <c r="E405" s="237" t="s">
        <v>667</v>
      </c>
      <c r="F405" s="216" t="s">
        <v>663</v>
      </c>
      <c r="G405" s="217" t="s">
        <v>618</v>
      </c>
      <c r="H405" s="218">
        <v>42382</v>
      </c>
      <c r="I405" s="164" t="s">
        <v>409</v>
      </c>
      <c r="J405" s="219">
        <f t="shared" si="99"/>
        <v>117</v>
      </c>
      <c r="K405" s="219">
        <v>117</v>
      </c>
      <c r="L405" s="219">
        <v>0</v>
      </c>
      <c r="M405" s="219"/>
      <c r="N405" s="225">
        <v>1.9</v>
      </c>
      <c r="O405" s="226">
        <v>0</v>
      </c>
      <c r="P405" s="227">
        <v>1</v>
      </c>
      <c r="Q405" s="53"/>
      <c r="R405" s="54" t="s">
        <v>158</v>
      </c>
      <c r="S405" s="54" t="s">
        <v>158</v>
      </c>
      <c r="T405" s="54" t="s">
        <v>158</v>
      </c>
      <c r="U405" s="54" t="s">
        <v>158</v>
      </c>
      <c r="V405" s="211" t="s">
        <v>616</v>
      </c>
      <c r="W405" s="53"/>
      <c r="X405" s="53">
        <f t="shared" si="100"/>
        <v>0</v>
      </c>
      <c r="Y405" s="55"/>
      <c r="Z405" s="55"/>
      <c r="AA405" s="52">
        <f t="shared" si="101"/>
        <v>0</v>
      </c>
      <c r="AB405" s="53">
        <f t="shared" si="102"/>
        <v>0</v>
      </c>
      <c r="AC405" s="53">
        <f t="shared" si="103"/>
        <v>0</v>
      </c>
      <c r="AD405" s="53">
        <f t="shared" si="104"/>
        <v>0</v>
      </c>
      <c r="AE405" s="53">
        <f t="shared" si="105"/>
        <v>0</v>
      </c>
      <c r="AF405" s="53">
        <f t="shared" si="106"/>
        <v>0</v>
      </c>
      <c r="AG405" s="56">
        <f t="shared" si="107"/>
        <v>0</v>
      </c>
      <c r="AH405" s="53">
        <f t="shared" si="108"/>
        <v>0</v>
      </c>
      <c r="AI405" s="55"/>
      <c r="AJ405" s="53">
        <f t="shared" si="109"/>
        <v>0</v>
      </c>
      <c r="AK405" s="53">
        <f t="shared" si="110"/>
        <v>0</v>
      </c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7"/>
      <c r="AW405" s="57"/>
      <c r="AX405" s="57"/>
    </row>
    <row r="406" spans="2:50">
      <c r="B406" s="45">
        <v>388</v>
      </c>
      <c r="C406" s="214" t="s">
        <v>574</v>
      </c>
      <c r="D406" s="215" t="s">
        <v>621</v>
      </c>
      <c r="E406" s="237" t="s">
        <v>667</v>
      </c>
      <c r="F406" s="216" t="s">
        <v>668</v>
      </c>
      <c r="G406" s="217" t="s">
        <v>618</v>
      </c>
      <c r="H406" s="218">
        <v>43206</v>
      </c>
      <c r="I406" s="164" t="s">
        <v>409</v>
      </c>
      <c r="J406" s="219">
        <f t="shared" si="99"/>
        <v>108</v>
      </c>
      <c r="K406" s="219">
        <v>108</v>
      </c>
      <c r="L406" s="219">
        <v>0</v>
      </c>
      <c r="M406" s="219"/>
      <c r="N406" s="225">
        <v>1.8</v>
      </c>
      <c r="O406" s="226">
        <v>0</v>
      </c>
      <c r="P406" s="227">
        <v>1</v>
      </c>
      <c r="Q406" s="53"/>
      <c r="R406" s="54" t="s">
        <v>158</v>
      </c>
      <c r="S406" s="54" t="s">
        <v>158</v>
      </c>
      <c r="T406" s="54" t="s">
        <v>158</v>
      </c>
      <c r="U406" s="54" t="s">
        <v>158</v>
      </c>
      <c r="V406" s="211" t="s">
        <v>616</v>
      </c>
      <c r="W406" s="53"/>
      <c r="X406" s="53">
        <f t="shared" si="100"/>
        <v>0</v>
      </c>
      <c r="Y406" s="55"/>
      <c r="Z406" s="55"/>
      <c r="AA406" s="52">
        <f t="shared" si="101"/>
        <v>0</v>
      </c>
      <c r="AB406" s="53">
        <f t="shared" si="102"/>
        <v>0</v>
      </c>
      <c r="AC406" s="53">
        <f t="shared" si="103"/>
        <v>0</v>
      </c>
      <c r="AD406" s="53">
        <f t="shared" si="104"/>
        <v>0</v>
      </c>
      <c r="AE406" s="53">
        <f t="shared" si="105"/>
        <v>0</v>
      </c>
      <c r="AF406" s="53">
        <f t="shared" si="106"/>
        <v>0</v>
      </c>
      <c r="AG406" s="56">
        <f t="shared" si="107"/>
        <v>0</v>
      </c>
      <c r="AH406" s="53">
        <f t="shared" si="108"/>
        <v>0</v>
      </c>
      <c r="AI406" s="55"/>
      <c r="AJ406" s="53">
        <f t="shared" si="109"/>
        <v>0</v>
      </c>
      <c r="AK406" s="53">
        <f t="shared" si="110"/>
        <v>0</v>
      </c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7"/>
      <c r="AW406" s="57"/>
      <c r="AX406" s="57"/>
    </row>
    <row r="407" spans="2:50">
      <c r="B407" s="45">
        <v>389</v>
      </c>
      <c r="C407" s="214" t="s">
        <v>574</v>
      </c>
      <c r="D407" s="215" t="s">
        <v>621</v>
      </c>
      <c r="E407" s="237" t="s">
        <v>667</v>
      </c>
      <c r="F407" s="216" t="s">
        <v>666</v>
      </c>
      <c r="G407" s="217" t="s">
        <v>618</v>
      </c>
      <c r="H407" s="218">
        <v>43206</v>
      </c>
      <c r="I407" s="164" t="s">
        <v>409</v>
      </c>
      <c r="J407" s="219">
        <f t="shared" si="99"/>
        <v>24</v>
      </c>
      <c r="K407" s="219">
        <v>24</v>
      </c>
      <c r="L407" s="219">
        <v>0</v>
      </c>
      <c r="M407" s="219"/>
      <c r="N407" s="225">
        <v>0.4</v>
      </c>
      <c r="O407" s="226">
        <v>0</v>
      </c>
      <c r="P407" s="227">
        <v>1</v>
      </c>
      <c r="Q407" s="53"/>
      <c r="R407" s="54" t="s">
        <v>158</v>
      </c>
      <c r="S407" s="54" t="s">
        <v>158</v>
      </c>
      <c r="T407" s="54" t="s">
        <v>158</v>
      </c>
      <c r="U407" s="54" t="s">
        <v>158</v>
      </c>
      <c r="V407" s="211" t="s">
        <v>616</v>
      </c>
      <c r="W407" s="53"/>
      <c r="X407" s="53">
        <f t="shared" si="100"/>
        <v>0</v>
      </c>
      <c r="Y407" s="55"/>
      <c r="Z407" s="55"/>
      <c r="AA407" s="52">
        <f t="shared" si="101"/>
        <v>0</v>
      </c>
      <c r="AB407" s="53">
        <f t="shared" si="102"/>
        <v>0</v>
      </c>
      <c r="AC407" s="53">
        <f t="shared" si="103"/>
        <v>0</v>
      </c>
      <c r="AD407" s="53">
        <f t="shared" si="104"/>
        <v>0</v>
      </c>
      <c r="AE407" s="53">
        <f t="shared" si="105"/>
        <v>0</v>
      </c>
      <c r="AF407" s="53">
        <f t="shared" si="106"/>
        <v>0</v>
      </c>
      <c r="AG407" s="56">
        <f t="shared" si="107"/>
        <v>0</v>
      </c>
      <c r="AH407" s="53">
        <f t="shared" si="108"/>
        <v>0</v>
      </c>
      <c r="AI407" s="55"/>
      <c r="AJ407" s="53">
        <f t="shared" si="109"/>
        <v>0</v>
      </c>
      <c r="AK407" s="53">
        <f t="shared" si="110"/>
        <v>0</v>
      </c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7"/>
      <c r="AW407" s="57"/>
      <c r="AX407" s="57"/>
    </row>
    <row r="408" spans="2:50">
      <c r="B408" s="45">
        <v>390</v>
      </c>
      <c r="C408" s="214" t="s">
        <v>574</v>
      </c>
      <c r="D408" s="215" t="s">
        <v>621</v>
      </c>
      <c r="E408" s="215" t="s">
        <v>669</v>
      </c>
      <c r="F408" s="216" t="s">
        <v>670</v>
      </c>
      <c r="G408" s="217" t="s">
        <v>618</v>
      </c>
      <c r="H408" s="218">
        <v>41995</v>
      </c>
      <c r="I408" s="164" t="s">
        <v>409</v>
      </c>
      <c r="J408" s="219">
        <f t="shared" si="99"/>
        <v>24</v>
      </c>
      <c r="K408" s="219">
        <v>24</v>
      </c>
      <c r="L408" s="219">
        <v>0</v>
      </c>
      <c r="M408" s="219"/>
      <c r="N408" s="223">
        <v>0.4</v>
      </c>
      <c r="O408" s="223">
        <v>0</v>
      </c>
      <c r="P408" s="224">
        <v>1</v>
      </c>
      <c r="Q408" s="53"/>
      <c r="R408" s="54" t="s">
        <v>158</v>
      </c>
      <c r="S408" s="54" t="s">
        <v>158</v>
      </c>
      <c r="T408" s="54" t="s">
        <v>158</v>
      </c>
      <c r="U408" s="54" t="s">
        <v>158</v>
      </c>
      <c r="V408" s="211" t="s">
        <v>616</v>
      </c>
      <c r="W408" s="53"/>
      <c r="X408" s="53">
        <f t="shared" si="100"/>
        <v>0</v>
      </c>
      <c r="Y408" s="55"/>
      <c r="Z408" s="55"/>
      <c r="AA408" s="52">
        <f t="shared" si="101"/>
        <v>0</v>
      </c>
      <c r="AB408" s="53">
        <f t="shared" si="102"/>
        <v>0</v>
      </c>
      <c r="AC408" s="53">
        <f t="shared" si="103"/>
        <v>0</v>
      </c>
      <c r="AD408" s="53">
        <f t="shared" si="104"/>
        <v>0</v>
      </c>
      <c r="AE408" s="53">
        <f t="shared" si="105"/>
        <v>0</v>
      </c>
      <c r="AF408" s="53">
        <f t="shared" si="106"/>
        <v>0</v>
      </c>
      <c r="AG408" s="56">
        <f t="shared" si="107"/>
        <v>0</v>
      </c>
      <c r="AH408" s="53">
        <f t="shared" si="108"/>
        <v>0</v>
      </c>
      <c r="AI408" s="55"/>
      <c r="AJ408" s="53">
        <f t="shared" si="109"/>
        <v>0</v>
      </c>
      <c r="AK408" s="53">
        <f t="shared" si="110"/>
        <v>0</v>
      </c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7"/>
      <c r="AW408" s="57"/>
      <c r="AX408" s="57"/>
    </row>
    <row r="409" spans="2:50">
      <c r="B409" s="45">
        <v>391</v>
      </c>
      <c r="C409" s="214" t="s">
        <v>574</v>
      </c>
      <c r="D409" s="215" t="s">
        <v>621</v>
      </c>
      <c r="E409" s="215" t="s">
        <v>669</v>
      </c>
      <c r="F409" s="216" t="s">
        <v>671</v>
      </c>
      <c r="G409" s="217" t="s">
        <v>618</v>
      </c>
      <c r="H409" s="218">
        <v>41995</v>
      </c>
      <c r="I409" s="164" t="s">
        <v>409</v>
      </c>
      <c r="J409" s="219">
        <f t="shared" si="99"/>
        <v>48</v>
      </c>
      <c r="K409" s="219">
        <v>48</v>
      </c>
      <c r="L409" s="219">
        <v>0</v>
      </c>
      <c r="M409" s="219"/>
      <c r="N409" s="223">
        <v>0.79999999999999993</v>
      </c>
      <c r="O409" s="223">
        <v>0</v>
      </c>
      <c r="P409" s="224">
        <v>1</v>
      </c>
      <c r="Q409" s="53"/>
      <c r="R409" s="54" t="s">
        <v>158</v>
      </c>
      <c r="S409" s="54" t="s">
        <v>158</v>
      </c>
      <c r="T409" s="54" t="s">
        <v>158</v>
      </c>
      <c r="U409" s="54" t="s">
        <v>158</v>
      </c>
      <c r="V409" s="211" t="s">
        <v>616</v>
      </c>
      <c r="W409" s="53"/>
      <c r="X409" s="53">
        <f t="shared" si="100"/>
        <v>0</v>
      </c>
      <c r="Y409" s="55"/>
      <c r="Z409" s="55"/>
      <c r="AA409" s="52">
        <f t="shared" si="101"/>
        <v>0</v>
      </c>
      <c r="AB409" s="53">
        <f t="shared" si="102"/>
        <v>0</v>
      </c>
      <c r="AC409" s="53">
        <f t="shared" si="103"/>
        <v>0</v>
      </c>
      <c r="AD409" s="53">
        <f t="shared" si="104"/>
        <v>0</v>
      </c>
      <c r="AE409" s="53">
        <f t="shared" si="105"/>
        <v>0</v>
      </c>
      <c r="AF409" s="53">
        <f t="shared" si="106"/>
        <v>0</v>
      </c>
      <c r="AG409" s="56">
        <f t="shared" si="107"/>
        <v>0</v>
      </c>
      <c r="AH409" s="53">
        <f t="shared" si="108"/>
        <v>0</v>
      </c>
      <c r="AI409" s="55"/>
      <c r="AJ409" s="53">
        <f t="shared" si="109"/>
        <v>0</v>
      </c>
      <c r="AK409" s="53">
        <f t="shared" si="110"/>
        <v>0</v>
      </c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7"/>
      <c r="AW409" s="57"/>
      <c r="AX409" s="57"/>
    </row>
    <row r="410" spans="2:50">
      <c r="B410" s="45">
        <v>392</v>
      </c>
      <c r="C410" s="214" t="s">
        <v>574</v>
      </c>
      <c r="D410" s="215" t="s">
        <v>621</v>
      </c>
      <c r="E410" s="215" t="s">
        <v>669</v>
      </c>
      <c r="F410" s="216" t="s">
        <v>672</v>
      </c>
      <c r="G410" s="217" t="s">
        <v>618</v>
      </c>
      <c r="H410" s="218">
        <v>41995</v>
      </c>
      <c r="I410" s="164" t="s">
        <v>409</v>
      </c>
      <c r="J410" s="219">
        <f t="shared" si="99"/>
        <v>36</v>
      </c>
      <c r="K410" s="219">
        <v>36</v>
      </c>
      <c r="L410" s="219">
        <v>0</v>
      </c>
      <c r="M410" s="219"/>
      <c r="N410" s="223">
        <v>0.6</v>
      </c>
      <c r="O410" s="223">
        <v>0</v>
      </c>
      <c r="P410" s="224">
        <v>1</v>
      </c>
      <c r="Q410" s="53"/>
      <c r="R410" s="54" t="s">
        <v>158</v>
      </c>
      <c r="S410" s="54" t="s">
        <v>158</v>
      </c>
      <c r="T410" s="54" t="s">
        <v>158</v>
      </c>
      <c r="U410" s="54" t="s">
        <v>158</v>
      </c>
      <c r="V410" s="211" t="s">
        <v>616</v>
      </c>
      <c r="W410" s="53"/>
      <c r="X410" s="53">
        <f t="shared" si="100"/>
        <v>0</v>
      </c>
      <c r="Y410" s="55"/>
      <c r="Z410" s="55"/>
      <c r="AA410" s="52">
        <f t="shared" si="101"/>
        <v>0</v>
      </c>
      <c r="AB410" s="53">
        <f t="shared" si="102"/>
        <v>0</v>
      </c>
      <c r="AC410" s="53">
        <f t="shared" si="103"/>
        <v>0</v>
      </c>
      <c r="AD410" s="53">
        <f t="shared" si="104"/>
        <v>0</v>
      </c>
      <c r="AE410" s="53">
        <f t="shared" si="105"/>
        <v>0</v>
      </c>
      <c r="AF410" s="53">
        <f t="shared" si="106"/>
        <v>0</v>
      </c>
      <c r="AG410" s="56">
        <f t="shared" si="107"/>
        <v>0</v>
      </c>
      <c r="AH410" s="53">
        <f t="shared" si="108"/>
        <v>0</v>
      </c>
      <c r="AI410" s="55"/>
      <c r="AJ410" s="53">
        <f t="shared" si="109"/>
        <v>0</v>
      </c>
      <c r="AK410" s="53">
        <f t="shared" si="110"/>
        <v>0</v>
      </c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7"/>
      <c r="AW410" s="57"/>
      <c r="AX410" s="57"/>
    </row>
    <row r="411" spans="2:50">
      <c r="B411" s="45">
        <v>393</v>
      </c>
      <c r="C411" s="214" t="s">
        <v>574</v>
      </c>
      <c r="D411" s="215" t="s">
        <v>621</v>
      </c>
      <c r="E411" s="215" t="s">
        <v>669</v>
      </c>
      <c r="F411" s="216" t="s">
        <v>673</v>
      </c>
      <c r="G411" s="217" t="s">
        <v>618</v>
      </c>
      <c r="H411" s="218">
        <v>41995</v>
      </c>
      <c r="I411" s="164" t="s">
        <v>409</v>
      </c>
      <c r="J411" s="219">
        <f t="shared" si="99"/>
        <v>36</v>
      </c>
      <c r="K411" s="219">
        <v>36</v>
      </c>
      <c r="L411" s="219">
        <v>0</v>
      </c>
      <c r="M411" s="219"/>
      <c r="N411" s="223">
        <v>0.6</v>
      </c>
      <c r="O411" s="223">
        <v>0</v>
      </c>
      <c r="P411" s="224">
        <v>1</v>
      </c>
      <c r="Q411" s="53"/>
      <c r="R411" s="54" t="s">
        <v>158</v>
      </c>
      <c r="S411" s="54" t="s">
        <v>158</v>
      </c>
      <c r="T411" s="54" t="s">
        <v>158</v>
      </c>
      <c r="U411" s="54" t="s">
        <v>158</v>
      </c>
      <c r="V411" s="211" t="s">
        <v>616</v>
      </c>
      <c r="W411" s="53"/>
      <c r="X411" s="53">
        <f t="shared" si="100"/>
        <v>0</v>
      </c>
      <c r="Y411" s="55"/>
      <c r="Z411" s="55"/>
      <c r="AA411" s="52">
        <f t="shared" si="101"/>
        <v>0</v>
      </c>
      <c r="AB411" s="53">
        <f t="shared" si="102"/>
        <v>0</v>
      </c>
      <c r="AC411" s="53">
        <f t="shared" si="103"/>
        <v>0</v>
      </c>
      <c r="AD411" s="53">
        <f t="shared" si="104"/>
        <v>0</v>
      </c>
      <c r="AE411" s="53">
        <f t="shared" si="105"/>
        <v>0</v>
      </c>
      <c r="AF411" s="53">
        <f t="shared" si="106"/>
        <v>0</v>
      </c>
      <c r="AG411" s="56">
        <f t="shared" si="107"/>
        <v>0</v>
      </c>
      <c r="AH411" s="53">
        <f t="shared" si="108"/>
        <v>0</v>
      </c>
      <c r="AI411" s="55"/>
      <c r="AJ411" s="53">
        <f t="shared" si="109"/>
        <v>0</v>
      </c>
      <c r="AK411" s="53">
        <f t="shared" si="110"/>
        <v>0</v>
      </c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7"/>
      <c r="AW411" s="57"/>
      <c r="AX411" s="57"/>
    </row>
    <row r="412" spans="2:50">
      <c r="B412" s="45">
        <v>394</v>
      </c>
      <c r="C412" s="214" t="s">
        <v>574</v>
      </c>
      <c r="D412" s="215" t="s">
        <v>621</v>
      </c>
      <c r="E412" s="215" t="s">
        <v>669</v>
      </c>
      <c r="F412" s="216" t="s">
        <v>674</v>
      </c>
      <c r="G412" s="217" t="s">
        <v>618</v>
      </c>
      <c r="H412" s="218">
        <v>41995</v>
      </c>
      <c r="I412" s="164" t="s">
        <v>409</v>
      </c>
      <c r="J412" s="219">
        <f t="shared" si="99"/>
        <v>36</v>
      </c>
      <c r="K412" s="219">
        <v>36</v>
      </c>
      <c r="L412" s="219">
        <v>0</v>
      </c>
      <c r="M412" s="219"/>
      <c r="N412" s="223">
        <v>0.6</v>
      </c>
      <c r="O412" s="223">
        <v>0</v>
      </c>
      <c r="P412" s="224">
        <v>1</v>
      </c>
      <c r="Q412" s="53"/>
      <c r="R412" s="54" t="s">
        <v>158</v>
      </c>
      <c r="S412" s="54" t="s">
        <v>158</v>
      </c>
      <c r="T412" s="54" t="s">
        <v>158</v>
      </c>
      <c r="U412" s="54" t="s">
        <v>158</v>
      </c>
      <c r="V412" s="211" t="s">
        <v>616</v>
      </c>
      <c r="W412" s="53"/>
      <c r="X412" s="53">
        <f t="shared" si="100"/>
        <v>0</v>
      </c>
      <c r="Y412" s="55"/>
      <c r="Z412" s="55"/>
      <c r="AA412" s="52">
        <f t="shared" si="101"/>
        <v>0</v>
      </c>
      <c r="AB412" s="53">
        <f t="shared" si="102"/>
        <v>0</v>
      </c>
      <c r="AC412" s="53">
        <f t="shared" si="103"/>
        <v>0</v>
      </c>
      <c r="AD412" s="53">
        <f t="shared" si="104"/>
        <v>0</v>
      </c>
      <c r="AE412" s="53">
        <f t="shared" si="105"/>
        <v>0</v>
      </c>
      <c r="AF412" s="53">
        <f t="shared" si="106"/>
        <v>0</v>
      </c>
      <c r="AG412" s="56">
        <f t="shared" si="107"/>
        <v>0</v>
      </c>
      <c r="AH412" s="53">
        <f t="shared" si="108"/>
        <v>0</v>
      </c>
      <c r="AI412" s="55"/>
      <c r="AJ412" s="53">
        <f t="shared" si="109"/>
        <v>0</v>
      </c>
      <c r="AK412" s="53">
        <f t="shared" si="110"/>
        <v>0</v>
      </c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7"/>
      <c r="AW412" s="57"/>
      <c r="AX412" s="57"/>
    </row>
    <row r="413" spans="2:50">
      <c r="B413" s="45">
        <v>395</v>
      </c>
      <c r="C413" s="214" t="s">
        <v>574</v>
      </c>
      <c r="D413" s="215" t="s">
        <v>621</v>
      </c>
      <c r="E413" s="215" t="s">
        <v>669</v>
      </c>
      <c r="F413" s="216" t="s">
        <v>675</v>
      </c>
      <c r="G413" s="217" t="s">
        <v>618</v>
      </c>
      <c r="H413" s="218">
        <v>43283</v>
      </c>
      <c r="I413" s="164" t="s">
        <v>409</v>
      </c>
      <c r="J413" s="219">
        <f t="shared" si="99"/>
        <v>12</v>
      </c>
      <c r="K413" s="219">
        <v>12</v>
      </c>
      <c r="L413" s="219">
        <v>0</v>
      </c>
      <c r="M413" s="219"/>
      <c r="N413" s="223">
        <v>0.2</v>
      </c>
      <c r="O413" s="223">
        <v>0</v>
      </c>
      <c r="P413" s="224">
        <v>1</v>
      </c>
      <c r="Q413" s="53"/>
      <c r="R413" s="54" t="s">
        <v>158</v>
      </c>
      <c r="S413" s="54" t="s">
        <v>158</v>
      </c>
      <c r="T413" s="54" t="s">
        <v>158</v>
      </c>
      <c r="U413" s="54" t="s">
        <v>158</v>
      </c>
      <c r="V413" s="211" t="s">
        <v>616</v>
      </c>
      <c r="W413" s="53"/>
      <c r="X413" s="53">
        <f t="shared" si="100"/>
        <v>0</v>
      </c>
      <c r="Y413" s="55"/>
      <c r="Z413" s="55"/>
      <c r="AA413" s="52">
        <f t="shared" si="101"/>
        <v>0</v>
      </c>
      <c r="AB413" s="53">
        <f t="shared" si="102"/>
        <v>0</v>
      </c>
      <c r="AC413" s="53">
        <f t="shared" si="103"/>
        <v>0</v>
      </c>
      <c r="AD413" s="53">
        <f t="shared" si="104"/>
        <v>0</v>
      </c>
      <c r="AE413" s="53">
        <f t="shared" si="105"/>
        <v>0</v>
      </c>
      <c r="AF413" s="53">
        <f t="shared" si="106"/>
        <v>0</v>
      </c>
      <c r="AG413" s="56">
        <f t="shared" si="107"/>
        <v>0</v>
      </c>
      <c r="AH413" s="53">
        <f t="shared" si="108"/>
        <v>0</v>
      </c>
      <c r="AI413" s="55"/>
      <c r="AJ413" s="53">
        <f t="shared" si="109"/>
        <v>0</v>
      </c>
      <c r="AK413" s="53">
        <f t="shared" si="110"/>
        <v>0</v>
      </c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7"/>
      <c r="AW413" s="57"/>
      <c r="AX413" s="57"/>
    </row>
    <row r="414" spans="2:50">
      <c r="B414" s="45">
        <v>396</v>
      </c>
      <c r="C414" s="214" t="s">
        <v>574</v>
      </c>
      <c r="D414" s="215" t="s">
        <v>621</v>
      </c>
      <c r="E414" s="215" t="s">
        <v>669</v>
      </c>
      <c r="F414" s="216" t="s">
        <v>676</v>
      </c>
      <c r="G414" s="217" t="s">
        <v>618</v>
      </c>
      <c r="H414" s="218">
        <v>43283</v>
      </c>
      <c r="I414" s="164" t="s">
        <v>409</v>
      </c>
      <c r="J414" s="219">
        <f t="shared" si="99"/>
        <v>12</v>
      </c>
      <c r="K414" s="219">
        <v>12</v>
      </c>
      <c r="L414" s="219">
        <v>0</v>
      </c>
      <c r="M414" s="219"/>
      <c r="N414" s="223">
        <v>0.2</v>
      </c>
      <c r="O414" s="223">
        <v>0</v>
      </c>
      <c r="P414" s="224">
        <v>1</v>
      </c>
      <c r="Q414" s="53"/>
      <c r="R414" s="54" t="s">
        <v>158</v>
      </c>
      <c r="S414" s="54" t="s">
        <v>158</v>
      </c>
      <c r="T414" s="54" t="s">
        <v>158</v>
      </c>
      <c r="U414" s="54" t="s">
        <v>158</v>
      </c>
      <c r="V414" s="211" t="s">
        <v>616</v>
      </c>
      <c r="W414" s="53"/>
      <c r="X414" s="53">
        <f t="shared" si="100"/>
        <v>0</v>
      </c>
      <c r="Y414" s="55"/>
      <c r="Z414" s="55"/>
      <c r="AA414" s="52">
        <f t="shared" si="101"/>
        <v>0</v>
      </c>
      <c r="AB414" s="53">
        <f t="shared" si="102"/>
        <v>0</v>
      </c>
      <c r="AC414" s="53">
        <f t="shared" si="103"/>
        <v>0</v>
      </c>
      <c r="AD414" s="53">
        <f t="shared" si="104"/>
        <v>0</v>
      </c>
      <c r="AE414" s="53">
        <f t="shared" si="105"/>
        <v>0</v>
      </c>
      <c r="AF414" s="53">
        <f t="shared" si="106"/>
        <v>0</v>
      </c>
      <c r="AG414" s="56">
        <f t="shared" si="107"/>
        <v>0</v>
      </c>
      <c r="AH414" s="53">
        <f t="shared" si="108"/>
        <v>0</v>
      </c>
      <c r="AI414" s="55"/>
      <c r="AJ414" s="53">
        <f t="shared" si="109"/>
        <v>0</v>
      </c>
      <c r="AK414" s="53">
        <f t="shared" si="110"/>
        <v>0</v>
      </c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7"/>
      <c r="AW414" s="57"/>
      <c r="AX414" s="57"/>
    </row>
    <row r="415" spans="2:50">
      <c r="B415" s="45">
        <v>397</v>
      </c>
      <c r="C415" s="214" t="s">
        <v>574</v>
      </c>
      <c r="D415" s="215" t="s">
        <v>621</v>
      </c>
      <c r="E415" s="215" t="s">
        <v>669</v>
      </c>
      <c r="F415" s="216" t="s">
        <v>677</v>
      </c>
      <c r="G415" s="217" t="s">
        <v>618</v>
      </c>
      <c r="H415" s="218">
        <v>41995</v>
      </c>
      <c r="I415" s="164" t="s">
        <v>409</v>
      </c>
      <c r="J415" s="219">
        <f t="shared" si="99"/>
        <v>66</v>
      </c>
      <c r="K415" s="219">
        <v>66</v>
      </c>
      <c r="L415" s="219">
        <v>0</v>
      </c>
      <c r="M415" s="219"/>
      <c r="N415" s="223">
        <v>1.1000000000000001</v>
      </c>
      <c r="O415" s="223">
        <v>0</v>
      </c>
      <c r="P415" s="224">
        <v>1</v>
      </c>
      <c r="Q415" s="53"/>
      <c r="R415" s="54" t="s">
        <v>158</v>
      </c>
      <c r="S415" s="54" t="s">
        <v>158</v>
      </c>
      <c r="T415" s="54" t="s">
        <v>158</v>
      </c>
      <c r="U415" s="54" t="s">
        <v>158</v>
      </c>
      <c r="V415" s="211" t="s">
        <v>616</v>
      </c>
      <c r="W415" s="53"/>
      <c r="X415" s="53">
        <f t="shared" si="100"/>
        <v>0</v>
      </c>
      <c r="Y415" s="55"/>
      <c r="Z415" s="55"/>
      <c r="AA415" s="52">
        <f t="shared" si="101"/>
        <v>0</v>
      </c>
      <c r="AB415" s="53">
        <f t="shared" si="102"/>
        <v>0</v>
      </c>
      <c r="AC415" s="53">
        <f t="shared" si="103"/>
        <v>0</v>
      </c>
      <c r="AD415" s="53">
        <f t="shared" si="104"/>
        <v>0</v>
      </c>
      <c r="AE415" s="53">
        <f t="shared" si="105"/>
        <v>0</v>
      </c>
      <c r="AF415" s="53">
        <f t="shared" si="106"/>
        <v>0</v>
      </c>
      <c r="AG415" s="56">
        <f t="shared" si="107"/>
        <v>0</v>
      </c>
      <c r="AH415" s="53">
        <f t="shared" si="108"/>
        <v>0</v>
      </c>
      <c r="AI415" s="55"/>
      <c r="AJ415" s="53">
        <f t="shared" si="109"/>
        <v>0</v>
      </c>
      <c r="AK415" s="53">
        <f t="shared" si="110"/>
        <v>0</v>
      </c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7"/>
      <c r="AW415" s="57"/>
      <c r="AX415" s="57"/>
    </row>
    <row r="416" spans="2:50">
      <c r="B416" s="45">
        <v>398</v>
      </c>
      <c r="C416" s="214" t="s">
        <v>574</v>
      </c>
      <c r="D416" s="215" t="s">
        <v>621</v>
      </c>
      <c r="E416" s="215" t="s">
        <v>669</v>
      </c>
      <c r="F416" s="216" t="s">
        <v>678</v>
      </c>
      <c r="G416" s="217" t="s">
        <v>618</v>
      </c>
      <c r="H416" s="218">
        <v>41995</v>
      </c>
      <c r="I416" s="164" t="s">
        <v>409</v>
      </c>
      <c r="J416" s="219">
        <f t="shared" si="99"/>
        <v>36</v>
      </c>
      <c r="K416" s="219">
        <v>36</v>
      </c>
      <c r="L416" s="219">
        <v>0</v>
      </c>
      <c r="M416" s="219"/>
      <c r="N416" s="223">
        <v>0.6</v>
      </c>
      <c r="O416" s="223">
        <v>0</v>
      </c>
      <c r="P416" s="224">
        <v>1</v>
      </c>
      <c r="Q416" s="53"/>
      <c r="R416" s="54" t="s">
        <v>158</v>
      </c>
      <c r="S416" s="54" t="s">
        <v>158</v>
      </c>
      <c r="T416" s="54" t="s">
        <v>158</v>
      </c>
      <c r="U416" s="54" t="s">
        <v>158</v>
      </c>
      <c r="V416" s="211" t="s">
        <v>616</v>
      </c>
      <c r="W416" s="53"/>
      <c r="X416" s="53">
        <f t="shared" si="100"/>
        <v>0</v>
      </c>
      <c r="Y416" s="55"/>
      <c r="Z416" s="55"/>
      <c r="AA416" s="52">
        <f t="shared" si="101"/>
        <v>0</v>
      </c>
      <c r="AB416" s="53">
        <f t="shared" si="102"/>
        <v>0</v>
      </c>
      <c r="AC416" s="53">
        <f t="shared" si="103"/>
        <v>0</v>
      </c>
      <c r="AD416" s="53">
        <f t="shared" si="104"/>
        <v>0</v>
      </c>
      <c r="AE416" s="53">
        <f t="shared" si="105"/>
        <v>0</v>
      </c>
      <c r="AF416" s="53">
        <f t="shared" si="106"/>
        <v>0</v>
      </c>
      <c r="AG416" s="56">
        <f t="shared" si="107"/>
        <v>0</v>
      </c>
      <c r="AH416" s="53">
        <f t="shared" si="108"/>
        <v>0</v>
      </c>
      <c r="AI416" s="55"/>
      <c r="AJ416" s="53">
        <f t="shared" si="109"/>
        <v>0</v>
      </c>
      <c r="AK416" s="53">
        <f t="shared" si="110"/>
        <v>0</v>
      </c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7"/>
      <c r="AW416" s="57"/>
      <c r="AX416" s="57"/>
    </row>
    <row r="417" spans="2:50">
      <c r="B417" s="45">
        <v>399</v>
      </c>
      <c r="C417" s="214" t="s">
        <v>574</v>
      </c>
      <c r="D417" s="215" t="s">
        <v>621</v>
      </c>
      <c r="E417" s="215" t="s">
        <v>679</v>
      </c>
      <c r="F417" s="216" t="s">
        <v>680</v>
      </c>
      <c r="G417" s="217" t="s">
        <v>618</v>
      </c>
      <c r="H417" s="218">
        <v>41995</v>
      </c>
      <c r="I417" s="164" t="s">
        <v>409</v>
      </c>
      <c r="J417" s="219">
        <f t="shared" si="99"/>
        <v>12</v>
      </c>
      <c r="K417" s="219">
        <v>12</v>
      </c>
      <c r="L417" s="219">
        <v>0</v>
      </c>
      <c r="M417" s="219"/>
      <c r="N417" s="223">
        <v>0.2</v>
      </c>
      <c r="O417" s="223">
        <v>0</v>
      </c>
      <c r="P417" s="224">
        <v>1</v>
      </c>
      <c r="Q417" s="53" t="s">
        <v>257</v>
      </c>
      <c r="R417" s="54" t="s">
        <v>158</v>
      </c>
      <c r="S417" s="54" t="s">
        <v>158</v>
      </c>
      <c r="T417" s="54" t="s">
        <v>158</v>
      </c>
      <c r="U417" s="54" t="s">
        <v>158</v>
      </c>
      <c r="V417" s="211" t="s">
        <v>616</v>
      </c>
      <c r="W417" s="53"/>
      <c r="X417" s="53">
        <f t="shared" si="100"/>
        <v>0</v>
      </c>
      <c r="Y417" s="55"/>
      <c r="Z417" s="55"/>
      <c r="AA417" s="52">
        <f t="shared" si="101"/>
        <v>0</v>
      </c>
      <c r="AB417" s="53">
        <f t="shared" si="102"/>
        <v>0</v>
      </c>
      <c r="AC417" s="53">
        <f t="shared" si="103"/>
        <v>0</v>
      </c>
      <c r="AD417" s="53">
        <f t="shared" si="104"/>
        <v>0</v>
      </c>
      <c r="AE417" s="53">
        <f t="shared" si="105"/>
        <v>0</v>
      </c>
      <c r="AF417" s="53">
        <f t="shared" si="106"/>
        <v>0</v>
      </c>
      <c r="AG417" s="56">
        <f t="shared" si="107"/>
        <v>1</v>
      </c>
      <c r="AH417" s="53">
        <f t="shared" si="108"/>
        <v>0</v>
      </c>
      <c r="AI417" s="55"/>
      <c r="AJ417" s="53">
        <f t="shared" si="109"/>
        <v>0</v>
      </c>
      <c r="AK417" s="53">
        <f t="shared" si="110"/>
        <v>0</v>
      </c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7"/>
      <c r="AW417" s="57"/>
      <c r="AX417" s="57"/>
    </row>
    <row r="418" spans="2:50">
      <c r="B418" s="45">
        <v>400</v>
      </c>
      <c r="C418" s="214" t="s">
        <v>574</v>
      </c>
      <c r="D418" s="215" t="s">
        <v>621</v>
      </c>
      <c r="E418" s="215" t="s">
        <v>679</v>
      </c>
      <c r="F418" s="216" t="s">
        <v>681</v>
      </c>
      <c r="G418" s="217" t="s">
        <v>618</v>
      </c>
      <c r="H418" s="218">
        <v>41995</v>
      </c>
      <c r="I418" s="164" t="s">
        <v>409</v>
      </c>
      <c r="J418" s="219">
        <f t="shared" si="99"/>
        <v>30</v>
      </c>
      <c r="K418" s="219">
        <v>30</v>
      </c>
      <c r="L418" s="219">
        <v>0</v>
      </c>
      <c r="M418" s="219"/>
      <c r="N418" s="223">
        <v>0.5</v>
      </c>
      <c r="O418" s="223">
        <v>0</v>
      </c>
      <c r="P418" s="224">
        <v>1</v>
      </c>
      <c r="Q418" s="53" t="s">
        <v>257</v>
      </c>
      <c r="R418" s="54" t="s">
        <v>158</v>
      </c>
      <c r="S418" s="54" t="s">
        <v>158</v>
      </c>
      <c r="T418" s="54" t="s">
        <v>158</v>
      </c>
      <c r="U418" s="54" t="s">
        <v>158</v>
      </c>
      <c r="V418" s="211" t="s">
        <v>616</v>
      </c>
      <c r="W418" s="53"/>
      <c r="X418" s="53">
        <f t="shared" si="100"/>
        <v>0</v>
      </c>
      <c r="Y418" s="55"/>
      <c r="Z418" s="55"/>
      <c r="AA418" s="52">
        <f t="shared" si="101"/>
        <v>0</v>
      </c>
      <c r="AB418" s="53">
        <f t="shared" si="102"/>
        <v>0</v>
      </c>
      <c r="AC418" s="53">
        <f t="shared" si="103"/>
        <v>0</v>
      </c>
      <c r="AD418" s="53">
        <f t="shared" si="104"/>
        <v>0</v>
      </c>
      <c r="AE418" s="53">
        <f t="shared" si="105"/>
        <v>0</v>
      </c>
      <c r="AF418" s="53">
        <f t="shared" si="106"/>
        <v>0</v>
      </c>
      <c r="AG418" s="56">
        <f t="shared" si="107"/>
        <v>1</v>
      </c>
      <c r="AH418" s="53">
        <f t="shared" si="108"/>
        <v>0</v>
      </c>
      <c r="AI418" s="55"/>
      <c r="AJ418" s="53">
        <f t="shared" si="109"/>
        <v>0</v>
      </c>
      <c r="AK418" s="53">
        <f t="shared" si="110"/>
        <v>0</v>
      </c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7"/>
      <c r="AW418" s="57"/>
      <c r="AX418" s="57"/>
    </row>
    <row r="419" spans="2:50">
      <c r="B419" s="45">
        <v>401</v>
      </c>
      <c r="C419" s="214" t="s">
        <v>574</v>
      </c>
      <c r="D419" s="215" t="s">
        <v>621</v>
      </c>
      <c r="E419" s="215" t="s">
        <v>679</v>
      </c>
      <c r="F419" s="216" t="s">
        <v>682</v>
      </c>
      <c r="G419" s="217" t="s">
        <v>618</v>
      </c>
      <c r="H419" s="218">
        <v>41995</v>
      </c>
      <c r="I419" s="164" t="s">
        <v>409</v>
      </c>
      <c r="J419" s="219">
        <f t="shared" si="99"/>
        <v>6</v>
      </c>
      <c r="K419" s="219">
        <v>6</v>
      </c>
      <c r="L419" s="219">
        <v>0</v>
      </c>
      <c r="M419" s="219"/>
      <c r="N419" s="223">
        <v>0.1</v>
      </c>
      <c r="O419" s="223">
        <v>0</v>
      </c>
      <c r="P419" s="224">
        <v>1</v>
      </c>
      <c r="Q419" s="53" t="s">
        <v>257</v>
      </c>
      <c r="R419" s="54" t="s">
        <v>158</v>
      </c>
      <c r="S419" s="54" t="s">
        <v>158</v>
      </c>
      <c r="T419" s="54" t="s">
        <v>158</v>
      </c>
      <c r="U419" s="54" t="s">
        <v>158</v>
      </c>
      <c r="V419" s="211" t="s">
        <v>616</v>
      </c>
      <c r="W419" s="53"/>
      <c r="X419" s="53">
        <f t="shared" si="100"/>
        <v>0</v>
      </c>
      <c r="Y419" s="55"/>
      <c r="Z419" s="55"/>
      <c r="AA419" s="52">
        <f t="shared" si="101"/>
        <v>0</v>
      </c>
      <c r="AB419" s="53">
        <f t="shared" si="102"/>
        <v>0</v>
      </c>
      <c r="AC419" s="53">
        <f t="shared" si="103"/>
        <v>0</v>
      </c>
      <c r="AD419" s="53">
        <f t="shared" si="104"/>
        <v>0</v>
      </c>
      <c r="AE419" s="53">
        <f t="shared" si="105"/>
        <v>0</v>
      </c>
      <c r="AF419" s="53">
        <f t="shared" si="106"/>
        <v>0</v>
      </c>
      <c r="AG419" s="56">
        <f t="shared" si="107"/>
        <v>1</v>
      </c>
      <c r="AH419" s="53">
        <f t="shared" si="108"/>
        <v>0</v>
      </c>
      <c r="AI419" s="55"/>
      <c r="AJ419" s="53">
        <f t="shared" si="109"/>
        <v>0</v>
      </c>
      <c r="AK419" s="53">
        <f t="shared" si="110"/>
        <v>0</v>
      </c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7"/>
      <c r="AW419" s="57"/>
      <c r="AX419" s="57"/>
    </row>
    <row r="420" spans="2:50">
      <c r="B420" s="45">
        <v>402</v>
      </c>
      <c r="C420" s="214" t="s">
        <v>574</v>
      </c>
      <c r="D420" s="215" t="s">
        <v>621</v>
      </c>
      <c r="E420" s="215" t="s">
        <v>679</v>
      </c>
      <c r="F420" s="216" t="s">
        <v>683</v>
      </c>
      <c r="G420" s="217" t="s">
        <v>618</v>
      </c>
      <c r="H420" s="218">
        <v>41995</v>
      </c>
      <c r="I420" s="164" t="s">
        <v>409</v>
      </c>
      <c r="J420" s="219">
        <f t="shared" si="99"/>
        <v>18</v>
      </c>
      <c r="K420" s="219">
        <v>18</v>
      </c>
      <c r="L420" s="219">
        <v>0</v>
      </c>
      <c r="M420" s="219"/>
      <c r="N420" s="223">
        <v>0.30000000000000004</v>
      </c>
      <c r="O420" s="223">
        <v>0</v>
      </c>
      <c r="P420" s="224">
        <v>1</v>
      </c>
      <c r="Q420" s="53" t="s">
        <v>257</v>
      </c>
      <c r="R420" s="54" t="s">
        <v>158</v>
      </c>
      <c r="S420" s="54" t="s">
        <v>158</v>
      </c>
      <c r="T420" s="54" t="s">
        <v>158</v>
      </c>
      <c r="U420" s="54" t="s">
        <v>158</v>
      </c>
      <c r="V420" s="211" t="s">
        <v>616</v>
      </c>
      <c r="W420" s="53"/>
      <c r="X420" s="53">
        <f t="shared" si="100"/>
        <v>0</v>
      </c>
      <c r="Y420" s="55"/>
      <c r="Z420" s="55"/>
      <c r="AA420" s="52">
        <f t="shared" si="101"/>
        <v>0</v>
      </c>
      <c r="AB420" s="53">
        <f t="shared" si="102"/>
        <v>0</v>
      </c>
      <c r="AC420" s="53">
        <f t="shared" si="103"/>
        <v>0</v>
      </c>
      <c r="AD420" s="53">
        <f t="shared" si="104"/>
        <v>0</v>
      </c>
      <c r="AE420" s="53">
        <f t="shared" si="105"/>
        <v>0</v>
      </c>
      <c r="AF420" s="53">
        <f t="shared" si="106"/>
        <v>0</v>
      </c>
      <c r="AG420" s="56">
        <f t="shared" si="107"/>
        <v>1</v>
      </c>
      <c r="AH420" s="53">
        <f t="shared" si="108"/>
        <v>0</v>
      </c>
      <c r="AI420" s="55"/>
      <c r="AJ420" s="53">
        <f t="shared" si="109"/>
        <v>0</v>
      </c>
      <c r="AK420" s="53">
        <f t="shared" si="110"/>
        <v>0</v>
      </c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7"/>
      <c r="AW420" s="57"/>
      <c r="AX420" s="57"/>
    </row>
    <row r="421" spans="2:50">
      <c r="B421" s="45">
        <v>403</v>
      </c>
      <c r="C421" s="214" t="s">
        <v>574</v>
      </c>
      <c r="D421" s="215" t="s">
        <v>621</v>
      </c>
      <c r="E421" s="215" t="s">
        <v>679</v>
      </c>
      <c r="F421" s="216" t="s">
        <v>684</v>
      </c>
      <c r="G421" s="217" t="s">
        <v>618</v>
      </c>
      <c r="H421" s="218" t="s">
        <v>685</v>
      </c>
      <c r="I421" s="164" t="s">
        <v>409</v>
      </c>
      <c r="J421" s="219">
        <f t="shared" si="99"/>
        <v>24</v>
      </c>
      <c r="K421" s="219">
        <v>24</v>
      </c>
      <c r="L421" s="219">
        <v>0</v>
      </c>
      <c r="M421" s="219"/>
      <c r="N421" s="223">
        <v>0.4</v>
      </c>
      <c r="O421" s="223">
        <v>0</v>
      </c>
      <c r="P421" s="224">
        <v>1</v>
      </c>
      <c r="Q421" s="53"/>
      <c r="R421" s="54" t="s">
        <v>158</v>
      </c>
      <c r="S421" s="54" t="s">
        <v>158</v>
      </c>
      <c r="T421" s="54" t="s">
        <v>158</v>
      </c>
      <c r="U421" s="54" t="s">
        <v>158</v>
      </c>
      <c r="V421" s="211" t="s">
        <v>616</v>
      </c>
      <c r="W421" s="53"/>
      <c r="X421" s="53">
        <f t="shared" si="100"/>
        <v>0</v>
      </c>
      <c r="Y421" s="55"/>
      <c r="Z421" s="55"/>
      <c r="AA421" s="52">
        <f t="shared" si="101"/>
        <v>0</v>
      </c>
      <c r="AB421" s="53">
        <f t="shared" si="102"/>
        <v>0</v>
      </c>
      <c r="AC421" s="53">
        <f t="shared" si="103"/>
        <v>0</v>
      </c>
      <c r="AD421" s="53">
        <f t="shared" si="104"/>
        <v>0</v>
      </c>
      <c r="AE421" s="53">
        <f t="shared" si="105"/>
        <v>0</v>
      </c>
      <c r="AF421" s="53">
        <f t="shared" si="106"/>
        <v>0</v>
      </c>
      <c r="AG421" s="56">
        <f t="shared" si="107"/>
        <v>0</v>
      </c>
      <c r="AH421" s="53">
        <f t="shared" si="108"/>
        <v>0</v>
      </c>
      <c r="AI421" s="55"/>
      <c r="AJ421" s="53">
        <f t="shared" si="109"/>
        <v>0</v>
      </c>
      <c r="AK421" s="53">
        <f t="shared" si="110"/>
        <v>0</v>
      </c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7"/>
      <c r="AW421" s="57"/>
      <c r="AX421" s="57"/>
    </row>
    <row r="422" spans="2:50">
      <c r="B422" s="45">
        <v>404</v>
      </c>
      <c r="C422" s="214" t="s">
        <v>574</v>
      </c>
      <c r="D422" s="215" t="s">
        <v>621</v>
      </c>
      <c r="E422" s="215" t="s">
        <v>679</v>
      </c>
      <c r="F422" s="216" t="s">
        <v>686</v>
      </c>
      <c r="G422" s="217" t="s">
        <v>618</v>
      </c>
      <c r="H422" s="218">
        <v>41995</v>
      </c>
      <c r="I422" s="164" t="s">
        <v>409</v>
      </c>
      <c r="J422" s="219">
        <f t="shared" si="99"/>
        <v>6</v>
      </c>
      <c r="K422" s="219">
        <v>6</v>
      </c>
      <c r="L422" s="219">
        <v>0</v>
      </c>
      <c r="M422" s="219"/>
      <c r="N422" s="223">
        <v>0.1</v>
      </c>
      <c r="O422" s="223">
        <v>0</v>
      </c>
      <c r="P422" s="224">
        <v>1</v>
      </c>
      <c r="Q422" s="53" t="s">
        <v>257</v>
      </c>
      <c r="R422" s="54" t="s">
        <v>158</v>
      </c>
      <c r="S422" s="54" t="s">
        <v>158</v>
      </c>
      <c r="T422" s="54" t="s">
        <v>158</v>
      </c>
      <c r="U422" s="54" t="s">
        <v>158</v>
      </c>
      <c r="V422" s="211" t="s">
        <v>616</v>
      </c>
      <c r="W422" s="53"/>
      <c r="X422" s="53">
        <f t="shared" si="100"/>
        <v>0</v>
      </c>
      <c r="Y422" s="55"/>
      <c r="Z422" s="55"/>
      <c r="AA422" s="52">
        <f t="shared" si="101"/>
        <v>0</v>
      </c>
      <c r="AB422" s="53">
        <f t="shared" si="102"/>
        <v>0</v>
      </c>
      <c r="AC422" s="53">
        <f t="shared" si="103"/>
        <v>0</v>
      </c>
      <c r="AD422" s="53">
        <f t="shared" si="104"/>
        <v>0</v>
      </c>
      <c r="AE422" s="53">
        <f t="shared" si="105"/>
        <v>0</v>
      </c>
      <c r="AF422" s="53">
        <f t="shared" si="106"/>
        <v>0</v>
      </c>
      <c r="AG422" s="56">
        <f t="shared" si="107"/>
        <v>1</v>
      </c>
      <c r="AH422" s="53">
        <f t="shared" si="108"/>
        <v>0</v>
      </c>
      <c r="AI422" s="55"/>
      <c r="AJ422" s="53">
        <f t="shared" si="109"/>
        <v>0</v>
      </c>
      <c r="AK422" s="53">
        <f t="shared" si="110"/>
        <v>0</v>
      </c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7"/>
      <c r="AW422" s="57"/>
      <c r="AX422" s="57"/>
    </row>
    <row r="423" spans="2:50">
      <c r="B423" s="45">
        <v>405</v>
      </c>
      <c r="C423" s="214" t="s">
        <v>574</v>
      </c>
      <c r="D423" s="215" t="s">
        <v>621</v>
      </c>
      <c r="E423" s="215" t="s">
        <v>679</v>
      </c>
      <c r="F423" s="216" t="s">
        <v>687</v>
      </c>
      <c r="G423" s="217" t="s">
        <v>618</v>
      </c>
      <c r="H423" s="218">
        <v>41995</v>
      </c>
      <c r="I423" s="164" t="s">
        <v>409</v>
      </c>
      <c r="J423" s="219">
        <f t="shared" si="99"/>
        <v>18</v>
      </c>
      <c r="K423" s="219">
        <v>18</v>
      </c>
      <c r="L423" s="219">
        <v>0</v>
      </c>
      <c r="M423" s="219"/>
      <c r="N423" s="223">
        <v>0.3</v>
      </c>
      <c r="O423" s="223">
        <v>0</v>
      </c>
      <c r="P423" s="224">
        <v>1</v>
      </c>
      <c r="Q423" s="53" t="s">
        <v>257</v>
      </c>
      <c r="R423" s="54" t="s">
        <v>158</v>
      </c>
      <c r="S423" s="54" t="s">
        <v>158</v>
      </c>
      <c r="T423" s="54" t="s">
        <v>158</v>
      </c>
      <c r="U423" s="54" t="s">
        <v>158</v>
      </c>
      <c r="V423" s="211" t="s">
        <v>616</v>
      </c>
      <c r="W423" s="53"/>
      <c r="X423" s="53">
        <f t="shared" si="100"/>
        <v>0</v>
      </c>
      <c r="Y423" s="55"/>
      <c r="Z423" s="55"/>
      <c r="AA423" s="52">
        <f t="shared" si="101"/>
        <v>0</v>
      </c>
      <c r="AB423" s="53">
        <f t="shared" si="102"/>
        <v>0</v>
      </c>
      <c r="AC423" s="53">
        <f t="shared" si="103"/>
        <v>0</v>
      </c>
      <c r="AD423" s="53">
        <f t="shared" si="104"/>
        <v>0</v>
      </c>
      <c r="AE423" s="53">
        <f t="shared" si="105"/>
        <v>0</v>
      </c>
      <c r="AF423" s="53">
        <f t="shared" si="106"/>
        <v>0</v>
      </c>
      <c r="AG423" s="56">
        <f t="shared" si="107"/>
        <v>1</v>
      </c>
      <c r="AH423" s="53">
        <f t="shared" si="108"/>
        <v>0</v>
      </c>
      <c r="AI423" s="55"/>
      <c r="AJ423" s="53">
        <f t="shared" si="109"/>
        <v>0</v>
      </c>
      <c r="AK423" s="53">
        <f t="shared" si="110"/>
        <v>0</v>
      </c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7"/>
      <c r="AW423" s="57"/>
      <c r="AX423" s="57"/>
    </row>
    <row r="424" spans="2:50">
      <c r="B424" s="45">
        <v>406</v>
      </c>
      <c r="C424" s="214" t="s">
        <v>574</v>
      </c>
      <c r="D424" s="215" t="s">
        <v>621</v>
      </c>
      <c r="E424" s="215" t="s">
        <v>688</v>
      </c>
      <c r="F424" s="216" t="s">
        <v>689</v>
      </c>
      <c r="G424" s="217" t="s">
        <v>618</v>
      </c>
      <c r="H424" s="218">
        <v>41995</v>
      </c>
      <c r="I424" s="164" t="s">
        <v>409</v>
      </c>
      <c r="J424" s="219">
        <f t="shared" si="99"/>
        <v>300</v>
      </c>
      <c r="K424" s="219">
        <v>174</v>
      </c>
      <c r="L424" s="219">
        <v>126</v>
      </c>
      <c r="M424" s="219"/>
      <c r="N424" s="223">
        <v>2.9000000000000004</v>
      </c>
      <c r="O424" s="223">
        <v>2.1</v>
      </c>
      <c r="P424" s="224">
        <v>1</v>
      </c>
      <c r="Q424" s="53"/>
      <c r="R424" s="54" t="s">
        <v>158</v>
      </c>
      <c r="S424" s="54" t="s">
        <v>158</v>
      </c>
      <c r="T424" s="54" t="s">
        <v>158</v>
      </c>
      <c r="U424" s="54" t="s">
        <v>158</v>
      </c>
      <c r="V424" s="211" t="s">
        <v>616</v>
      </c>
      <c r="W424" s="53"/>
      <c r="X424" s="53">
        <f t="shared" si="100"/>
        <v>0</v>
      </c>
      <c r="Y424" s="55"/>
      <c r="Z424" s="55"/>
      <c r="AA424" s="52">
        <f t="shared" si="101"/>
        <v>0</v>
      </c>
      <c r="AB424" s="53">
        <f t="shared" si="102"/>
        <v>0</v>
      </c>
      <c r="AC424" s="53">
        <f t="shared" si="103"/>
        <v>0</v>
      </c>
      <c r="AD424" s="53">
        <f t="shared" si="104"/>
        <v>0</v>
      </c>
      <c r="AE424" s="53">
        <f t="shared" si="105"/>
        <v>0</v>
      </c>
      <c r="AF424" s="53">
        <f t="shared" si="106"/>
        <v>0</v>
      </c>
      <c r="AG424" s="56">
        <f t="shared" si="107"/>
        <v>0</v>
      </c>
      <c r="AH424" s="53">
        <f t="shared" si="108"/>
        <v>0</v>
      </c>
      <c r="AI424" s="55"/>
      <c r="AJ424" s="53">
        <f t="shared" si="109"/>
        <v>0</v>
      </c>
      <c r="AK424" s="53">
        <f t="shared" si="110"/>
        <v>0</v>
      </c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7"/>
      <c r="AW424" s="57"/>
      <c r="AX424" s="57"/>
    </row>
    <row r="425" spans="2:50">
      <c r="B425" s="45">
        <v>407</v>
      </c>
      <c r="C425" s="214" t="s">
        <v>574</v>
      </c>
      <c r="D425" s="215" t="s">
        <v>621</v>
      </c>
      <c r="E425" s="215" t="s">
        <v>688</v>
      </c>
      <c r="F425" s="216" t="s">
        <v>690</v>
      </c>
      <c r="G425" s="217" t="s">
        <v>618</v>
      </c>
      <c r="H425" s="218">
        <v>41995</v>
      </c>
      <c r="I425" s="164" t="s">
        <v>409</v>
      </c>
      <c r="J425" s="219">
        <f t="shared" si="99"/>
        <v>360</v>
      </c>
      <c r="K425" s="219">
        <v>360</v>
      </c>
      <c r="L425" s="219">
        <v>0</v>
      </c>
      <c r="M425" s="219"/>
      <c r="N425" s="223">
        <v>6</v>
      </c>
      <c r="O425" s="223">
        <v>0</v>
      </c>
      <c r="P425" s="224">
        <v>1</v>
      </c>
      <c r="Q425" s="53"/>
      <c r="R425" s="54" t="s">
        <v>158</v>
      </c>
      <c r="S425" s="54" t="s">
        <v>158</v>
      </c>
      <c r="T425" s="54" t="s">
        <v>158</v>
      </c>
      <c r="U425" s="54" t="s">
        <v>158</v>
      </c>
      <c r="V425" s="211" t="s">
        <v>616</v>
      </c>
      <c r="W425" s="53"/>
      <c r="X425" s="53">
        <f t="shared" si="100"/>
        <v>0</v>
      </c>
      <c r="Y425" s="55"/>
      <c r="Z425" s="55"/>
      <c r="AA425" s="52">
        <f t="shared" si="101"/>
        <v>0</v>
      </c>
      <c r="AB425" s="53">
        <f t="shared" si="102"/>
        <v>0</v>
      </c>
      <c r="AC425" s="53">
        <f t="shared" si="103"/>
        <v>0</v>
      </c>
      <c r="AD425" s="53">
        <f t="shared" si="104"/>
        <v>0</v>
      </c>
      <c r="AE425" s="53">
        <f t="shared" si="105"/>
        <v>0</v>
      </c>
      <c r="AF425" s="53">
        <f t="shared" si="106"/>
        <v>0</v>
      </c>
      <c r="AG425" s="56">
        <f t="shared" si="107"/>
        <v>0</v>
      </c>
      <c r="AH425" s="53">
        <f t="shared" si="108"/>
        <v>0</v>
      </c>
      <c r="AI425" s="55"/>
      <c r="AJ425" s="53">
        <f t="shared" si="109"/>
        <v>0</v>
      </c>
      <c r="AK425" s="53">
        <f t="shared" si="110"/>
        <v>0</v>
      </c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7"/>
      <c r="AW425" s="57"/>
      <c r="AX425" s="57"/>
    </row>
    <row r="426" spans="2:50">
      <c r="B426" s="45">
        <v>408</v>
      </c>
      <c r="C426" s="214" t="s">
        <v>574</v>
      </c>
      <c r="D426" s="215" t="s">
        <v>621</v>
      </c>
      <c r="E426" s="215" t="s">
        <v>688</v>
      </c>
      <c r="F426" s="216" t="s">
        <v>691</v>
      </c>
      <c r="G426" s="217" t="s">
        <v>618</v>
      </c>
      <c r="H426" s="218">
        <v>41995</v>
      </c>
      <c r="I426" s="164" t="s">
        <v>409</v>
      </c>
      <c r="J426" s="219">
        <f t="shared" si="99"/>
        <v>414</v>
      </c>
      <c r="K426" s="219">
        <v>228</v>
      </c>
      <c r="L426" s="219">
        <v>186</v>
      </c>
      <c r="M426" s="219"/>
      <c r="N426" s="223">
        <v>3.8000000000000003</v>
      </c>
      <c r="O426" s="223">
        <v>3.1</v>
      </c>
      <c r="P426" s="224">
        <v>1</v>
      </c>
      <c r="Q426" s="53"/>
      <c r="R426" s="54" t="s">
        <v>158</v>
      </c>
      <c r="S426" s="54" t="s">
        <v>158</v>
      </c>
      <c r="T426" s="54" t="s">
        <v>158</v>
      </c>
      <c r="U426" s="54" t="s">
        <v>158</v>
      </c>
      <c r="V426" s="211" t="s">
        <v>616</v>
      </c>
      <c r="W426" s="53"/>
      <c r="X426" s="53">
        <f t="shared" si="100"/>
        <v>0</v>
      </c>
      <c r="Y426" s="55"/>
      <c r="Z426" s="55"/>
      <c r="AA426" s="52">
        <f t="shared" si="101"/>
        <v>0</v>
      </c>
      <c r="AB426" s="53">
        <f t="shared" si="102"/>
        <v>0</v>
      </c>
      <c r="AC426" s="53">
        <f t="shared" si="103"/>
        <v>0</v>
      </c>
      <c r="AD426" s="53">
        <f t="shared" si="104"/>
        <v>0</v>
      </c>
      <c r="AE426" s="53">
        <f t="shared" si="105"/>
        <v>0</v>
      </c>
      <c r="AF426" s="53">
        <f t="shared" si="106"/>
        <v>0</v>
      </c>
      <c r="AG426" s="56">
        <f t="shared" si="107"/>
        <v>0</v>
      </c>
      <c r="AH426" s="53">
        <f t="shared" si="108"/>
        <v>0</v>
      </c>
      <c r="AI426" s="55"/>
      <c r="AJ426" s="53">
        <f t="shared" si="109"/>
        <v>0</v>
      </c>
      <c r="AK426" s="53">
        <f t="shared" si="110"/>
        <v>0</v>
      </c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7"/>
      <c r="AW426" s="57"/>
      <c r="AX426" s="57"/>
    </row>
    <row r="427" spans="2:50">
      <c r="B427" s="45">
        <v>409</v>
      </c>
      <c r="C427" s="214" t="s">
        <v>574</v>
      </c>
      <c r="D427" s="215" t="s">
        <v>621</v>
      </c>
      <c r="E427" s="215" t="s">
        <v>688</v>
      </c>
      <c r="F427" s="216" t="s">
        <v>692</v>
      </c>
      <c r="G427" s="217" t="s">
        <v>618</v>
      </c>
      <c r="H427" s="218">
        <v>41995</v>
      </c>
      <c r="I427" s="164" t="s">
        <v>409</v>
      </c>
      <c r="J427" s="219">
        <f t="shared" si="99"/>
        <v>18</v>
      </c>
      <c r="K427" s="219">
        <v>18</v>
      </c>
      <c r="L427" s="219">
        <v>0</v>
      </c>
      <c r="M427" s="219"/>
      <c r="N427" s="223">
        <v>0.3</v>
      </c>
      <c r="O427" s="223">
        <v>0</v>
      </c>
      <c r="P427" s="224">
        <v>1</v>
      </c>
      <c r="Q427" s="53"/>
      <c r="R427" s="54" t="s">
        <v>158</v>
      </c>
      <c r="S427" s="54" t="s">
        <v>158</v>
      </c>
      <c r="T427" s="54" t="s">
        <v>158</v>
      </c>
      <c r="U427" s="54" t="s">
        <v>158</v>
      </c>
      <c r="V427" s="211" t="s">
        <v>616</v>
      </c>
      <c r="W427" s="53"/>
      <c r="X427" s="53">
        <f t="shared" si="100"/>
        <v>0</v>
      </c>
      <c r="Y427" s="55"/>
      <c r="Z427" s="55"/>
      <c r="AA427" s="52">
        <f t="shared" si="101"/>
        <v>0</v>
      </c>
      <c r="AB427" s="53">
        <f t="shared" si="102"/>
        <v>0</v>
      </c>
      <c r="AC427" s="53">
        <f t="shared" si="103"/>
        <v>0</v>
      </c>
      <c r="AD427" s="53">
        <f t="shared" si="104"/>
        <v>0</v>
      </c>
      <c r="AE427" s="53">
        <f t="shared" si="105"/>
        <v>0</v>
      </c>
      <c r="AF427" s="53">
        <f t="shared" si="106"/>
        <v>0</v>
      </c>
      <c r="AG427" s="56">
        <f t="shared" si="107"/>
        <v>0</v>
      </c>
      <c r="AH427" s="53">
        <f t="shared" si="108"/>
        <v>0</v>
      </c>
      <c r="AI427" s="55"/>
      <c r="AJ427" s="53">
        <f t="shared" si="109"/>
        <v>0</v>
      </c>
      <c r="AK427" s="53">
        <f t="shared" si="110"/>
        <v>0</v>
      </c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7"/>
      <c r="AW427" s="57"/>
      <c r="AX427" s="57"/>
    </row>
    <row r="428" spans="2:50">
      <c r="B428" s="45">
        <v>410</v>
      </c>
      <c r="C428" s="214" t="s">
        <v>574</v>
      </c>
      <c r="D428" s="215" t="s">
        <v>621</v>
      </c>
      <c r="E428" s="215" t="s">
        <v>688</v>
      </c>
      <c r="F428" s="216" t="s">
        <v>693</v>
      </c>
      <c r="G428" s="217" t="s">
        <v>618</v>
      </c>
      <c r="H428" s="218">
        <v>42152</v>
      </c>
      <c r="I428" s="164" t="s">
        <v>409</v>
      </c>
      <c r="J428" s="219">
        <f t="shared" si="99"/>
        <v>18</v>
      </c>
      <c r="K428" s="219">
        <v>18</v>
      </c>
      <c r="L428" s="219">
        <v>0</v>
      </c>
      <c r="M428" s="219"/>
      <c r="N428" s="223">
        <v>0.2</v>
      </c>
      <c r="O428" s="223">
        <v>0</v>
      </c>
      <c r="P428" s="224">
        <v>1</v>
      </c>
      <c r="Q428" s="53"/>
      <c r="R428" s="54" t="s">
        <v>158</v>
      </c>
      <c r="S428" s="54" t="s">
        <v>158</v>
      </c>
      <c r="T428" s="54" t="s">
        <v>158</v>
      </c>
      <c r="U428" s="54" t="s">
        <v>158</v>
      </c>
      <c r="V428" s="211" t="s">
        <v>616</v>
      </c>
      <c r="W428" s="53"/>
      <c r="X428" s="53">
        <f t="shared" si="100"/>
        <v>0</v>
      </c>
      <c r="Y428" s="55"/>
      <c r="Z428" s="55"/>
      <c r="AA428" s="52">
        <f t="shared" si="101"/>
        <v>0</v>
      </c>
      <c r="AB428" s="53">
        <f t="shared" si="102"/>
        <v>0</v>
      </c>
      <c r="AC428" s="53">
        <f t="shared" si="103"/>
        <v>0</v>
      </c>
      <c r="AD428" s="53">
        <f t="shared" si="104"/>
        <v>0</v>
      </c>
      <c r="AE428" s="53">
        <f t="shared" si="105"/>
        <v>0</v>
      </c>
      <c r="AF428" s="53">
        <f t="shared" si="106"/>
        <v>0</v>
      </c>
      <c r="AG428" s="56">
        <f t="shared" si="107"/>
        <v>0</v>
      </c>
      <c r="AH428" s="53">
        <f t="shared" si="108"/>
        <v>0</v>
      </c>
      <c r="AI428" s="55"/>
      <c r="AJ428" s="53">
        <f t="shared" si="109"/>
        <v>0</v>
      </c>
      <c r="AK428" s="53">
        <f t="shared" si="110"/>
        <v>0</v>
      </c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7"/>
      <c r="AW428" s="57"/>
      <c r="AX428" s="57"/>
    </row>
    <row r="429" spans="2:50">
      <c r="B429" s="45">
        <v>411</v>
      </c>
      <c r="C429" s="214" t="s">
        <v>574</v>
      </c>
      <c r="D429" s="215" t="s">
        <v>621</v>
      </c>
      <c r="E429" s="215" t="s">
        <v>688</v>
      </c>
      <c r="F429" s="216" t="s">
        <v>694</v>
      </c>
      <c r="G429" s="217" t="s">
        <v>618</v>
      </c>
      <c r="H429" s="218">
        <v>42152</v>
      </c>
      <c r="I429" s="164" t="s">
        <v>409</v>
      </c>
      <c r="J429" s="219">
        <f t="shared" si="99"/>
        <v>18</v>
      </c>
      <c r="K429" s="219">
        <v>18</v>
      </c>
      <c r="L429" s="219">
        <v>0</v>
      </c>
      <c r="M429" s="219"/>
      <c r="N429" s="223">
        <v>0.25</v>
      </c>
      <c r="O429" s="223">
        <v>0</v>
      </c>
      <c r="P429" s="224">
        <v>1</v>
      </c>
      <c r="Q429" s="53"/>
      <c r="R429" s="54" t="s">
        <v>158</v>
      </c>
      <c r="S429" s="54" t="s">
        <v>158</v>
      </c>
      <c r="T429" s="54" t="s">
        <v>158</v>
      </c>
      <c r="U429" s="54" t="s">
        <v>158</v>
      </c>
      <c r="V429" s="211" t="s">
        <v>616</v>
      </c>
      <c r="W429" s="53"/>
      <c r="X429" s="53">
        <f t="shared" si="100"/>
        <v>0</v>
      </c>
      <c r="Y429" s="55"/>
      <c r="Z429" s="55"/>
      <c r="AA429" s="52">
        <f t="shared" si="101"/>
        <v>0</v>
      </c>
      <c r="AB429" s="53">
        <f t="shared" si="102"/>
        <v>0</v>
      </c>
      <c r="AC429" s="53">
        <f t="shared" si="103"/>
        <v>0</v>
      </c>
      <c r="AD429" s="53">
        <f t="shared" si="104"/>
        <v>0</v>
      </c>
      <c r="AE429" s="53">
        <f t="shared" si="105"/>
        <v>0</v>
      </c>
      <c r="AF429" s="53">
        <f t="shared" si="106"/>
        <v>0</v>
      </c>
      <c r="AG429" s="56">
        <f t="shared" si="107"/>
        <v>0</v>
      </c>
      <c r="AH429" s="53">
        <f t="shared" si="108"/>
        <v>0</v>
      </c>
      <c r="AI429" s="55"/>
      <c r="AJ429" s="53">
        <f t="shared" si="109"/>
        <v>0</v>
      </c>
      <c r="AK429" s="53">
        <f t="shared" si="110"/>
        <v>0</v>
      </c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7"/>
      <c r="AW429" s="57"/>
      <c r="AX429" s="57"/>
    </row>
    <row r="430" spans="2:50">
      <c r="B430" s="45">
        <v>412</v>
      </c>
      <c r="C430" s="214" t="s">
        <v>574</v>
      </c>
      <c r="D430" s="215" t="s">
        <v>621</v>
      </c>
      <c r="E430" s="215" t="s">
        <v>688</v>
      </c>
      <c r="F430" s="216" t="s">
        <v>695</v>
      </c>
      <c r="G430" s="217" t="s">
        <v>618</v>
      </c>
      <c r="H430" s="218">
        <v>42152</v>
      </c>
      <c r="I430" s="164" t="s">
        <v>409</v>
      </c>
      <c r="J430" s="219">
        <f t="shared" si="99"/>
        <v>18</v>
      </c>
      <c r="K430" s="219">
        <v>18</v>
      </c>
      <c r="L430" s="219">
        <v>0</v>
      </c>
      <c r="M430" s="219"/>
      <c r="N430" s="223">
        <v>0.15000000000000002</v>
      </c>
      <c r="O430" s="223">
        <v>0</v>
      </c>
      <c r="P430" s="224">
        <v>1</v>
      </c>
      <c r="Q430" s="53"/>
      <c r="R430" s="54" t="s">
        <v>158</v>
      </c>
      <c r="S430" s="54" t="s">
        <v>158</v>
      </c>
      <c r="T430" s="54" t="s">
        <v>158</v>
      </c>
      <c r="U430" s="54" t="s">
        <v>158</v>
      </c>
      <c r="V430" s="211" t="s">
        <v>616</v>
      </c>
      <c r="W430" s="53"/>
      <c r="X430" s="53">
        <f t="shared" si="100"/>
        <v>0</v>
      </c>
      <c r="Y430" s="55"/>
      <c r="Z430" s="55"/>
      <c r="AA430" s="52">
        <f t="shared" si="101"/>
        <v>0</v>
      </c>
      <c r="AB430" s="53">
        <f t="shared" si="102"/>
        <v>0</v>
      </c>
      <c r="AC430" s="53">
        <f t="shared" si="103"/>
        <v>0</v>
      </c>
      <c r="AD430" s="53">
        <f t="shared" si="104"/>
        <v>0</v>
      </c>
      <c r="AE430" s="53">
        <f t="shared" si="105"/>
        <v>0</v>
      </c>
      <c r="AF430" s="53">
        <f t="shared" si="106"/>
        <v>0</v>
      </c>
      <c r="AG430" s="56">
        <f t="shared" si="107"/>
        <v>0</v>
      </c>
      <c r="AH430" s="53">
        <f t="shared" si="108"/>
        <v>0</v>
      </c>
      <c r="AI430" s="55"/>
      <c r="AJ430" s="53">
        <f t="shared" si="109"/>
        <v>0</v>
      </c>
      <c r="AK430" s="53">
        <f t="shared" si="110"/>
        <v>0</v>
      </c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7"/>
      <c r="AW430" s="57"/>
      <c r="AX430" s="57"/>
    </row>
    <row r="431" spans="2:50">
      <c r="B431" s="45">
        <v>413</v>
      </c>
      <c r="C431" s="214" t="s">
        <v>574</v>
      </c>
      <c r="D431" s="215" t="s">
        <v>621</v>
      </c>
      <c r="E431" s="215" t="s">
        <v>688</v>
      </c>
      <c r="F431" s="216" t="s">
        <v>696</v>
      </c>
      <c r="G431" s="217" t="s">
        <v>618</v>
      </c>
      <c r="H431" s="218">
        <v>42152</v>
      </c>
      <c r="I431" s="164" t="s">
        <v>409</v>
      </c>
      <c r="J431" s="219">
        <f t="shared" si="99"/>
        <v>24</v>
      </c>
      <c r="K431" s="219">
        <v>24</v>
      </c>
      <c r="L431" s="219">
        <v>0</v>
      </c>
      <c r="M431" s="219"/>
      <c r="N431" s="223">
        <v>0.4</v>
      </c>
      <c r="O431" s="223">
        <v>0</v>
      </c>
      <c r="P431" s="224">
        <v>1</v>
      </c>
      <c r="Q431" s="53"/>
      <c r="R431" s="54" t="s">
        <v>158</v>
      </c>
      <c r="S431" s="54" t="s">
        <v>158</v>
      </c>
      <c r="T431" s="54" t="s">
        <v>158</v>
      </c>
      <c r="U431" s="54" t="s">
        <v>158</v>
      </c>
      <c r="V431" s="211" t="s">
        <v>616</v>
      </c>
      <c r="W431" s="53"/>
      <c r="X431" s="53">
        <f t="shared" si="100"/>
        <v>0</v>
      </c>
      <c r="Y431" s="55"/>
      <c r="Z431" s="55"/>
      <c r="AA431" s="52">
        <f t="shared" si="101"/>
        <v>0</v>
      </c>
      <c r="AB431" s="53">
        <f t="shared" si="102"/>
        <v>0</v>
      </c>
      <c r="AC431" s="53">
        <f t="shared" si="103"/>
        <v>0</v>
      </c>
      <c r="AD431" s="53">
        <f t="shared" si="104"/>
        <v>0</v>
      </c>
      <c r="AE431" s="53">
        <f t="shared" si="105"/>
        <v>0</v>
      </c>
      <c r="AF431" s="53">
        <f t="shared" si="106"/>
        <v>0</v>
      </c>
      <c r="AG431" s="56">
        <f t="shared" si="107"/>
        <v>0</v>
      </c>
      <c r="AH431" s="53">
        <f t="shared" si="108"/>
        <v>0</v>
      </c>
      <c r="AI431" s="55"/>
      <c r="AJ431" s="53">
        <f t="shared" si="109"/>
        <v>0</v>
      </c>
      <c r="AK431" s="53">
        <f t="shared" si="110"/>
        <v>0</v>
      </c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7"/>
      <c r="AW431" s="57"/>
      <c r="AX431" s="57"/>
    </row>
    <row r="432" spans="2:50">
      <c r="B432" s="45">
        <v>414</v>
      </c>
      <c r="C432" s="214" t="s">
        <v>574</v>
      </c>
      <c r="D432" s="215" t="s">
        <v>621</v>
      </c>
      <c r="E432" s="215" t="s">
        <v>688</v>
      </c>
      <c r="F432" s="216" t="s">
        <v>697</v>
      </c>
      <c r="G432" s="217" t="s">
        <v>618</v>
      </c>
      <c r="H432" s="218">
        <v>42152</v>
      </c>
      <c r="I432" s="164" t="s">
        <v>409</v>
      </c>
      <c r="J432" s="219">
        <f t="shared" si="99"/>
        <v>12</v>
      </c>
      <c r="K432" s="219">
        <v>12</v>
      </c>
      <c r="L432" s="219">
        <v>0</v>
      </c>
      <c r="M432" s="219"/>
      <c r="N432" s="223">
        <v>0.15000000000000002</v>
      </c>
      <c r="O432" s="223">
        <v>0</v>
      </c>
      <c r="P432" s="224">
        <v>1</v>
      </c>
      <c r="Q432" s="53"/>
      <c r="R432" s="54" t="s">
        <v>158</v>
      </c>
      <c r="S432" s="54" t="s">
        <v>158</v>
      </c>
      <c r="T432" s="54" t="s">
        <v>158</v>
      </c>
      <c r="U432" s="54" t="s">
        <v>158</v>
      </c>
      <c r="V432" s="211" t="s">
        <v>616</v>
      </c>
      <c r="W432" s="53"/>
      <c r="X432" s="53">
        <f t="shared" si="100"/>
        <v>0</v>
      </c>
      <c r="Y432" s="55"/>
      <c r="Z432" s="55"/>
      <c r="AA432" s="52">
        <f t="shared" si="101"/>
        <v>0</v>
      </c>
      <c r="AB432" s="53">
        <f t="shared" si="102"/>
        <v>0</v>
      </c>
      <c r="AC432" s="53">
        <f t="shared" si="103"/>
        <v>0</v>
      </c>
      <c r="AD432" s="53">
        <f t="shared" si="104"/>
        <v>0</v>
      </c>
      <c r="AE432" s="53">
        <f t="shared" si="105"/>
        <v>0</v>
      </c>
      <c r="AF432" s="53">
        <f t="shared" si="106"/>
        <v>0</v>
      </c>
      <c r="AG432" s="56">
        <f t="shared" si="107"/>
        <v>0</v>
      </c>
      <c r="AH432" s="53">
        <f t="shared" si="108"/>
        <v>0</v>
      </c>
      <c r="AI432" s="55"/>
      <c r="AJ432" s="53">
        <f t="shared" si="109"/>
        <v>0</v>
      </c>
      <c r="AK432" s="53">
        <f t="shared" si="110"/>
        <v>0</v>
      </c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7"/>
      <c r="AW432" s="57"/>
      <c r="AX432" s="57"/>
    </row>
    <row r="433" spans="2:50">
      <c r="B433" s="45">
        <v>415</v>
      </c>
      <c r="C433" s="214" t="s">
        <v>574</v>
      </c>
      <c r="D433" s="215" t="s">
        <v>621</v>
      </c>
      <c r="E433" s="215" t="s">
        <v>688</v>
      </c>
      <c r="F433" s="216" t="s">
        <v>698</v>
      </c>
      <c r="G433" s="217" t="s">
        <v>618</v>
      </c>
      <c r="H433" s="218">
        <v>42152</v>
      </c>
      <c r="I433" s="164" t="s">
        <v>409</v>
      </c>
      <c r="J433" s="219">
        <f t="shared" si="99"/>
        <v>6</v>
      </c>
      <c r="K433" s="219">
        <v>6</v>
      </c>
      <c r="L433" s="219">
        <v>0</v>
      </c>
      <c r="M433" s="219"/>
      <c r="N433" s="223">
        <v>0.1</v>
      </c>
      <c r="O433" s="223">
        <v>0</v>
      </c>
      <c r="P433" s="224">
        <v>1</v>
      </c>
      <c r="Q433" s="53"/>
      <c r="R433" s="54" t="s">
        <v>158</v>
      </c>
      <c r="S433" s="54" t="s">
        <v>158</v>
      </c>
      <c r="T433" s="54" t="s">
        <v>158</v>
      </c>
      <c r="U433" s="54" t="s">
        <v>158</v>
      </c>
      <c r="V433" s="211" t="s">
        <v>616</v>
      </c>
      <c r="W433" s="53"/>
      <c r="X433" s="53">
        <f t="shared" si="100"/>
        <v>0</v>
      </c>
      <c r="Y433" s="55"/>
      <c r="Z433" s="55"/>
      <c r="AA433" s="52">
        <f t="shared" si="101"/>
        <v>0</v>
      </c>
      <c r="AB433" s="53">
        <f t="shared" si="102"/>
        <v>0</v>
      </c>
      <c r="AC433" s="53">
        <f t="shared" si="103"/>
        <v>0</v>
      </c>
      <c r="AD433" s="53">
        <f t="shared" si="104"/>
        <v>0</v>
      </c>
      <c r="AE433" s="53">
        <f t="shared" si="105"/>
        <v>0</v>
      </c>
      <c r="AF433" s="53">
        <f t="shared" si="106"/>
        <v>0</v>
      </c>
      <c r="AG433" s="56">
        <f t="shared" si="107"/>
        <v>0</v>
      </c>
      <c r="AH433" s="53">
        <f t="shared" si="108"/>
        <v>0</v>
      </c>
      <c r="AI433" s="55"/>
      <c r="AJ433" s="53">
        <f t="shared" si="109"/>
        <v>0</v>
      </c>
      <c r="AK433" s="53">
        <f t="shared" si="110"/>
        <v>0</v>
      </c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7"/>
      <c r="AW433" s="57"/>
      <c r="AX433" s="57"/>
    </row>
    <row r="434" spans="2:50">
      <c r="B434" s="45">
        <v>416</v>
      </c>
      <c r="C434" s="214" t="s">
        <v>574</v>
      </c>
      <c r="D434" s="215" t="s">
        <v>621</v>
      </c>
      <c r="E434" s="215" t="s">
        <v>688</v>
      </c>
      <c r="F434" s="216" t="s">
        <v>699</v>
      </c>
      <c r="G434" s="217" t="s">
        <v>618</v>
      </c>
      <c r="H434" s="218">
        <v>42152</v>
      </c>
      <c r="I434" s="164" t="s">
        <v>409</v>
      </c>
      <c r="J434" s="219">
        <f t="shared" si="99"/>
        <v>48</v>
      </c>
      <c r="K434" s="219">
        <v>48</v>
      </c>
      <c r="L434" s="219">
        <v>0</v>
      </c>
      <c r="M434" s="219"/>
      <c r="N434" s="223">
        <v>0.8</v>
      </c>
      <c r="O434" s="223">
        <v>0</v>
      </c>
      <c r="P434" s="224">
        <v>1</v>
      </c>
      <c r="Q434" s="53"/>
      <c r="R434" s="54" t="s">
        <v>158</v>
      </c>
      <c r="S434" s="54" t="s">
        <v>158</v>
      </c>
      <c r="T434" s="54" t="s">
        <v>158</v>
      </c>
      <c r="U434" s="54" t="s">
        <v>158</v>
      </c>
      <c r="V434" s="211" t="s">
        <v>616</v>
      </c>
      <c r="W434" s="53"/>
      <c r="X434" s="53">
        <f t="shared" si="100"/>
        <v>0</v>
      </c>
      <c r="Y434" s="55"/>
      <c r="Z434" s="55"/>
      <c r="AA434" s="52">
        <f t="shared" si="101"/>
        <v>0</v>
      </c>
      <c r="AB434" s="53">
        <f t="shared" si="102"/>
        <v>0</v>
      </c>
      <c r="AC434" s="53">
        <f t="shared" si="103"/>
        <v>0</v>
      </c>
      <c r="AD434" s="53">
        <f t="shared" si="104"/>
        <v>0</v>
      </c>
      <c r="AE434" s="53">
        <f t="shared" si="105"/>
        <v>0</v>
      </c>
      <c r="AF434" s="53">
        <f t="shared" si="106"/>
        <v>0</v>
      </c>
      <c r="AG434" s="56">
        <f t="shared" si="107"/>
        <v>0</v>
      </c>
      <c r="AH434" s="53">
        <f t="shared" si="108"/>
        <v>0</v>
      </c>
      <c r="AI434" s="55"/>
      <c r="AJ434" s="53">
        <f t="shared" si="109"/>
        <v>0</v>
      </c>
      <c r="AK434" s="53">
        <f t="shared" si="110"/>
        <v>0</v>
      </c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7"/>
      <c r="AW434" s="57"/>
      <c r="AX434" s="57"/>
    </row>
    <row r="435" spans="2:50">
      <c r="B435" s="45">
        <v>417</v>
      </c>
      <c r="C435" s="214" t="s">
        <v>574</v>
      </c>
      <c r="D435" s="215" t="s">
        <v>621</v>
      </c>
      <c r="E435" s="215" t="s">
        <v>688</v>
      </c>
      <c r="F435" s="216" t="s">
        <v>700</v>
      </c>
      <c r="G435" s="217" t="s">
        <v>618</v>
      </c>
      <c r="H435" s="218">
        <v>42152</v>
      </c>
      <c r="I435" s="164" t="s">
        <v>409</v>
      </c>
      <c r="J435" s="219">
        <f t="shared" si="99"/>
        <v>9</v>
      </c>
      <c r="K435" s="219">
        <v>9</v>
      </c>
      <c r="L435" s="219">
        <v>0</v>
      </c>
      <c r="M435" s="219"/>
      <c r="N435" s="223">
        <v>0.15</v>
      </c>
      <c r="O435" s="223">
        <v>0</v>
      </c>
      <c r="P435" s="224">
        <v>1</v>
      </c>
      <c r="Q435" s="53"/>
      <c r="R435" s="54" t="s">
        <v>158</v>
      </c>
      <c r="S435" s="54" t="s">
        <v>158</v>
      </c>
      <c r="T435" s="54" t="s">
        <v>158</v>
      </c>
      <c r="U435" s="54" t="s">
        <v>158</v>
      </c>
      <c r="V435" s="211" t="s">
        <v>616</v>
      </c>
      <c r="W435" s="53"/>
      <c r="X435" s="53">
        <f t="shared" si="100"/>
        <v>0</v>
      </c>
      <c r="Y435" s="55"/>
      <c r="Z435" s="55"/>
      <c r="AA435" s="52">
        <f t="shared" si="101"/>
        <v>0</v>
      </c>
      <c r="AB435" s="53">
        <f t="shared" si="102"/>
        <v>0</v>
      </c>
      <c r="AC435" s="53">
        <f t="shared" si="103"/>
        <v>0</v>
      </c>
      <c r="AD435" s="53">
        <f t="shared" si="104"/>
        <v>0</v>
      </c>
      <c r="AE435" s="53">
        <f t="shared" si="105"/>
        <v>0</v>
      </c>
      <c r="AF435" s="53">
        <f t="shared" si="106"/>
        <v>0</v>
      </c>
      <c r="AG435" s="56">
        <f t="shared" si="107"/>
        <v>0</v>
      </c>
      <c r="AH435" s="53">
        <f t="shared" si="108"/>
        <v>0</v>
      </c>
      <c r="AI435" s="55"/>
      <c r="AJ435" s="53">
        <f t="shared" si="109"/>
        <v>0</v>
      </c>
      <c r="AK435" s="53">
        <f t="shared" si="110"/>
        <v>0</v>
      </c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7"/>
      <c r="AW435" s="57"/>
      <c r="AX435" s="57"/>
    </row>
    <row r="436" spans="2:50">
      <c r="B436" s="45">
        <v>418</v>
      </c>
      <c r="C436" s="214" t="s">
        <v>574</v>
      </c>
      <c r="D436" s="215" t="s">
        <v>621</v>
      </c>
      <c r="E436" s="215" t="s">
        <v>688</v>
      </c>
      <c r="F436" s="216" t="s">
        <v>701</v>
      </c>
      <c r="G436" s="217" t="s">
        <v>618</v>
      </c>
      <c r="H436" s="218">
        <v>41995</v>
      </c>
      <c r="I436" s="164" t="s">
        <v>409</v>
      </c>
      <c r="J436" s="219">
        <f t="shared" si="99"/>
        <v>39</v>
      </c>
      <c r="K436" s="219">
        <v>39</v>
      </c>
      <c r="L436" s="219">
        <v>0</v>
      </c>
      <c r="M436" s="219"/>
      <c r="N436" s="223">
        <v>0.64999999999999991</v>
      </c>
      <c r="O436" s="223">
        <v>0</v>
      </c>
      <c r="P436" s="224">
        <v>1</v>
      </c>
      <c r="Q436" s="53"/>
      <c r="R436" s="54" t="s">
        <v>158</v>
      </c>
      <c r="S436" s="54" t="s">
        <v>158</v>
      </c>
      <c r="T436" s="54" t="s">
        <v>158</v>
      </c>
      <c r="U436" s="54" t="s">
        <v>158</v>
      </c>
      <c r="V436" s="211" t="s">
        <v>616</v>
      </c>
      <c r="W436" s="53"/>
      <c r="X436" s="53">
        <f t="shared" si="100"/>
        <v>0</v>
      </c>
      <c r="Y436" s="55"/>
      <c r="Z436" s="55"/>
      <c r="AA436" s="52">
        <f t="shared" si="101"/>
        <v>0</v>
      </c>
      <c r="AB436" s="53">
        <f t="shared" si="102"/>
        <v>0</v>
      </c>
      <c r="AC436" s="53">
        <f t="shared" si="103"/>
        <v>0</v>
      </c>
      <c r="AD436" s="53">
        <f t="shared" si="104"/>
        <v>0</v>
      </c>
      <c r="AE436" s="53">
        <f t="shared" si="105"/>
        <v>0</v>
      </c>
      <c r="AF436" s="53">
        <f t="shared" si="106"/>
        <v>0</v>
      </c>
      <c r="AG436" s="56">
        <f t="shared" si="107"/>
        <v>0</v>
      </c>
      <c r="AH436" s="53">
        <f t="shared" si="108"/>
        <v>0</v>
      </c>
      <c r="AI436" s="55"/>
      <c r="AJ436" s="53">
        <f t="shared" si="109"/>
        <v>0</v>
      </c>
      <c r="AK436" s="53">
        <f t="shared" si="110"/>
        <v>0</v>
      </c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7"/>
      <c r="AW436" s="57"/>
      <c r="AX436" s="57"/>
    </row>
    <row r="437" spans="2:50">
      <c r="B437" s="45">
        <v>419</v>
      </c>
      <c r="C437" s="214" t="s">
        <v>574</v>
      </c>
      <c r="D437" s="215" t="s">
        <v>621</v>
      </c>
      <c r="E437" s="215" t="s">
        <v>688</v>
      </c>
      <c r="F437" s="216" t="s">
        <v>702</v>
      </c>
      <c r="G437" s="217" t="s">
        <v>618</v>
      </c>
      <c r="H437" s="218">
        <v>41995</v>
      </c>
      <c r="I437" s="164" t="s">
        <v>409</v>
      </c>
      <c r="J437" s="219">
        <f t="shared" si="99"/>
        <v>60</v>
      </c>
      <c r="K437" s="219">
        <v>60</v>
      </c>
      <c r="L437" s="219">
        <v>0</v>
      </c>
      <c r="M437" s="219"/>
      <c r="N437" s="223">
        <v>1</v>
      </c>
      <c r="O437" s="223">
        <v>0</v>
      </c>
      <c r="P437" s="224">
        <v>1</v>
      </c>
      <c r="Q437" s="53"/>
      <c r="R437" s="54" t="s">
        <v>158</v>
      </c>
      <c r="S437" s="54" t="s">
        <v>158</v>
      </c>
      <c r="T437" s="54" t="s">
        <v>158</v>
      </c>
      <c r="U437" s="54" t="s">
        <v>158</v>
      </c>
      <c r="V437" s="211" t="s">
        <v>616</v>
      </c>
      <c r="W437" s="53"/>
      <c r="X437" s="53">
        <f t="shared" si="100"/>
        <v>0</v>
      </c>
      <c r="Y437" s="55"/>
      <c r="Z437" s="55"/>
      <c r="AA437" s="52">
        <f t="shared" si="101"/>
        <v>0</v>
      </c>
      <c r="AB437" s="53">
        <f t="shared" si="102"/>
        <v>0</v>
      </c>
      <c r="AC437" s="53">
        <f t="shared" si="103"/>
        <v>0</v>
      </c>
      <c r="AD437" s="53">
        <f t="shared" si="104"/>
        <v>0</v>
      </c>
      <c r="AE437" s="53">
        <f t="shared" si="105"/>
        <v>0</v>
      </c>
      <c r="AF437" s="53">
        <f t="shared" si="106"/>
        <v>0</v>
      </c>
      <c r="AG437" s="56">
        <f t="shared" si="107"/>
        <v>0</v>
      </c>
      <c r="AH437" s="53">
        <f t="shared" si="108"/>
        <v>0</v>
      </c>
      <c r="AI437" s="55"/>
      <c r="AJ437" s="53">
        <f t="shared" si="109"/>
        <v>0</v>
      </c>
      <c r="AK437" s="53">
        <f t="shared" si="110"/>
        <v>0</v>
      </c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7"/>
      <c r="AW437" s="57"/>
      <c r="AX437" s="57"/>
    </row>
    <row r="438" spans="2:50">
      <c r="B438" s="45">
        <v>420</v>
      </c>
      <c r="C438" s="214" t="s">
        <v>574</v>
      </c>
      <c r="D438" s="215" t="s">
        <v>621</v>
      </c>
      <c r="E438" s="215" t="s">
        <v>688</v>
      </c>
      <c r="F438" s="216" t="s">
        <v>703</v>
      </c>
      <c r="G438" s="217" t="s">
        <v>618</v>
      </c>
      <c r="H438" s="218">
        <v>41995</v>
      </c>
      <c r="I438" s="164" t="s">
        <v>409</v>
      </c>
      <c r="J438" s="219">
        <f t="shared" si="99"/>
        <v>24</v>
      </c>
      <c r="K438" s="219">
        <v>24</v>
      </c>
      <c r="L438" s="219">
        <v>0</v>
      </c>
      <c r="M438" s="219"/>
      <c r="N438" s="223">
        <v>0.4</v>
      </c>
      <c r="O438" s="223">
        <v>0</v>
      </c>
      <c r="P438" s="224">
        <v>1</v>
      </c>
      <c r="Q438" s="53"/>
      <c r="R438" s="54" t="s">
        <v>158</v>
      </c>
      <c r="S438" s="54" t="s">
        <v>158</v>
      </c>
      <c r="T438" s="54" t="s">
        <v>158</v>
      </c>
      <c r="U438" s="54" t="s">
        <v>158</v>
      </c>
      <c r="V438" s="211" t="s">
        <v>616</v>
      </c>
      <c r="W438" s="53"/>
      <c r="X438" s="53">
        <f t="shared" si="100"/>
        <v>0</v>
      </c>
      <c r="Y438" s="55"/>
      <c r="Z438" s="55"/>
      <c r="AA438" s="52">
        <f t="shared" si="101"/>
        <v>0</v>
      </c>
      <c r="AB438" s="53">
        <f t="shared" si="102"/>
        <v>0</v>
      </c>
      <c r="AC438" s="53">
        <f t="shared" si="103"/>
        <v>0</v>
      </c>
      <c r="AD438" s="53">
        <f t="shared" si="104"/>
        <v>0</v>
      </c>
      <c r="AE438" s="53">
        <f t="shared" si="105"/>
        <v>0</v>
      </c>
      <c r="AF438" s="53">
        <f t="shared" si="106"/>
        <v>0</v>
      </c>
      <c r="AG438" s="56">
        <f t="shared" si="107"/>
        <v>0</v>
      </c>
      <c r="AH438" s="53">
        <f t="shared" si="108"/>
        <v>0</v>
      </c>
      <c r="AI438" s="55"/>
      <c r="AJ438" s="53">
        <f t="shared" si="109"/>
        <v>0</v>
      </c>
      <c r="AK438" s="53">
        <f t="shared" si="110"/>
        <v>0</v>
      </c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7"/>
      <c r="AW438" s="57"/>
      <c r="AX438" s="57"/>
    </row>
    <row r="439" spans="2:50">
      <c r="B439" s="45">
        <v>421</v>
      </c>
      <c r="C439" s="214" t="s">
        <v>574</v>
      </c>
      <c r="D439" s="215" t="s">
        <v>621</v>
      </c>
      <c r="E439" s="215" t="s">
        <v>688</v>
      </c>
      <c r="F439" s="216" t="s">
        <v>704</v>
      </c>
      <c r="G439" s="217" t="s">
        <v>618</v>
      </c>
      <c r="H439" s="218">
        <v>41995</v>
      </c>
      <c r="I439" s="164" t="s">
        <v>409</v>
      </c>
      <c r="J439" s="219">
        <f t="shared" si="99"/>
        <v>24</v>
      </c>
      <c r="K439" s="219">
        <v>24</v>
      </c>
      <c r="L439" s="219">
        <v>0</v>
      </c>
      <c r="M439" s="219"/>
      <c r="N439" s="223">
        <v>0.4</v>
      </c>
      <c r="O439" s="223">
        <v>0.1</v>
      </c>
      <c r="P439" s="224">
        <v>1</v>
      </c>
      <c r="Q439" s="53"/>
      <c r="R439" s="54" t="s">
        <v>158</v>
      </c>
      <c r="S439" s="54" t="s">
        <v>158</v>
      </c>
      <c r="T439" s="54" t="s">
        <v>158</v>
      </c>
      <c r="U439" s="54" t="s">
        <v>158</v>
      </c>
      <c r="V439" s="211" t="s">
        <v>616</v>
      </c>
      <c r="W439" s="53"/>
      <c r="X439" s="53">
        <f t="shared" si="100"/>
        <v>0</v>
      </c>
      <c r="Y439" s="55"/>
      <c r="Z439" s="55"/>
      <c r="AA439" s="52">
        <f t="shared" si="101"/>
        <v>0</v>
      </c>
      <c r="AB439" s="53">
        <f t="shared" si="102"/>
        <v>0</v>
      </c>
      <c r="AC439" s="53">
        <f t="shared" si="103"/>
        <v>0</v>
      </c>
      <c r="AD439" s="53">
        <f t="shared" si="104"/>
        <v>0</v>
      </c>
      <c r="AE439" s="53">
        <f t="shared" si="105"/>
        <v>0</v>
      </c>
      <c r="AF439" s="53">
        <f t="shared" si="106"/>
        <v>0</v>
      </c>
      <c r="AG439" s="56">
        <f t="shared" si="107"/>
        <v>0</v>
      </c>
      <c r="AH439" s="53">
        <f t="shared" si="108"/>
        <v>0</v>
      </c>
      <c r="AI439" s="55"/>
      <c r="AJ439" s="53">
        <f t="shared" si="109"/>
        <v>0</v>
      </c>
      <c r="AK439" s="53">
        <f t="shared" si="110"/>
        <v>0</v>
      </c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7"/>
      <c r="AW439" s="57"/>
      <c r="AX439" s="57"/>
    </row>
    <row r="440" spans="2:50">
      <c r="B440" s="45">
        <v>422</v>
      </c>
      <c r="C440" s="214" t="s">
        <v>574</v>
      </c>
      <c r="D440" s="215" t="s">
        <v>705</v>
      </c>
      <c r="E440" s="215" t="s">
        <v>706</v>
      </c>
      <c r="F440" s="216" t="s">
        <v>707</v>
      </c>
      <c r="G440" s="217" t="s">
        <v>618</v>
      </c>
      <c r="H440" s="218">
        <v>41995</v>
      </c>
      <c r="I440" s="164" t="s">
        <v>409</v>
      </c>
      <c r="J440" s="219">
        <f t="shared" si="99"/>
        <v>123</v>
      </c>
      <c r="K440" s="219">
        <v>111</v>
      </c>
      <c r="L440" s="219">
        <v>12</v>
      </c>
      <c r="M440" s="219"/>
      <c r="N440" s="223">
        <v>1.8499999999999999</v>
      </c>
      <c r="O440" s="223">
        <v>0.2</v>
      </c>
      <c r="P440" s="224">
        <v>1</v>
      </c>
      <c r="Q440" s="53" t="s">
        <v>257</v>
      </c>
      <c r="R440" s="54" t="s">
        <v>158</v>
      </c>
      <c r="S440" s="54" t="s">
        <v>158</v>
      </c>
      <c r="T440" s="54" t="s">
        <v>158</v>
      </c>
      <c r="U440" s="54" t="s">
        <v>158</v>
      </c>
      <c r="V440" s="211" t="s">
        <v>616</v>
      </c>
      <c r="W440" s="53"/>
      <c r="X440" s="53">
        <f t="shared" si="100"/>
        <v>0</v>
      </c>
      <c r="Y440" s="55"/>
      <c r="Z440" s="55"/>
      <c r="AA440" s="52">
        <f t="shared" si="101"/>
        <v>0</v>
      </c>
      <c r="AB440" s="53">
        <f t="shared" si="102"/>
        <v>0</v>
      </c>
      <c r="AC440" s="53">
        <f t="shared" si="103"/>
        <v>0</v>
      </c>
      <c r="AD440" s="53">
        <f t="shared" si="104"/>
        <v>0</v>
      </c>
      <c r="AE440" s="53">
        <f t="shared" si="105"/>
        <v>0</v>
      </c>
      <c r="AF440" s="53">
        <f t="shared" si="106"/>
        <v>0</v>
      </c>
      <c r="AG440" s="56">
        <f t="shared" si="107"/>
        <v>1</v>
      </c>
      <c r="AH440" s="53">
        <f t="shared" si="108"/>
        <v>0</v>
      </c>
      <c r="AI440" s="55"/>
      <c r="AJ440" s="53">
        <f t="shared" si="109"/>
        <v>0</v>
      </c>
      <c r="AK440" s="53">
        <f t="shared" si="110"/>
        <v>0</v>
      </c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7"/>
      <c r="AW440" s="57"/>
      <c r="AX440" s="57"/>
    </row>
    <row r="441" spans="2:50">
      <c r="B441" s="45">
        <v>423</v>
      </c>
      <c r="C441" s="214" t="s">
        <v>574</v>
      </c>
      <c r="D441" s="215" t="s">
        <v>705</v>
      </c>
      <c r="E441" s="215" t="s">
        <v>706</v>
      </c>
      <c r="F441" s="216" t="s">
        <v>708</v>
      </c>
      <c r="G441" s="217" t="s">
        <v>618</v>
      </c>
      <c r="H441" s="218" t="s">
        <v>709</v>
      </c>
      <c r="I441" s="164" t="s">
        <v>409</v>
      </c>
      <c r="J441" s="219">
        <f t="shared" si="99"/>
        <v>117</v>
      </c>
      <c r="K441" s="219">
        <v>108</v>
      </c>
      <c r="L441" s="219">
        <v>9</v>
      </c>
      <c r="M441" s="219"/>
      <c r="N441" s="238">
        <v>1.57</v>
      </c>
      <c r="O441" s="238">
        <v>0</v>
      </c>
      <c r="P441" s="239">
        <v>1</v>
      </c>
      <c r="Q441" s="53"/>
      <c r="R441" s="54" t="s">
        <v>158</v>
      </c>
      <c r="S441" s="54" t="s">
        <v>158</v>
      </c>
      <c r="T441" s="54" t="s">
        <v>158</v>
      </c>
      <c r="U441" s="54" t="s">
        <v>158</v>
      </c>
      <c r="V441" s="211" t="s">
        <v>616</v>
      </c>
      <c r="W441" s="53"/>
      <c r="X441" s="53">
        <f t="shared" si="100"/>
        <v>0</v>
      </c>
      <c r="Y441" s="55"/>
      <c r="Z441" s="55"/>
      <c r="AA441" s="52">
        <f t="shared" si="101"/>
        <v>0</v>
      </c>
      <c r="AB441" s="53">
        <f t="shared" si="102"/>
        <v>0</v>
      </c>
      <c r="AC441" s="53">
        <f t="shared" si="103"/>
        <v>0</v>
      </c>
      <c r="AD441" s="53">
        <f t="shared" si="104"/>
        <v>0</v>
      </c>
      <c r="AE441" s="53">
        <f t="shared" si="105"/>
        <v>0</v>
      </c>
      <c r="AF441" s="53">
        <f t="shared" si="106"/>
        <v>0</v>
      </c>
      <c r="AG441" s="56">
        <f t="shared" si="107"/>
        <v>0</v>
      </c>
      <c r="AH441" s="53">
        <f t="shared" si="108"/>
        <v>0</v>
      </c>
      <c r="AI441" s="55"/>
      <c r="AJ441" s="53">
        <f t="shared" si="109"/>
        <v>0</v>
      </c>
      <c r="AK441" s="53">
        <f t="shared" si="110"/>
        <v>0</v>
      </c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7"/>
      <c r="AW441" s="57"/>
      <c r="AX441" s="57"/>
    </row>
    <row r="442" spans="2:50">
      <c r="B442" s="45">
        <v>424</v>
      </c>
      <c r="C442" s="214" t="s">
        <v>574</v>
      </c>
      <c r="D442" s="215" t="s">
        <v>621</v>
      </c>
      <c r="E442" s="215" t="s">
        <v>710</v>
      </c>
      <c r="F442" s="216" t="s">
        <v>711</v>
      </c>
      <c r="G442" s="217" t="s">
        <v>618</v>
      </c>
      <c r="H442" s="218">
        <v>42443</v>
      </c>
      <c r="I442" s="164" t="s">
        <v>409</v>
      </c>
      <c r="J442" s="219">
        <f t="shared" si="99"/>
        <v>6</v>
      </c>
      <c r="K442" s="219">
        <v>6</v>
      </c>
      <c r="L442" s="219">
        <v>0</v>
      </c>
      <c r="M442" s="219"/>
      <c r="N442" s="223">
        <v>0</v>
      </c>
      <c r="O442" s="223">
        <v>0</v>
      </c>
      <c r="P442" s="224">
        <v>1</v>
      </c>
      <c r="Q442" s="53"/>
      <c r="R442" s="54" t="s">
        <v>158</v>
      </c>
      <c r="S442" s="54" t="s">
        <v>158</v>
      </c>
      <c r="T442" s="54" t="s">
        <v>158</v>
      </c>
      <c r="U442" s="54" t="s">
        <v>158</v>
      </c>
      <c r="V442" s="211" t="s">
        <v>616</v>
      </c>
      <c r="W442" s="53"/>
      <c r="X442" s="53">
        <f t="shared" si="100"/>
        <v>0</v>
      </c>
      <c r="Y442" s="55"/>
      <c r="Z442" s="55"/>
      <c r="AA442" s="52">
        <f t="shared" si="101"/>
        <v>0</v>
      </c>
      <c r="AB442" s="53">
        <f t="shared" si="102"/>
        <v>0</v>
      </c>
      <c r="AC442" s="53">
        <f t="shared" si="103"/>
        <v>0</v>
      </c>
      <c r="AD442" s="53">
        <f t="shared" si="104"/>
        <v>0</v>
      </c>
      <c r="AE442" s="53">
        <f t="shared" si="105"/>
        <v>0</v>
      </c>
      <c r="AF442" s="53">
        <f t="shared" si="106"/>
        <v>0</v>
      </c>
      <c r="AG442" s="56">
        <f t="shared" si="107"/>
        <v>0</v>
      </c>
      <c r="AH442" s="53">
        <f t="shared" si="108"/>
        <v>0</v>
      </c>
      <c r="AI442" s="55"/>
      <c r="AJ442" s="53">
        <f t="shared" si="109"/>
        <v>0</v>
      </c>
      <c r="AK442" s="53">
        <f t="shared" si="110"/>
        <v>0</v>
      </c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7"/>
      <c r="AW442" s="57"/>
      <c r="AX442" s="57"/>
    </row>
    <row r="443" spans="2:50">
      <c r="B443" s="45">
        <v>425</v>
      </c>
      <c r="C443" s="214" t="s">
        <v>574</v>
      </c>
      <c r="D443" s="215" t="s">
        <v>621</v>
      </c>
      <c r="E443" s="215" t="s">
        <v>712</v>
      </c>
      <c r="F443" s="216" t="s">
        <v>713</v>
      </c>
      <c r="G443" s="217" t="s">
        <v>618</v>
      </c>
      <c r="H443" s="218">
        <v>43768</v>
      </c>
      <c r="I443" s="164" t="s">
        <v>409</v>
      </c>
      <c r="J443" s="219">
        <f t="shared" si="99"/>
        <v>1584</v>
      </c>
      <c r="K443" s="219">
        <v>1584</v>
      </c>
      <c r="L443" s="219">
        <v>0</v>
      </c>
      <c r="M443" s="219"/>
      <c r="N443" s="240">
        <v>26.4</v>
      </c>
      <c r="O443" s="241">
        <v>0</v>
      </c>
      <c r="P443" s="242">
        <v>1</v>
      </c>
      <c r="Q443" s="53"/>
      <c r="R443" s="54" t="s">
        <v>158</v>
      </c>
      <c r="S443" s="54" t="s">
        <v>158</v>
      </c>
      <c r="T443" s="54" t="s">
        <v>158</v>
      </c>
      <c r="U443" s="54" t="s">
        <v>158</v>
      </c>
      <c r="V443" s="211" t="s">
        <v>616</v>
      </c>
      <c r="W443" s="53"/>
      <c r="X443" s="53">
        <f t="shared" si="100"/>
        <v>0</v>
      </c>
      <c r="Y443" s="55"/>
      <c r="Z443" s="55"/>
      <c r="AA443" s="52">
        <f t="shared" si="101"/>
        <v>0</v>
      </c>
      <c r="AB443" s="53">
        <f t="shared" si="102"/>
        <v>0</v>
      </c>
      <c r="AC443" s="53">
        <f t="shared" si="103"/>
        <v>0</v>
      </c>
      <c r="AD443" s="53">
        <f t="shared" si="104"/>
        <v>0</v>
      </c>
      <c r="AE443" s="53">
        <f t="shared" si="105"/>
        <v>0</v>
      </c>
      <c r="AF443" s="53">
        <f t="shared" si="106"/>
        <v>0</v>
      </c>
      <c r="AG443" s="56">
        <f t="shared" si="107"/>
        <v>0</v>
      </c>
      <c r="AH443" s="53">
        <f t="shared" si="108"/>
        <v>0</v>
      </c>
      <c r="AI443" s="55"/>
      <c r="AJ443" s="53">
        <f t="shared" si="109"/>
        <v>0</v>
      </c>
      <c r="AK443" s="53">
        <f t="shared" si="110"/>
        <v>0</v>
      </c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7"/>
      <c r="AW443" s="57"/>
      <c r="AX443" s="57"/>
    </row>
    <row r="444" spans="2:50">
      <c r="B444" s="45">
        <v>426</v>
      </c>
      <c r="C444" s="214" t="s">
        <v>574</v>
      </c>
      <c r="D444" s="215" t="s">
        <v>621</v>
      </c>
      <c r="E444" s="215" t="s">
        <v>714</v>
      </c>
      <c r="F444" s="216" t="s">
        <v>715</v>
      </c>
      <c r="G444" s="217" t="s">
        <v>618</v>
      </c>
      <c r="H444" s="218">
        <v>43383</v>
      </c>
      <c r="I444" s="164" t="s">
        <v>409</v>
      </c>
      <c r="J444" s="219">
        <f t="shared" si="99"/>
        <v>30</v>
      </c>
      <c r="K444" s="219">
        <v>30</v>
      </c>
      <c r="L444" s="219">
        <v>0</v>
      </c>
      <c r="M444" s="219"/>
      <c r="N444" s="228">
        <v>0.35</v>
      </c>
      <c r="O444" s="228">
        <v>0</v>
      </c>
      <c r="P444" s="229">
        <v>1</v>
      </c>
      <c r="Q444" s="53"/>
      <c r="R444" s="54" t="s">
        <v>158</v>
      </c>
      <c r="S444" s="54" t="s">
        <v>158</v>
      </c>
      <c r="T444" s="54" t="s">
        <v>158</v>
      </c>
      <c r="U444" s="54" t="s">
        <v>158</v>
      </c>
      <c r="V444" s="211" t="s">
        <v>616</v>
      </c>
      <c r="W444" s="53"/>
      <c r="X444" s="53">
        <f t="shared" si="100"/>
        <v>0</v>
      </c>
      <c r="Y444" s="55"/>
      <c r="Z444" s="55"/>
      <c r="AA444" s="52">
        <f t="shared" si="101"/>
        <v>0</v>
      </c>
      <c r="AB444" s="53">
        <f t="shared" si="102"/>
        <v>0</v>
      </c>
      <c r="AC444" s="53">
        <f t="shared" si="103"/>
        <v>0</v>
      </c>
      <c r="AD444" s="53">
        <f t="shared" si="104"/>
        <v>0</v>
      </c>
      <c r="AE444" s="53">
        <f t="shared" si="105"/>
        <v>0</v>
      </c>
      <c r="AF444" s="53">
        <f t="shared" si="106"/>
        <v>0</v>
      </c>
      <c r="AG444" s="56">
        <f t="shared" si="107"/>
        <v>0</v>
      </c>
      <c r="AH444" s="53">
        <f t="shared" si="108"/>
        <v>0</v>
      </c>
      <c r="AI444" s="55"/>
      <c r="AJ444" s="53">
        <f t="shared" si="109"/>
        <v>0</v>
      </c>
      <c r="AK444" s="53">
        <f t="shared" si="110"/>
        <v>0</v>
      </c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7"/>
      <c r="AW444" s="57"/>
      <c r="AX444" s="57"/>
    </row>
    <row r="445" spans="2:50">
      <c r="B445" s="45">
        <v>427</v>
      </c>
      <c r="C445" s="214" t="s">
        <v>574</v>
      </c>
      <c r="D445" s="215" t="s">
        <v>716</v>
      </c>
      <c r="E445" s="215" t="s">
        <v>717</v>
      </c>
      <c r="F445" s="216" t="s">
        <v>718</v>
      </c>
      <c r="G445" s="217" t="s">
        <v>618</v>
      </c>
      <c r="H445" s="218">
        <v>42816</v>
      </c>
      <c r="I445" s="164" t="s">
        <v>409</v>
      </c>
      <c r="J445" s="219">
        <f t="shared" si="99"/>
        <v>18</v>
      </c>
      <c r="K445" s="219">
        <v>18</v>
      </c>
      <c r="L445" s="219">
        <v>0</v>
      </c>
      <c r="M445" s="219"/>
      <c r="N445" s="223">
        <v>0.30000000000000004</v>
      </c>
      <c r="O445" s="223">
        <v>0</v>
      </c>
      <c r="P445" s="224">
        <v>1</v>
      </c>
      <c r="Q445" s="53"/>
      <c r="R445" s="54" t="s">
        <v>158</v>
      </c>
      <c r="S445" s="54" t="s">
        <v>158</v>
      </c>
      <c r="T445" s="54" t="s">
        <v>158</v>
      </c>
      <c r="U445" s="54" t="s">
        <v>158</v>
      </c>
      <c r="V445" s="211" t="s">
        <v>616</v>
      </c>
      <c r="W445" s="53"/>
      <c r="X445" s="53">
        <f t="shared" si="100"/>
        <v>0</v>
      </c>
      <c r="Y445" s="55"/>
      <c r="Z445" s="55"/>
      <c r="AA445" s="52">
        <f t="shared" si="101"/>
        <v>0</v>
      </c>
      <c r="AB445" s="53">
        <f t="shared" si="102"/>
        <v>0</v>
      </c>
      <c r="AC445" s="53">
        <f t="shared" si="103"/>
        <v>0</v>
      </c>
      <c r="AD445" s="53">
        <f t="shared" si="104"/>
        <v>0</v>
      </c>
      <c r="AE445" s="53">
        <f t="shared" si="105"/>
        <v>0</v>
      </c>
      <c r="AF445" s="53">
        <f t="shared" si="106"/>
        <v>0</v>
      </c>
      <c r="AG445" s="56">
        <f t="shared" si="107"/>
        <v>0</v>
      </c>
      <c r="AH445" s="53">
        <f t="shared" si="108"/>
        <v>0</v>
      </c>
      <c r="AI445" s="55"/>
      <c r="AJ445" s="53">
        <f t="shared" si="109"/>
        <v>0</v>
      </c>
      <c r="AK445" s="53">
        <f t="shared" si="110"/>
        <v>0</v>
      </c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7"/>
      <c r="AW445" s="57"/>
      <c r="AX445" s="57"/>
    </row>
    <row r="446" spans="2:50">
      <c r="B446" s="45">
        <v>428</v>
      </c>
      <c r="C446" s="214" t="s">
        <v>574</v>
      </c>
      <c r="D446" s="215" t="s">
        <v>716</v>
      </c>
      <c r="E446" s="215" t="s">
        <v>717</v>
      </c>
      <c r="F446" s="216" t="s">
        <v>719</v>
      </c>
      <c r="G446" s="217" t="s">
        <v>618</v>
      </c>
      <c r="H446" s="218" t="s">
        <v>720</v>
      </c>
      <c r="I446" s="164" t="s">
        <v>409</v>
      </c>
      <c r="J446" s="219">
        <f t="shared" si="99"/>
        <v>180</v>
      </c>
      <c r="K446" s="219">
        <v>180</v>
      </c>
      <c r="L446" s="219">
        <v>0</v>
      </c>
      <c r="M446" s="219"/>
      <c r="N446" s="223">
        <v>3</v>
      </c>
      <c r="O446" s="223">
        <v>0</v>
      </c>
      <c r="P446" s="224">
        <v>1</v>
      </c>
      <c r="Q446" s="53"/>
      <c r="R446" s="54" t="s">
        <v>158</v>
      </c>
      <c r="S446" s="54" t="s">
        <v>158</v>
      </c>
      <c r="T446" s="54" t="s">
        <v>158</v>
      </c>
      <c r="U446" s="54" t="s">
        <v>158</v>
      </c>
      <c r="V446" s="211" t="s">
        <v>616</v>
      </c>
      <c r="W446" s="53"/>
      <c r="X446" s="53">
        <f t="shared" si="100"/>
        <v>0</v>
      </c>
      <c r="Y446" s="55"/>
      <c r="Z446" s="55"/>
      <c r="AA446" s="52">
        <f t="shared" si="101"/>
        <v>0</v>
      </c>
      <c r="AB446" s="53">
        <f t="shared" si="102"/>
        <v>0</v>
      </c>
      <c r="AC446" s="53">
        <f t="shared" si="103"/>
        <v>0</v>
      </c>
      <c r="AD446" s="53">
        <f t="shared" si="104"/>
        <v>0</v>
      </c>
      <c r="AE446" s="53">
        <f t="shared" si="105"/>
        <v>0</v>
      </c>
      <c r="AF446" s="53">
        <f t="shared" si="106"/>
        <v>0</v>
      </c>
      <c r="AG446" s="56">
        <f t="shared" si="107"/>
        <v>0</v>
      </c>
      <c r="AH446" s="53">
        <f t="shared" si="108"/>
        <v>0</v>
      </c>
      <c r="AI446" s="55"/>
      <c r="AJ446" s="53">
        <f t="shared" si="109"/>
        <v>0</v>
      </c>
      <c r="AK446" s="53">
        <f t="shared" si="110"/>
        <v>0</v>
      </c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7"/>
      <c r="AW446" s="57"/>
      <c r="AX446" s="57"/>
    </row>
    <row r="447" spans="2:50">
      <c r="B447" s="45">
        <v>429</v>
      </c>
      <c r="C447" s="214" t="s">
        <v>574</v>
      </c>
      <c r="D447" s="215" t="s">
        <v>716</v>
      </c>
      <c r="E447" s="215" t="s">
        <v>717</v>
      </c>
      <c r="F447" s="216" t="s">
        <v>721</v>
      </c>
      <c r="G447" s="217" t="s">
        <v>618</v>
      </c>
      <c r="H447" s="218">
        <v>42816</v>
      </c>
      <c r="I447" s="164" t="s">
        <v>409</v>
      </c>
      <c r="J447" s="219">
        <f t="shared" si="99"/>
        <v>84</v>
      </c>
      <c r="K447" s="219">
        <v>84</v>
      </c>
      <c r="L447" s="219">
        <v>0</v>
      </c>
      <c r="M447" s="219"/>
      <c r="N447" s="223">
        <v>1.4</v>
      </c>
      <c r="O447" s="223">
        <v>0</v>
      </c>
      <c r="P447" s="224">
        <v>1</v>
      </c>
      <c r="Q447" s="53"/>
      <c r="R447" s="54" t="s">
        <v>158</v>
      </c>
      <c r="S447" s="54" t="s">
        <v>158</v>
      </c>
      <c r="T447" s="54" t="s">
        <v>158</v>
      </c>
      <c r="U447" s="54" t="s">
        <v>158</v>
      </c>
      <c r="V447" s="211" t="s">
        <v>616</v>
      </c>
      <c r="W447" s="53"/>
      <c r="X447" s="53">
        <f t="shared" si="100"/>
        <v>0</v>
      </c>
      <c r="Y447" s="55"/>
      <c r="Z447" s="55"/>
      <c r="AA447" s="52">
        <f t="shared" si="101"/>
        <v>0</v>
      </c>
      <c r="AB447" s="53">
        <f t="shared" si="102"/>
        <v>0</v>
      </c>
      <c r="AC447" s="53">
        <f t="shared" si="103"/>
        <v>0</v>
      </c>
      <c r="AD447" s="53">
        <f t="shared" si="104"/>
        <v>0</v>
      </c>
      <c r="AE447" s="53">
        <f t="shared" si="105"/>
        <v>0</v>
      </c>
      <c r="AF447" s="53">
        <f t="shared" si="106"/>
        <v>0</v>
      </c>
      <c r="AG447" s="56">
        <f t="shared" si="107"/>
        <v>0</v>
      </c>
      <c r="AH447" s="53">
        <f t="shared" si="108"/>
        <v>0</v>
      </c>
      <c r="AI447" s="55"/>
      <c r="AJ447" s="53">
        <f t="shared" si="109"/>
        <v>0</v>
      </c>
      <c r="AK447" s="53">
        <f t="shared" si="110"/>
        <v>0</v>
      </c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7"/>
      <c r="AW447" s="57"/>
      <c r="AX447" s="57"/>
    </row>
    <row r="448" spans="2:50">
      <c r="B448" s="45">
        <v>430</v>
      </c>
      <c r="C448" s="214" t="s">
        <v>574</v>
      </c>
      <c r="D448" s="215" t="s">
        <v>716</v>
      </c>
      <c r="E448" s="215" t="s">
        <v>717</v>
      </c>
      <c r="F448" s="216" t="s">
        <v>722</v>
      </c>
      <c r="G448" s="217" t="s">
        <v>618</v>
      </c>
      <c r="H448" s="218">
        <v>42816</v>
      </c>
      <c r="I448" s="164" t="s">
        <v>409</v>
      </c>
      <c r="J448" s="219">
        <f t="shared" si="99"/>
        <v>12</v>
      </c>
      <c r="K448" s="219">
        <v>12</v>
      </c>
      <c r="L448" s="219">
        <v>0</v>
      </c>
      <c r="M448" s="219"/>
      <c r="N448" s="223">
        <v>0.2</v>
      </c>
      <c r="O448" s="223">
        <v>0</v>
      </c>
      <c r="P448" s="224">
        <v>1</v>
      </c>
      <c r="Q448" s="53"/>
      <c r="R448" s="54" t="s">
        <v>158</v>
      </c>
      <c r="S448" s="54" t="s">
        <v>158</v>
      </c>
      <c r="T448" s="54" t="s">
        <v>158</v>
      </c>
      <c r="U448" s="54" t="s">
        <v>158</v>
      </c>
      <c r="V448" s="211" t="s">
        <v>616</v>
      </c>
      <c r="W448" s="53"/>
      <c r="X448" s="53">
        <f t="shared" si="100"/>
        <v>0</v>
      </c>
      <c r="Y448" s="55"/>
      <c r="Z448" s="55"/>
      <c r="AA448" s="52">
        <f t="shared" si="101"/>
        <v>0</v>
      </c>
      <c r="AB448" s="53">
        <f t="shared" si="102"/>
        <v>0</v>
      </c>
      <c r="AC448" s="53">
        <f t="shared" si="103"/>
        <v>0</v>
      </c>
      <c r="AD448" s="53">
        <f t="shared" si="104"/>
        <v>0</v>
      </c>
      <c r="AE448" s="53">
        <f t="shared" si="105"/>
        <v>0</v>
      </c>
      <c r="AF448" s="53">
        <f t="shared" si="106"/>
        <v>0</v>
      </c>
      <c r="AG448" s="56">
        <f t="shared" si="107"/>
        <v>0</v>
      </c>
      <c r="AH448" s="53">
        <f t="shared" si="108"/>
        <v>0</v>
      </c>
      <c r="AI448" s="55"/>
      <c r="AJ448" s="53">
        <f t="shared" si="109"/>
        <v>0</v>
      </c>
      <c r="AK448" s="53">
        <f t="shared" si="110"/>
        <v>0</v>
      </c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7"/>
      <c r="AW448" s="57"/>
      <c r="AX448" s="57"/>
    </row>
    <row r="449" spans="2:50">
      <c r="B449" s="45">
        <v>431</v>
      </c>
      <c r="C449" s="214" t="s">
        <v>574</v>
      </c>
      <c r="D449" s="215" t="s">
        <v>716</v>
      </c>
      <c r="E449" s="215" t="s">
        <v>717</v>
      </c>
      <c r="F449" s="216" t="s">
        <v>723</v>
      </c>
      <c r="G449" s="217" t="s">
        <v>618</v>
      </c>
      <c r="H449" s="218">
        <v>42816</v>
      </c>
      <c r="I449" s="164" t="s">
        <v>409</v>
      </c>
      <c r="J449" s="219">
        <f t="shared" si="99"/>
        <v>12</v>
      </c>
      <c r="K449" s="219">
        <v>12</v>
      </c>
      <c r="L449" s="219">
        <v>0</v>
      </c>
      <c r="M449" s="219"/>
      <c r="N449" s="223">
        <v>0.2</v>
      </c>
      <c r="O449" s="223">
        <v>0</v>
      </c>
      <c r="P449" s="224">
        <v>1</v>
      </c>
      <c r="Q449" s="53"/>
      <c r="R449" s="54" t="s">
        <v>158</v>
      </c>
      <c r="S449" s="54" t="s">
        <v>158</v>
      </c>
      <c r="T449" s="54" t="s">
        <v>158</v>
      </c>
      <c r="U449" s="54" t="s">
        <v>158</v>
      </c>
      <c r="V449" s="211" t="s">
        <v>616</v>
      </c>
      <c r="W449" s="53"/>
      <c r="X449" s="53">
        <f t="shared" si="100"/>
        <v>0</v>
      </c>
      <c r="Y449" s="55"/>
      <c r="Z449" s="55"/>
      <c r="AA449" s="52">
        <f t="shared" si="101"/>
        <v>0</v>
      </c>
      <c r="AB449" s="53">
        <f t="shared" si="102"/>
        <v>0</v>
      </c>
      <c r="AC449" s="53">
        <f t="shared" si="103"/>
        <v>0</v>
      </c>
      <c r="AD449" s="53">
        <f t="shared" si="104"/>
        <v>0</v>
      </c>
      <c r="AE449" s="53">
        <f t="shared" si="105"/>
        <v>0</v>
      </c>
      <c r="AF449" s="53">
        <f t="shared" si="106"/>
        <v>0</v>
      </c>
      <c r="AG449" s="56">
        <f t="shared" si="107"/>
        <v>0</v>
      </c>
      <c r="AH449" s="53">
        <f t="shared" si="108"/>
        <v>0</v>
      </c>
      <c r="AI449" s="55"/>
      <c r="AJ449" s="53">
        <f t="shared" si="109"/>
        <v>0</v>
      </c>
      <c r="AK449" s="53">
        <f t="shared" si="110"/>
        <v>0</v>
      </c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7"/>
      <c r="AW449" s="57"/>
      <c r="AX449" s="57"/>
    </row>
    <row r="450" spans="2:50">
      <c r="B450" s="45">
        <v>432</v>
      </c>
      <c r="C450" s="214" t="s">
        <v>574</v>
      </c>
      <c r="D450" s="215" t="s">
        <v>716</v>
      </c>
      <c r="E450" s="215" t="s">
        <v>717</v>
      </c>
      <c r="F450" s="216" t="s">
        <v>724</v>
      </c>
      <c r="G450" s="217" t="s">
        <v>618</v>
      </c>
      <c r="H450" s="218">
        <v>42816</v>
      </c>
      <c r="I450" s="164" t="s">
        <v>409</v>
      </c>
      <c r="J450" s="219">
        <f t="shared" si="99"/>
        <v>186</v>
      </c>
      <c r="K450" s="219">
        <v>186</v>
      </c>
      <c r="L450" s="219">
        <v>0</v>
      </c>
      <c r="M450" s="219"/>
      <c r="N450" s="223">
        <v>3.0999999999999996</v>
      </c>
      <c r="O450" s="223">
        <v>0</v>
      </c>
      <c r="P450" s="224">
        <v>1</v>
      </c>
      <c r="Q450" s="53"/>
      <c r="R450" s="54" t="s">
        <v>158</v>
      </c>
      <c r="S450" s="54" t="s">
        <v>158</v>
      </c>
      <c r="T450" s="54" t="s">
        <v>158</v>
      </c>
      <c r="U450" s="54" t="s">
        <v>158</v>
      </c>
      <c r="V450" s="211" t="s">
        <v>616</v>
      </c>
      <c r="W450" s="53"/>
      <c r="X450" s="53">
        <f t="shared" si="100"/>
        <v>0</v>
      </c>
      <c r="Y450" s="55"/>
      <c r="Z450" s="55"/>
      <c r="AA450" s="52">
        <f t="shared" si="101"/>
        <v>0</v>
      </c>
      <c r="AB450" s="53">
        <f t="shared" si="102"/>
        <v>0</v>
      </c>
      <c r="AC450" s="53">
        <f t="shared" si="103"/>
        <v>0</v>
      </c>
      <c r="AD450" s="53">
        <f t="shared" si="104"/>
        <v>0</v>
      </c>
      <c r="AE450" s="53">
        <f t="shared" si="105"/>
        <v>0</v>
      </c>
      <c r="AF450" s="53">
        <f t="shared" si="106"/>
        <v>0</v>
      </c>
      <c r="AG450" s="56">
        <f t="shared" si="107"/>
        <v>0</v>
      </c>
      <c r="AH450" s="53">
        <f t="shared" si="108"/>
        <v>0</v>
      </c>
      <c r="AI450" s="55"/>
      <c r="AJ450" s="53">
        <f t="shared" si="109"/>
        <v>0</v>
      </c>
      <c r="AK450" s="53">
        <f t="shared" si="110"/>
        <v>0</v>
      </c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7"/>
      <c r="AW450" s="57"/>
      <c r="AX450" s="57"/>
    </row>
    <row r="451" spans="2:50">
      <c r="B451" s="45">
        <v>433</v>
      </c>
      <c r="C451" s="214" t="s">
        <v>574</v>
      </c>
      <c r="D451" s="215" t="s">
        <v>716</v>
      </c>
      <c r="E451" s="215" t="s">
        <v>725</v>
      </c>
      <c r="F451" s="216" t="s">
        <v>726</v>
      </c>
      <c r="G451" s="217" t="s">
        <v>618</v>
      </c>
      <c r="H451" s="218">
        <v>42816</v>
      </c>
      <c r="I451" s="164" t="s">
        <v>409</v>
      </c>
      <c r="J451" s="219">
        <f t="shared" si="99"/>
        <v>3</v>
      </c>
      <c r="K451" s="219">
        <v>3</v>
      </c>
      <c r="L451" s="219">
        <v>0</v>
      </c>
      <c r="M451" s="219"/>
      <c r="N451" s="225">
        <v>0.05</v>
      </c>
      <c r="O451" s="226">
        <v>0</v>
      </c>
      <c r="P451" s="227">
        <v>1</v>
      </c>
      <c r="Q451" s="53"/>
      <c r="R451" s="54" t="s">
        <v>158</v>
      </c>
      <c r="S451" s="54" t="s">
        <v>158</v>
      </c>
      <c r="T451" s="54" t="s">
        <v>158</v>
      </c>
      <c r="U451" s="54" t="s">
        <v>158</v>
      </c>
      <c r="V451" s="211" t="s">
        <v>616</v>
      </c>
      <c r="W451" s="53"/>
      <c r="X451" s="53">
        <f t="shared" si="100"/>
        <v>0</v>
      </c>
      <c r="Y451" s="55"/>
      <c r="Z451" s="55"/>
      <c r="AA451" s="52">
        <f t="shared" si="101"/>
        <v>0</v>
      </c>
      <c r="AB451" s="53">
        <f t="shared" si="102"/>
        <v>0</v>
      </c>
      <c r="AC451" s="53">
        <f t="shared" si="103"/>
        <v>0</v>
      </c>
      <c r="AD451" s="53">
        <f t="shared" si="104"/>
        <v>0</v>
      </c>
      <c r="AE451" s="53">
        <f t="shared" si="105"/>
        <v>0</v>
      </c>
      <c r="AF451" s="53">
        <f t="shared" si="106"/>
        <v>0</v>
      </c>
      <c r="AG451" s="56">
        <f t="shared" si="107"/>
        <v>0</v>
      </c>
      <c r="AH451" s="53">
        <f t="shared" si="108"/>
        <v>0</v>
      </c>
      <c r="AI451" s="55"/>
      <c r="AJ451" s="53">
        <f t="shared" si="109"/>
        <v>0</v>
      </c>
      <c r="AK451" s="53">
        <f t="shared" si="110"/>
        <v>0</v>
      </c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7"/>
      <c r="AW451" s="57"/>
      <c r="AX451" s="57"/>
    </row>
    <row r="452" spans="2:50">
      <c r="B452" s="45">
        <v>434</v>
      </c>
      <c r="C452" s="214" t="s">
        <v>574</v>
      </c>
      <c r="D452" s="215" t="s">
        <v>716</v>
      </c>
      <c r="E452" s="215" t="s">
        <v>725</v>
      </c>
      <c r="F452" s="216" t="s">
        <v>727</v>
      </c>
      <c r="G452" s="217" t="s">
        <v>618</v>
      </c>
      <c r="H452" s="218">
        <v>42816</v>
      </c>
      <c r="I452" s="164" t="s">
        <v>409</v>
      </c>
      <c r="J452" s="219">
        <f t="shared" si="99"/>
        <v>12</v>
      </c>
      <c r="K452" s="219">
        <v>12</v>
      </c>
      <c r="L452" s="219">
        <v>0</v>
      </c>
      <c r="M452" s="219"/>
      <c r="N452" s="243">
        <v>0.2</v>
      </c>
      <c r="O452" s="226">
        <v>0</v>
      </c>
      <c r="P452" s="227">
        <v>1</v>
      </c>
      <c r="Q452" s="53"/>
      <c r="R452" s="54" t="s">
        <v>158</v>
      </c>
      <c r="S452" s="54" t="s">
        <v>158</v>
      </c>
      <c r="T452" s="54" t="s">
        <v>158</v>
      </c>
      <c r="U452" s="54" t="s">
        <v>158</v>
      </c>
      <c r="V452" s="211" t="s">
        <v>616</v>
      </c>
      <c r="W452" s="53"/>
      <c r="X452" s="53">
        <f t="shared" si="100"/>
        <v>0</v>
      </c>
      <c r="Y452" s="55"/>
      <c r="Z452" s="55"/>
      <c r="AA452" s="52">
        <f t="shared" si="101"/>
        <v>0</v>
      </c>
      <c r="AB452" s="53">
        <f t="shared" si="102"/>
        <v>0</v>
      </c>
      <c r="AC452" s="53">
        <f t="shared" si="103"/>
        <v>0</v>
      </c>
      <c r="AD452" s="53">
        <f t="shared" si="104"/>
        <v>0</v>
      </c>
      <c r="AE452" s="53">
        <f t="shared" si="105"/>
        <v>0</v>
      </c>
      <c r="AF452" s="53">
        <f t="shared" si="106"/>
        <v>0</v>
      </c>
      <c r="AG452" s="56">
        <f t="shared" si="107"/>
        <v>0</v>
      </c>
      <c r="AH452" s="53">
        <f t="shared" si="108"/>
        <v>0</v>
      </c>
      <c r="AI452" s="55"/>
      <c r="AJ452" s="53">
        <f t="shared" si="109"/>
        <v>0</v>
      </c>
      <c r="AK452" s="53">
        <f t="shared" si="110"/>
        <v>0</v>
      </c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7"/>
      <c r="AW452" s="57"/>
      <c r="AX452" s="57"/>
    </row>
    <row r="453" spans="2:50">
      <c r="B453" s="45">
        <v>435</v>
      </c>
      <c r="C453" s="214" t="s">
        <v>574</v>
      </c>
      <c r="D453" s="215" t="s">
        <v>716</v>
      </c>
      <c r="E453" s="215" t="s">
        <v>725</v>
      </c>
      <c r="F453" s="216" t="s">
        <v>728</v>
      </c>
      <c r="G453" s="217" t="s">
        <v>618</v>
      </c>
      <c r="H453" s="218">
        <v>42816</v>
      </c>
      <c r="I453" s="164" t="s">
        <v>409</v>
      </c>
      <c r="J453" s="219">
        <f t="shared" si="99"/>
        <v>18</v>
      </c>
      <c r="K453" s="219">
        <v>18</v>
      </c>
      <c r="L453" s="219">
        <v>0</v>
      </c>
      <c r="M453" s="219"/>
      <c r="N453" s="243">
        <v>0.3</v>
      </c>
      <c r="O453" s="226">
        <v>0</v>
      </c>
      <c r="P453" s="227">
        <v>1</v>
      </c>
      <c r="Q453" s="53"/>
      <c r="R453" s="54" t="s">
        <v>158</v>
      </c>
      <c r="S453" s="54" t="s">
        <v>158</v>
      </c>
      <c r="T453" s="54" t="s">
        <v>158</v>
      </c>
      <c r="U453" s="54" t="s">
        <v>158</v>
      </c>
      <c r="V453" s="211" t="s">
        <v>616</v>
      </c>
      <c r="W453" s="53"/>
      <c r="X453" s="53">
        <f t="shared" si="100"/>
        <v>0</v>
      </c>
      <c r="Y453" s="55"/>
      <c r="Z453" s="55"/>
      <c r="AA453" s="52">
        <f t="shared" si="101"/>
        <v>0</v>
      </c>
      <c r="AB453" s="53">
        <f t="shared" si="102"/>
        <v>0</v>
      </c>
      <c r="AC453" s="53">
        <f t="shared" si="103"/>
        <v>0</v>
      </c>
      <c r="AD453" s="53">
        <f t="shared" si="104"/>
        <v>0</v>
      </c>
      <c r="AE453" s="53">
        <f t="shared" si="105"/>
        <v>0</v>
      </c>
      <c r="AF453" s="53">
        <f t="shared" si="106"/>
        <v>0</v>
      </c>
      <c r="AG453" s="56">
        <f t="shared" si="107"/>
        <v>0</v>
      </c>
      <c r="AH453" s="53">
        <f t="shared" si="108"/>
        <v>0</v>
      </c>
      <c r="AI453" s="55"/>
      <c r="AJ453" s="53">
        <f t="shared" si="109"/>
        <v>0</v>
      </c>
      <c r="AK453" s="53">
        <f t="shared" si="110"/>
        <v>0</v>
      </c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7"/>
      <c r="AW453" s="57"/>
      <c r="AX453" s="57"/>
    </row>
    <row r="454" spans="2:50">
      <c r="B454" s="45">
        <v>436</v>
      </c>
      <c r="C454" s="214" t="s">
        <v>574</v>
      </c>
      <c r="D454" s="215" t="s">
        <v>716</v>
      </c>
      <c r="E454" s="215" t="s">
        <v>725</v>
      </c>
      <c r="F454" s="216" t="s">
        <v>729</v>
      </c>
      <c r="G454" s="217" t="s">
        <v>618</v>
      </c>
      <c r="H454" s="218">
        <v>42816</v>
      </c>
      <c r="I454" s="164" t="s">
        <v>409</v>
      </c>
      <c r="J454" s="219">
        <f t="shared" si="99"/>
        <v>18</v>
      </c>
      <c r="K454" s="219">
        <v>18</v>
      </c>
      <c r="L454" s="219">
        <v>0</v>
      </c>
      <c r="M454" s="219"/>
      <c r="N454" s="243">
        <v>0.3</v>
      </c>
      <c r="O454" s="226">
        <v>0</v>
      </c>
      <c r="P454" s="227">
        <v>1</v>
      </c>
      <c r="Q454" s="53"/>
      <c r="R454" s="54" t="s">
        <v>158</v>
      </c>
      <c r="S454" s="54" t="s">
        <v>158</v>
      </c>
      <c r="T454" s="54" t="s">
        <v>158</v>
      </c>
      <c r="U454" s="54" t="s">
        <v>158</v>
      </c>
      <c r="V454" s="211" t="s">
        <v>616</v>
      </c>
      <c r="W454" s="53"/>
      <c r="X454" s="53">
        <f t="shared" si="100"/>
        <v>0</v>
      </c>
      <c r="Y454" s="55"/>
      <c r="Z454" s="55"/>
      <c r="AA454" s="52">
        <f t="shared" si="101"/>
        <v>0</v>
      </c>
      <c r="AB454" s="53">
        <f t="shared" si="102"/>
        <v>0</v>
      </c>
      <c r="AC454" s="53">
        <f t="shared" si="103"/>
        <v>0</v>
      </c>
      <c r="AD454" s="53">
        <f t="shared" si="104"/>
        <v>0</v>
      </c>
      <c r="AE454" s="53">
        <f t="shared" si="105"/>
        <v>0</v>
      </c>
      <c r="AF454" s="53">
        <f t="shared" si="106"/>
        <v>0</v>
      </c>
      <c r="AG454" s="56">
        <f t="shared" si="107"/>
        <v>0</v>
      </c>
      <c r="AH454" s="53">
        <f t="shared" si="108"/>
        <v>0</v>
      </c>
      <c r="AI454" s="55"/>
      <c r="AJ454" s="53">
        <f t="shared" si="109"/>
        <v>0</v>
      </c>
      <c r="AK454" s="53">
        <f t="shared" si="110"/>
        <v>0</v>
      </c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7"/>
      <c r="AW454" s="57"/>
      <c r="AX454" s="57"/>
    </row>
    <row r="455" spans="2:50">
      <c r="B455" s="45">
        <v>437</v>
      </c>
      <c r="C455" s="214" t="s">
        <v>574</v>
      </c>
      <c r="D455" s="215" t="s">
        <v>716</v>
      </c>
      <c r="E455" s="215" t="s">
        <v>725</v>
      </c>
      <c r="F455" s="216" t="s">
        <v>730</v>
      </c>
      <c r="G455" s="217" t="s">
        <v>618</v>
      </c>
      <c r="H455" s="218">
        <v>42816</v>
      </c>
      <c r="I455" s="164" t="s">
        <v>409</v>
      </c>
      <c r="J455" s="219">
        <f t="shared" si="99"/>
        <v>6</v>
      </c>
      <c r="K455" s="219">
        <v>6</v>
      </c>
      <c r="L455" s="219">
        <v>0</v>
      </c>
      <c r="M455" s="219"/>
      <c r="N455" s="243">
        <v>0.1</v>
      </c>
      <c r="O455" s="226">
        <v>0</v>
      </c>
      <c r="P455" s="227">
        <v>1</v>
      </c>
      <c r="Q455" s="53"/>
      <c r="R455" s="54" t="s">
        <v>158</v>
      </c>
      <c r="S455" s="54" t="s">
        <v>158</v>
      </c>
      <c r="T455" s="54" t="s">
        <v>158</v>
      </c>
      <c r="U455" s="54" t="s">
        <v>158</v>
      </c>
      <c r="V455" s="211" t="s">
        <v>616</v>
      </c>
      <c r="W455" s="53"/>
      <c r="X455" s="53">
        <f t="shared" si="100"/>
        <v>0</v>
      </c>
      <c r="Y455" s="55"/>
      <c r="Z455" s="55"/>
      <c r="AA455" s="52">
        <f t="shared" si="101"/>
        <v>0</v>
      </c>
      <c r="AB455" s="53">
        <f t="shared" si="102"/>
        <v>0</v>
      </c>
      <c r="AC455" s="53">
        <f t="shared" si="103"/>
        <v>0</v>
      </c>
      <c r="AD455" s="53">
        <f t="shared" si="104"/>
        <v>0</v>
      </c>
      <c r="AE455" s="53">
        <f t="shared" si="105"/>
        <v>0</v>
      </c>
      <c r="AF455" s="53">
        <f t="shared" si="106"/>
        <v>0</v>
      </c>
      <c r="AG455" s="56">
        <f t="shared" si="107"/>
        <v>0</v>
      </c>
      <c r="AH455" s="53">
        <f t="shared" si="108"/>
        <v>0</v>
      </c>
      <c r="AI455" s="55"/>
      <c r="AJ455" s="53">
        <f t="shared" si="109"/>
        <v>0</v>
      </c>
      <c r="AK455" s="53">
        <f t="shared" si="110"/>
        <v>0</v>
      </c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7"/>
      <c r="AW455" s="57"/>
      <c r="AX455" s="57"/>
    </row>
    <row r="456" spans="2:50">
      <c r="B456" s="45">
        <v>438</v>
      </c>
      <c r="C456" s="214" t="s">
        <v>574</v>
      </c>
      <c r="D456" s="215" t="s">
        <v>716</v>
      </c>
      <c r="E456" s="215" t="s">
        <v>725</v>
      </c>
      <c r="F456" s="216" t="s">
        <v>731</v>
      </c>
      <c r="G456" s="217" t="s">
        <v>618</v>
      </c>
      <c r="H456" s="218">
        <v>42816</v>
      </c>
      <c r="I456" s="164" t="s">
        <v>409</v>
      </c>
      <c r="J456" s="219">
        <f t="shared" si="99"/>
        <v>2166</v>
      </c>
      <c r="K456" s="219">
        <v>6</v>
      </c>
      <c r="L456" s="219">
        <v>2160</v>
      </c>
      <c r="M456" s="219"/>
      <c r="N456" s="243">
        <v>0.1</v>
      </c>
      <c r="O456" s="244">
        <v>36</v>
      </c>
      <c r="P456" s="245">
        <v>1</v>
      </c>
      <c r="Q456" s="53"/>
      <c r="R456" s="54" t="s">
        <v>158</v>
      </c>
      <c r="S456" s="54" t="s">
        <v>158</v>
      </c>
      <c r="T456" s="54" t="s">
        <v>158</v>
      </c>
      <c r="U456" s="54" t="s">
        <v>158</v>
      </c>
      <c r="V456" s="211" t="s">
        <v>616</v>
      </c>
      <c r="W456" s="53"/>
      <c r="X456" s="53">
        <f t="shared" si="100"/>
        <v>0</v>
      </c>
      <c r="Y456" s="55"/>
      <c r="Z456" s="55"/>
      <c r="AA456" s="52">
        <f t="shared" si="101"/>
        <v>0</v>
      </c>
      <c r="AB456" s="53">
        <f t="shared" si="102"/>
        <v>0</v>
      </c>
      <c r="AC456" s="53">
        <f t="shared" si="103"/>
        <v>0</v>
      </c>
      <c r="AD456" s="53">
        <f t="shared" si="104"/>
        <v>0</v>
      </c>
      <c r="AE456" s="53">
        <f t="shared" si="105"/>
        <v>0</v>
      </c>
      <c r="AF456" s="53">
        <f t="shared" si="106"/>
        <v>0</v>
      </c>
      <c r="AG456" s="56">
        <f t="shared" si="107"/>
        <v>0</v>
      </c>
      <c r="AH456" s="53">
        <f t="shared" si="108"/>
        <v>0</v>
      </c>
      <c r="AI456" s="55"/>
      <c r="AJ456" s="53">
        <f t="shared" si="109"/>
        <v>0</v>
      </c>
      <c r="AK456" s="53">
        <f t="shared" si="110"/>
        <v>0</v>
      </c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7"/>
      <c r="AW456" s="57"/>
      <c r="AX456" s="57"/>
    </row>
    <row r="457" spans="2:50">
      <c r="B457" s="45">
        <v>439</v>
      </c>
      <c r="C457" s="214" t="s">
        <v>574</v>
      </c>
      <c r="D457" s="215" t="s">
        <v>732</v>
      </c>
      <c r="E457" s="215" t="s">
        <v>733</v>
      </c>
      <c r="F457" s="216" t="s">
        <v>734</v>
      </c>
      <c r="G457" s="217" t="s">
        <v>578</v>
      </c>
      <c r="H457" s="218">
        <v>42150</v>
      </c>
      <c r="I457" s="164" t="s">
        <v>409</v>
      </c>
      <c r="J457" s="219">
        <f t="shared" si="99"/>
        <v>18</v>
      </c>
      <c r="K457" s="219">
        <v>18</v>
      </c>
      <c r="L457" s="219">
        <v>0</v>
      </c>
      <c r="M457" s="219"/>
      <c r="N457" s="221">
        <v>0.3</v>
      </c>
      <c r="O457" s="221">
        <v>0</v>
      </c>
      <c r="P457" s="222">
        <v>2</v>
      </c>
      <c r="Q457" s="53"/>
      <c r="R457" s="54" t="s">
        <v>158</v>
      </c>
      <c r="S457" s="54" t="s">
        <v>158</v>
      </c>
      <c r="T457" s="54" t="s">
        <v>158</v>
      </c>
      <c r="U457" s="54" t="s">
        <v>158</v>
      </c>
      <c r="V457" s="211" t="s">
        <v>735</v>
      </c>
      <c r="W457" s="53"/>
      <c r="X457" s="53">
        <f t="shared" si="100"/>
        <v>0</v>
      </c>
      <c r="Y457" s="55"/>
      <c r="Z457" s="55"/>
      <c r="AA457" s="52">
        <f t="shared" si="101"/>
        <v>0</v>
      </c>
      <c r="AB457" s="53">
        <f t="shared" si="102"/>
        <v>0</v>
      </c>
      <c r="AC457" s="53">
        <f t="shared" si="103"/>
        <v>0</v>
      </c>
      <c r="AD457" s="53">
        <f t="shared" si="104"/>
        <v>0</v>
      </c>
      <c r="AE457" s="53">
        <f t="shared" si="105"/>
        <v>0</v>
      </c>
      <c r="AF457" s="53">
        <f t="shared" si="106"/>
        <v>0</v>
      </c>
      <c r="AG457" s="56">
        <f t="shared" si="107"/>
        <v>0</v>
      </c>
      <c r="AH457" s="53">
        <f t="shared" si="108"/>
        <v>0</v>
      </c>
      <c r="AI457" s="55"/>
      <c r="AJ457" s="53">
        <f t="shared" si="109"/>
        <v>0</v>
      </c>
      <c r="AK457" s="53">
        <f t="shared" si="110"/>
        <v>0</v>
      </c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7"/>
      <c r="AW457" s="57"/>
      <c r="AX457" s="57"/>
    </row>
    <row r="458" spans="2:50">
      <c r="B458" s="45">
        <v>440</v>
      </c>
      <c r="C458" s="214" t="s">
        <v>574</v>
      </c>
      <c r="D458" s="215" t="s">
        <v>732</v>
      </c>
      <c r="E458" s="215" t="s">
        <v>733</v>
      </c>
      <c r="F458" s="216" t="s">
        <v>736</v>
      </c>
      <c r="G458" s="217" t="s">
        <v>578</v>
      </c>
      <c r="H458" s="218">
        <v>43472</v>
      </c>
      <c r="I458" s="164" t="s">
        <v>409</v>
      </c>
      <c r="J458" s="219">
        <f t="shared" si="99"/>
        <v>504</v>
      </c>
      <c r="K458" s="219">
        <v>504</v>
      </c>
      <c r="L458" s="219">
        <v>0</v>
      </c>
      <c r="M458" s="219"/>
      <c r="N458" s="228">
        <v>6.9000000000000012</v>
      </c>
      <c r="O458" s="228">
        <v>0</v>
      </c>
      <c r="P458" s="229">
        <v>2</v>
      </c>
      <c r="Q458" s="53"/>
      <c r="R458" s="54" t="s">
        <v>158</v>
      </c>
      <c r="S458" s="54" t="s">
        <v>158</v>
      </c>
      <c r="T458" s="54" t="s">
        <v>158</v>
      </c>
      <c r="U458" s="54" t="s">
        <v>158</v>
      </c>
      <c r="V458" s="211" t="s">
        <v>735</v>
      </c>
      <c r="W458" s="53"/>
      <c r="X458" s="53">
        <f t="shared" si="100"/>
        <v>0</v>
      </c>
      <c r="Y458" s="55"/>
      <c r="Z458" s="55"/>
      <c r="AA458" s="52">
        <f t="shared" si="101"/>
        <v>0</v>
      </c>
      <c r="AB458" s="53">
        <f t="shared" si="102"/>
        <v>0</v>
      </c>
      <c r="AC458" s="53">
        <f t="shared" si="103"/>
        <v>0</v>
      </c>
      <c r="AD458" s="53">
        <f t="shared" si="104"/>
        <v>0</v>
      </c>
      <c r="AE458" s="53">
        <f t="shared" si="105"/>
        <v>0</v>
      </c>
      <c r="AF458" s="53">
        <f t="shared" si="106"/>
        <v>0</v>
      </c>
      <c r="AG458" s="56">
        <f t="shared" si="107"/>
        <v>0</v>
      </c>
      <c r="AH458" s="53">
        <f t="shared" si="108"/>
        <v>0</v>
      </c>
      <c r="AI458" s="55"/>
      <c r="AJ458" s="53">
        <f t="shared" si="109"/>
        <v>0</v>
      </c>
      <c r="AK458" s="53">
        <f t="shared" si="110"/>
        <v>0</v>
      </c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7"/>
      <c r="AW458" s="57"/>
      <c r="AX458" s="57"/>
    </row>
    <row r="459" spans="2:50">
      <c r="B459" s="45">
        <v>441</v>
      </c>
      <c r="C459" s="214" t="s">
        <v>574</v>
      </c>
      <c r="D459" s="215" t="s">
        <v>732</v>
      </c>
      <c r="E459" s="215" t="s">
        <v>733</v>
      </c>
      <c r="F459" s="216" t="s">
        <v>737</v>
      </c>
      <c r="G459" s="217" t="s">
        <v>578</v>
      </c>
      <c r="H459" s="218">
        <v>41995</v>
      </c>
      <c r="I459" s="164" t="s">
        <v>409</v>
      </c>
      <c r="J459" s="219">
        <f t="shared" ref="J459:J522" si="111">SUM(K459:L459)</f>
        <v>96</v>
      </c>
      <c r="K459" s="219">
        <v>96</v>
      </c>
      <c r="L459" s="219">
        <v>0</v>
      </c>
      <c r="M459" s="219"/>
      <c r="N459" s="221">
        <v>1.4000000000000001</v>
      </c>
      <c r="O459" s="221">
        <v>0</v>
      </c>
      <c r="P459" s="222">
        <v>2</v>
      </c>
      <c r="Q459" s="53"/>
      <c r="R459" s="54" t="s">
        <v>158</v>
      </c>
      <c r="S459" s="54" t="s">
        <v>158</v>
      </c>
      <c r="T459" s="54" t="s">
        <v>158</v>
      </c>
      <c r="U459" s="54" t="s">
        <v>158</v>
      </c>
      <c r="V459" s="211" t="s">
        <v>735</v>
      </c>
      <c r="W459" s="53"/>
      <c r="X459" s="53">
        <f t="shared" si="100"/>
        <v>0</v>
      </c>
      <c r="Y459" s="55"/>
      <c r="Z459" s="55"/>
      <c r="AA459" s="52">
        <f t="shared" si="101"/>
        <v>0</v>
      </c>
      <c r="AB459" s="53">
        <f t="shared" si="102"/>
        <v>0</v>
      </c>
      <c r="AC459" s="53">
        <f t="shared" si="103"/>
        <v>0</v>
      </c>
      <c r="AD459" s="53">
        <f t="shared" si="104"/>
        <v>0</v>
      </c>
      <c r="AE459" s="53">
        <f t="shared" si="105"/>
        <v>0</v>
      </c>
      <c r="AF459" s="53">
        <f t="shared" si="106"/>
        <v>0</v>
      </c>
      <c r="AG459" s="56">
        <f t="shared" si="107"/>
        <v>0</v>
      </c>
      <c r="AH459" s="53">
        <f t="shared" si="108"/>
        <v>0</v>
      </c>
      <c r="AI459" s="55"/>
      <c r="AJ459" s="53">
        <f t="shared" si="109"/>
        <v>0</v>
      </c>
      <c r="AK459" s="53">
        <f t="shared" si="110"/>
        <v>0</v>
      </c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7"/>
      <c r="AW459" s="57"/>
      <c r="AX459" s="57"/>
    </row>
    <row r="460" spans="2:50">
      <c r="B460" s="45">
        <v>442</v>
      </c>
      <c r="C460" s="214" t="s">
        <v>574</v>
      </c>
      <c r="D460" s="215" t="s">
        <v>732</v>
      </c>
      <c r="E460" s="215" t="s">
        <v>733</v>
      </c>
      <c r="F460" s="216" t="s">
        <v>738</v>
      </c>
      <c r="G460" s="217" t="s">
        <v>578</v>
      </c>
      <c r="H460" s="218">
        <v>42150</v>
      </c>
      <c r="I460" s="164" t="s">
        <v>409</v>
      </c>
      <c r="J460" s="219">
        <f t="shared" si="111"/>
        <v>600</v>
      </c>
      <c r="K460" s="219">
        <v>108</v>
      </c>
      <c r="L460" s="219">
        <v>492</v>
      </c>
      <c r="M460" s="219"/>
      <c r="N460" s="221">
        <v>1.8</v>
      </c>
      <c r="O460" s="221">
        <v>8.1999999999999993</v>
      </c>
      <c r="P460" s="222">
        <v>2</v>
      </c>
      <c r="Q460" s="53"/>
      <c r="R460" s="54" t="s">
        <v>158</v>
      </c>
      <c r="S460" s="54" t="s">
        <v>158</v>
      </c>
      <c r="T460" s="54" t="s">
        <v>158</v>
      </c>
      <c r="U460" s="54" t="s">
        <v>158</v>
      </c>
      <c r="V460" s="211" t="s">
        <v>735</v>
      </c>
      <c r="W460" s="53"/>
      <c r="X460" s="53">
        <f t="shared" si="100"/>
        <v>0</v>
      </c>
      <c r="Y460" s="55"/>
      <c r="Z460" s="55"/>
      <c r="AA460" s="52">
        <f t="shared" si="101"/>
        <v>0</v>
      </c>
      <c r="AB460" s="53">
        <f t="shared" si="102"/>
        <v>0</v>
      </c>
      <c r="AC460" s="53">
        <f t="shared" si="103"/>
        <v>0</v>
      </c>
      <c r="AD460" s="53">
        <f t="shared" si="104"/>
        <v>0</v>
      </c>
      <c r="AE460" s="53">
        <f t="shared" si="105"/>
        <v>0</v>
      </c>
      <c r="AF460" s="53">
        <f t="shared" si="106"/>
        <v>0</v>
      </c>
      <c r="AG460" s="56">
        <f t="shared" si="107"/>
        <v>0</v>
      </c>
      <c r="AH460" s="53">
        <f t="shared" si="108"/>
        <v>0</v>
      </c>
      <c r="AI460" s="55"/>
      <c r="AJ460" s="53">
        <f t="shared" si="109"/>
        <v>0</v>
      </c>
      <c r="AK460" s="53">
        <f t="shared" si="110"/>
        <v>0</v>
      </c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7"/>
      <c r="AW460" s="57"/>
      <c r="AX460" s="57"/>
    </row>
    <row r="461" spans="2:50">
      <c r="B461" s="45">
        <v>443</v>
      </c>
      <c r="C461" s="214" t="s">
        <v>574</v>
      </c>
      <c r="D461" s="215" t="s">
        <v>732</v>
      </c>
      <c r="E461" s="215" t="s">
        <v>733</v>
      </c>
      <c r="F461" s="216" t="s">
        <v>739</v>
      </c>
      <c r="G461" s="217" t="s">
        <v>578</v>
      </c>
      <c r="H461" s="218">
        <v>41995</v>
      </c>
      <c r="I461" s="164" t="s">
        <v>409</v>
      </c>
      <c r="J461" s="219">
        <f t="shared" si="111"/>
        <v>90</v>
      </c>
      <c r="K461" s="219">
        <v>90</v>
      </c>
      <c r="L461" s="219">
        <v>0</v>
      </c>
      <c r="M461" s="219"/>
      <c r="N461" s="221">
        <v>1.5</v>
      </c>
      <c r="O461" s="221">
        <v>0</v>
      </c>
      <c r="P461" s="222">
        <v>2</v>
      </c>
      <c r="Q461" s="53"/>
      <c r="R461" s="54" t="s">
        <v>158</v>
      </c>
      <c r="S461" s="54" t="s">
        <v>158</v>
      </c>
      <c r="T461" s="54" t="s">
        <v>158</v>
      </c>
      <c r="U461" s="54" t="s">
        <v>158</v>
      </c>
      <c r="V461" s="211" t="s">
        <v>735</v>
      </c>
      <c r="W461" s="53"/>
      <c r="X461" s="53">
        <f t="shared" si="100"/>
        <v>0</v>
      </c>
      <c r="Y461" s="55"/>
      <c r="Z461" s="55"/>
      <c r="AA461" s="52">
        <f t="shared" si="101"/>
        <v>0</v>
      </c>
      <c r="AB461" s="53">
        <f t="shared" si="102"/>
        <v>0</v>
      </c>
      <c r="AC461" s="53">
        <f t="shared" si="103"/>
        <v>0</v>
      </c>
      <c r="AD461" s="53">
        <f t="shared" si="104"/>
        <v>0</v>
      </c>
      <c r="AE461" s="53">
        <f t="shared" si="105"/>
        <v>0</v>
      </c>
      <c r="AF461" s="53">
        <f t="shared" si="106"/>
        <v>0</v>
      </c>
      <c r="AG461" s="56">
        <f t="shared" si="107"/>
        <v>0</v>
      </c>
      <c r="AH461" s="53">
        <f t="shared" si="108"/>
        <v>0</v>
      </c>
      <c r="AI461" s="55"/>
      <c r="AJ461" s="53">
        <f t="shared" si="109"/>
        <v>0</v>
      </c>
      <c r="AK461" s="53">
        <f t="shared" si="110"/>
        <v>0</v>
      </c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7"/>
      <c r="AW461" s="57"/>
      <c r="AX461" s="57"/>
    </row>
    <row r="462" spans="2:50">
      <c r="B462" s="45">
        <v>444</v>
      </c>
      <c r="C462" s="214" t="s">
        <v>574</v>
      </c>
      <c r="D462" s="215" t="s">
        <v>732</v>
      </c>
      <c r="E462" s="215" t="s">
        <v>740</v>
      </c>
      <c r="F462" s="216" t="s">
        <v>741</v>
      </c>
      <c r="G462" s="217" t="s">
        <v>578</v>
      </c>
      <c r="H462" s="218">
        <v>42080</v>
      </c>
      <c r="I462" s="164" t="s">
        <v>409</v>
      </c>
      <c r="J462" s="219">
        <f t="shared" si="111"/>
        <v>66</v>
      </c>
      <c r="K462" s="219">
        <v>66</v>
      </c>
      <c r="L462" s="219">
        <v>0</v>
      </c>
      <c r="M462" s="219"/>
      <c r="N462" s="221">
        <v>1.1000000000000001</v>
      </c>
      <c r="O462" s="221">
        <v>0</v>
      </c>
      <c r="P462" s="222">
        <v>2</v>
      </c>
      <c r="Q462" s="53"/>
      <c r="R462" s="54" t="s">
        <v>158</v>
      </c>
      <c r="S462" s="54" t="s">
        <v>158</v>
      </c>
      <c r="T462" s="54" t="s">
        <v>158</v>
      </c>
      <c r="U462" s="54" t="s">
        <v>158</v>
      </c>
      <c r="V462" s="211" t="s">
        <v>735</v>
      </c>
      <c r="W462" s="53"/>
      <c r="X462" s="53">
        <f t="shared" ref="X462:X485" si="112">SUMIF(W462,"Y",K462)</f>
        <v>0</v>
      </c>
      <c r="Y462" s="55"/>
      <c r="Z462" s="55"/>
      <c r="AA462" s="52">
        <f t="shared" ref="AA462:AA485" si="113">(COUNTA(AL462:AU462)-COUNTIF(AL462:AU462, "X"))</f>
        <v>0</v>
      </c>
      <c r="AB462" s="53">
        <f t="shared" ref="AB462:AB485" si="114">(COUNTA(AL462:AU462)-COUNTIF(AL462:AU462, "X"))*P462*K462</f>
        <v>0</v>
      </c>
      <c r="AC462" s="53">
        <f t="shared" ref="AC462:AC485" si="115">COUNTIF(AL462:AU462,"A")</f>
        <v>0</v>
      </c>
      <c r="AD462" s="53">
        <f t="shared" ref="AD462:AD485" si="116">COUNTIF(AL462:AU462,"V")*P462*M462</f>
        <v>0</v>
      </c>
      <c r="AE462" s="53">
        <f t="shared" ref="AE462:AE485" si="117">COUNTIF(AL462:AU462,"L")</f>
        <v>0</v>
      </c>
      <c r="AF462" s="53">
        <f t="shared" ref="AF462:AF485" si="118">COUNTIF(AL462:AU462,"L")*K462*P462</f>
        <v>0</v>
      </c>
      <c r="AG462" s="56">
        <f t="shared" ref="AG462:AG485" si="119">IF(Q462="Y",1,0)</f>
        <v>0</v>
      </c>
      <c r="AH462" s="53">
        <f t="shared" ref="AH462:AH485" si="120">IF(Q462="Y", AA462, 0)*K462*P462/2</f>
        <v>0</v>
      </c>
      <c r="AI462" s="55"/>
      <c r="AJ462" s="53">
        <f t="shared" ref="AJ462:AJ485" si="121">COUNTIF(AL462:AU462, "V")</f>
        <v>0</v>
      </c>
      <c r="AK462" s="53">
        <f t="shared" ref="AK462:AK485" si="122">AB462-AD462-AF462-AH462</f>
        <v>0</v>
      </c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7"/>
      <c r="AW462" s="57"/>
      <c r="AX462" s="57"/>
    </row>
    <row r="463" spans="2:50">
      <c r="B463" s="45">
        <v>445</v>
      </c>
      <c r="C463" s="214" t="s">
        <v>574</v>
      </c>
      <c r="D463" s="215" t="s">
        <v>732</v>
      </c>
      <c r="E463" s="215" t="s">
        <v>742</v>
      </c>
      <c r="F463" s="216" t="s">
        <v>743</v>
      </c>
      <c r="G463" s="217" t="s">
        <v>578</v>
      </c>
      <c r="H463" s="218" t="s">
        <v>744</v>
      </c>
      <c r="I463" s="164" t="s">
        <v>409</v>
      </c>
      <c r="J463" s="219">
        <f t="shared" si="111"/>
        <v>24</v>
      </c>
      <c r="K463" s="219">
        <v>18</v>
      </c>
      <c r="L463" s="219">
        <v>6</v>
      </c>
      <c r="M463" s="219"/>
      <c r="N463" s="221">
        <v>0.3</v>
      </c>
      <c r="O463" s="221">
        <v>0.1</v>
      </c>
      <c r="P463" s="222">
        <v>2</v>
      </c>
      <c r="Q463" s="53"/>
      <c r="R463" s="54" t="s">
        <v>158</v>
      </c>
      <c r="S463" s="54" t="s">
        <v>158</v>
      </c>
      <c r="T463" s="54" t="s">
        <v>158</v>
      </c>
      <c r="U463" s="54" t="s">
        <v>158</v>
      </c>
      <c r="V463" s="211" t="s">
        <v>735</v>
      </c>
      <c r="W463" s="53"/>
      <c r="X463" s="53">
        <f t="shared" si="112"/>
        <v>0</v>
      </c>
      <c r="Y463" s="55"/>
      <c r="Z463" s="55"/>
      <c r="AA463" s="52">
        <f t="shared" si="113"/>
        <v>0</v>
      </c>
      <c r="AB463" s="53">
        <f t="shared" si="114"/>
        <v>0</v>
      </c>
      <c r="AC463" s="53">
        <f t="shared" si="115"/>
        <v>0</v>
      </c>
      <c r="AD463" s="53">
        <f t="shared" si="116"/>
        <v>0</v>
      </c>
      <c r="AE463" s="53">
        <f t="shared" si="117"/>
        <v>0</v>
      </c>
      <c r="AF463" s="53">
        <f t="shared" si="118"/>
        <v>0</v>
      </c>
      <c r="AG463" s="56">
        <f t="shared" si="119"/>
        <v>0</v>
      </c>
      <c r="AH463" s="53">
        <f t="shared" si="120"/>
        <v>0</v>
      </c>
      <c r="AI463" s="55"/>
      <c r="AJ463" s="53">
        <f t="shared" si="121"/>
        <v>0</v>
      </c>
      <c r="AK463" s="53">
        <f t="shared" si="122"/>
        <v>0</v>
      </c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7"/>
      <c r="AW463" s="57"/>
      <c r="AX463" s="57"/>
    </row>
    <row r="464" spans="2:50">
      <c r="B464" s="45">
        <v>446</v>
      </c>
      <c r="C464" s="214" t="s">
        <v>574</v>
      </c>
      <c r="D464" s="215" t="s">
        <v>732</v>
      </c>
      <c r="E464" s="215" t="s">
        <v>742</v>
      </c>
      <c r="F464" s="216" t="s">
        <v>745</v>
      </c>
      <c r="G464" s="217" t="s">
        <v>578</v>
      </c>
      <c r="H464" s="218">
        <v>42929</v>
      </c>
      <c r="I464" s="164" t="s">
        <v>409</v>
      </c>
      <c r="J464" s="219">
        <f t="shared" si="111"/>
        <v>78</v>
      </c>
      <c r="K464" s="219">
        <v>60</v>
      </c>
      <c r="L464" s="219">
        <v>18</v>
      </c>
      <c r="M464" s="219"/>
      <c r="N464" s="228">
        <v>1</v>
      </c>
      <c r="O464" s="228">
        <v>0.30000000000000004</v>
      </c>
      <c r="P464" s="229">
        <v>2</v>
      </c>
      <c r="Q464" s="53"/>
      <c r="R464" s="54" t="s">
        <v>158</v>
      </c>
      <c r="S464" s="54" t="s">
        <v>158</v>
      </c>
      <c r="T464" s="54" t="s">
        <v>158</v>
      </c>
      <c r="U464" s="54" t="s">
        <v>158</v>
      </c>
      <c r="V464" s="211" t="s">
        <v>735</v>
      </c>
      <c r="W464" s="53"/>
      <c r="X464" s="53">
        <f t="shared" si="112"/>
        <v>0</v>
      </c>
      <c r="Y464" s="55"/>
      <c r="Z464" s="55"/>
      <c r="AA464" s="52">
        <f t="shared" si="113"/>
        <v>0</v>
      </c>
      <c r="AB464" s="53">
        <f t="shared" si="114"/>
        <v>0</v>
      </c>
      <c r="AC464" s="53">
        <f t="shared" si="115"/>
        <v>0</v>
      </c>
      <c r="AD464" s="53">
        <f t="shared" si="116"/>
        <v>0</v>
      </c>
      <c r="AE464" s="53">
        <f t="shared" si="117"/>
        <v>0</v>
      </c>
      <c r="AF464" s="53">
        <f t="shared" si="118"/>
        <v>0</v>
      </c>
      <c r="AG464" s="56">
        <f t="shared" si="119"/>
        <v>0</v>
      </c>
      <c r="AH464" s="53">
        <f t="shared" si="120"/>
        <v>0</v>
      </c>
      <c r="AI464" s="55"/>
      <c r="AJ464" s="53">
        <f t="shared" si="121"/>
        <v>0</v>
      </c>
      <c r="AK464" s="53">
        <f t="shared" si="122"/>
        <v>0</v>
      </c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7"/>
      <c r="AW464" s="57"/>
      <c r="AX464" s="57"/>
    </row>
    <row r="465" spans="2:50">
      <c r="B465" s="45">
        <v>447</v>
      </c>
      <c r="C465" s="214" t="s">
        <v>574</v>
      </c>
      <c r="D465" s="215" t="s">
        <v>732</v>
      </c>
      <c r="E465" s="215" t="s">
        <v>742</v>
      </c>
      <c r="F465" s="216" t="s">
        <v>746</v>
      </c>
      <c r="G465" s="217" t="s">
        <v>578</v>
      </c>
      <c r="H465" s="218">
        <v>43047</v>
      </c>
      <c r="I465" s="164" t="s">
        <v>409</v>
      </c>
      <c r="J465" s="219">
        <f t="shared" si="111"/>
        <v>60</v>
      </c>
      <c r="K465" s="219">
        <v>30</v>
      </c>
      <c r="L465" s="219">
        <v>30</v>
      </c>
      <c r="M465" s="219"/>
      <c r="N465" s="223">
        <v>0.5</v>
      </c>
      <c r="O465" s="223">
        <v>0.5</v>
      </c>
      <c r="P465" s="224">
        <v>2</v>
      </c>
      <c r="Q465" s="53"/>
      <c r="R465" s="54" t="s">
        <v>158</v>
      </c>
      <c r="S465" s="54" t="s">
        <v>158</v>
      </c>
      <c r="T465" s="54" t="s">
        <v>158</v>
      </c>
      <c r="U465" s="54" t="s">
        <v>158</v>
      </c>
      <c r="V465" s="211" t="s">
        <v>735</v>
      </c>
      <c r="W465" s="53"/>
      <c r="X465" s="53">
        <f t="shared" si="112"/>
        <v>0</v>
      </c>
      <c r="Y465" s="55"/>
      <c r="Z465" s="55"/>
      <c r="AA465" s="52">
        <f t="shared" si="113"/>
        <v>0</v>
      </c>
      <c r="AB465" s="53">
        <f t="shared" si="114"/>
        <v>0</v>
      </c>
      <c r="AC465" s="53">
        <f t="shared" si="115"/>
        <v>0</v>
      </c>
      <c r="AD465" s="53">
        <f t="shared" si="116"/>
        <v>0</v>
      </c>
      <c r="AE465" s="53">
        <f t="shared" si="117"/>
        <v>0</v>
      </c>
      <c r="AF465" s="53">
        <f t="shared" si="118"/>
        <v>0</v>
      </c>
      <c r="AG465" s="56">
        <f t="shared" si="119"/>
        <v>0</v>
      </c>
      <c r="AH465" s="53">
        <f t="shared" si="120"/>
        <v>0</v>
      </c>
      <c r="AI465" s="55"/>
      <c r="AJ465" s="53">
        <f t="shared" si="121"/>
        <v>0</v>
      </c>
      <c r="AK465" s="53">
        <f t="shared" si="122"/>
        <v>0</v>
      </c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7"/>
      <c r="AW465" s="57"/>
      <c r="AX465" s="57"/>
    </row>
    <row r="466" spans="2:50">
      <c r="B466" s="45">
        <v>448</v>
      </c>
      <c r="C466" s="214" t="s">
        <v>574</v>
      </c>
      <c r="D466" s="215" t="s">
        <v>747</v>
      </c>
      <c r="E466" s="215" t="s">
        <v>748</v>
      </c>
      <c r="F466" s="216" t="s">
        <v>749</v>
      </c>
      <c r="G466" s="217" t="s">
        <v>578</v>
      </c>
      <c r="H466" s="218">
        <v>43643</v>
      </c>
      <c r="I466" s="164" t="s">
        <v>409</v>
      </c>
      <c r="J466" s="219">
        <f t="shared" si="111"/>
        <v>51</v>
      </c>
      <c r="K466" s="219">
        <v>51</v>
      </c>
      <c r="L466" s="219">
        <v>0</v>
      </c>
      <c r="M466" s="219"/>
      <c r="N466" s="228">
        <v>0.72</v>
      </c>
      <c r="O466" s="228">
        <v>0</v>
      </c>
      <c r="P466" s="229">
        <v>1</v>
      </c>
      <c r="Q466" s="53"/>
      <c r="R466" s="54" t="s">
        <v>158</v>
      </c>
      <c r="S466" s="54" t="s">
        <v>158</v>
      </c>
      <c r="T466" s="54" t="s">
        <v>158</v>
      </c>
      <c r="U466" s="54" t="s">
        <v>158</v>
      </c>
      <c r="V466" s="236" t="s">
        <v>750</v>
      </c>
      <c r="W466" s="53"/>
      <c r="X466" s="53">
        <f t="shared" si="112"/>
        <v>0</v>
      </c>
      <c r="Y466" s="55"/>
      <c r="Z466" s="55"/>
      <c r="AA466" s="52">
        <f t="shared" si="113"/>
        <v>0</v>
      </c>
      <c r="AB466" s="53">
        <f t="shared" si="114"/>
        <v>0</v>
      </c>
      <c r="AC466" s="53">
        <f t="shared" si="115"/>
        <v>0</v>
      </c>
      <c r="AD466" s="53">
        <f t="shared" si="116"/>
        <v>0</v>
      </c>
      <c r="AE466" s="53">
        <f t="shared" si="117"/>
        <v>0</v>
      </c>
      <c r="AF466" s="53">
        <f t="shared" si="118"/>
        <v>0</v>
      </c>
      <c r="AG466" s="56">
        <f t="shared" si="119"/>
        <v>0</v>
      </c>
      <c r="AH466" s="53">
        <f t="shared" si="120"/>
        <v>0</v>
      </c>
      <c r="AI466" s="55"/>
      <c r="AJ466" s="53">
        <f t="shared" si="121"/>
        <v>0</v>
      </c>
      <c r="AK466" s="53">
        <f t="shared" si="122"/>
        <v>0</v>
      </c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7"/>
      <c r="AW466" s="57"/>
      <c r="AX466" s="57"/>
    </row>
    <row r="467" spans="2:50">
      <c r="B467" s="45">
        <v>449</v>
      </c>
      <c r="C467" s="214" t="s">
        <v>574</v>
      </c>
      <c r="D467" s="215" t="s">
        <v>747</v>
      </c>
      <c r="E467" s="215" t="s">
        <v>748</v>
      </c>
      <c r="F467" s="216" t="s">
        <v>751</v>
      </c>
      <c r="G467" s="217" t="s">
        <v>578</v>
      </c>
      <c r="H467" s="218" t="s">
        <v>685</v>
      </c>
      <c r="I467" s="164" t="s">
        <v>409</v>
      </c>
      <c r="J467" s="219">
        <f t="shared" si="111"/>
        <v>12</v>
      </c>
      <c r="K467" s="219">
        <v>12</v>
      </c>
      <c r="L467" s="219">
        <v>0</v>
      </c>
      <c r="M467" s="219"/>
      <c r="N467" s="221">
        <v>0.2</v>
      </c>
      <c r="O467" s="221">
        <v>0</v>
      </c>
      <c r="P467" s="222">
        <v>1</v>
      </c>
      <c r="Q467" s="53"/>
      <c r="R467" s="54" t="s">
        <v>158</v>
      </c>
      <c r="S467" s="54" t="s">
        <v>158</v>
      </c>
      <c r="T467" s="54" t="s">
        <v>158</v>
      </c>
      <c r="U467" s="54" t="s">
        <v>158</v>
      </c>
      <c r="V467" s="236" t="s">
        <v>750</v>
      </c>
      <c r="W467" s="53"/>
      <c r="X467" s="53">
        <f t="shared" si="112"/>
        <v>0</v>
      </c>
      <c r="Y467" s="55"/>
      <c r="Z467" s="55"/>
      <c r="AA467" s="52">
        <f t="shared" si="113"/>
        <v>0</v>
      </c>
      <c r="AB467" s="53">
        <f t="shared" si="114"/>
        <v>0</v>
      </c>
      <c r="AC467" s="53">
        <f t="shared" si="115"/>
        <v>0</v>
      </c>
      <c r="AD467" s="53">
        <f t="shared" si="116"/>
        <v>0</v>
      </c>
      <c r="AE467" s="53">
        <f t="shared" si="117"/>
        <v>0</v>
      </c>
      <c r="AF467" s="53">
        <f t="shared" si="118"/>
        <v>0</v>
      </c>
      <c r="AG467" s="56">
        <f t="shared" si="119"/>
        <v>0</v>
      </c>
      <c r="AH467" s="53">
        <f t="shared" si="120"/>
        <v>0</v>
      </c>
      <c r="AI467" s="55"/>
      <c r="AJ467" s="53">
        <f t="shared" si="121"/>
        <v>0</v>
      </c>
      <c r="AK467" s="53">
        <f t="shared" si="122"/>
        <v>0</v>
      </c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7"/>
      <c r="AW467" s="57"/>
      <c r="AX467" s="57"/>
    </row>
    <row r="468" spans="2:50">
      <c r="B468" s="45">
        <v>450</v>
      </c>
      <c r="C468" s="214" t="s">
        <v>574</v>
      </c>
      <c r="D468" s="215" t="s">
        <v>747</v>
      </c>
      <c r="E468" s="215" t="s">
        <v>748</v>
      </c>
      <c r="F468" s="216" t="s">
        <v>752</v>
      </c>
      <c r="G468" s="217" t="s">
        <v>578</v>
      </c>
      <c r="H468" s="218">
        <v>43649</v>
      </c>
      <c r="I468" s="164" t="s">
        <v>409</v>
      </c>
      <c r="J468" s="219">
        <f t="shared" si="111"/>
        <v>12</v>
      </c>
      <c r="K468" s="219">
        <v>12</v>
      </c>
      <c r="L468" s="219">
        <v>0</v>
      </c>
      <c r="M468" s="219"/>
      <c r="N468" s="221">
        <v>0.2</v>
      </c>
      <c r="O468" s="221">
        <v>0</v>
      </c>
      <c r="P468" s="222">
        <v>1</v>
      </c>
      <c r="Q468" s="53"/>
      <c r="R468" s="54" t="s">
        <v>158</v>
      </c>
      <c r="S468" s="54" t="s">
        <v>158</v>
      </c>
      <c r="T468" s="54" t="s">
        <v>158</v>
      </c>
      <c r="U468" s="54" t="s">
        <v>158</v>
      </c>
      <c r="V468" s="236" t="s">
        <v>750</v>
      </c>
      <c r="W468" s="53"/>
      <c r="X468" s="53">
        <f t="shared" si="112"/>
        <v>0</v>
      </c>
      <c r="Y468" s="55"/>
      <c r="Z468" s="55"/>
      <c r="AA468" s="52">
        <f t="shared" si="113"/>
        <v>0</v>
      </c>
      <c r="AB468" s="53">
        <f t="shared" si="114"/>
        <v>0</v>
      </c>
      <c r="AC468" s="53">
        <f t="shared" si="115"/>
        <v>0</v>
      </c>
      <c r="AD468" s="53">
        <f t="shared" si="116"/>
        <v>0</v>
      </c>
      <c r="AE468" s="53">
        <f t="shared" si="117"/>
        <v>0</v>
      </c>
      <c r="AF468" s="53">
        <f t="shared" si="118"/>
        <v>0</v>
      </c>
      <c r="AG468" s="56">
        <f t="shared" si="119"/>
        <v>0</v>
      </c>
      <c r="AH468" s="53">
        <f t="shared" si="120"/>
        <v>0</v>
      </c>
      <c r="AI468" s="55"/>
      <c r="AJ468" s="53">
        <f t="shared" si="121"/>
        <v>0</v>
      </c>
      <c r="AK468" s="53">
        <f t="shared" si="122"/>
        <v>0</v>
      </c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7"/>
      <c r="AW468" s="57"/>
      <c r="AX468" s="57"/>
    </row>
    <row r="469" spans="2:50">
      <c r="B469" s="45">
        <v>451</v>
      </c>
      <c r="C469" s="214" t="s">
        <v>574</v>
      </c>
      <c r="D469" s="215" t="s">
        <v>747</v>
      </c>
      <c r="E469" s="215" t="s">
        <v>748</v>
      </c>
      <c r="F469" s="216" t="s">
        <v>753</v>
      </c>
      <c r="G469" s="217" t="s">
        <v>578</v>
      </c>
      <c r="H469" s="218">
        <v>43178</v>
      </c>
      <c r="I469" s="164" t="s">
        <v>409</v>
      </c>
      <c r="J469" s="219">
        <f t="shared" si="111"/>
        <v>18</v>
      </c>
      <c r="K469" s="219">
        <v>18</v>
      </c>
      <c r="L469" s="219">
        <v>0</v>
      </c>
      <c r="M469" s="219"/>
      <c r="N469" s="246">
        <v>0.3</v>
      </c>
      <c r="O469" s="246">
        <v>0</v>
      </c>
      <c r="P469" s="247">
        <v>1</v>
      </c>
      <c r="Q469" s="53"/>
      <c r="R469" s="54" t="s">
        <v>158</v>
      </c>
      <c r="S469" s="54" t="s">
        <v>158</v>
      </c>
      <c r="T469" s="54" t="s">
        <v>158</v>
      </c>
      <c r="U469" s="54" t="s">
        <v>158</v>
      </c>
      <c r="V469" s="236" t="s">
        <v>750</v>
      </c>
      <c r="W469" s="53"/>
      <c r="X469" s="53">
        <f t="shared" si="112"/>
        <v>0</v>
      </c>
      <c r="Y469" s="55"/>
      <c r="Z469" s="55"/>
      <c r="AA469" s="52">
        <f t="shared" si="113"/>
        <v>0</v>
      </c>
      <c r="AB469" s="53">
        <f t="shared" si="114"/>
        <v>0</v>
      </c>
      <c r="AC469" s="53">
        <f t="shared" si="115"/>
        <v>0</v>
      </c>
      <c r="AD469" s="53">
        <f t="shared" si="116"/>
        <v>0</v>
      </c>
      <c r="AE469" s="53">
        <f t="shared" si="117"/>
        <v>0</v>
      </c>
      <c r="AF469" s="53">
        <f t="shared" si="118"/>
        <v>0</v>
      </c>
      <c r="AG469" s="56">
        <f t="shared" si="119"/>
        <v>0</v>
      </c>
      <c r="AH469" s="53">
        <f t="shared" si="120"/>
        <v>0</v>
      </c>
      <c r="AI469" s="55"/>
      <c r="AJ469" s="53">
        <f t="shared" si="121"/>
        <v>0</v>
      </c>
      <c r="AK469" s="53">
        <f t="shared" si="122"/>
        <v>0</v>
      </c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7"/>
      <c r="AW469" s="57"/>
      <c r="AX469" s="57"/>
    </row>
    <row r="470" spans="2:50">
      <c r="B470" s="45">
        <v>452</v>
      </c>
      <c r="C470" s="214" t="s">
        <v>574</v>
      </c>
      <c r="D470" s="215" t="s">
        <v>747</v>
      </c>
      <c r="E470" s="215" t="s">
        <v>748</v>
      </c>
      <c r="F470" s="216" t="s">
        <v>754</v>
      </c>
      <c r="G470" s="217" t="s">
        <v>578</v>
      </c>
      <c r="H470" s="218">
        <v>42802</v>
      </c>
      <c r="I470" s="164" t="s">
        <v>409</v>
      </c>
      <c r="J470" s="219">
        <f t="shared" si="111"/>
        <v>36</v>
      </c>
      <c r="K470" s="219">
        <v>36</v>
      </c>
      <c r="L470" s="219">
        <v>0</v>
      </c>
      <c r="M470" s="219"/>
      <c r="N470" s="246">
        <v>0.6</v>
      </c>
      <c r="O470" s="246">
        <v>0</v>
      </c>
      <c r="P470" s="247">
        <v>1</v>
      </c>
      <c r="Q470" s="53"/>
      <c r="R470" s="54" t="s">
        <v>158</v>
      </c>
      <c r="S470" s="54" t="s">
        <v>158</v>
      </c>
      <c r="T470" s="54" t="s">
        <v>158</v>
      </c>
      <c r="U470" s="54" t="s">
        <v>158</v>
      </c>
      <c r="V470" s="236" t="s">
        <v>750</v>
      </c>
      <c r="W470" s="53"/>
      <c r="X470" s="53">
        <f t="shared" si="112"/>
        <v>0</v>
      </c>
      <c r="Y470" s="55"/>
      <c r="Z470" s="55"/>
      <c r="AA470" s="52">
        <f t="shared" si="113"/>
        <v>0</v>
      </c>
      <c r="AB470" s="53">
        <f t="shared" si="114"/>
        <v>0</v>
      </c>
      <c r="AC470" s="53">
        <f t="shared" si="115"/>
        <v>0</v>
      </c>
      <c r="AD470" s="53">
        <f t="shared" si="116"/>
        <v>0</v>
      </c>
      <c r="AE470" s="53">
        <f t="shared" si="117"/>
        <v>0</v>
      </c>
      <c r="AF470" s="53">
        <f t="shared" si="118"/>
        <v>0</v>
      </c>
      <c r="AG470" s="56">
        <f t="shared" si="119"/>
        <v>0</v>
      </c>
      <c r="AH470" s="53">
        <f t="shared" si="120"/>
        <v>0</v>
      </c>
      <c r="AI470" s="55"/>
      <c r="AJ470" s="53">
        <f t="shared" si="121"/>
        <v>0</v>
      </c>
      <c r="AK470" s="53">
        <f t="shared" si="122"/>
        <v>0</v>
      </c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7"/>
      <c r="AW470" s="57"/>
      <c r="AX470" s="57"/>
    </row>
    <row r="471" spans="2:50">
      <c r="B471" s="45">
        <v>453</v>
      </c>
      <c r="C471" s="214" t="s">
        <v>574</v>
      </c>
      <c r="D471" s="215" t="s">
        <v>747</v>
      </c>
      <c r="E471" s="215" t="s">
        <v>748</v>
      </c>
      <c r="F471" s="216" t="s">
        <v>755</v>
      </c>
      <c r="G471" s="217" t="s">
        <v>578</v>
      </c>
      <c r="H471" s="218">
        <v>43052</v>
      </c>
      <c r="I471" s="164" t="s">
        <v>409</v>
      </c>
      <c r="J471" s="219">
        <f t="shared" si="111"/>
        <v>90</v>
      </c>
      <c r="K471" s="219">
        <v>90</v>
      </c>
      <c r="L471" s="219">
        <v>0</v>
      </c>
      <c r="M471" s="219"/>
      <c r="N471" s="228">
        <v>0.6</v>
      </c>
      <c r="O471" s="228">
        <v>0</v>
      </c>
      <c r="P471" s="229">
        <v>1</v>
      </c>
      <c r="Q471" s="53"/>
      <c r="R471" s="54" t="s">
        <v>158</v>
      </c>
      <c r="S471" s="54" t="s">
        <v>158</v>
      </c>
      <c r="T471" s="54" t="s">
        <v>158</v>
      </c>
      <c r="U471" s="54" t="s">
        <v>158</v>
      </c>
      <c r="V471" s="236" t="s">
        <v>750</v>
      </c>
      <c r="W471" s="53"/>
      <c r="X471" s="53">
        <f t="shared" si="112"/>
        <v>0</v>
      </c>
      <c r="Y471" s="55"/>
      <c r="Z471" s="55"/>
      <c r="AA471" s="52">
        <f t="shared" si="113"/>
        <v>0</v>
      </c>
      <c r="AB471" s="53">
        <f t="shared" si="114"/>
        <v>0</v>
      </c>
      <c r="AC471" s="53">
        <f t="shared" si="115"/>
        <v>0</v>
      </c>
      <c r="AD471" s="53">
        <f t="shared" si="116"/>
        <v>0</v>
      </c>
      <c r="AE471" s="53">
        <f t="shared" si="117"/>
        <v>0</v>
      </c>
      <c r="AF471" s="53">
        <f t="shared" si="118"/>
        <v>0</v>
      </c>
      <c r="AG471" s="56">
        <f t="shared" si="119"/>
        <v>0</v>
      </c>
      <c r="AH471" s="53">
        <f t="shared" si="120"/>
        <v>0</v>
      </c>
      <c r="AI471" s="55"/>
      <c r="AJ471" s="53">
        <f t="shared" si="121"/>
        <v>0</v>
      </c>
      <c r="AK471" s="53">
        <f t="shared" si="122"/>
        <v>0</v>
      </c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7"/>
      <c r="AW471" s="57"/>
      <c r="AX471" s="57"/>
    </row>
    <row r="472" spans="2:50">
      <c r="B472" s="45">
        <v>454</v>
      </c>
      <c r="C472" s="214" t="s">
        <v>574</v>
      </c>
      <c r="D472" s="215" t="s">
        <v>747</v>
      </c>
      <c r="E472" s="215" t="s">
        <v>748</v>
      </c>
      <c r="F472" s="216" t="s">
        <v>756</v>
      </c>
      <c r="G472" s="217" t="s">
        <v>578</v>
      </c>
      <c r="H472" s="218">
        <v>43052</v>
      </c>
      <c r="I472" s="164" t="s">
        <v>409</v>
      </c>
      <c r="J472" s="219">
        <f t="shared" si="111"/>
        <v>42</v>
      </c>
      <c r="K472" s="219">
        <v>42</v>
      </c>
      <c r="L472" s="219">
        <v>0</v>
      </c>
      <c r="M472" s="219"/>
      <c r="N472" s="221">
        <v>0.7</v>
      </c>
      <c r="O472" s="221">
        <v>0</v>
      </c>
      <c r="P472" s="222">
        <v>1</v>
      </c>
      <c r="Q472" s="53"/>
      <c r="R472" s="54" t="s">
        <v>158</v>
      </c>
      <c r="S472" s="54" t="s">
        <v>158</v>
      </c>
      <c r="T472" s="54" t="s">
        <v>158</v>
      </c>
      <c r="U472" s="54" t="s">
        <v>158</v>
      </c>
      <c r="V472" s="236" t="s">
        <v>750</v>
      </c>
      <c r="W472" s="53"/>
      <c r="X472" s="53">
        <f t="shared" si="112"/>
        <v>0</v>
      </c>
      <c r="Y472" s="55"/>
      <c r="Z472" s="55"/>
      <c r="AA472" s="52">
        <f t="shared" si="113"/>
        <v>0</v>
      </c>
      <c r="AB472" s="53">
        <f t="shared" si="114"/>
        <v>0</v>
      </c>
      <c r="AC472" s="53">
        <f t="shared" si="115"/>
        <v>0</v>
      </c>
      <c r="AD472" s="53">
        <f t="shared" si="116"/>
        <v>0</v>
      </c>
      <c r="AE472" s="53">
        <f t="shared" si="117"/>
        <v>0</v>
      </c>
      <c r="AF472" s="53">
        <f t="shared" si="118"/>
        <v>0</v>
      </c>
      <c r="AG472" s="56">
        <f t="shared" si="119"/>
        <v>0</v>
      </c>
      <c r="AH472" s="53">
        <f t="shared" si="120"/>
        <v>0</v>
      </c>
      <c r="AI472" s="55"/>
      <c r="AJ472" s="53">
        <f t="shared" si="121"/>
        <v>0</v>
      </c>
      <c r="AK472" s="53">
        <f t="shared" si="122"/>
        <v>0</v>
      </c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7"/>
      <c r="AW472" s="57"/>
      <c r="AX472" s="57"/>
    </row>
    <row r="473" spans="2:50">
      <c r="B473" s="45">
        <v>455</v>
      </c>
      <c r="C473" s="214" t="s">
        <v>574</v>
      </c>
      <c r="D473" s="215" t="s">
        <v>757</v>
      </c>
      <c r="E473" s="215" t="s">
        <v>758</v>
      </c>
      <c r="F473" s="216" t="s">
        <v>759</v>
      </c>
      <c r="G473" s="217" t="s">
        <v>578</v>
      </c>
      <c r="H473" s="218">
        <v>42751</v>
      </c>
      <c r="I473" s="164" t="s">
        <v>409</v>
      </c>
      <c r="J473" s="219">
        <f t="shared" si="111"/>
        <v>12</v>
      </c>
      <c r="K473" s="219">
        <v>12</v>
      </c>
      <c r="L473" s="219">
        <v>0</v>
      </c>
      <c r="M473" s="219"/>
      <c r="N473" s="221">
        <v>0.2</v>
      </c>
      <c r="O473" s="221">
        <v>0</v>
      </c>
      <c r="P473" s="222">
        <v>1</v>
      </c>
      <c r="Q473" s="53"/>
      <c r="R473" s="54" t="s">
        <v>158</v>
      </c>
      <c r="S473" s="54" t="s">
        <v>158</v>
      </c>
      <c r="T473" s="54" t="s">
        <v>158</v>
      </c>
      <c r="U473" s="54" t="s">
        <v>158</v>
      </c>
      <c r="V473" s="236" t="s">
        <v>750</v>
      </c>
      <c r="W473" s="53"/>
      <c r="X473" s="53">
        <f t="shared" si="112"/>
        <v>0</v>
      </c>
      <c r="Y473" s="55"/>
      <c r="Z473" s="55"/>
      <c r="AA473" s="52">
        <f t="shared" si="113"/>
        <v>0</v>
      </c>
      <c r="AB473" s="53">
        <f t="shared" si="114"/>
        <v>0</v>
      </c>
      <c r="AC473" s="53">
        <f t="shared" si="115"/>
        <v>0</v>
      </c>
      <c r="AD473" s="53">
        <f t="shared" si="116"/>
        <v>0</v>
      </c>
      <c r="AE473" s="53">
        <f t="shared" si="117"/>
        <v>0</v>
      </c>
      <c r="AF473" s="53">
        <f t="shared" si="118"/>
        <v>0</v>
      </c>
      <c r="AG473" s="56">
        <f t="shared" si="119"/>
        <v>0</v>
      </c>
      <c r="AH473" s="53">
        <f t="shared" si="120"/>
        <v>0</v>
      </c>
      <c r="AI473" s="55"/>
      <c r="AJ473" s="53">
        <f t="shared" si="121"/>
        <v>0</v>
      </c>
      <c r="AK473" s="53">
        <f t="shared" si="122"/>
        <v>0</v>
      </c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7"/>
      <c r="AW473" s="57"/>
      <c r="AX473" s="57"/>
    </row>
    <row r="474" spans="2:50">
      <c r="B474" s="45">
        <v>456</v>
      </c>
      <c r="C474" s="214" t="s">
        <v>574</v>
      </c>
      <c r="D474" s="215" t="s">
        <v>757</v>
      </c>
      <c r="E474" s="215" t="s">
        <v>758</v>
      </c>
      <c r="F474" s="216" t="s">
        <v>760</v>
      </c>
      <c r="G474" s="217" t="s">
        <v>578</v>
      </c>
      <c r="H474" s="218">
        <v>42751</v>
      </c>
      <c r="I474" s="164" t="s">
        <v>409</v>
      </c>
      <c r="J474" s="219">
        <f t="shared" si="111"/>
        <v>12</v>
      </c>
      <c r="K474" s="219">
        <v>12</v>
      </c>
      <c r="L474" s="219">
        <v>0</v>
      </c>
      <c r="M474" s="219"/>
      <c r="N474" s="221">
        <v>0.2</v>
      </c>
      <c r="O474" s="221">
        <v>0</v>
      </c>
      <c r="P474" s="222">
        <v>1</v>
      </c>
      <c r="Q474" s="53"/>
      <c r="R474" s="54" t="s">
        <v>158</v>
      </c>
      <c r="S474" s="54" t="s">
        <v>158</v>
      </c>
      <c r="T474" s="54" t="s">
        <v>158</v>
      </c>
      <c r="U474" s="54" t="s">
        <v>158</v>
      </c>
      <c r="V474" s="236" t="s">
        <v>750</v>
      </c>
      <c r="W474" s="53"/>
      <c r="X474" s="53">
        <f t="shared" si="112"/>
        <v>0</v>
      </c>
      <c r="Y474" s="55"/>
      <c r="Z474" s="55"/>
      <c r="AA474" s="52">
        <f t="shared" si="113"/>
        <v>0</v>
      </c>
      <c r="AB474" s="53">
        <f t="shared" si="114"/>
        <v>0</v>
      </c>
      <c r="AC474" s="53">
        <f t="shared" si="115"/>
        <v>0</v>
      </c>
      <c r="AD474" s="53">
        <f t="shared" si="116"/>
        <v>0</v>
      </c>
      <c r="AE474" s="53">
        <f t="shared" si="117"/>
        <v>0</v>
      </c>
      <c r="AF474" s="53">
        <f t="shared" si="118"/>
        <v>0</v>
      </c>
      <c r="AG474" s="56">
        <f t="shared" si="119"/>
        <v>0</v>
      </c>
      <c r="AH474" s="53">
        <f t="shared" si="120"/>
        <v>0</v>
      </c>
      <c r="AI474" s="55"/>
      <c r="AJ474" s="53">
        <f t="shared" si="121"/>
        <v>0</v>
      </c>
      <c r="AK474" s="53">
        <f t="shared" si="122"/>
        <v>0</v>
      </c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7"/>
      <c r="AW474" s="57"/>
      <c r="AX474" s="57"/>
    </row>
    <row r="475" spans="2:50">
      <c r="B475" s="45">
        <v>457</v>
      </c>
      <c r="C475" s="214" t="s">
        <v>574</v>
      </c>
      <c r="D475" s="215" t="s">
        <v>757</v>
      </c>
      <c r="E475" s="215" t="s">
        <v>761</v>
      </c>
      <c r="F475" s="216" t="s">
        <v>762</v>
      </c>
      <c r="G475" s="217" t="s">
        <v>578</v>
      </c>
      <c r="H475" s="218">
        <v>42751</v>
      </c>
      <c r="I475" s="164" t="s">
        <v>409</v>
      </c>
      <c r="J475" s="219">
        <f t="shared" si="111"/>
        <v>12</v>
      </c>
      <c r="K475" s="219">
        <v>12</v>
      </c>
      <c r="L475" s="219">
        <v>0</v>
      </c>
      <c r="M475" s="219"/>
      <c r="N475" s="221">
        <v>0.2</v>
      </c>
      <c r="O475" s="221">
        <v>0</v>
      </c>
      <c r="P475" s="222">
        <v>1</v>
      </c>
      <c r="Q475" s="53"/>
      <c r="R475" s="54" t="s">
        <v>158</v>
      </c>
      <c r="S475" s="54" t="s">
        <v>158</v>
      </c>
      <c r="T475" s="54" t="s">
        <v>158</v>
      </c>
      <c r="U475" s="54" t="s">
        <v>158</v>
      </c>
      <c r="V475" s="236" t="s">
        <v>750</v>
      </c>
      <c r="W475" s="53"/>
      <c r="X475" s="53">
        <f t="shared" si="112"/>
        <v>0</v>
      </c>
      <c r="Y475" s="55"/>
      <c r="Z475" s="55"/>
      <c r="AA475" s="52">
        <f t="shared" si="113"/>
        <v>0</v>
      </c>
      <c r="AB475" s="53">
        <f t="shared" si="114"/>
        <v>0</v>
      </c>
      <c r="AC475" s="53">
        <f t="shared" si="115"/>
        <v>0</v>
      </c>
      <c r="AD475" s="53">
        <f t="shared" si="116"/>
        <v>0</v>
      </c>
      <c r="AE475" s="53">
        <f t="shared" si="117"/>
        <v>0</v>
      </c>
      <c r="AF475" s="53">
        <f t="shared" si="118"/>
        <v>0</v>
      </c>
      <c r="AG475" s="56">
        <f t="shared" si="119"/>
        <v>0</v>
      </c>
      <c r="AH475" s="53">
        <f t="shared" si="120"/>
        <v>0</v>
      </c>
      <c r="AI475" s="55"/>
      <c r="AJ475" s="53">
        <f t="shared" si="121"/>
        <v>0</v>
      </c>
      <c r="AK475" s="53">
        <f t="shared" si="122"/>
        <v>0</v>
      </c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7"/>
      <c r="AW475" s="57"/>
      <c r="AX475" s="57"/>
    </row>
    <row r="476" spans="2:50">
      <c r="B476" s="45">
        <v>458</v>
      </c>
      <c r="C476" s="214" t="s">
        <v>574</v>
      </c>
      <c r="D476" s="215" t="s">
        <v>757</v>
      </c>
      <c r="E476" s="215" t="s">
        <v>761</v>
      </c>
      <c r="F476" s="216" t="s">
        <v>755</v>
      </c>
      <c r="G476" s="217" t="s">
        <v>578</v>
      </c>
      <c r="H476" s="218">
        <v>42751</v>
      </c>
      <c r="I476" s="164" t="s">
        <v>409</v>
      </c>
      <c r="J476" s="219">
        <f t="shared" si="111"/>
        <v>30</v>
      </c>
      <c r="K476" s="219">
        <v>30</v>
      </c>
      <c r="L476" s="219">
        <v>0</v>
      </c>
      <c r="M476" s="219"/>
      <c r="N476" s="221">
        <v>0.5</v>
      </c>
      <c r="O476" s="221">
        <v>0</v>
      </c>
      <c r="P476" s="222">
        <v>1</v>
      </c>
      <c r="Q476" s="53"/>
      <c r="R476" s="54" t="s">
        <v>158</v>
      </c>
      <c r="S476" s="54" t="s">
        <v>158</v>
      </c>
      <c r="T476" s="54" t="s">
        <v>158</v>
      </c>
      <c r="U476" s="54" t="s">
        <v>158</v>
      </c>
      <c r="V476" s="236" t="s">
        <v>750</v>
      </c>
      <c r="W476" s="53"/>
      <c r="X476" s="53">
        <f t="shared" si="112"/>
        <v>0</v>
      </c>
      <c r="Y476" s="55"/>
      <c r="Z476" s="55"/>
      <c r="AA476" s="52">
        <f t="shared" si="113"/>
        <v>0</v>
      </c>
      <c r="AB476" s="53">
        <f t="shared" si="114"/>
        <v>0</v>
      </c>
      <c r="AC476" s="53">
        <f t="shared" si="115"/>
        <v>0</v>
      </c>
      <c r="AD476" s="53">
        <f t="shared" si="116"/>
        <v>0</v>
      </c>
      <c r="AE476" s="53">
        <f t="shared" si="117"/>
        <v>0</v>
      </c>
      <c r="AF476" s="53">
        <f t="shared" si="118"/>
        <v>0</v>
      </c>
      <c r="AG476" s="56">
        <f t="shared" si="119"/>
        <v>0</v>
      </c>
      <c r="AH476" s="53">
        <f t="shared" si="120"/>
        <v>0</v>
      </c>
      <c r="AI476" s="55"/>
      <c r="AJ476" s="53">
        <f t="shared" si="121"/>
        <v>0</v>
      </c>
      <c r="AK476" s="53">
        <f t="shared" si="122"/>
        <v>0</v>
      </c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7"/>
      <c r="AW476" s="57"/>
      <c r="AX476" s="57"/>
    </row>
    <row r="477" spans="2:50">
      <c r="B477" s="45">
        <v>459</v>
      </c>
      <c r="C477" s="214" t="s">
        <v>574</v>
      </c>
      <c r="D477" s="215" t="s">
        <v>747</v>
      </c>
      <c r="E477" s="215" t="s">
        <v>763</v>
      </c>
      <c r="F477" s="216" t="s">
        <v>404</v>
      </c>
      <c r="G477" s="217" t="s">
        <v>578</v>
      </c>
      <c r="H477" s="218">
        <v>43052</v>
      </c>
      <c r="I477" s="164" t="s">
        <v>409</v>
      </c>
      <c r="J477" s="219">
        <f t="shared" si="111"/>
        <v>144</v>
      </c>
      <c r="K477" s="219">
        <v>144</v>
      </c>
      <c r="L477" s="219">
        <v>0</v>
      </c>
      <c r="M477" s="219"/>
      <c r="N477" s="248">
        <v>2.4</v>
      </c>
      <c r="O477" s="226">
        <v>0</v>
      </c>
      <c r="P477" s="227">
        <v>1</v>
      </c>
      <c r="Q477" s="53"/>
      <c r="R477" s="54" t="s">
        <v>158</v>
      </c>
      <c r="S477" s="54" t="s">
        <v>158</v>
      </c>
      <c r="T477" s="54" t="s">
        <v>158</v>
      </c>
      <c r="U477" s="54" t="s">
        <v>158</v>
      </c>
      <c r="V477" s="236" t="s">
        <v>750</v>
      </c>
      <c r="W477" s="53"/>
      <c r="X477" s="53">
        <f t="shared" si="112"/>
        <v>0</v>
      </c>
      <c r="Y477" s="55"/>
      <c r="Z477" s="55"/>
      <c r="AA477" s="52">
        <f t="shared" si="113"/>
        <v>0</v>
      </c>
      <c r="AB477" s="53">
        <f t="shared" si="114"/>
        <v>0</v>
      </c>
      <c r="AC477" s="53">
        <f t="shared" si="115"/>
        <v>0</v>
      </c>
      <c r="AD477" s="53">
        <f t="shared" si="116"/>
        <v>0</v>
      </c>
      <c r="AE477" s="53">
        <f t="shared" si="117"/>
        <v>0</v>
      </c>
      <c r="AF477" s="53">
        <f t="shared" si="118"/>
        <v>0</v>
      </c>
      <c r="AG477" s="56">
        <f t="shared" si="119"/>
        <v>0</v>
      </c>
      <c r="AH477" s="53">
        <f t="shared" si="120"/>
        <v>0</v>
      </c>
      <c r="AI477" s="55"/>
      <c r="AJ477" s="53">
        <f t="shared" si="121"/>
        <v>0</v>
      </c>
      <c r="AK477" s="53">
        <f t="shared" si="122"/>
        <v>0</v>
      </c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7"/>
      <c r="AW477" s="57"/>
      <c r="AX477" s="57"/>
    </row>
    <row r="478" spans="2:50">
      <c r="B478" s="45">
        <v>460</v>
      </c>
      <c r="C478" s="214" t="s">
        <v>574</v>
      </c>
      <c r="D478" s="215" t="s">
        <v>757</v>
      </c>
      <c r="E478" s="215" t="s">
        <v>764</v>
      </c>
      <c r="F478" s="216" t="s">
        <v>765</v>
      </c>
      <c r="G478" s="217" t="s">
        <v>618</v>
      </c>
      <c r="H478" s="218">
        <v>43347</v>
      </c>
      <c r="I478" s="164" t="s">
        <v>409</v>
      </c>
      <c r="J478" s="219">
        <f t="shared" si="111"/>
        <v>120</v>
      </c>
      <c r="K478" s="219">
        <v>120</v>
      </c>
      <c r="L478" s="219">
        <v>0</v>
      </c>
      <c r="M478" s="219"/>
      <c r="N478" s="228">
        <v>1</v>
      </c>
      <c r="O478" s="228">
        <v>0</v>
      </c>
      <c r="P478" s="229">
        <v>1</v>
      </c>
      <c r="Q478" s="53"/>
      <c r="R478" s="54" t="s">
        <v>158</v>
      </c>
      <c r="S478" s="54" t="s">
        <v>158</v>
      </c>
      <c r="T478" s="54" t="s">
        <v>158</v>
      </c>
      <c r="U478" s="54" t="s">
        <v>158</v>
      </c>
      <c r="V478" s="236" t="s">
        <v>750</v>
      </c>
      <c r="W478" s="53"/>
      <c r="X478" s="53">
        <f t="shared" si="112"/>
        <v>0</v>
      </c>
      <c r="Y478" s="55"/>
      <c r="Z478" s="55"/>
      <c r="AA478" s="52">
        <f t="shared" si="113"/>
        <v>0</v>
      </c>
      <c r="AB478" s="53">
        <f t="shared" si="114"/>
        <v>0</v>
      </c>
      <c r="AC478" s="53">
        <f t="shared" si="115"/>
        <v>0</v>
      </c>
      <c r="AD478" s="53">
        <f t="shared" si="116"/>
        <v>0</v>
      </c>
      <c r="AE478" s="53">
        <f t="shared" si="117"/>
        <v>0</v>
      </c>
      <c r="AF478" s="53">
        <f t="shared" si="118"/>
        <v>0</v>
      </c>
      <c r="AG478" s="56">
        <f t="shared" si="119"/>
        <v>0</v>
      </c>
      <c r="AH478" s="53">
        <f t="shared" si="120"/>
        <v>0</v>
      </c>
      <c r="AI478" s="55"/>
      <c r="AJ478" s="53">
        <f t="shared" si="121"/>
        <v>0</v>
      </c>
      <c r="AK478" s="53">
        <f t="shared" si="122"/>
        <v>0</v>
      </c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7"/>
      <c r="AW478" s="57"/>
      <c r="AX478" s="57"/>
    </row>
    <row r="479" spans="2:50">
      <c r="B479" s="45">
        <v>461</v>
      </c>
      <c r="C479" s="214" t="s">
        <v>574</v>
      </c>
      <c r="D479" s="215" t="s">
        <v>766</v>
      </c>
      <c r="E479" s="215" t="s">
        <v>767</v>
      </c>
      <c r="F479" s="216" t="s">
        <v>768</v>
      </c>
      <c r="G479" s="217" t="s">
        <v>618</v>
      </c>
      <c r="H479" s="218">
        <v>42094</v>
      </c>
      <c r="I479" s="164" t="s">
        <v>409</v>
      </c>
      <c r="J479" s="219">
        <f t="shared" si="111"/>
        <v>195</v>
      </c>
      <c r="K479" s="219">
        <v>195</v>
      </c>
      <c r="L479" s="219">
        <v>0</v>
      </c>
      <c r="M479" s="219"/>
      <c r="N479" s="221">
        <v>3.25</v>
      </c>
      <c r="O479" s="221">
        <v>0</v>
      </c>
      <c r="P479" s="222">
        <v>1</v>
      </c>
      <c r="Q479" s="53"/>
      <c r="R479" s="54" t="s">
        <v>158</v>
      </c>
      <c r="S479" s="54" t="s">
        <v>158</v>
      </c>
      <c r="T479" s="54" t="s">
        <v>158</v>
      </c>
      <c r="U479" s="54" t="s">
        <v>158</v>
      </c>
      <c r="V479" s="236" t="s">
        <v>769</v>
      </c>
      <c r="W479" s="53"/>
      <c r="X479" s="53">
        <f t="shared" si="112"/>
        <v>0</v>
      </c>
      <c r="Y479" s="55"/>
      <c r="Z479" s="55"/>
      <c r="AA479" s="52">
        <f t="shared" si="113"/>
        <v>0</v>
      </c>
      <c r="AB479" s="53">
        <f t="shared" si="114"/>
        <v>0</v>
      </c>
      <c r="AC479" s="53">
        <f t="shared" si="115"/>
        <v>0</v>
      </c>
      <c r="AD479" s="53">
        <f t="shared" si="116"/>
        <v>0</v>
      </c>
      <c r="AE479" s="53">
        <f t="shared" si="117"/>
        <v>0</v>
      </c>
      <c r="AF479" s="53">
        <f t="shared" si="118"/>
        <v>0</v>
      </c>
      <c r="AG479" s="56">
        <f t="shared" si="119"/>
        <v>0</v>
      </c>
      <c r="AH479" s="53">
        <f t="shared" si="120"/>
        <v>0</v>
      </c>
      <c r="AI479" s="55"/>
      <c r="AJ479" s="53">
        <f t="shared" si="121"/>
        <v>0</v>
      </c>
      <c r="AK479" s="53">
        <f t="shared" si="122"/>
        <v>0</v>
      </c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7"/>
      <c r="AW479" s="57"/>
      <c r="AX479" s="57"/>
    </row>
    <row r="480" spans="2:50">
      <c r="B480" s="45">
        <v>462</v>
      </c>
      <c r="C480" s="214" t="s">
        <v>574</v>
      </c>
      <c r="D480" s="215" t="s">
        <v>770</v>
      </c>
      <c r="E480" s="215" t="s">
        <v>771</v>
      </c>
      <c r="F480" s="216" t="s">
        <v>772</v>
      </c>
      <c r="G480" s="217" t="s">
        <v>618</v>
      </c>
      <c r="H480" s="218">
        <v>42816</v>
      </c>
      <c r="I480" s="164" t="s">
        <v>409</v>
      </c>
      <c r="J480" s="219">
        <f t="shared" si="111"/>
        <v>48</v>
      </c>
      <c r="K480" s="219">
        <v>18</v>
      </c>
      <c r="L480" s="219">
        <v>30</v>
      </c>
      <c r="M480" s="219"/>
      <c r="N480" s="221">
        <v>0.3</v>
      </c>
      <c r="O480" s="221">
        <v>0.5</v>
      </c>
      <c r="P480" s="222">
        <v>1</v>
      </c>
      <c r="Q480" s="53"/>
      <c r="R480" s="54" t="s">
        <v>158</v>
      </c>
      <c r="S480" s="54" t="s">
        <v>158</v>
      </c>
      <c r="T480" s="54" t="s">
        <v>158</v>
      </c>
      <c r="U480" s="54" t="s">
        <v>158</v>
      </c>
      <c r="V480" s="211" t="s">
        <v>616</v>
      </c>
      <c r="W480" s="53"/>
      <c r="X480" s="53">
        <f t="shared" si="112"/>
        <v>0</v>
      </c>
      <c r="Y480" s="55"/>
      <c r="Z480" s="55"/>
      <c r="AA480" s="52">
        <f t="shared" si="113"/>
        <v>0</v>
      </c>
      <c r="AB480" s="53">
        <f t="shared" si="114"/>
        <v>0</v>
      </c>
      <c r="AC480" s="53">
        <f t="shared" si="115"/>
        <v>0</v>
      </c>
      <c r="AD480" s="53">
        <f t="shared" si="116"/>
        <v>0</v>
      </c>
      <c r="AE480" s="53">
        <f t="shared" si="117"/>
        <v>0</v>
      </c>
      <c r="AF480" s="53">
        <f t="shared" si="118"/>
        <v>0</v>
      </c>
      <c r="AG480" s="56">
        <f t="shared" si="119"/>
        <v>0</v>
      </c>
      <c r="AH480" s="53">
        <f t="shared" si="120"/>
        <v>0</v>
      </c>
      <c r="AI480" s="55"/>
      <c r="AJ480" s="53">
        <f t="shared" si="121"/>
        <v>0</v>
      </c>
      <c r="AK480" s="53">
        <f t="shared" si="122"/>
        <v>0</v>
      </c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7"/>
      <c r="AW480" s="57"/>
      <c r="AX480" s="57"/>
    </row>
    <row r="481" spans="2:50">
      <c r="B481" s="45">
        <v>463</v>
      </c>
      <c r="C481" s="214" t="s">
        <v>574</v>
      </c>
      <c r="D481" s="215" t="s">
        <v>770</v>
      </c>
      <c r="E481" s="215" t="s">
        <v>771</v>
      </c>
      <c r="F481" s="216" t="s">
        <v>773</v>
      </c>
      <c r="G481" s="217" t="s">
        <v>618</v>
      </c>
      <c r="H481" s="218">
        <v>42816</v>
      </c>
      <c r="I481" s="164" t="s">
        <v>409</v>
      </c>
      <c r="J481" s="219">
        <f t="shared" si="111"/>
        <v>282</v>
      </c>
      <c r="K481" s="219">
        <v>72</v>
      </c>
      <c r="L481" s="219">
        <v>210</v>
      </c>
      <c r="M481" s="219"/>
      <c r="N481" s="249">
        <v>1.2</v>
      </c>
      <c r="O481" s="221">
        <v>3.5</v>
      </c>
      <c r="P481" s="222">
        <v>1</v>
      </c>
      <c r="Q481" s="53"/>
      <c r="R481" s="54" t="s">
        <v>158</v>
      </c>
      <c r="S481" s="54" t="s">
        <v>158</v>
      </c>
      <c r="T481" s="54" t="s">
        <v>158</v>
      </c>
      <c r="U481" s="54" t="s">
        <v>158</v>
      </c>
      <c r="V481" s="211" t="s">
        <v>616</v>
      </c>
      <c r="W481" s="53"/>
      <c r="X481" s="53">
        <f t="shared" si="112"/>
        <v>0</v>
      </c>
      <c r="Y481" s="55"/>
      <c r="Z481" s="55"/>
      <c r="AA481" s="52">
        <f t="shared" si="113"/>
        <v>0</v>
      </c>
      <c r="AB481" s="53">
        <f t="shared" si="114"/>
        <v>0</v>
      </c>
      <c r="AC481" s="53">
        <f t="shared" si="115"/>
        <v>0</v>
      </c>
      <c r="AD481" s="53">
        <f t="shared" si="116"/>
        <v>0</v>
      </c>
      <c r="AE481" s="53">
        <f t="shared" si="117"/>
        <v>0</v>
      </c>
      <c r="AF481" s="53">
        <f t="shared" si="118"/>
        <v>0</v>
      </c>
      <c r="AG481" s="56">
        <f t="shared" si="119"/>
        <v>0</v>
      </c>
      <c r="AH481" s="53">
        <f t="shared" si="120"/>
        <v>0</v>
      </c>
      <c r="AI481" s="55"/>
      <c r="AJ481" s="53">
        <f t="shared" si="121"/>
        <v>0</v>
      </c>
      <c r="AK481" s="53">
        <f t="shared" si="122"/>
        <v>0</v>
      </c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7"/>
      <c r="AW481" s="57"/>
      <c r="AX481" s="57"/>
    </row>
    <row r="482" spans="2:50">
      <c r="B482" s="45">
        <v>464</v>
      </c>
      <c r="C482" s="214" t="s">
        <v>574</v>
      </c>
      <c r="D482" s="215" t="s">
        <v>770</v>
      </c>
      <c r="E482" s="215" t="s">
        <v>771</v>
      </c>
      <c r="F482" s="216" t="s">
        <v>774</v>
      </c>
      <c r="G482" s="217" t="s">
        <v>618</v>
      </c>
      <c r="H482" s="218">
        <v>42816</v>
      </c>
      <c r="I482" s="164" t="s">
        <v>409</v>
      </c>
      <c r="J482" s="219">
        <f t="shared" si="111"/>
        <v>12</v>
      </c>
      <c r="K482" s="219">
        <v>12</v>
      </c>
      <c r="L482" s="219">
        <v>0</v>
      </c>
      <c r="M482" s="219"/>
      <c r="N482" s="249">
        <v>0.2</v>
      </c>
      <c r="O482" s="221">
        <v>0</v>
      </c>
      <c r="P482" s="222">
        <v>1</v>
      </c>
      <c r="Q482" s="53"/>
      <c r="R482" s="54" t="s">
        <v>158</v>
      </c>
      <c r="S482" s="54" t="s">
        <v>158</v>
      </c>
      <c r="T482" s="54" t="s">
        <v>158</v>
      </c>
      <c r="U482" s="54" t="s">
        <v>158</v>
      </c>
      <c r="V482" s="211" t="s">
        <v>616</v>
      </c>
      <c r="W482" s="53"/>
      <c r="X482" s="53">
        <f t="shared" si="112"/>
        <v>0</v>
      </c>
      <c r="Y482" s="55"/>
      <c r="Z482" s="55"/>
      <c r="AA482" s="52">
        <f t="shared" si="113"/>
        <v>0</v>
      </c>
      <c r="AB482" s="53">
        <f t="shared" si="114"/>
        <v>0</v>
      </c>
      <c r="AC482" s="53">
        <f t="shared" si="115"/>
        <v>0</v>
      </c>
      <c r="AD482" s="53">
        <f t="shared" si="116"/>
        <v>0</v>
      </c>
      <c r="AE482" s="53">
        <f t="shared" si="117"/>
        <v>0</v>
      </c>
      <c r="AF482" s="53">
        <f t="shared" si="118"/>
        <v>0</v>
      </c>
      <c r="AG482" s="56">
        <f t="shared" si="119"/>
        <v>0</v>
      </c>
      <c r="AH482" s="53">
        <f t="shared" si="120"/>
        <v>0</v>
      </c>
      <c r="AI482" s="55"/>
      <c r="AJ482" s="53">
        <f t="shared" si="121"/>
        <v>0</v>
      </c>
      <c r="AK482" s="53">
        <f t="shared" si="122"/>
        <v>0</v>
      </c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7"/>
      <c r="AW482" s="57"/>
      <c r="AX482" s="57"/>
    </row>
    <row r="483" spans="2:50">
      <c r="B483" s="45">
        <v>465</v>
      </c>
      <c r="C483" s="214" t="s">
        <v>574</v>
      </c>
      <c r="D483" s="215" t="s">
        <v>770</v>
      </c>
      <c r="E483" s="215" t="s">
        <v>771</v>
      </c>
      <c r="F483" s="216" t="s">
        <v>774</v>
      </c>
      <c r="G483" s="217" t="s">
        <v>618</v>
      </c>
      <c r="H483" s="218">
        <v>42816</v>
      </c>
      <c r="I483" s="164" t="s">
        <v>409</v>
      </c>
      <c r="J483" s="219">
        <f t="shared" si="111"/>
        <v>18</v>
      </c>
      <c r="K483" s="219">
        <v>18</v>
      </c>
      <c r="L483" s="219">
        <v>0</v>
      </c>
      <c r="M483" s="219"/>
      <c r="N483" s="249">
        <v>0.3</v>
      </c>
      <c r="O483" s="221">
        <v>0</v>
      </c>
      <c r="P483" s="222">
        <v>1</v>
      </c>
      <c r="Q483" s="53"/>
      <c r="R483" s="54" t="s">
        <v>158</v>
      </c>
      <c r="S483" s="54" t="s">
        <v>158</v>
      </c>
      <c r="T483" s="54" t="s">
        <v>158</v>
      </c>
      <c r="U483" s="54" t="s">
        <v>158</v>
      </c>
      <c r="V483" s="211" t="s">
        <v>616</v>
      </c>
      <c r="W483" s="53"/>
      <c r="X483" s="53">
        <f t="shared" si="112"/>
        <v>0</v>
      </c>
      <c r="Y483" s="55"/>
      <c r="Z483" s="55"/>
      <c r="AA483" s="52">
        <f t="shared" si="113"/>
        <v>0</v>
      </c>
      <c r="AB483" s="53">
        <f t="shared" si="114"/>
        <v>0</v>
      </c>
      <c r="AC483" s="53">
        <f t="shared" si="115"/>
        <v>0</v>
      </c>
      <c r="AD483" s="53">
        <f t="shared" si="116"/>
        <v>0</v>
      </c>
      <c r="AE483" s="53">
        <f t="shared" si="117"/>
        <v>0</v>
      </c>
      <c r="AF483" s="53">
        <f t="shared" si="118"/>
        <v>0</v>
      </c>
      <c r="AG483" s="56">
        <f t="shared" si="119"/>
        <v>0</v>
      </c>
      <c r="AH483" s="53">
        <f t="shared" si="120"/>
        <v>0</v>
      </c>
      <c r="AI483" s="55"/>
      <c r="AJ483" s="53">
        <f t="shared" si="121"/>
        <v>0</v>
      </c>
      <c r="AK483" s="53">
        <f t="shared" si="122"/>
        <v>0</v>
      </c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7"/>
      <c r="AW483" s="57"/>
      <c r="AX483" s="57"/>
    </row>
    <row r="484" spans="2:50">
      <c r="B484" s="45">
        <v>466</v>
      </c>
      <c r="C484" s="214" t="s">
        <v>574</v>
      </c>
      <c r="D484" s="215" t="s">
        <v>770</v>
      </c>
      <c r="E484" s="215" t="s">
        <v>771</v>
      </c>
      <c r="F484" s="216" t="s">
        <v>775</v>
      </c>
      <c r="G484" s="217" t="s">
        <v>618</v>
      </c>
      <c r="H484" s="218">
        <v>42816</v>
      </c>
      <c r="I484" s="164" t="s">
        <v>409</v>
      </c>
      <c r="J484" s="219">
        <f t="shared" si="111"/>
        <v>30</v>
      </c>
      <c r="K484" s="219">
        <v>30</v>
      </c>
      <c r="L484" s="219">
        <v>0</v>
      </c>
      <c r="M484" s="219"/>
      <c r="N484" s="249">
        <v>0.5</v>
      </c>
      <c r="O484" s="221">
        <v>0</v>
      </c>
      <c r="P484" s="222">
        <v>1</v>
      </c>
      <c r="Q484" s="53"/>
      <c r="R484" s="54" t="s">
        <v>158</v>
      </c>
      <c r="S484" s="54" t="s">
        <v>158</v>
      </c>
      <c r="T484" s="54" t="s">
        <v>158</v>
      </c>
      <c r="U484" s="54" t="s">
        <v>158</v>
      </c>
      <c r="V484" s="211" t="s">
        <v>616</v>
      </c>
      <c r="W484" s="53"/>
      <c r="X484" s="53">
        <f t="shared" si="112"/>
        <v>0</v>
      </c>
      <c r="Y484" s="55"/>
      <c r="Z484" s="55"/>
      <c r="AA484" s="52">
        <f t="shared" si="113"/>
        <v>0</v>
      </c>
      <c r="AB484" s="53">
        <f t="shared" si="114"/>
        <v>0</v>
      </c>
      <c r="AC484" s="53">
        <f t="shared" si="115"/>
        <v>0</v>
      </c>
      <c r="AD484" s="53">
        <f t="shared" si="116"/>
        <v>0</v>
      </c>
      <c r="AE484" s="53">
        <f t="shared" si="117"/>
        <v>0</v>
      </c>
      <c r="AF484" s="53">
        <f t="shared" si="118"/>
        <v>0</v>
      </c>
      <c r="AG484" s="56">
        <f t="shared" si="119"/>
        <v>0</v>
      </c>
      <c r="AH484" s="53">
        <f t="shared" si="120"/>
        <v>0</v>
      </c>
      <c r="AI484" s="55"/>
      <c r="AJ484" s="53">
        <f t="shared" si="121"/>
        <v>0</v>
      </c>
      <c r="AK484" s="53">
        <f t="shared" si="122"/>
        <v>0</v>
      </c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7"/>
      <c r="AW484" s="57"/>
      <c r="AX484" s="57"/>
    </row>
    <row r="485" spans="2:50">
      <c r="B485" s="45">
        <v>467</v>
      </c>
      <c r="C485" s="214" t="s">
        <v>574</v>
      </c>
      <c r="D485" s="215" t="s">
        <v>770</v>
      </c>
      <c r="E485" s="215" t="s">
        <v>771</v>
      </c>
      <c r="F485" s="216" t="s">
        <v>654</v>
      </c>
      <c r="G485" s="217" t="s">
        <v>618</v>
      </c>
      <c r="H485" s="218">
        <v>42816</v>
      </c>
      <c r="I485" s="164" t="s">
        <v>409</v>
      </c>
      <c r="J485" s="219">
        <f t="shared" si="111"/>
        <v>246</v>
      </c>
      <c r="K485" s="219">
        <v>6</v>
      </c>
      <c r="L485" s="219">
        <v>240</v>
      </c>
      <c r="M485" s="219"/>
      <c r="N485" s="249">
        <v>0.1</v>
      </c>
      <c r="O485" s="221">
        <v>4</v>
      </c>
      <c r="P485" s="222">
        <v>1</v>
      </c>
      <c r="Q485" s="53"/>
      <c r="R485" s="54" t="s">
        <v>158</v>
      </c>
      <c r="S485" s="54" t="s">
        <v>158</v>
      </c>
      <c r="T485" s="54" t="s">
        <v>158</v>
      </c>
      <c r="U485" s="54" t="s">
        <v>158</v>
      </c>
      <c r="V485" s="211" t="s">
        <v>616</v>
      </c>
      <c r="W485" s="53"/>
      <c r="X485" s="53">
        <f t="shared" si="112"/>
        <v>0</v>
      </c>
      <c r="Y485" s="55"/>
      <c r="Z485" s="55"/>
      <c r="AA485" s="52">
        <f t="shared" si="113"/>
        <v>0</v>
      </c>
      <c r="AB485" s="53">
        <f t="shared" si="114"/>
        <v>0</v>
      </c>
      <c r="AC485" s="53">
        <f t="shared" si="115"/>
        <v>0</v>
      </c>
      <c r="AD485" s="53">
        <f t="shared" si="116"/>
        <v>0</v>
      </c>
      <c r="AE485" s="53">
        <f t="shared" si="117"/>
        <v>0</v>
      </c>
      <c r="AF485" s="53">
        <f t="shared" si="118"/>
        <v>0</v>
      </c>
      <c r="AG485" s="56">
        <f t="shared" si="119"/>
        <v>0</v>
      </c>
      <c r="AH485" s="53">
        <f t="shared" si="120"/>
        <v>0</v>
      </c>
      <c r="AI485" s="55"/>
      <c r="AJ485" s="53">
        <f t="shared" si="121"/>
        <v>0</v>
      </c>
      <c r="AK485" s="53">
        <f t="shared" si="122"/>
        <v>0</v>
      </c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7"/>
      <c r="AW485" s="57"/>
      <c r="AX485" s="57"/>
    </row>
    <row r="486" spans="2:50">
      <c r="B486" s="138" t="s">
        <v>776</v>
      </c>
      <c r="C486" s="139"/>
      <c r="D486" s="139"/>
      <c r="E486" s="139"/>
      <c r="F486" s="140"/>
      <c r="G486" s="141"/>
      <c r="H486" s="141"/>
      <c r="I486" s="142" t="s">
        <v>151</v>
      </c>
      <c r="J486" s="143">
        <f t="shared" si="111"/>
        <v>789.4</v>
      </c>
      <c r="K486" s="143">
        <f>K487/60</f>
        <v>153.85</v>
      </c>
      <c r="L486" s="143">
        <f>L487/60</f>
        <v>635.54999999999995</v>
      </c>
      <c r="M486" s="143">
        <f>M487/60</f>
        <v>0</v>
      </c>
      <c r="N486" s="143">
        <f>SUMIF($I488:$I628,"DQA",N488:N628)</f>
        <v>163.69999999999993</v>
      </c>
      <c r="O486" s="143">
        <f>SUMIF($I488:$I628,"DQA",O488:O628)</f>
        <v>635.05000000000007</v>
      </c>
      <c r="P486" s="143"/>
      <c r="Q486" s="143"/>
      <c r="R486" s="143">
        <f t="shared" ref="R486:V486" si="123">SUMIF($I488:$I628,"DQA",R488:R628)</f>
        <v>0</v>
      </c>
      <c r="S486" s="143">
        <f t="shared" si="123"/>
        <v>0</v>
      </c>
      <c r="T486" s="143">
        <f t="shared" si="123"/>
        <v>0</v>
      </c>
      <c r="U486" s="143">
        <f t="shared" si="123"/>
        <v>0</v>
      </c>
      <c r="V486" s="143">
        <f t="shared" si="123"/>
        <v>0</v>
      </c>
      <c r="W486" s="143"/>
      <c r="X486" s="143">
        <f>X487/60</f>
        <v>0</v>
      </c>
      <c r="Y486" s="143"/>
      <c r="Z486" s="143"/>
      <c r="AA486" s="143"/>
      <c r="AB486" s="143">
        <f t="shared" ref="AB486:AF486" si="124">AB487/60</f>
        <v>0</v>
      </c>
      <c r="AC486" s="143"/>
      <c r="AD486" s="143">
        <f t="shared" si="124"/>
        <v>0</v>
      </c>
      <c r="AE486" s="143"/>
      <c r="AF486" s="143">
        <f t="shared" si="124"/>
        <v>0</v>
      </c>
      <c r="AG486" s="143"/>
      <c r="AH486" s="143">
        <f>AH487/60</f>
        <v>0</v>
      </c>
      <c r="AI486" s="143"/>
      <c r="AJ486" s="143"/>
      <c r="AK486" s="143">
        <f>AK487/60</f>
        <v>0</v>
      </c>
      <c r="AL486" s="143"/>
      <c r="AM486" s="143"/>
      <c r="AN486" s="143"/>
      <c r="AO486" s="143"/>
      <c r="AP486" s="143"/>
      <c r="AQ486" s="143"/>
      <c r="AR486" s="143"/>
      <c r="AS486" s="143"/>
      <c r="AT486" s="143"/>
      <c r="AU486" s="143"/>
      <c r="AV486" s="143"/>
      <c r="AW486" s="143"/>
      <c r="AX486" s="143">
        <f>AX487/60</f>
        <v>0</v>
      </c>
    </row>
    <row r="487" spans="2:50">
      <c r="B487" s="146"/>
      <c r="C487" s="147"/>
      <c r="D487" s="147"/>
      <c r="E487" s="147"/>
      <c r="F487" s="148"/>
      <c r="G487" s="141"/>
      <c r="H487" s="141"/>
      <c r="I487" s="149" t="s">
        <v>153</v>
      </c>
      <c r="J487" s="143">
        <f t="shared" si="111"/>
        <v>47364</v>
      </c>
      <c r="K487" s="143">
        <f>SUMIF($I488:$I628,"DQA",K488:K628)</f>
        <v>9231</v>
      </c>
      <c r="L487" s="143">
        <f>SUMIF($I488:$I628,"DQA",L488:L628)</f>
        <v>38133</v>
      </c>
      <c r="M487" s="143">
        <f>SUMIF($I488:$I628,"DQA",M488:M628)</f>
        <v>0</v>
      </c>
      <c r="N487" s="143">
        <f>N486*60</f>
        <v>9821.9999999999964</v>
      </c>
      <c r="O487" s="143">
        <f>O486*60</f>
        <v>38103.000000000007</v>
      </c>
      <c r="P487" s="143"/>
      <c r="Q487" s="143"/>
      <c r="R487" s="143">
        <f t="shared" ref="R487:V487" si="125">R486*60</f>
        <v>0</v>
      </c>
      <c r="S487" s="143">
        <f t="shared" si="125"/>
        <v>0</v>
      </c>
      <c r="T487" s="143">
        <f t="shared" si="125"/>
        <v>0</v>
      </c>
      <c r="U487" s="143">
        <f t="shared" si="125"/>
        <v>0</v>
      </c>
      <c r="V487" s="143">
        <f t="shared" si="125"/>
        <v>0</v>
      </c>
      <c r="W487" s="143"/>
      <c r="X487" s="143">
        <f>SUM(X488:X628)</f>
        <v>0</v>
      </c>
      <c r="Y487" s="143"/>
      <c r="Z487" s="143"/>
      <c r="AA487" s="143"/>
      <c r="AB487" s="143">
        <f t="shared" ref="AB487:AK487" si="126">SUM(AB488:AB628)</f>
        <v>0</v>
      </c>
      <c r="AC487" s="143"/>
      <c r="AD487" s="143">
        <f t="shared" si="126"/>
        <v>0</v>
      </c>
      <c r="AE487" s="143"/>
      <c r="AF487" s="143">
        <f t="shared" si="126"/>
        <v>0</v>
      </c>
      <c r="AG487" s="143"/>
      <c r="AH487" s="143">
        <f t="shared" si="126"/>
        <v>0</v>
      </c>
      <c r="AI487" s="143"/>
      <c r="AJ487" s="143"/>
      <c r="AK487" s="143">
        <f t="shared" si="126"/>
        <v>0</v>
      </c>
      <c r="AL487" s="143"/>
      <c r="AM487" s="143"/>
      <c r="AN487" s="143"/>
      <c r="AO487" s="143"/>
      <c r="AP487" s="143"/>
      <c r="AQ487" s="143"/>
      <c r="AR487" s="143"/>
      <c r="AS487" s="143"/>
      <c r="AT487" s="143"/>
      <c r="AU487" s="143"/>
      <c r="AV487" s="143"/>
      <c r="AW487" s="143"/>
      <c r="AX487" s="143">
        <f>SUM(AX488:AX628)</f>
        <v>0</v>
      </c>
    </row>
    <row r="488" spans="2:50">
      <c r="B488" s="45">
        <v>468</v>
      </c>
      <c r="C488" s="250" t="s">
        <v>776</v>
      </c>
      <c r="D488" s="250" t="s">
        <v>777</v>
      </c>
      <c r="E488" s="250" t="s">
        <v>778</v>
      </c>
      <c r="F488" s="251" t="s">
        <v>779</v>
      </c>
      <c r="G488" s="217" t="s">
        <v>780</v>
      </c>
      <c r="H488" s="252">
        <v>42984</v>
      </c>
      <c r="I488" s="164" t="s">
        <v>409</v>
      </c>
      <c r="J488" s="219">
        <f t="shared" si="111"/>
        <v>24</v>
      </c>
      <c r="K488" s="219">
        <v>24</v>
      </c>
      <c r="L488" s="219">
        <v>0</v>
      </c>
      <c r="M488" s="219"/>
      <c r="N488" s="253">
        <v>0.4</v>
      </c>
      <c r="O488" s="253">
        <v>0</v>
      </c>
      <c r="P488" s="224">
        <v>1</v>
      </c>
      <c r="Q488" s="53"/>
      <c r="R488" s="54" t="s">
        <v>158</v>
      </c>
      <c r="S488" s="54" t="s">
        <v>158</v>
      </c>
      <c r="T488" s="54" t="s">
        <v>158</v>
      </c>
      <c r="U488" s="54" t="s">
        <v>158</v>
      </c>
      <c r="V488" s="254" t="s">
        <v>781</v>
      </c>
      <c r="W488" s="53"/>
      <c r="X488" s="53">
        <f t="shared" ref="X488:X551" si="127">SUMIF(W488,"Y",K488)</f>
        <v>0</v>
      </c>
      <c r="Y488" s="55"/>
      <c r="Z488" s="55"/>
      <c r="AA488" s="52">
        <f t="shared" ref="AA488:AA551" si="128">(COUNTA(AL488:AU488)-COUNTIF(AL488:AU488, "X"))</f>
        <v>0</v>
      </c>
      <c r="AB488" s="53">
        <f t="shared" ref="AB488:AB551" si="129">(COUNTA(AL488:AU488)-COUNTIF(AL488:AU488, "X"))*P488*K488</f>
        <v>0</v>
      </c>
      <c r="AC488" s="53">
        <f t="shared" ref="AC488:AC551" si="130">COUNTIF(AL488:AU488,"A")</f>
        <v>0</v>
      </c>
      <c r="AD488" s="53">
        <f t="shared" ref="AD488:AD551" si="131">COUNTIF(AL488:AU488,"V")*P488*M488</f>
        <v>0</v>
      </c>
      <c r="AE488" s="53">
        <f t="shared" ref="AE488:AE551" si="132">COUNTIF(AL488:AU488,"L")</f>
        <v>0</v>
      </c>
      <c r="AF488" s="53">
        <f t="shared" ref="AF488:AF551" si="133">COUNTIF(AL488:AU488,"L")*K488*P488</f>
        <v>0</v>
      </c>
      <c r="AG488" s="56">
        <f t="shared" ref="AG488:AG551" si="134">IF(Q488="Y",1,0)</f>
        <v>0</v>
      </c>
      <c r="AH488" s="53">
        <f t="shared" ref="AH488:AH551" si="135">IF(Q488="Y", AA488, 0)*K488*P488/2</f>
        <v>0</v>
      </c>
      <c r="AI488" s="55"/>
      <c r="AJ488" s="53">
        <f t="shared" ref="AJ488:AJ551" si="136">COUNTIF(AL488:AU488, "V")</f>
        <v>0</v>
      </c>
      <c r="AK488" s="53">
        <f t="shared" ref="AK488:AK551" si="137">AB488-AD488-AF488-AH488</f>
        <v>0</v>
      </c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7"/>
      <c r="AW488" s="57"/>
      <c r="AX488" s="57"/>
    </row>
    <row r="489" spans="2:50">
      <c r="B489" s="45">
        <v>469</v>
      </c>
      <c r="C489" s="250" t="s">
        <v>782</v>
      </c>
      <c r="D489" s="250" t="s">
        <v>777</v>
      </c>
      <c r="E489" s="250" t="s">
        <v>783</v>
      </c>
      <c r="F489" s="251" t="s">
        <v>195</v>
      </c>
      <c r="G489" s="217" t="s">
        <v>780</v>
      </c>
      <c r="H489" s="252">
        <v>43299</v>
      </c>
      <c r="I489" s="164" t="s">
        <v>409</v>
      </c>
      <c r="J489" s="219">
        <f t="shared" si="111"/>
        <v>24</v>
      </c>
      <c r="K489" s="219">
        <v>24</v>
      </c>
      <c r="L489" s="219">
        <v>0</v>
      </c>
      <c r="M489" s="219"/>
      <c r="N489" s="253">
        <v>0.4</v>
      </c>
      <c r="O489" s="255">
        <v>0</v>
      </c>
      <c r="P489" s="224">
        <v>1</v>
      </c>
      <c r="Q489" s="53"/>
      <c r="R489" s="54" t="s">
        <v>158</v>
      </c>
      <c r="S489" s="54" t="s">
        <v>158</v>
      </c>
      <c r="T489" s="54" t="s">
        <v>158</v>
      </c>
      <c r="U489" s="54" t="s">
        <v>158</v>
      </c>
      <c r="V489" s="254" t="s">
        <v>781</v>
      </c>
      <c r="W489" s="53"/>
      <c r="X489" s="53">
        <f t="shared" si="127"/>
        <v>0</v>
      </c>
      <c r="Y489" s="55"/>
      <c r="Z489" s="55"/>
      <c r="AA489" s="52">
        <f t="shared" si="128"/>
        <v>0</v>
      </c>
      <c r="AB489" s="53">
        <f t="shared" si="129"/>
        <v>0</v>
      </c>
      <c r="AC489" s="53">
        <f t="shared" si="130"/>
        <v>0</v>
      </c>
      <c r="AD489" s="53">
        <f t="shared" si="131"/>
        <v>0</v>
      </c>
      <c r="AE489" s="53">
        <f t="shared" si="132"/>
        <v>0</v>
      </c>
      <c r="AF489" s="53">
        <f t="shared" si="133"/>
        <v>0</v>
      </c>
      <c r="AG489" s="56">
        <f t="shared" si="134"/>
        <v>0</v>
      </c>
      <c r="AH489" s="53">
        <f t="shared" si="135"/>
        <v>0</v>
      </c>
      <c r="AI489" s="55"/>
      <c r="AJ489" s="53">
        <f t="shared" si="136"/>
        <v>0</v>
      </c>
      <c r="AK489" s="53">
        <f t="shared" si="137"/>
        <v>0</v>
      </c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7"/>
      <c r="AW489" s="57"/>
      <c r="AX489" s="57"/>
    </row>
    <row r="490" spans="2:50">
      <c r="B490" s="45">
        <v>470</v>
      </c>
      <c r="C490" s="250" t="s">
        <v>782</v>
      </c>
      <c r="D490" s="250" t="s">
        <v>777</v>
      </c>
      <c r="E490" s="250" t="s">
        <v>783</v>
      </c>
      <c r="F490" s="251" t="s">
        <v>198</v>
      </c>
      <c r="G490" s="217" t="s">
        <v>780</v>
      </c>
      <c r="H490" s="252">
        <v>42471</v>
      </c>
      <c r="I490" s="164" t="s">
        <v>409</v>
      </c>
      <c r="J490" s="51">
        <f t="shared" si="111"/>
        <v>2958</v>
      </c>
      <c r="K490" s="51">
        <v>78</v>
      </c>
      <c r="L490" s="51">
        <v>2880</v>
      </c>
      <c r="M490" s="51"/>
      <c r="N490" s="253">
        <v>1.3</v>
      </c>
      <c r="O490" s="255">
        <v>48</v>
      </c>
      <c r="P490" s="224">
        <v>1</v>
      </c>
      <c r="Q490" s="53"/>
      <c r="R490" s="54" t="s">
        <v>158</v>
      </c>
      <c r="S490" s="54" t="s">
        <v>158</v>
      </c>
      <c r="T490" s="54" t="s">
        <v>158</v>
      </c>
      <c r="U490" s="54" t="s">
        <v>158</v>
      </c>
      <c r="V490" s="254" t="s">
        <v>781</v>
      </c>
      <c r="W490" s="53"/>
      <c r="X490" s="53">
        <f t="shared" si="127"/>
        <v>0</v>
      </c>
      <c r="Y490" s="55"/>
      <c r="Z490" s="55"/>
      <c r="AA490" s="52">
        <f t="shared" si="128"/>
        <v>0</v>
      </c>
      <c r="AB490" s="53">
        <f t="shared" si="129"/>
        <v>0</v>
      </c>
      <c r="AC490" s="53">
        <f t="shared" si="130"/>
        <v>0</v>
      </c>
      <c r="AD490" s="53">
        <f t="shared" si="131"/>
        <v>0</v>
      </c>
      <c r="AE490" s="53">
        <f t="shared" si="132"/>
        <v>0</v>
      </c>
      <c r="AF490" s="53">
        <f t="shared" si="133"/>
        <v>0</v>
      </c>
      <c r="AG490" s="56">
        <f t="shared" si="134"/>
        <v>0</v>
      </c>
      <c r="AH490" s="53">
        <f t="shared" si="135"/>
        <v>0</v>
      </c>
      <c r="AI490" s="55"/>
      <c r="AJ490" s="53">
        <f t="shared" si="136"/>
        <v>0</v>
      </c>
      <c r="AK490" s="53">
        <f t="shared" si="137"/>
        <v>0</v>
      </c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7"/>
      <c r="AW490" s="57"/>
      <c r="AX490" s="57"/>
    </row>
    <row r="491" spans="2:50">
      <c r="B491" s="45">
        <v>471</v>
      </c>
      <c r="C491" s="250" t="s">
        <v>782</v>
      </c>
      <c r="D491" s="250" t="s">
        <v>777</v>
      </c>
      <c r="E491" s="256" t="s">
        <v>784</v>
      </c>
      <c r="F491" s="251" t="s">
        <v>785</v>
      </c>
      <c r="G491" s="217" t="s">
        <v>780</v>
      </c>
      <c r="H491" s="257">
        <v>43000</v>
      </c>
      <c r="I491" s="164" t="s">
        <v>409</v>
      </c>
      <c r="J491" s="51">
        <f t="shared" si="111"/>
        <v>60</v>
      </c>
      <c r="K491" s="51">
        <v>60</v>
      </c>
      <c r="L491" s="51">
        <v>0</v>
      </c>
      <c r="M491" s="51"/>
      <c r="N491" s="258">
        <v>0.8</v>
      </c>
      <c r="O491" s="258">
        <v>0</v>
      </c>
      <c r="P491" s="259">
        <v>1</v>
      </c>
      <c r="Q491" s="53"/>
      <c r="R491" s="54" t="s">
        <v>158</v>
      </c>
      <c r="S491" s="54" t="s">
        <v>158</v>
      </c>
      <c r="T491" s="54" t="s">
        <v>158</v>
      </c>
      <c r="U491" s="54" t="s">
        <v>158</v>
      </c>
      <c r="V491" s="254" t="s">
        <v>781</v>
      </c>
      <c r="W491" s="53"/>
      <c r="X491" s="53">
        <f t="shared" si="127"/>
        <v>0</v>
      </c>
      <c r="Y491" s="55"/>
      <c r="Z491" s="55"/>
      <c r="AA491" s="52">
        <f t="shared" si="128"/>
        <v>0</v>
      </c>
      <c r="AB491" s="53">
        <f t="shared" si="129"/>
        <v>0</v>
      </c>
      <c r="AC491" s="53">
        <f t="shared" si="130"/>
        <v>0</v>
      </c>
      <c r="AD491" s="53">
        <f t="shared" si="131"/>
        <v>0</v>
      </c>
      <c r="AE491" s="53">
        <f t="shared" si="132"/>
        <v>0</v>
      </c>
      <c r="AF491" s="53">
        <f t="shared" si="133"/>
        <v>0</v>
      </c>
      <c r="AG491" s="56">
        <f t="shared" si="134"/>
        <v>0</v>
      </c>
      <c r="AH491" s="53">
        <f t="shared" si="135"/>
        <v>0</v>
      </c>
      <c r="AI491" s="55"/>
      <c r="AJ491" s="53">
        <f t="shared" si="136"/>
        <v>0</v>
      </c>
      <c r="AK491" s="53">
        <f t="shared" si="137"/>
        <v>0</v>
      </c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7"/>
      <c r="AW491" s="57"/>
      <c r="AX491" s="57"/>
    </row>
    <row r="492" spans="2:50">
      <c r="B492" s="45">
        <v>472</v>
      </c>
      <c r="C492" s="250" t="s">
        <v>782</v>
      </c>
      <c r="D492" s="250" t="s">
        <v>777</v>
      </c>
      <c r="E492" s="256" t="s">
        <v>784</v>
      </c>
      <c r="F492" s="251" t="s">
        <v>786</v>
      </c>
      <c r="G492" s="217" t="s">
        <v>780</v>
      </c>
      <c r="H492" s="257">
        <v>43641</v>
      </c>
      <c r="I492" s="164" t="s">
        <v>409</v>
      </c>
      <c r="J492" s="51">
        <f t="shared" si="111"/>
        <v>48</v>
      </c>
      <c r="K492" s="51">
        <v>48</v>
      </c>
      <c r="L492" s="51">
        <v>0</v>
      </c>
      <c r="M492" s="51"/>
      <c r="N492" s="258">
        <v>0.7</v>
      </c>
      <c r="O492" s="258">
        <v>0</v>
      </c>
      <c r="P492" s="259">
        <v>1</v>
      </c>
      <c r="Q492" s="53"/>
      <c r="R492" s="54" t="s">
        <v>158</v>
      </c>
      <c r="S492" s="54" t="s">
        <v>158</v>
      </c>
      <c r="T492" s="54" t="s">
        <v>158</v>
      </c>
      <c r="U492" s="54" t="s">
        <v>158</v>
      </c>
      <c r="V492" s="254" t="s">
        <v>781</v>
      </c>
      <c r="W492" s="53"/>
      <c r="X492" s="53">
        <f t="shared" si="127"/>
        <v>0</v>
      </c>
      <c r="Y492" s="55"/>
      <c r="Z492" s="55"/>
      <c r="AA492" s="52">
        <f t="shared" si="128"/>
        <v>0</v>
      </c>
      <c r="AB492" s="53">
        <f t="shared" si="129"/>
        <v>0</v>
      </c>
      <c r="AC492" s="53">
        <f t="shared" si="130"/>
        <v>0</v>
      </c>
      <c r="AD492" s="53">
        <f t="shared" si="131"/>
        <v>0</v>
      </c>
      <c r="AE492" s="53">
        <f t="shared" si="132"/>
        <v>0</v>
      </c>
      <c r="AF492" s="53">
        <f t="shared" si="133"/>
        <v>0</v>
      </c>
      <c r="AG492" s="56">
        <f t="shared" si="134"/>
        <v>0</v>
      </c>
      <c r="AH492" s="53">
        <f t="shared" si="135"/>
        <v>0</v>
      </c>
      <c r="AI492" s="55"/>
      <c r="AJ492" s="53">
        <f t="shared" si="136"/>
        <v>0</v>
      </c>
      <c r="AK492" s="53">
        <f t="shared" si="137"/>
        <v>0</v>
      </c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7"/>
      <c r="AW492" s="57"/>
      <c r="AX492" s="57"/>
    </row>
    <row r="493" spans="2:50">
      <c r="B493" s="45">
        <v>473</v>
      </c>
      <c r="C493" s="250" t="s">
        <v>782</v>
      </c>
      <c r="D493" s="250" t="s">
        <v>777</v>
      </c>
      <c r="E493" s="256" t="s">
        <v>784</v>
      </c>
      <c r="F493" s="251" t="s">
        <v>787</v>
      </c>
      <c r="G493" s="217" t="s">
        <v>780</v>
      </c>
      <c r="H493" s="252">
        <v>43000</v>
      </c>
      <c r="I493" s="164" t="s">
        <v>409</v>
      </c>
      <c r="J493" s="51">
        <f t="shared" si="111"/>
        <v>48</v>
      </c>
      <c r="K493" s="51">
        <v>48</v>
      </c>
      <c r="L493" s="51">
        <v>0</v>
      </c>
      <c r="M493" s="51"/>
      <c r="N493" s="260">
        <v>0.5</v>
      </c>
      <c r="O493" s="260">
        <v>0</v>
      </c>
      <c r="P493" s="261">
        <v>1</v>
      </c>
      <c r="Q493" s="53"/>
      <c r="R493" s="54" t="s">
        <v>158</v>
      </c>
      <c r="S493" s="54" t="s">
        <v>158</v>
      </c>
      <c r="T493" s="54" t="s">
        <v>158</v>
      </c>
      <c r="U493" s="54" t="s">
        <v>158</v>
      </c>
      <c r="V493" s="254" t="s">
        <v>781</v>
      </c>
      <c r="W493" s="53"/>
      <c r="X493" s="53">
        <f t="shared" si="127"/>
        <v>0</v>
      </c>
      <c r="Y493" s="55"/>
      <c r="Z493" s="55"/>
      <c r="AA493" s="52">
        <f t="shared" si="128"/>
        <v>0</v>
      </c>
      <c r="AB493" s="53">
        <f t="shared" si="129"/>
        <v>0</v>
      </c>
      <c r="AC493" s="53">
        <f t="shared" si="130"/>
        <v>0</v>
      </c>
      <c r="AD493" s="53">
        <f t="shared" si="131"/>
        <v>0</v>
      </c>
      <c r="AE493" s="53">
        <f t="shared" si="132"/>
        <v>0</v>
      </c>
      <c r="AF493" s="53">
        <f t="shared" si="133"/>
        <v>0</v>
      </c>
      <c r="AG493" s="56">
        <f t="shared" si="134"/>
        <v>0</v>
      </c>
      <c r="AH493" s="53">
        <f t="shared" si="135"/>
        <v>0</v>
      </c>
      <c r="AI493" s="55"/>
      <c r="AJ493" s="53">
        <f t="shared" si="136"/>
        <v>0</v>
      </c>
      <c r="AK493" s="53">
        <f t="shared" si="137"/>
        <v>0</v>
      </c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7"/>
      <c r="AW493" s="57"/>
      <c r="AX493" s="57"/>
    </row>
    <row r="494" spans="2:50">
      <c r="B494" s="45">
        <v>474</v>
      </c>
      <c r="C494" s="250" t="s">
        <v>782</v>
      </c>
      <c r="D494" s="250" t="s">
        <v>777</v>
      </c>
      <c r="E494" s="256" t="s">
        <v>784</v>
      </c>
      <c r="F494" s="251" t="s">
        <v>788</v>
      </c>
      <c r="G494" s="217" t="s">
        <v>780</v>
      </c>
      <c r="H494" s="252">
        <v>43788</v>
      </c>
      <c r="I494" s="164" t="s">
        <v>409</v>
      </c>
      <c r="J494" s="51">
        <f t="shared" si="111"/>
        <v>90</v>
      </c>
      <c r="K494" s="51">
        <v>48</v>
      </c>
      <c r="L494" s="51">
        <v>42</v>
      </c>
      <c r="M494" s="51"/>
      <c r="N494" s="223">
        <v>0.7</v>
      </c>
      <c r="O494" s="223">
        <v>0.7</v>
      </c>
      <c r="P494" s="224">
        <v>1</v>
      </c>
      <c r="Q494" s="53"/>
      <c r="R494" s="54" t="s">
        <v>158</v>
      </c>
      <c r="S494" s="54" t="s">
        <v>158</v>
      </c>
      <c r="T494" s="54" t="s">
        <v>158</v>
      </c>
      <c r="U494" s="54" t="s">
        <v>158</v>
      </c>
      <c r="V494" s="254" t="s">
        <v>781</v>
      </c>
      <c r="W494" s="53"/>
      <c r="X494" s="53">
        <f t="shared" si="127"/>
        <v>0</v>
      </c>
      <c r="Y494" s="55"/>
      <c r="Z494" s="55"/>
      <c r="AA494" s="52">
        <f t="shared" si="128"/>
        <v>0</v>
      </c>
      <c r="AB494" s="53">
        <f t="shared" si="129"/>
        <v>0</v>
      </c>
      <c r="AC494" s="53">
        <f t="shared" si="130"/>
        <v>0</v>
      </c>
      <c r="AD494" s="53">
        <f t="shared" si="131"/>
        <v>0</v>
      </c>
      <c r="AE494" s="53">
        <f t="shared" si="132"/>
        <v>0</v>
      </c>
      <c r="AF494" s="53">
        <f t="shared" si="133"/>
        <v>0</v>
      </c>
      <c r="AG494" s="56">
        <f t="shared" si="134"/>
        <v>0</v>
      </c>
      <c r="AH494" s="53">
        <f t="shared" si="135"/>
        <v>0</v>
      </c>
      <c r="AI494" s="55"/>
      <c r="AJ494" s="53">
        <f t="shared" si="136"/>
        <v>0</v>
      </c>
      <c r="AK494" s="53">
        <f t="shared" si="137"/>
        <v>0</v>
      </c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7"/>
      <c r="AW494" s="57"/>
      <c r="AX494" s="57"/>
    </row>
    <row r="495" spans="2:50">
      <c r="B495" s="45">
        <v>475</v>
      </c>
      <c r="C495" s="250" t="s">
        <v>782</v>
      </c>
      <c r="D495" s="250" t="s">
        <v>777</v>
      </c>
      <c r="E495" s="256" t="s">
        <v>784</v>
      </c>
      <c r="F495" s="251" t="s">
        <v>789</v>
      </c>
      <c r="G495" s="217" t="s">
        <v>780</v>
      </c>
      <c r="H495" s="252">
        <v>43712</v>
      </c>
      <c r="I495" s="164" t="s">
        <v>409</v>
      </c>
      <c r="J495" s="51">
        <f t="shared" si="111"/>
        <v>48</v>
      </c>
      <c r="K495" s="51">
        <v>30</v>
      </c>
      <c r="L495" s="51">
        <v>18</v>
      </c>
      <c r="M495" s="51"/>
      <c r="N495" s="262">
        <v>0.5</v>
      </c>
      <c r="O495" s="223">
        <v>0.30000000000000004</v>
      </c>
      <c r="P495" s="224">
        <v>1</v>
      </c>
      <c r="Q495" s="53"/>
      <c r="R495" s="54" t="s">
        <v>158</v>
      </c>
      <c r="S495" s="54" t="s">
        <v>158</v>
      </c>
      <c r="T495" s="54" t="s">
        <v>158</v>
      </c>
      <c r="U495" s="54" t="s">
        <v>158</v>
      </c>
      <c r="V495" s="254" t="s">
        <v>781</v>
      </c>
      <c r="W495" s="53"/>
      <c r="X495" s="53">
        <f t="shared" si="127"/>
        <v>0</v>
      </c>
      <c r="Y495" s="55"/>
      <c r="Z495" s="55"/>
      <c r="AA495" s="52">
        <f t="shared" si="128"/>
        <v>0</v>
      </c>
      <c r="AB495" s="53">
        <f t="shared" si="129"/>
        <v>0</v>
      </c>
      <c r="AC495" s="53">
        <f t="shared" si="130"/>
        <v>0</v>
      </c>
      <c r="AD495" s="53">
        <f t="shared" si="131"/>
        <v>0</v>
      </c>
      <c r="AE495" s="53">
        <f t="shared" si="132"/>
        <v>0</v>
      </c>
      <c r="AF495" s="53">
        <f t="shared" si="133"/>
        <v>0</v>
      </c>
      <c r="AG495" s="56">
        <f t="shared" si="134"/>
        <v>0</v>
      </c>
      <c r="AH495" s="53">
        <f t="shared" si="135"/>
        <v>0</v>
      </c>
      <c r="AI495" s="55"/>
      <c r="AJ495" s="53">
        <f t="shared" si="136"/>
        <v>0</v>
      </c>
      <c r="AK495" s="53">
        <f t="shared" si="137"/>
        <v>0</v>
      </c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7"/>
      <c r="AW495" s="57"/>
      <c r="AX495" s="57"/>
    </row>
    <row r="496" spans="2:50">
      <c r="B496" s="45">
        <v>476</v>
      </c>
      <c r="C496" s="250" t="s">
        <v>782</v>
      </c>
      <c r="D496" s="250" t="s">
        <v>777</v>
      </c>
      <c r="E496" s="256" t="s">
        <v>784</v>
      </c>
      <c r="F496" s="251" t="s">
        <v>790</v>
      </c>
      <c r="G496" s="217" t="s">
        <v>780</v>
      </c>
      <c r="H496" s="252">
        <v>43712</v>
      </c>
      <c r="I496" s="164" t="s">
        <v>409</v>
      </c>
      <c r="J496" s="51">
        <f t="shared" si="111"/>
        <v>60</v>
      </c>
      <c r="K496" s="51">
        <v>42</v>
      </c>
      <c r="L496" s="51">
        <v>18</v>
      </c>
      <c r="M496" s="51"/>
      <c r="N496" s="260">
        <v>0.7</v>
      </c>
      <c r="O496" s="260">
        <v>0.30000000000000004</v>
      </c>
      <c r="P496" s="261">
        <v>1</v>
      </c>
      <c r="Q496" s="53"/>
      <c r="R496" s="54" t="s">
        <v>158</v>
      </c>
      <c r="S496" s="54" t="s">
        <v>158</v>
      </c>
      <c r="T496" s="54" t="s">
        <v>158</v>
      </c>
      <c r="U496" s="54" t="s">
        <v>158</v>
      </c>
      <c r="V496" s="254" t="s">
        <v>781</v>
      </c>
      <c r="W496" s="53"/>
      <c r="X496" s="53">
        <f t="shared" si="127"/>
        <v>0</v>
      </c>
      <c r="Y496" s="55"/>
      <c r="Z496" s="55"/>
      <c r="AA496" s="52">
        <f t="shared" si="128"/>
        <v>0</v>
      </c>
      <c r="AB496" s="53">
        <f t="shared" si="129"/>
        <v>0</v>
      </c>
      <c r="AC496" s="53">
        <f t="shared" si="130"/>
        <v>0</v>
      </c>
      <c r="AD496" s="53">
        <f t="shared" si="131"/>
        <v>0</v>
      </c>
      <c r="AE496" s="53">
        <f t="shared" si="132"/>
        <v>0</v>
      </c>
      <c r="AF496" s="53">
        <f t="shared" si="133"/>
        <v>0</v>
      </c>
      <c r="AG496" s="56">
        <f t="shared" si="134"/>
        <v>0</v>
      </c>
      <c r="AH496" s="53">
        <f t="shared" si="135"/>
        <v>0</v>
      </c>
      <c r="AI496" s="55"/>
      <c r="AJ496" s="53">
        <f t="shared" si="136"/>
        <v>0</v>
      </c>
      <c r="AK496" s="53">
        <f t="shared" si="137"/>
        <v>0</v>
      </c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7"/>
      <c r="AW496" s="57"/>
      <c r="AX496" s="57"/>
    </row>
    <row r="497" spans="2:50">
      <c r="B497" s="45">
        <v>477</v>
      </c>
      <c r="C497" s="250" t="s">
        <v>782</v>
      </c>
      <c r="D497" s="250" t="s">
        <v>777</v>
      </c>
      <c r="E497" s="256" t="s">
        <v>784</v>
      </c>
      <c r="F497" s="251" t="s">
        <v>791</v>
      </c>
      <c r="G497" s="217" t="s">
        <v>780</v>
      </c>
      <c r="H497" s="252">
        <v>43000</v>
      </c>
      <c r="I497" s="164" t="s">
        <v>409</v>
      </c>
      <c r="J497" s="51">
        <f t="shared" si="111"/>
        <v>84</v>
      </c>
      <c r="K497" s="51">
        <v>48</v>
      </c>
      <c r="L497" s="51">
        <v>36</v>
      </c>
      <c r="M497" s="51"/>
      <c r="N497" s="260">
        <v>0.60000000000000009</v>
      </c>
      <c r="O497" s="260">
        <v>0.60000000000000009</v>
      </c>
      <c r="P497" s="261">
        <v>1</v>
      </c>
      <c r="Q497" s="53"/>
      <c r="R497" s="54" t="s">
        <v>158</v>
      </c>
      <c r="S497" s="54" t="s">
        <v>158</v>
      </c>
      <c r="T497" s="54" t="s">
        <v>158</v>
      </c>
      <c r="U497" s="54" t="s">
        <v>158</v>
      </c>
      <c r="V497" s="254" t="s">
        <v>781</v>
      </c>
      <c r="W497" s="53"/>
      <c r="X497" s="53">
        <f t="shared" si="127"/>
        <v>0</v>
      </c>
      <c r="Y497" s="55"/>
      <c r="Z497" s="55"/>
      <c r="AA497" s="52">
        <f t="shared" si="128"/>
        <v>0</v>
      </c>
      <c r="AB497" s="53">
        <f t="shared" si="129"/>
        <v>0</v>
      </c>
      <c r="AC497" s="53">
        <f t="shared" si="130"/>
        <v>0</v>
      </c>
      <c r="AD497" s="53">
        <f t="shared" si="131"/>
        <v>0</v>
      </c>
      <c r="AE497" s="53">
        <f t="shared" si="132"/>
        <v>0</v>
      </c>
      <c r="AF497" s="53">
        <f t="shared" si="133"/>
        <v>0</v>
      </c>
      <c r="AG497" s="56">
        <f t="shared" si="134"/>
        <v>0</v>
      </c>
      <c r="AH497" s="53">
        <f t="shared" si="135"/>
        <v>0</v>
      </c>
      <c r="AI497" s="55"/>
      <c r="AJ497" s="53">
        <f t="shared" si="136"/>
        <v>0</v>
      </c>
      <c r="AK497" s="53">
        <f t="shared" si="137"/>
        <v>0</v>
      </c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7"/>
      <c r="AW497" s="57"/>
      <c r="AX497" s="57"/>
    </row>
    <row r="498" spans="2:50">
      <c r="B498" s="45">
        <v>478</v>
      </c>
      <c r="C498" s="250" t="s">
        <v>782</v>
      </c>
      <c r="D498" s="250" t="s">
        <v>777</v>
      </c>
      <c r="E498" s="256" t="s">
        <v>784</v>
      </c>
      <c r="F498" s="251" t="s">
        <v>792</v>
      </c>
      <c r="G498" s="217" t="s">
        <v>780</v>
      </c>
      <c r="H498" s="252">
        <v>43341</v>
      </c>
      <c r="I498" s="164" t="s">
        <v>409</v>
      </c>
      <c r="J498" s="51">
        <f t="shared" si="111"/>
        <v>90</v>
      </c>
      <c r="K498" s="51">
        <v>84</v>
      </c>
      <c r="L498" s="51">
        <v>6</v>
      </c>
      <c r="M498" s="51"/>
      <c r="N498" s="260">
        <v>0.7</v>
      </c>
      <c r="O498" s="260">
        <v>0.1</v>
      </c>
      <c r="P498" s="261">
        <v>1</v>
      </c>
      <c r="Q498" s="53"/>
      <c r="R498" s="54" t="s">
        <v>158</v>
      </c>
      <c r="S498" s="54" t="s">
        <v>158</v>
      </c>
      <c r="T498" s="54" t="s">
        <v>158</v>
      </c>
      <c r="U498" s="54" t="s">
        <v>158</v>
      </c>
      <c r="V498" s="254" t="s">
        <v>781</v>
      </c>
      <c r="W498" s="53"/>
      <c r="X498" s="53">
        <f t="shared" si="127"/>
        <v>0</v>
      </c>
      <c r="Y498" s="55"/>
      <c r="Z498" s="55"/>
      <c r="AA498" s="52">
        <f t="shared" si="128"/>
        <v>0</v>
      </c>
      <c r="AB498" s="53">
        <f t="shared" si="129"/>
        <v>0</v>
      </c>
      <c r="AC498" s="53">
        <f t="shared" si="130"/>
        <v>0</v>
      </c>
      <c r="AD498" s="53">
        <f t="shared" si="131"/>
        <v>0</v>
      </c>
      <c r="AE498" s="53">
        <f t="shared" si="132"/>
        <v>0</v>
      </c>
      <c r="AF498" s="53">
        <f t="shared" si="133"/>
        <v>0</v>
      </c>
      <c r="AG498" s="56">
        <f t="shared" si="134"/>
        <v>0</v>
      </c>
      <c r="AH498" s="53">
        <f t="shared" si="135"/>
        <v>0</v>
      </c>
      <c r="AI498" s="55"/>
      <c r="AJ498" s="53">
        <f t="shared" si="136"/>
        <v>0</v>
      </c>
      <c r="AK498" s="53">
        <f t="shared" si="137"/>
        <v>0</v>
      </c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7"/>
      <c r="AW498" s="57"/>
      <c r="AX498" s="57"/>
    </row>
    <row r="499" spans="2:50">
      <c r="B499" s="45">
        <v>479</v>
      </c>
      <c r="C499" s="250" t="s">
        <v>782</v>
      </c>
      <c r="D499" s="250" t="s">
        <v>777</v>
      </c>
      <c r="E499" s="256" t="s">
        <v>784</v>
      </c>
      <c r="F499" s="251" t="s">
        <v>793</v>
      </c>
      <c r="G499" s="217" t="s">
        <v>780</v>
      </c>
      <c r="H499" s="252">
        <v>43000</v>
      </c>
      <c r="I499" s="164" t="s">
        <v>409</v>
      </c>
      <c r="J499" s="51">
        <f t="shared" si="111"/>
        <v>36</v>
      </c>
      <c r="K499" s="51">
        <v>24</v>
      </c>
      <c r="L499" s="51">
        <v>12</v>
      </c>
      <c r="M499" s="51"/>
      <c r="N499" s="260">
        <v>0.2</v>
      </c>
      <c r="O499" s="260">
        <v>0.2</v>
      </c>
      <c r="P499" s="261">
        <v>1</v>
      </c>
      <c r="Q499" s="53"/>
      <c r="R499" s="54" t="s">
        <v>158</v>
      </c>
      <c r="S499" s="54" t="s">
        <v>158</v>
      </c>
      <c r="T499" s="54" t="s">
        <v>158</v>
      </c>
      <c r="U499" s="54" t="s">
        <v>158</v>
      </c>
      <c r="V499" s="254" t="s">
        <v>781</v>
      </c>
      <c r="W499" s="53"/>
      <c r="X499" s="53">
        <f t="shared" si="127"/>
        <v>0</v>
      </c>
      <c r="Y499" s="55"/>
      <c r="Z499" s="55"/>
      <c r="AA499" s="52">
        <f t="shared" si="128"/>
        <v>0</v>
      </c>
      <c r="AB499" s="53">
        <f t="shared" si="129"/>
        <v>0</v>
      </c>
      <c r="AC499" s="53">
        <f t="shared" si="130"/>
        <v>0</v>
      </c>
      <c r="AD499" s="53">
        <f t="shared" si="131"/>
        <v>0</v>
      </c>
      <c r="AE499" s="53">
        <f t="shared" si="132"/>
        <v>0</v>
      </c>
      <c r="AF499" s="53">
        <f t="shared" si="133"/>
        <v>0</v>
      </c>
      <c r="AG499" s="56">
        <f t="shared" si="134"/>
        <v>0</v>
      </c>
      <c r="AH499" s="53">
        <f t="shared" si="135"/>
        <v>0</v>
      </c>
      <c r="AI499" s="55"/>
      <c r="AJ499" s="53">
        <f t="shared" si="136"/>
        <v>0</v>
      </c>
      <c r="AK499" s="53">
        <f t="shared" si="137"/>
        <v>0</v>
      </c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7"/>
      <c r="AW499" s="57"/>
      <c r="AX499" s="57"/>
    </row>
    <row r="500" spans="2:50">
      <c r="B500" s="45">
        <v>480</v>
      </c>
      <c r="C500" s="250" t="s">
        <v>782</v>
      </c>
      <c r="D500" s="250" t="s">
        <v>777</v>
      </c>
      <c r="E500" s="256" t="s">
        <v>404</v>
      </c>
      <c r="F500" s="250" t="s">
        <v>404</v>
      </c>
      <c r="G500" s="217" t="s">
        <v>780</v>
      </c>
      <c r="H500" s="257">
        <v>43712</v>
      </c>
      <c r="I500" s="164" t="s">
        <v>409</v>
      </c>
      <c r="J500" s="51">
        <f t="shared" si="111"/>
        <v>192</v>
      </c>
      <c r="K500" s="51">
        <v>96</v>
      </c>
      <c r="L500" s="51">
        <v>96</v>
      </c>
      <c r="M500" s="51"/>
      <c r="N500" s="263">
        <v>1.6</v>
      </c>
      <c r="O500" s="263">
        <v>1.6</v>
      </c>
      <c r="P500" s="264">
        <v>1</v>
      </c>
      <c r="Q500" s="53"/>
      <c r="R500" s="54" t="s">
        <v>158</v>
      </c>
      <c r="S500" s="54" t="s">
        <v>158</v>
      </c>
      <c r="T500" s="54" t="s">
        <v>158</v>
      </c>
      <c r="U500" s="54" t="s">
        <v>158</v>
      </c>
      <c r="V500" s="254" t="s">
        <v>781</v>
      </c>
      <c r="W500" s="53"/>
      <c r="X500" s="53">
        <f t="shared" si="127"/>
        <v>0</v>
      </c>
      <c r="Y500" s="55"/>
      <c r="Z500" s="55"/>
      <c r="AA500" s="52">
        <f t="shared" si="128"/>
        <v>0</v>
      </c>
      <c r="AB500" s="53">
        <f t="shared" si="129"/>
        <v>0</v>
      </c>
      <c r="AC500" s="53">
        <f t="shared" si="130"/>
        <v>0</v>
      </c>
      <c r="AD500" s="53">
        <f t="shared" si="131"/>
        <v>0</v>
      </c>
      <c r="AE500" s="53">
        <f t="shared" si="132"/>
        <v>0</v>
      </c>
      <c r="AF500" s="53">
        <f t="shared" si="133"/>
        <v>0</v>
      </c>
      <c r="AG500" s="56">
        <f t="shared" si="134"/>
        <v>0</v>
      </c>
      <c r="AH500" s="53">
        <f t="shared" si="135"/>
        <v>0</v>
      </c>
      <c r="AI500" s="55"/>
      <c r="AJ500" s="53">
        <f t="shared" si="136"/>
        <v>0</v>
      </c>
      <c r="AK500" s="53">
        <f t="shared" si="137"/>
        <v>0</v>
      </c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7"/>
      <c r="AW500" s="57"/>
      <c r="AX500" s="57"/>
    </row>
    <row r="501" spans="2:50">
      <c r="B501" s="45">
        <v>481</v>
      </c>
      <c r="C501" s="250" t="s">
        <v>782</v>
      </c>
      <c r="D501" s="250" t="s">
        <v>777</v>
      </c>
      <c r="E501" s="256" t="s">
        <v>794</v>
      </c>
      <c r="F501" s="250" t="s">
        <v>794</v>
      </c>
      <c r="G501" s="217" t="s">
        <v>795</v>
      </c>
      <c r="H501" s="257">
        <v>43299</v>
      </c>
      <c r="I501" s="164" t="s">
        <v>409</v>
      </c>
      <c r="J501" s="51">
        <f t="shared" si="111"/>
        <v>1854</v>
      </c>
      <c r="K501" s="51">
        <v>138</v>
      </c>
      <c r="L501" s="51">
        <v>1716</v>
      </c>
      <c r="M501" s="51"/>
      <c r="N501" s="263">
        <v>2.3000000000000003</v>
      </c>
      <c r="O501" s="263">
        <v>28.6</v>
      </c>
      <c r="P501" s="264">
        <v>1</v>
      </c>
      <c r="Q501" s="53"/>
      <c r="R501" s="54" t="s">
        <v>158</v>
      </c>
      <c r="S501" s="54" t="s">
        <v>158</v>
      </c>
      <c r="T501" s="54" t="s">
        <v>158</v>
      </c>
      <c r="U501" s="54" t="s">
        <v>158</v>
      </c>
      <c r="V501" s="254" t="s">
        <v>781</v>
      </c>
      <c r="W501" s="53"/>
      <c r="X501" s="53">
        <f t="shared" si="127"/>
        <v>0</v>
      </c>
      <c r="Y501" s="55"/>
      <c r="Z501" s="55"/>
      <c r="AA501" s="52">
        <f t="shared" si="128"/>
        <v>0</v>
      </c>
      <c r="AB501" s="53">
        <f t="shared" si="129"/>
        <v>0</v>
      </c>
      <c r="AC501" s="53">
        <f t="shared" si="130"/>
        <v>0</v>
      </c>
      <c r="AD501" s="53">
        <f t="shared" si="131"/>
        <v>0</v>
      </c>
      <c r="AE501" s="53">
        <f t="shared" si="132"/>
        <v>0</v>
      </c>
      <c r="AF501" s="53">
        <f t="shared" si="133"/>
        <v>0</v>
      </c>
      <c r="AG501" s="56">
        <f t="shared" si="134"/>
        <v>0</v>
      </c>
      <c r="AH501" s="53">
        <f t="shared" si="135"/>
        <v>0</v>
      </c>
      <c r="AI501" s="55"/>
      <c r="AJ501" s="53">
        <f t="shared" si="136"/>
        <v>0</v>
      </c>
      <c r="AK501" s="53">
        <f t="shared" si="137"/>
        <v>0</v>
      </c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7"/>
      <c r="AW501" s="57"/>
      <c r="AX501" s="57"/>
    </row>
    <row r="502" spans="2:50">
      <c r="B502" s="45">
        <v>482</v>
      </c>
      <c r="C502" s="250" t="s">
        <v>782</v>
      </c>
      <c r="D502" s="250" t="s">
        <v>777</v>
      </c>
      <c r="E502" s="256" t="s">
        <v>796</v>
      </c>
      <c r="F502" s="251" t="s">
        <v>797</v>
      </c>
      <c r="G502" s="217" t="s">
        <v>780</v>
      </c>
      <c r="H502" s="257">
        <v>42985</v>
      </c>
      <c r="I502" s="164" t="s">
        <v>409</v>
      </c>
      <c r="J502" s="51">
        <f t="shared" si="111"/>
        <v>1704</v>
      </c>
      <c r="K502" s="51">
        <v>264</v>
      </c>
      <c r="L502" s="51">
        <v>1440</v>
      </c>
      <c r="M502" s="51"/>
      <c r="N502" s="262">
        <v>4.4000000000000004</v>
      </c>
      <c r="O502" s="223">
        <v>24</v>
      </c>
      <c r="P502" s="224">
        <v>1</v>
      </c>
      <c r="Q502" s="53"/>
      <c r="R502" s="54" t="s">
        <v>158</v>
      </c>
      <c r="S502" s="54" t="s">
        <v>158</v>
      </c>
      <c r="T502" s="54" t="s">
        <v>158</v>
      </c>
      <c r="U502" s="54" t="s">
        <v>158</v>
      </c>
      <c r="V502" s="254" t="s">
        <v>798</v>
      </c>
      <c r="W502" s="53"/>
      <c r="X502" s="53">
        <f t="shared" si="127"/>
        <v>0</v>
      </c>
      <c r="Y502" s="55"/>
      <c r="Z502" s="55"/>
      <c r="AA502" s="52">
        <f t="shared" si="128"/>
        <v>0</v>
      </c>
      <c r="AB502" s="53">
        <f t="shared" si="129"/>
        <v>0</v>
      </c>
      <c r="AC502" s="53">
        <f t="shared" si="130"/>
        <v>0</v>
      </c>
      <c r="AD502" s="53">
        <f t="shared" si="131"/>
        <v>0</v>
      </c>
      <c r="AE502" s="53">
        <f t="shared" si="132"/>
        <v>0</v>
      </c>
      <c r="AF502" s="53">
        <f t="shared" si="133"/>
        <v>0</v>
      </c>
      <c r="AG502" s="56">
        <f t="shared" si="134"/>
        <v>0</v>
      </c>
      <c r="AH502" s="53">
        <f t="shared" si="135"/>
        <v>0</v>
      </c>
      <c r="AI502" s="55"/>
      <c r="AJ502" s="53">
        <f t="shared" si="136"/>
        <v>0</v>
      </c>
      <c r="AK502" s="53">
        <f t="shared" si="137"/>
        <v>0</v>
      </c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7"/>
      <c r="AW502" s="57"/>
      <c r="AX502" s="57"/>
    </row>
    <row r="503" spans="2:50">
      <c r="B503" s="45">
        <v>483</v>
      </c>
      <c r="C503" s="250" t="s">
        <v>782</v>
      </c>
      <c r="D503" s="250" t="s">
        <v>777</v>
      </c>
      <c r="E503" s="256" t="s">
        <v>796</v>
      </c>
      <c r="F503" s="251" t="s">
        <v>799</v>
      </c>
      <c r="G503" s="217" t="s">
        <v>780</v>
      </c>
      <c r="H503" s="257">
        <v>42985</v>
      </c>
      <c r="I503" s="164" t="s">
        <v>409</v>
      </c>
      <c r="J503" s="51">
        <f t="shared" si="111"/>
        <v>1722</v>
      </c>
      <c r="K503" s="51">
        <v>162</v>
      </c>
      <c r="L503" s="51">
        <v>1560</v>
      </c>
      <c r="M503" s="51"/>
      <c r="N503" s="262">
        <v>2.7</v>
      </c>
      <c r="O503" s="223">
        <v>26</v>
      </c>
      <c r="P503" s="224">
        <v>1</v>
      </c>
      <c r="Q503" s="53"/>
      <c r="R503" s="54" t="s">
        <v>158</v>
      </c>
      <c r="S503" s="54" t="s">
        <v>158</v>
      </c>
      <c r="T503" s="54" t="s">
        <v>158</v>
      </c>
      <c r="U503" s="54" t="s">
        <v>158</v>
      </c>
      <c r="V503" s="254" t="s">
        <v>798</v>
      </c>
      <c r="W503" s="53"/>
      <c r="X503" s="53">
        <f t="shared" si="127"/>
        <v>0</v>
      </c>
      <c r="Y503" s="55"/>
      <c r="Z503" s="55"/>
      <c r="AA503" s="52">
        <f t="shared" si="128"/>
        <v>0</v>
      </c>
      <c r="AB503" s="53">
        <f t="shared" si="129"/>
        <v>0</v>
      </c>
      <c r="AC503" s="53">
        <f t="shared" si="130"/>
        <v>0</v>
      </c>
      <c r="AD503" s="53">
        <f t="shared" si="131"/>
        <v>0</v>
      </c>
      <c r="AE503" s="53">
        <f t="shared" si="132"/>
        <v>0</v>
      </c>
      <c r="AF503" s="53">
        <f t="shared" si="133"/>
        <v>0</v>
      </c>
      <c r="AG503" s="56">
        <f t="shared" si="134"/>
        <v>0</v>
      </c>
      <c r="AH503" s="53">
        <f t="shared" si="135"/>
        <v>0</v>
      </c>
      <c r="AI503" s="55"/>
      <c r="AJ503" s="53">
        <f t="shared" si="136"/>
        <v>0</v>
      </c>
      <c r="AK503" s="53">
        <f t="shared" si="137"/>
        <v>0</v>
      </c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7"/>
      <c r="AW503" s="57"/>
      <c r="AX503" s="57"/>
    </row>
    <row r="504" spans="2:50">
      <c r="B504" s="45">
        <v>484</v>
      </c>
      <c r="C504" s="250" t="s">
        <v>782</v>
      </c>
      <c r="D504" s="250" t="s">
        <v>777</v>
      </c>
      <c r="E504" s="256" t="s">
        <v>796</v>
      </c>
      <c r="F504" s="251" t="s">
        <v>800</v>
      </c>
      <c r="G504" s="217" t="s">
        <v>780</v>
      </c>
      <c r="H504" s="257">
        <v>43712</v>
      </c>
      <c r="I504" s="164" t="s">
        <v>409</v>
      </c>
      <c r="J504" s="51">
        <f t="shared" si="111"/>
        <v>120</v>
      </c>
      <c r="K504" s="51">
        <v>120</v>
      </c>
      <c r="L504" s="51">
        <v>0</v>
      </c>
      <c r="M504" s="51"/>
      <c r="N504" s="262">
        <v>2</v>
      </c>
      <c r="O504" s="223">
        <v>0</v>
      </c>
      <c r="P504" s="224">
        <v>1</v>
      </c>
      <c r="Q504" s="53"/>
      <c r="R504" s="54" t="s">
        <v>158</v>
      </c>
      <c r="S504" s="54" t="s">
        <v>158</v>
      </c>
      <c r="T504" s="54" t="s">
        <v>158</v>
      </c>
      <c r="U504" s="54" t="s">
        <v>158</v>
      </c>
      <c r="V504" s="254" t="s">
        <v>798</v>
      </c>
      <c r="W504" s="53"/>
      <c r="X504" s="53">
        <f t="shared" si="127"/>
        <v>0</v>
      </c>
      <c r="Y504" s="55"/>
      <c r="Z504" s="55"/>
      <c r="AA504" s="52">
        <f t="shared" si="128"/>
        <v>0</v>
      </c>
      <c r="AB504" s="53">
        <f t="shared" si="129"/>
        <v>0</v>
      </c>
      <c r="AC504" s="53">
        <f t="shared" si="130"/>
        <v>0</v>
      </c>
      <c r="AD504" s="53">
        <f t="shared" si="131"/>
        <v>0</v>
      </c>
      <c r="AE504" s="53">
        <f t="shared" si="132"/>
        <v>0</v>
      </c>
      <c r="AF504" s="53">
        <f t="shared" si="133"/>
        <v>0</v>
      </c>
      <c r="AG504" s="56">
        <f t="shared" si="134"/>
        <v>0</v>
      </c>
      <c r="AH504" s="53">
        <f t="shared" si="135"/>
        <v>0</v>
      </c>
      <c r="AI504" s="55"/>
      <c r="AJ504" s="53">
        <f t="shared" si="136"/>
        <v>0</v>
      </c>
      <c r="AK504" s="53">
        <f t="shared" si="137"/>
        <v>0</v>
      </c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7"/>
      <c r="AW504" s="57"/>
      <c r="AX504" s="57"/>
    </row>
    <row r="505" spans="2:50">
      <c r="B505" s="45">
        <v>485</v>
      </c>
      <c r="C505" s="250" t="s">
        <v>782</v>
      </c>
      <c r="D505" s="250" t="s">
        <v>801</v>
      </c>
      <c r="E505" s="250" t="s">
        <v>802</v>
      </c>
      <c r="F505" s="251" t="s">
        <v>803</v>
      </c>
      <c r="G505" s="217" t="s">
        <v>780</v>
      </c>
      <c r="H505" s="252">
        <v>43713</v>
      </c>
      <c r="I505" s="164" t="s">
        <v>409</v>
      </c>
      <c r="J505" s="51">
        <f t="shared" si="111"/>
        <v>42</v>
      </c>
      <c r="K505" s="51">
        <v>42</v>
      </c>
      <c r="L505" s="51">
        <v>0</v>
      </c>
      <c r="M505" s="51"/>
      <c r="N505" s="260">
        <v>0.7</v>
      </c>
      <c r="O505" s="260">
        <v>0</v>
      </c>
      <c r="P505" s="261">
        <v>1</v>
      </c>
      <c r="Q505" s="53"/>
      <c r="R505" s="54" t="s">
        <v>158</v>
      </c>
      <c r="S505" s="54" t="s">
        <v>158</v>
      </c>
      <c r="T505" s="54" t="s">
        <v>158</v>
      </c>
      <c r="U505" s="54" t="s">
        <v>158</v>
      </c>
      <c r="V505" s="254" t="s">
        <v>804</v>
      </c>
      <c r="W505" s="53"/>
      <c r="X505" s="53">
        <f t="shared" si="127"/>
        <v>0</v>
      </c>
      <c r="Y505" s="55"/>
      <c r="Z505" s="55"/>
      <c r="AA505" s="52">
        <f t="shared" si="128"/>
        <v>0</v>
      </c>
      <c r="AB505" s="53">
        <f t="shared" si="129"/>
        <v>0</v>
      </c>
      <c r="AC505" s="53">
        <f t="shared" si="130"/>
        <v>0</v>
      </c>
      <c r="AD505" s="53">
        <f t="shared" si="131"/>
        <v>0</v>
      </c>
      <c r="AE505" s="53">
        <f t="shared" si="132"/>
        <v>0</v>
      </c>
      <c r="AF505" s="53">
        <f t="shared" si="133"/>
        <v>0</v>
      </c>
      <c r="AG505" s="56">
        <f t="shared" si="134"/>
        <v>0</v>
      </c>
      <c r="AH505" s="53">
        <f t="shared" si="135"/>
        <v>0</v>
      </c>
      <c r="AI505" s="55"/>
      <c r="AJ505" s="53">
        <f t="shared" si="136"/>
        <v>0</v>
      </c>
      <c r="AK505" s="53">
        <f t="shared" si="137"/>
        <v>0</v>
      </c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7"/>
      <c r="AW505" s="57"/>
      <c r="AX505" s="57"/>
    </row>
    <row r="506" spans="2:50">
      <c r="B506" s="45">
        <v>486</v>
      </c>
      <c r="C506" s="250" t="s">
        <v>782</v>
      </c>
      <c r="D506" s="250" t="s">
        <v>801</v>
      </c>
      <c r="E506" s="250" t="s">
        <v>802</v>
      </c>
      <c r="F506" s="251" t="s">
        <v>805</v>
      </c>
      <c r="G506" s="217" t="s">
        <v>780</v>
      </c>
      <c r="H506" s="252">
        <v>42334</v>
      </c>
      <c r="I506" s="164" t="s">
        <v>409</v>
      </c>
      <c r="J506" s="51">
        <f t="shared" si="111"/>
        <v>30</v>
      </c>
      <c r="K506" s="51">
        <v>30</v>
      </c>
      <c r="L506" s="51">
        <v>0</v>
      </c>
      <c r="M506" s="51"/>
      <c r="N506" s="260">
        <v>0.35000000000000003</v>
      </c>
      <c r="O506" s="260">
        <v>0</v>
      </c>
      <c r="P506" s="261">
        <v>1</v>
      </c>
      <c r="Q506" s="53"/>
      <c r="R506" s="54" t="s">
        <v>158</v>
      </c>
      <c r="S506" s="54" t="s">
        <v>158</v>
      </c>
      <c r="T506" s="54" t="s">
        <v>158</v>
      </c>
      <c r="U506" s="54" t="s">
        <v>158</v>
      </c>
      <c r="V506" s="254" t="s">
        <v>804</v>
      </c>
      <c r="W506" s="53"/>
      <c r="X506" s="53">
        <f t="shared" si="127"/>
        <v>0</v>
      </c>
      <c r="Y506" s="55"/>
      <c r="Z506" s="55"/>
      <c r="AA506" s="52">
        <f t="shared" si="128"/>
        <v>0</v>
      </c>
      <c r="AB506" s="53">
        <f t="shared" si="129"/>
        <v>0</v>
      </c>
      <c r="AC506" s="53">
        <f t="shared" si="130"/>
        <v>0</v>
      </c>
      <c r="AD506" s="53">
        <f t="shared" si="131"/>
        <v>0</v>
      </c>
      <c r="AE506" s="53">
        <f t="shared" si="132"/>
        <v>0</v>
      </c>
      <c r="AF506" s="53">
        <f t="shared" si="133"/>
        <v>0</v>
      </c>
      <c r="AG506" s="56">
        <f t="shared" si="134"/>
        <v>0</v>
      </c>
      <c r="AH506" s="53">
        <f t="shared" si="135"/>
        <v>0</v>
      </c>
      <c r="AI506" s="55"/>
      <c r="AJ506" s="53">
        <f t="shared" si="136"/>
        <v>0</v>
      </c>
      <c r="AK506" s="53">
        <f t="shared" si="137"/>
        <v>0</v>
      </c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7"/>
      <c r="AW506" s="57"/>
      <c r="AX506" s="57"/>
    </row>
    <row r="507" spans="2:50">
      <c r="B507" s="45">
        <v>487</v>
      </c>
      <c r="C507" s="250" t="s">
        <v>782</v>
      </c>
      <c r="D507" s="250" t="s">
        <v>801</v>
      </c>
      <c r="E507" s="250" t="s">
        <v>802</v>
      </c>
      <c r="F507" s="251" t="s">
        <v>806</v>
      </c>
      <c r="G507" s="217" t="s">
        <v>780</v>
      </c>
      <c r="H507" s="257">
        <v>42983</v>
      </c>
      <c r="I507" s="164" t="s">
        <v>409</v>
      </c>
      <c r="J507" s="51">
        <f t="shared" si="111"/>
        <v>198</v>
      </c>
      <c r="K507" s="51">
        <v>18</v>
      </c>
      <c r="L507" s="51">
        <v>180</v>
      </c>
      <c r="M507" s="51"/>
      <c r="N507" s="263">
        <v>0.3</v>
      </c>
      <c r="O507" s="263">
        <v>3</v>
      </c>
      <c r="P507" s="264">
        <v>1</v>
      </c>
      <c r="Q507" s="53"/>
      <c r="R507" s="54" t="s">
        <v>158</v>
      </c>
      <c r="S507" s="54" t="s">
        <v>158</v>
      </c>
      <c r="T507" s="54" t="s">
        <v>158</v>
      </c>
      <c r="U507" s="54" t="s">
        <v>158</v>
      </c>
      <c r="V507" s="254" t="s">
        <v>804</v>
      </c>
      <c r="W507" s="53"/>
      <c r="X507" s="53">
        <f t="shared" si="127"/>
        <v>0</v>
      </c>
      <c r="Y507" s="55"/>
      <c r="Z507" s="55"/>
      <c r="AA507" s="52">
        <f t="shared" si="128"/>
        <v>0</v>
      </c>
      <c r="AB507" s="53">
        <f t="shared" si="129"/>
        <v>0</v>
      </c>
      <c r="AC507" s="53">
        <f t="shared" si="130"/>
        <v>0</v>
      </c>
      <c r="AD507" s="53">
        <f t="shared" si="131"/>
        <v>0</v>
      </c>
      <c r="AE507" s="53">
        <f t="shared" si="132"/>
        <v>0</v>
      </c>
      <c r="AF507" s="53">
        <f t="shared" si="133"/>
        <v>0</v>
      </c>
      <c r="AG507" s="56">
        <f t="shared" si="134"/>
        <v>0</v>
      </c>
      <c r="AH507" s="53">
        <f t="shared" si="135"/>
        <v>0</v>
      </c>
      <c r="AI507" s="55"/>
      <c r="AJ507" s="53">
        <f t="shared" si="136"/>
        <v>0</v>
      </c>
      <c r="AK507" s="53">
        <f t="shared" si="137"/>
        <v>0</v>
      </c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7"/>
      <c r="AW507" s="57"/>
      <c r="AX507" s="57"/>
    </row>
    <row r="508" spans="2:50">
      <c r="B508" s="45">
        <v>488</v>
      </c>
      <c r="C508" s="250" t="s">
        <v>782</v>
      </c>
      <c r="D508" s="250" t="s">
        <v>801</v>
      </c>
      <c r="E508" s="250" t="s">
        <v>802</v>
      </c>
      <c r="F508" s="251" t="s">
        <v>807</v>
      </c>
      <c r="G508" s="217" t="s">
        <v>780</v>
      </c>
      <c r="H508" s="252">
        <v>43766</v>
      </c>
      <c r="I508" s="164" t="s">
        <v>409</v>
      </c>
      <c r="J508" s="51">
        <f t="shared" si="111"/>
        <v>42</v>
      </c>
      <c r="K508" s="51">
        <v>42</v>
      </c>
      <c r="L508" s="51">
        <v>0</v>
      </c>
      <c r="M508" s="51"/>
      <c r="N508" s="260">
        <v>0.7</v>
      </c>
      <c r="O508" s="260">
        <v>0</v>
      </c>
      <c r="P508" s="261">
        <v>1</v>
      </c>
      <c r="Q508" s="53"/>
      <c r="R508" s="54" t="s">
        <v>158</v>
      </c>
      <c r="S508" s="54" t="s">
        <v>158</v>
      </c>
      <c r="T508" s="54" t="s">
        <v>158</v>
      </c>
      <c r="U508" s="54" t="s">
        <v>158</v>
      </c>
      <c r="V508" s="254" t="s">
        <v>804</v>
      </c>
      <c r="W508" s="53"/>
      <c r="X508" s="53">
        <f t="shared" si="127"/>
        <v>0</v>
      </c>
      <c r="Y508" s="55"/>
      <c r="Z508" s="55"/>
      <c r="AA508" s="52">
        <f t="shared" si="128"/>
        <v>0</v>
      </c>
      <c r="AB508" s="53">
        <f t="shared" si="129"/>
        <v>0</v>
      </c>
      <c r="AC508" s="53">
        <f t="shared" si="130"/>
        <v>0</v>
      </c>
      <c r="AD508" s="53">
        <f t="shared" si="131"/>
        <v>0</v>
      </c>
      <c r="AE508" s="53">
        <f t="shared" si="132"/>
        <v>0</v>
      </c>
      <c r="AF508" s="53">
        <f t="shared" si="133"/>
        <v>0</v>
      </c>
      <c r="AG508" s="56">
        <f t="shared" si="134"/>
        <v>0</v>
      </c>
      <c r="AH508" s="53">
        <f t="shared" si="135"/>
        <v>0</v>
      </c>
      <c r="AI508" s="55"/>
      <c r="AJ508" s="53">
        <f t="shared" si="136"/>
        <v>0</v>
      </c>
      <c r="AK508" s="53">
        <f t="shared" si="137"/>
        <v>0</v>
      </c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7"/>
      <c r="AW508" s="57"/>
      <c r="AX508" s="57"/>
    </row>
    <row r="509" spans="2:50">
      <c r="B509" s="45">
        <v>489</v>
      </c>
      <c r="C509" s="250" t="s">
        <v>782</v>
      </c>
      <c r="D509" s="250" t="s">
        <v>801</v>
      </c>
      <c r="E509" s="250" t="s">
        <v>802</v>
      </c>
      <c r="F509" s="251" t="s">
        <v>808</v>
      </c>
      <c r="G509" s="217" t="s">
        <v>780</v>
      </c>
      <c r="H509" s="252">
        <v>43713</v>
      </c>
      <c r="I509" s="164" t="s">
        <v>409</v>
      </c>
      <c r="J509" s="51">
        <f t="shared" si="111"/>
        <v>2184</v>
      </c>
      <c r="K509" s="51">
        <v>24</v>
      </c>
      <c r="L509" s="51">
        <v>2160</v>
      </c>
      <c r="M509" s="51"/>
      <c r="N509" s="260">
        <v>0.4</v>
      </c>
      <c r="O509" s="260">
        <v>36</v>
      </c>
      <c r="P509" s="261">
        <v>1</v>
      </c>
      <c r="Q509" s="53"/>
      <c r="R509" s="54" t="s">
        <v>158</v>
      </c>
      <c r="S509" s="54" t="s">
        <v>158</v>
      </c>
      <c r="T509" s="54" t="s">
        <v>158</v>
      </c>
      <c r="U509" s="54" t="s">
        <v>158</v>
      </c>
      <c r="V509" s="254" t="s">
        <v>804</v>
      </c>
      <c r="W509" s="53"/>
      <c r="X509" s="53">
        <f t="shared" si="127"/>
        <v>0</v>
      </c>
      <c r="Y509" s="55"/>
      <c r="Z509" s="55"/>
      <c r="AA509" s="52">
        <f t="shared" si="128"/>
        <v>0</v>
      </c>
      <c r="AB509" s="53">
        <f t="shared" si="129"/>
        <v>0</v>
      </c>
      <c r="AC509" s="53">
        <f t="shared" si="130"/>
        <v>0</v>
      </c>
      <c r="AD509" s="53">
        <f t="shared" si="131"/>
        <v>0</v>
      </c>
      <c r="AE509" s="53">
        <f t="shared" si="132"/>
        <v>0</v>
      </c>
      <c r="AF509" s="53">
        <f t="shared" si="133"/>
        <v>0</v>
      </c>
      <c r="AG509" s="56">
        <f t="shared" si="134"/>
        <v>0</v>
      </c>
      <c r="AH509" s="53">
        <f t="shared" si="135"/>
        <v>0</v>
      </c>
      <c r="AI509" s="55"/>
      <c r="AJ509" s="53">
        <f t="shared" si="136"/>
        <v>0</v>
      </c>
      <c r="AK509" s="53">
        <f t="shared" si="137"/>
        <v>0</v>
      </c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7"/>
      <c r="AW509" s="57"/>
      <c r="AX509" s="57"/>
    </row>
    <row r="510" spans="2:50">
      <c r="B510" s="45">
        <v>490</v>
      </c>
      <c r="C510" s="250" t="s">
        <v>782</v>
      </c>
      <c r="D510" s="250" t="s">
        <v>801</v>
      </c>
      <c r="E510" s="250" t="s">
        <v>809</v>
      </c>
      <c r="F510" s="251" t="s">
        <v>810</v>
      </c>
      <c r="G510" s="217" t="s">
        <v>780</v>
      </c>
      <c r="H510" s="252">
        <v>42983</v>
      </c>
      <c r="I510" s="164" t="s">
        <v>409</v>
      </c>
      <c r="J510" s="51">
        <f t="shared" si="111"/>
        <v>60</v>
      </c>
      <c r="K510" s="51">
        <v>60</v>
      </c>
      <c r="L510" s="51">
        <v>0</v>
      </c>
      <c r="M510" s="51"/>
      <c r="N510" s="260">
        <v>1</v>
      </c>
      <c r="O510" s="260">
        <v>0</v>
      </c>
      <c r="P510" s="261">
        <v>1</v>
      </c>
      <c r="Q510" s="53"/>
      <c r="R510" s="54" t="s">
        <v>158</v>
      </c>
      <c r="S510" s="54" t="s">
        <v>158</v>
      </c>
      <c r="T510" s="54" t="s">
        <v>158</v>
      </c>
      <c r="U510" s="54" t="s">
        <v>158</v>
      </c>
      <c r="V510" s="254" t="s">
        <v>811</v>
      </c>
      <c r="W510" s="53"/>
      <c r="X510" s="53">
        <f t="shared" si="127"/>
        <v>0</v>
      </c>
      <c r="Y510" s="55"/>
      <c r="Z510" s="55"/>
      <c r="AA510" s="52">
        <f t="shared" si="128"/>
        <v>0</v>
      </c>
      <c r="AB510" s="53">
        <f t="shared" si="129"/>
        <v>0</v>
      </c>
      <c r="AC510" s="53">
        <f t="shared" si="130"/>
        <v>0</v>
      </c>
      <c r="AD510" s="53">
        <f t="shared" si="131"/>
        <v>0</v>
      </c>
      <c r="AE510" s="53">
        <f t="shared" si="132"/>
        <v>0</v>
      </c>
      <c r="AF510" s="53">
        <f t="shared" si="133"/>
        <v>0</v>
      </c>
      <c r="AG510" s="56">
        <f t="shared" si="134"/>
        <v>0</v>
      </c>
      <c r="AH510" s="53">
        <f t="shared" si="135"/>
        <v>0</v>
      </c>
      <c r="AI510" s="55"/>
      <c r="AJ510" s="53">
        <f t="shared" si="136"/>
        <v>0</v>
      </c>
      <c r="AK510" s="53">
        <f t="shared" si="137"/>
        <v>0</v>
      </c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7"/>
      <c r="AW510" s="57"/>
      <c r="AX510" s="57"/>
    </row>
    <row r="511" spans="2:50">
      <c r="B511" s="45">
        <v>491</v>
      </c>
      <c r="C511" s="250" t="s">
        <v>782</v>
      </c>
      <c r="D511" s="250" t="s">
        <v>801</v>
      </c>
      <c r="E511" s="250" t="s">
        <v>809</v>
      </c>
      <c r="F511" s="251" t="s">
        <v>812</v>
      </c>
      <c r="G511" s="217" t="s">
        <v>780</v>
      </c>
      <c r="H511" s="252">
        <v>43789</v>
      </c>
      <c r="I511" s="164" t="s">
        <v>409</v>
      </c>
      <c r="J511" s="51">
        <f t="shared" si="111"/>
        <v>18</v>
      </c>
      <c r="K511" s="51">
        <v>18</v>
      </c>
      <c r="L511" s="51">
        <v>0</v>
      </c>
      <c r="M511" s="51"/>
      <c r="N511" s="260">
        <v>0.3</v>
      </c>
      <c r="O511" s="260">
        <v>0</v>
      </c>
      <c r="P511" s="261">
        <v>1</v>
      </c>
      <c r="Q511" s="53"/>
      <c r="R511" s="54" t="s">
        <v>158</v>
      </c>
      <c r="S511" s="54" t="s">
        <v>158</v>
      </c>
      <c r="T511" s="54" t="s">
        <v>158</v>
      </c>
      <c r="U511" s="54" t="s">
        <v>158</v>
      </c>
      <c r="V511" s="254" t="s">
        <v>811</v>
      </c>
      <c r="W511" s="53"/>
      <c r="X511" s="53">
        <f t="shared" si="127"/>
        <v>0</v>
      </c>
      <c r="Y511" s="55"/>
      <c r="Z511" s="55"/>
      <c r="AA511" s="52">
        <f t="shared" si="128"/>
        <v>0</v>
      </c>
      <c r="AB511" s="53">
        <f t="shared" si="129"/>
        <v>0</v>
      </c>
      <c r="AC511" s="53">
        <f t="shared" si="130"/>
        <v>0</v>
      </c>
      <c r="AD511" s="53">
        <f t="shared" si="131"/>
        <v>0</v>
      </c>
      <c r="AE511" s="53">
        <f t="shared" si="132"/>
        <v>0</v>
      </c>
      <c r="AF511" s="53">
        <f t="shared" si="133"/>
        <v>0</v>
      </c>
      <c r="AG511" s="56">
        <f t="shared" si="134"/>
        <v>0</v>
      </c>
      <c r="AH511" s="53">
        <f t="shared" si="135"/>
        <v>0</v>
      </c>
      <c r="AI511" s="55"/>
      <c r="AJ511" s="53">
        <f t="shared" si="136"/>
        <v>0</v>
      </c>
      <c r="AK511" s="53">
        <f t="shared" si="137"/>
        <v>0</v>
      </c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7"/>
      <c r="AW511" s="57"/>
      <c r="AX511" s="57"/>
    </row>
    <row r="512" spans="2:50">
      <c r="B512" s="45">
        <v>492</v>
      </c>
      <c r="C512" s="250" t="s">
        <v>782</v>
      </c>
      <c r="D512" s="265" t="s">
        <v>801</v>
      </c>
      <c r="E512" s="266" t="s">
        <v>813</v>
      </c>
      <c r="F512" s="266" t="s">
        <v>814</v>
      </c>
      <c r="G512" s="217" t="s">
        <v>780</v>
      </c>
      <c r="H512" s="267">
        <v>43340</v>
      </c>
      <c r="I512" s="164" t="s">
        <v>409</v>
      </c>
      <c r="J512" s="51">
        <f t="shared" si="111"/>
        <v>36</v>
      </c>
      <c r="K512" s="51">
        <v>36</v>
      </c>
      <c r="L512" s="51">
        <v>0</v>
      </c>
      <c r="M512" s="51"/>
      <c r="N512" s="262">
        <v>0.6</v>
      </c>
      <c r="O512" s="223">
        <v>0</v>
      </c>
      <c r="P512" s="224">
        <v>1</v>
      </c>
      <c r="Q512" s="53"/>
      <c r="R512" s="54" t="s">
        <v>158</v>
      </c>
      <c r="S512" s="54" t="s">
        <v>158</v>
      </c>
      <c r="T512" s="54" t="s">
        <v>158</v>
      </c>
      <c r="U512" s="54" t="s">
        <v>158</v>
      </c>
      <c r="V512" s="254" t="s">
        <v>811</v>
      </c>
      <c r="W512" s="53"/>
      <c r="X512" s="53">
        <f t="shared" si="127"/>
        <v>0</v>
      </c>
      <c r="Y512" s="55"/>
      <c r="Z512" s="55"/>
      <c r="AA512" s="52">
        <f t="shared" si="128"/>
        <v>0</v>
      </c>
      <c r="AB512" s="53">
        <f t="shared" si="129"/>
        <v>0</v>
      </c>
      <c r="AC512" s="53">
        <f t="shared" si="130"/>
        <v>0</v>
      </c>
      <c r="AD512" s="53">
        <f t="shared" si="131"/>
        <v>0</v>
      </c>
      <c r="AE512" s="53">
        <f t="shared" si="132"/>
        <v>0</v>
      </c>
      <c r="AF512" s="53">
        <f t="shared" si="133"/>
        <v>0</v>
      </c>
      <c r="AG512" s="56">
        <f t="shared" si="134"/>
        <v>0</v>
      </c>
      <c r="AH512" s="53">
        <f t="shared" si="135"/>
        <v>0</v>
      </c>
      <c r="AI512" s="55"/>
      <c r="AJ512" s="53">
        <f t="shared" si="136"/>
        <v>0</v>
      </c>
      <c r="AK512" s="53">
        <f t="shared" si="137"/>
        <v>0</v>
      </c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7"/>
      <c r="AW512" s="57"/>
      <c r="AX512" s="57"/>
    </row>
    <row r="513" spans="2:50">
      <c r="B513" s="45">
        <v>493</v>
      </c>
      <c r="C513" s="250" t="s">
        <v>782</v>
      </c>
      <c r="D513" s="265" t="s">
        <v>801</v>
      </c>
      <c r="E513" s="266" t="s">
        <v>813</v>
      </c>
      <c r="F513" s="266" t="s">
        <v>815</v>
      </c>
      <c r="G513" s="217" t="s">
        <v>780</v>
      </c>
      <c r="H513" s="267">
        <v>43340</v>
      </c>
      <c r="I513" s="164" t="s">
        <v>409</v>
      </c>
      <c r="J513" s="51">
        <f t="shared" si="111"/>
        <v>198</v>
      </c>
      <c r="K513" s="51">
        <v>18</v>
      </c>
      <c r="L513" s="51">
        <v>180</v>
      </c>
      <c r="M513" s="51"/>
      <c r="N513" s="223">
        <v>0.30000000000000004</v>
      </c>
      <c r="O513" s="223">
        <v>3</v>
      </c>
      <c r="P513" s="224">
        <v>1</v>
      </c>
      <c r="Q513" s="53"/>
      <c r="R513" s="54" t="s">
        <v>158</v>
      </c>
      <c r="S513" s="54" t="s">
        <v>158</v>
      </c>
      <c r="T513" s="54" t="s">
        <v>158</v>
      </c>
      <c r="U513" s="54" t="s">
        <v>158</v>
      </c>
      <c r="V513" s="254" t="s">
        <v>811</v>
      </c>
      <c r="W513" s="53"/>
      <c r="X513" s="53">
        <f t="shared" si="127"/>
        <v>0</v>
      </c>
      <c r="Y513" s="55"/>
      <c r="Z513" s="55"/>
      <c r="AA513" s="52">
        <f t="shared" si="128"/>
        <v>0</v>
      </c>
      <c r="AB513" s="53">
        <f t="shared" si="129"/>
        <v>0</v>
      </c>
      <c r="AC513" s="53">
        <f t="shared" si="130"/>
        <v>0</v>
      </c>
      <c r="AD513" s="53">
        <f t="shared" si="131"/>
        <v>0</v>
      </c>
      <c r="AE513" s="53">
        <f t="shared" si="132"/>
        <v>0</v>
      </c>
      <c r="AF513" s="53">
        <f t="shared" si="133"/>
        <v>0</v>
      </c>
      <c r="AG513" s="56">
        <f t="shared" si="134"/>
        <v>0</v>
      </c>
      <c r="AH513" s="53">
        <f t="shared" si="135"/>
        <v>0</v>
      </c>
      <c r="AI513" s="55"/>
      <c r="AJ513" s="53">
        <f t="shared" si="136"/>
        <v>0</v>
      </c>
      <c r="AK513" s="53">
        <f t="shared" si="137"/>
        <v>0</v>
      </c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7"/>
      <c r="AW513" s="57"/>
      <c r="AX513" s="57"/>
    </row>
    <row r="514" spans="2:50">
      <c r="B514" s="45">
        <v>494</v>
      </c>
      <c r="C514" s="250" t="s">
        <v>782</v>
      </c>
      <c r="D514" s="265" t="s">
        <v>801</v>
      </c>
      <c r="E514" s="268" t="s">
        <v>816</v>
      </c>
      <c r="F514" s="268" t="s">
        <v>817</v>
      </c>
      <c r="G514" s="217" t="s">
        <v>780</v>
      </c>
      <c r="H514" s="269">
        <v>43789</v>
      </c>
      <c r="I514" s="169" t="s">
        <v>409</v>
      </c>
      <c r="J514" s="219">
        <f t="shared" si="111"/>
        <v>6</v>
      </c>
      <c r="K514" s="219">
        <v>6</v>
      </c>
      <c r="L514" s="219">
        <v>0</v>
      </c>
      <c r="M514" s="219"/>
      <c r="N514" s="270">
        <v>0.1</v>
      </c>
      <c r="O514" s="230">
        <v>0</v>
      </c>
      <c r="P514" s="231">
        <v>1</v>
      </c>
      <c r="Q514" s="153"/>
      <c r="R514" s="54" t="s">
        <v>158</v>
      </c>
      <c r="S514" s="54" t="s">
        <v>158</v>
      </c>
      <c r="T514" s="54" t="s">
        <v>158</v>
      </c>
      <c r="U514" s="54" t="s">
        <v>158</v>
      </c>
      <c r="V514" s="254" t="s">
        <v>811</v>
      </c>
      <c r="W514" s="53"/>
      <c r="X514" s="53">
        <f t="shared" si="127"/>
        <v>0</v>
      </c>
      <c r="Y514" s="55"/>
      <c r="Z514" s="55"/>
      <c r="AA514" s="52">
        <f t="shared" si="128"/>
        <v>0</v>
      </c>
      <c r="AB514" s="53">
        <f t="shared" si="129"/>
        <v>0</v>
      </c>
      <c r="AC514" s="53">
        <f t="shared" si="130"/>
        <v>0</v>
      </c>
      <c r="AD514" s="53">
        <f t="shared" si="131"/>
        <v>0</v>
      </c>
      <c r="AE514" s="53">
        <f t="shared" si="132"/>
        <v>0</v>
      </c>
      <c r="AF514" s="53">
        <f t="shared" si="133"/>
        <v>0</v>
      </c>
      <c r="AG514" s="56">
        <f t="shared" si="134"/>
        <v>0</v>
      </c>
      <c r="AH514" s="53">
        <f t="shared" si="135"/>
        <v>0</v>
      </c>
      <c r="AI514" s="55"/>
      <c r="AJ514" s="53">
        <f t="shared" si="136"/>
        <v>0</v>
      </c>
      <c r="AK514" s="53">
        <f t="shared" si="137"/>
        <v>0</v>
      </c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7"/>
      <c r="AW514" s="57"/>
      <c r="AX514" s="57"/>
    </row>
    <row r="515" spans="2:50">
      <c r="B515" s="45">
        <v>495</v>
      </c>
      <c r="C515" s="250" t="s">
        <v>782</v>
      </c>
      <c r="D515" s="265" t="s">
        <v>801</v>
      </c>
      <c r="E515" s="268" t="s">
        <v>816</v>
      </c>
      <c r="F515" s="268" t="s">
        <v>818</v>
      </c>
      <c r="G515" s="217" t="s">
        <v>780</v>
      </c>
      <c r="H515" s="269">
        <v>43789</v>
      </c>
      <c r="I515" s="169" t="s">
        <v>409</v>
      </c>
      <c r="J515" s="219">
        <f t="shared" si="111"/>
        <v>18</v>
      </c>
      <c r="K515" s="219">
        <v>18</v>
      </c>
      <c r="L515" s="219">
        <v>0</v>
      </c>
      <c r="M515" s="219"/>
      <c r="N515" s="270">
        <v>0.30000000000000004</v>
      </c>
      <c r="O515" s="230">
        <v>0</v>
      </c>
      <c r="P515" s="231">
        <v>1</v>
      </c>
      <c r="Q515" s="153"/>
      <c r="R515" s="54" t="s">
        <v>158</v>
      </c>
      <c r="S515" s="54" t="s">
        <v>158</v>
      </c>
      <c r="T515" s="54" t="s">
        <v>158</v>
      </c>
      <c r="U515" s="54" t="s">
        <v>158</v>
      </c>
      <c r="V515" s="254" t="s">
        <v>811</v>
      </c>
      <c r="W515" s="53"/>
      <c r="X515" s="53">
        <f t="shared" si="127"/>
        <v>0</v>
      </c>
      <c r="Y515" s="55"/>
      <c r="Z515" s="55"/>
      <c r="AA515" s="52">
        <f t="shared" si="128"/>
        <v>0</v>
      </c>
      <c r="AB515" s="53">
        <f t="shared" si="129"/>
        <v>0</v>
      </c>
      <c r="AC515" s="53">
        <f t="shared" si="130"/>
        <v>0</v>
      </c>
      <c r="AD515" s="53">
        <f t="shared" si="131"/>
        <v>0</v>
      </c>
      <c r="AE515" s="53">
        <f t="shared" si="132"/>
        <v>0</v>
      </c>
      <c r="AF515" s="53">
        <f t="shared" si="133"/>
        <v>0</v>
      </c>
      <c r="AG515" s="56">
        <f t="shared" si="134"/>
        <v>0</v>
      </c>
      <c r="AH515" s="53">
        <f t="shared" si="135"/>
        <v>0</v>
      </c>
      <c r="AI515" s="55"/>
      <c r="AJ515" s="53">
        <f t="shared" si="136"/>
        <v>0</v>
      </c>
      <c r="AK515" s="53">
        <f t="shared" si="137"/>
        <v>0</v>
      </c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7"/>
      <c r="AW515" s="57"/>
      <c r="AX515" s="57"/>
    </row>
    <row r="516" spans="2:50">
      <c r="B516" s="45">
        <v>496</v>
      </c>
      <c r="C516" s="250" t="s">
        <v>782</v>
      </c>
      <c r="D516" s="265" t="s">
        <v>801</v>
      </c>
      <c r="E516" s="250" t="s">
        <v>819</v>
      </c>
      <c r="F516" s="251" t="s">
        <v>820</v>
      </c>
      <c r="G516" s="217" t="s">
        <v>780</v>
      </c>
      <c r="H516" s="252">
        <v>42984</v>
      </c>
      <c r="I516" s="164" t="s">
        <v>409</v>
      </c>
      <c r="J516" s="51">
        <f t="shared" si="111"/>
        <v>432</v>
      </c>
      <c r="K516" s="51">
        <v>66</v>
      </c>
      <c r="L516" s="51">
        <v>366</v>
      </c>
      <c r="M516" s="51"/>
      <c r="N516" s="260">
        <v>1.1000000000000001</v>
      </c>
      <c r="O516" s="260">
        <v>6.1</v>
      </c>
      <c r="P516" s="261">
        <v>1</v>
      </c>
      <c r="Q516" s="53"/>
      <c r="R516" s="54" t="s">
        <v>158</v>
      </c>
      <c r="S516" s="54" t="s">
        <v>158</v>
      </c>
      <c r="T516" s="54" t="s">
        <v>158</v>
      </c>
      <c r="U516" s="54" t="s">
        <v>158</v>
      </c>
      <c r="V516" s="254" t="s">
        <v>811</v>
      </c>
      <c r="W516" s="53"/>
      <c r="X516" s="53">
        <f t="shared" si="127"/>
        <v>0</v>
      </c>
      <c r="Y516" s="55"/>
      <c r="Z516" s="55"/>
      <c r="AA516" s="52">
        <f t="shared" si="128"/>
        <v>0</v>
      </c>
      <c r="AB516" s="53">
        <f t="shared" si="129"/>
        <v>0</v>
      </c>
      <c r="AC516" s="53">
        <f t="shared" si="130"/>
        <v>0</v>
      </c>
      <c r="AD516" s="53">
        <f t="shared" si="131"/>
        <v>0</v>
      </c>
      <c r="AE516" s="53">
        <f t="shared" si="132"/>
        <v>0</v>
      </c>
      <c r="AF516" s="53">
        <f t="shared" si="133"/>
        <v>0</v>
      </c>
      <c r="AG516" s="56">
        <f t="shared" si="134"/>
        <v>0</v>
      </c>
      <c r="AH516" s="53">
        <f t="shared" si="135"/>
        <v>0</v>
      </c>
      <c r="AI516" s="55"/>
      <c r="AJ516" s="53">
        <f t="shared" si="136"/>
        <v>0</v>
      </c>
      <c r="AK516" s="53">
        <f t="shared" si="137"/>
        <v>0</v>
      </c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7"/>
      <c r="AW516" s="57"/>
      <c r="AX516" s="57"/>
    </row>
    <row r="517" spans="2:50">
      <c r="B517" s="45">
        <v>497</v>
      </c>
      <c r="C517" s="250" t="s">
        <v>782</v>
      </c>
      <c r="D517" s="265" t="s">
        <v>801</v>
      </c>
      <c r="E517" s="250" t="s">
        <v>821</v>
      </c>
      <c r="F517" s="251" t="s">
        <v>822</v>
      </c>
      <c r="G517" s="217" t="s">
        <v>780</v>
      </c>
      <c r="H517" s="252">
        <v>42984</v>
      </c>
      <c r="I517" s="164" t="s">
        <v>409</v>
      </c>
      <c r="J517" s="51">
        <f t="shared" si="111"/>
        <v>414</v>
      </c>
      <c r="K517" s="51">
        <v>48</v>
      </c>
      <c r="L517" s="51">
        <v>366</v>
      </c>
      <c r="M517" s="51"/>
      <c r="N517" s="260">
        <v>0.8</v>
      </c>
      <c r="O517" s="260">
        <v>6.1</v>
      </c>
      <c r="P517" s="261">
        <v>1</v>
      </c>
      <c r="Q517" s="53"/>
      <c r="R517" s="54" t="s">
        <v>158</v>
      </c>
      <c r="S517" s="54" t="s">
        <v>158</v>
      </c>
      <c r="T517" s="54" t="s">
        <v>158</v>
      </c>
      <c r="U517" s="54" t="s">
        <v>158</v>
      </c>
      <c r="V517" s="254" t="s">
        <v>811</v>
      </c>
      <c r="W517" s="53"/>
      <c r="X517" s="53">
        <f t="shared" si="127"/>
        <v>0</v>
      </c>
      <c r="Y517" s="55"/>
      <c r="Z517" s="55"/>
      <c r="AA517" s="52">
        <f t="shared" si="128"/>
        <v>0</v>
      </c>
      <c r="AB517" s="53">
        <f t="shared" si="129"/>
        <v>0</v>
      </c>
      <c r="AC517" s="53">
        <f t="shared" si="130"/>
        <v>0</v>
      </c>
      <c r="AD517" s="53">
        <f t="shared" si="131"/>
        <v>0</v>
      </c>
      <c r="AE517" s="53">
        <f t="shared" si="132"/>
        <v>0</v>
      </c>
      <c r="AF517" s="53">
        <f t="shared" si="133"/>
        <v>0</v>
      </c>
      <c r="AG517" s="56">
        <f t="shared" si="134"/>
        <v>0</v>
      </c>
      <c r="AH517" s="53">
        <f t="shared" si="135"/>
        <v>0</v>
      </c>
      <c r="AI517" s="55"/>
      <c r="AJ517" s="53">
        <f t="shared" si="136"/>
        <v>0</v>
      </c>
      <c r="AK517" s="53">
        <f t="shared" si="137"/>
        <v>0</v>
      </c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7"/>
      <c r="AW517" s="57"/>
      <c r="AX517" s="57"/>
    </row>
    <row r="518" spans="2:50">
      <c r="B518" s="45">
        <v>498</v>
      </c>
      <c r="C518" s="250" t="s">
        <v>782</v>
      </c>
      <c r="D518" s="265" t="s">
        <v>801</v>
      </c>
      <c r="E518" s="256" t="s">
        <v>823</v>
      </c>
      <c r="F518" s="251" t="s">
        <v>824</v>
      </c>
      <c r="G518" s="217" t="s">
        <v>780</v>
      </c>
      <c r="H518" s="252">
        <v>42984</v>
      </c>
      <c r="I518" s="164" t="s">
        <v>409</v>
      </c>
      <c r="J518" s="51">
        <f t="shared" si="111"/>
        <v>414</v>
      </c>
      <c r="K518" s="51">
        <v>48</v>
      </c>
      <c r="L518" s="51">
        <v>366</v>
      </c>
      <c r="M518" s="51"/>
      <c r="N518" s="260">
        <v>0.8</v>
      </c>
      <c r="O518" s="260">
        <v>6.1</v>
      </c>
      <c r="P518" s="261">
        <v>1</v>
      </c>
      <c r="Q518" s="53"/>
      <c r="R518" s="54" t="s">
        <v>158</v>
      </c>
      <c r="S518" s="54" t="s">
        <v>158</v>
      </c>
      <c r="T518" s="54" t="s">
        <v>158</v>
      </c>
      <c r="U518" s="54" t="s">
        <v>158</v>
      </c>
      <c r="V518" s="254" t="s">
        <v>811</v>
      </c>
      <c r="W518" s="53"/>
      <c r="X518" s="53">
        <f t="shared" si="127"/>
        <v>0</v>
      </c>
      <c r="Y518" s="55"/>
      <c r="Z518" s="55"/>
      <c r="AA518" s="52">
        <f t="shared" si="128"/>
        <v>0</v>
      </c>
      <c r="AB518" s="53">
        <f t="shared" si="129"/>
        <v>0</v>
      </c>
      <c r="AC518" s="53">
        <f t="shared" si="130"/>
        <v>0</v>
      </c>
      <c r="AD518" s="53">
        <f t="shared" si="131"/>
        <v>0</v>
      </c>
      <c r="AE518" s="53">
        <f t="shared" si="132"/>
        <v>0</v>
      </c>
      <c r="AF518" s="53">
        <f t="shared" si="133"/>
        <v>0</v>
      </c>
      <c r="AG518" s="56">
        <f t="shared" si="134"/>
        <v>0</v>
      </c>
      <c r="AH518" s="53">
        <f t="shared" si="135"/>
        <v>0</v>
      </c>
      <c r="AI518" s="55"/>
      <c r="AJ518" s="53">
        <f t="shared" si="136"/>
        <v>0</v>
      </c>
      <c r="AK518" s="53">
        <f t="shared" si="137"/>
        <v>0</v>
      </c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7"/>
      <c r="AW518" s="57"/>
      <c r="AX518" s="57"/>
    </row>
    <row r="519" spans="2:50">
      <c r="B519" s="45">
        <v>499</v>
      </c>
      <c r="C519" s="250" t="s">
        <v>782</v>
      </c>
      <c r="D519" s="265" t="s">
        <v>801</v>
      </c>
      <c r="E519" s="250" t="s">
        <v>825</v>
      </c>
      <c r="F519" s="251" t="s">
        <v>826</v>
      </c>
      <c r="G519" s="217" t="s">
        <v>780</v>
      </c>
      <c r="H519" s="252">
        <v>42984</v>
      </c>
      <c r="I519" s="164" t="s">
        <v>409</v>
      </c>
      <c r="J519" s="51">
        <f t="shared" si="111"/>
        <v>414</v>
      </c>
      <c r="K519" s="51">
        <v>48</v>
      </c>
      <c r="L519" s="51">
        <v>366</v>
      </c>
      <c r="M519" s="51"/>
      <c r="N519" s="260">
        <v>0.8</v>
      </c>
      <c r="O519" s="260">
        <v>6.1</v>
      </c>
      <c r="P519" s="261">
        <v>1</v>
      </c>
      <c r="Q519" s="53"/>
      <c r="R519" s="54" t="s">
        <v>158</v>
      </c>
      <c r="S519" s="54" t="s">
        <v>158</v>
      </c>
      <c r="T519" s="54" t="s">
        <v>158</v>
      </c>
      <c r="U519" s="54" t="s">
        <v>158</v>
      </c>
      <c r="V519" s="254" t="s">
        <v>811</v>
      </c>
      <c r="W519" s="53"/>
      <c r="X519" s="53">
        <f t="shared" si="127"/>
        <v>0</v>
      </c>
      <c r="Y519" s="55"/>
      <c r="Z519" s="55"/>
      <c r="AA519" s="52">
        <f t="shared" si="128"/>
        <v>0</v>
      </c>
      <c r="AB519" s="53">
        <f t="shared" si="129"/>
        <v>0</v>
      </c>
      <c r="AC519" s="53">
        <f t="shared" si="130"/>
        <v>0</v>
      </c>
      <c r="AD519" s="53">
        <f t="shared" si="131"/>
        <v>0</v>
      </c>
      <c r="AE519" s="53">
        <f t="shared" si="132"/>
        <v>0</v>
      </c>
      <c r="AF519" s="53">
        <f t="shared" si="133"/>
        <v>0</v>
      </c>
      <c r="AG519" s="56">
        <f t="shared" si="134"/>
        <v>0</v>
      </c>
      <c r="AH519" s="53">
        <f t="shared" si="135"/>
        <v>0</v>
      </c>
      <c r="AI519" s="55"/>
      <c r="AJ519" s="53">
        <f t="shared" si="136"/>
        <v>0</v>
      </c>
      <c r="AK519" s="53">
        <f t="shared" si="137"/>
        <v>0</v>
      </c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7"/>
      <c r="AW519" s="57"/>
      <c r="AX519" s="57"/>
    </row>
    <row r="520" spans="2:50">
      <c r="B520" s="45">
        <v>500</v>
      </c>
      <c r="C520" s="250" t="s">
        <v>782</v>
      </c>
      <c r="D520" s="265" t="s">
        <v>801</v>
      </c>
      <c r="E520" s="250" t="s">
        <v>827</v>
      </c>
      <c r="F520" s="251" t="s">
        <v>828</v>
      </c>
      <c r="G520" s="217" t="s">
        <v>780</v>
      </c>
      <c r="H520" s="252">
        <v>42984</v>
      </c>
      <c r="I520" s="164" t="s">
        <v>409</v>
      </c>
      <c r="J520" s="51">
        <f t="shared" si="111"/>
        <v>6</v>
      </c>
      <c r="K520" s="51">
        <v>6</v>
      </c>
      <c r="L520" s="51">
        <v>0</v>
      </c>
      <c r="M520" s="51"/>
      <c r="N520" s="260">
        <v>0.1</v>
      </c>
      <c r="O520" s="260">
        <v>0</v>
      </c>
      <c r="P520" s="261">
        <v>1</v>
      </c>
      <c r="Q520" s="53"/>
      <c r="R520" s="54" t="s">
        <v>158</v>
      </c>
      <c r="S520" s="54" t="s">
        <v>158</v>
      </c>
      <c r="T520" s="54" t="s">
        <v>158</v>
      </c>
      <c r="U520" s="54" t="s">
        <v>158</v>
      </c>
      <c r="V520" s="254" t="s">
        <v>811</v>
      </c>
      <c r="W520" s="53"/>
      <c r="X520" s="53">
        <f t="shared" si="127"/>
        <v>0</v>
      </c>
      <c r="Y520" s="55"/>
      <c r="Z520" s="55"/>
      <c r="AA520" s="52">
        <f t="shared" si="128"/>
        <v>0</v>
      </c>
      <c r="AB520" s="53">
        <f t="shared" si="129"/>
        <v>0</v>
      </c>
      <c r="AC520" s="53">
        <f t="shared" si="130"/>
        <v>0</v>
      </c>
      <c r="AD520" s="53">
        <f t="shared" si="131"/>
        <v>0</v>
      </c>
      <c r="AE520" s="53">
        <f t="shared" si="132"/>
        <v>0</v>
      </c>
      <c r="AF520" s="53">
        <f t="shared" si="133"/>
        <v>0</v>
      </c>
      <c r="AG520" s="56">
        <f t="shared" si="134"/>
        <v>0</v>
      </c>
      <c r="AH520" s="53">
        <f t="shared" si="135"/>
        <v>0</v>
      </c>
      <c r="AI520" s="55"/>
      <c r="AJ520" s="53">
        <f t="shared" si="136"/>
        <v>0</v>
      </c>
      <c r="AK520" s="53">
        <f t="shared" si="137"/>
        <v>0</v>
      </c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7"/>
      <c r="AW520" s="57"/>
      <c r="AX520" s="57"/>
    </row>
    <row r="521" spans="2:50">
      <c r="B521" s="45">
        <v>501</v>
      </c>
      <c r="C521" s="250" t="s">
        <v>782</v>
      </c>
      <c r="D521" s="265" t="s">
        <v>801</v>
      </c>
      <c r="E521" s="250" t="s">
        <v>829</v>
      </c>
      <c r="F521" s="251" t="s">
        <v>830</v>
      </c>
      <c r="G521" s="217" t="s">
        <v>780</v>
      </c>
      <c r="H521" s="252">
        <v>41995</v>
      </c>
      <c r="I521" s="164" t="s">
        <v>409</v>
      </c>
      <c r="J521" s="51">
        <f t="shared" si="111"/>
        <v>48</v>
      </c>
      <c r="K521" s="51">
        <v>24</v>
      </c>
      <c r="L521" s="51">
        <v>24</v>
      </c>
      <c r="M521" s="51"/>
      <c r="N521" s="260">
        <v>0.4</v>
      </c>
      <c r="O521" s="260">
        <v>0.4</v>
      </c>
      <c r="P521" s="261">
        <v>1</v>
      </c>
      <c r="Q521" s="53"/>
      <c r="R521" s="54" t="s">
        <v>158</v>
      </c>
      <c r="S521" s="54" t="s">
        <v>158</v>
      </c>
      <c r="T521" s="54" t="s">
        <v>158</v>
      </c>
      <c r="U521" s="54" t="s">
        <v>158</v>
      </c>
      <c r="V521" s="254" t="s">
        <v>811</v>
      </c>
      <c r="W521" s="53"/>
      <c r="X521" s="53">
        <f t="shared" si="127"/>
        <v>0</v>
      </c>
      <c r="Y521" s="55"/>
      <c r="Z521" s="55"/>
      <c r="AA521" s="52">
        <f t="shared" si="128"/>
        <v>0</v>
      </c>
      <c r="AB521" s="53">
        <f t="shared" si="129"/>
        <v>0</v>
      </c>
      <c r="AC521" s="53">
        <f t="shared" si="130"/>
        <v>0</v>
      </c>
      <c r="AD521" s="53">
        <f t="shared" si="131"/>
        <v>0</v>
      </c>
      <c r="AE521" s="53">
        <f t="shared" si="132"/>
        <v>0</v>
      </c>
      <c r="AF521" s="53">
        <f t="shared" si="133"/>
        <v>0</v>
      </c>
      <c r="AG521" s="56">
        <f t="shared" si="134"/>
        <v>0</v>
      </c>
      <c r="AH521" s="53">
        <f t="shared" si="135"/>
        <v>0</v>
      </c>
      <c r="AI521" s="55"/>
      <c r="AJ521" s="53">
        <f t="shared" si="136"/>
        <v>0</v>
      </c>
      <c r="AK521" s="53">
        <f t="shared" si="137"/>
        <v>0</v>
      </c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7"/>
      <c r="AW521" s="57"/>
      <c r="AX521" s="57"/>
    </row>
    <row r="522" spans="2:50">
      <c r="B522" s="45">
        <v>502</v>
      </c>
      <c r="C522" s="250" t="s">
        <v>782</v>
      </c>
      <c r="D522" s="265" t="s">
        <v>801</v>
      </c>
      <c r="E522" s="250" t="s">
        <v>831</v>
      </c>
      <c r="F522" s="251" t="s">
        <v>831</v>
      </c>
      <c r="G522" s="217" t="s">
        <v>780</v>
      </c>
      <c r="H522" s="252">
        <v>43298</v>
      </c>
      <c r="I522" s="164" t="s">
        <v>409</v>
      </c>
      <c r="J522" s="51">
        <f t="shared" si="111"/>
        <v>1920</v>
      </c>
      <c r="K522" s="51">
        <v>150</v>
      </c>
      <c r="L522" s="51">
        <v>1770</v>
      </c>
      <c r="M522" s="51"/>
      <c r="N522" s="262">
        <v>2.5000000000000004</v>
      </c>
      <c r="O522" s="223">
        <v>29.5</v>
      </c>
      <c r="P522" s="224">
        <v>1</v>
      </c>
      <c r="Q522" s="53"/>
      <c r="R522" s="54" t="s">
        <v>158</v>
      </c>
      <c r="S522" s="54" t="s">
        <v>158</v>
      </c>
      <c r="T522" s="54" t="s">
        <v>158</v>
      </c>
      <c r="U522" s="54" t="s">
        <v>158</v>
      </c>
      <c r="V522" s="254" t="s">
        <v>832</v>
      </c>
      <c r="W522" s="53"/>
      <c r="X522" s="53">
        <f t="shared" si="127"/>
        <v>0</v>
      </c>
      <c r="Y522" s="55"/>
      <c r="Z522" s="55"/>
      <c r="AA522" s="52">
        <f t="shared" si="128"/>
        <v>0</v>
      </c>
      <c r="AB522" s="53">
        <f t="shared" si="129"/>
        <v>0</v>
      </c>
      <c r="AC522" s="53">
        <f t="shared" si="130"/>
        <v>0</v>
      </c>
      <c r="AD522" s="53">
        <f t="shared" si="131"/>
        <v>0</v>
      </c>
      <c r="AE522" s="53">
        <f t="shared" si="132"/>
        <v>0</v>
      </c>
      <c r="AF522" s="53">
        <f t="shared" si="133"/>
        <v>0</v>
      </c>
      <c r="AG522" s="56">
        <f t="shared" si="134"/>
        <v>0</v>
      </c>
      <c r="AH522" s="53">
        <f t="shared" si="135"/>
        <v>0</v>
      </c>
      <c r="AI522" s="55"/>
      <c r="AJ522" s="53">
        <f t="shared" si="136"/>
        <v>0</v>
      </c>
      <c r="AK522" s="53">
        <f t="shared" si="137"/>
        <v>0</v>
      </c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7"/>
      <c r="AW522" s="57"/>
      <c r="AX522" s="57"/>
    </row>
    <row r="523" spans="2:50">
      <c r="B523" s="45">
        <v>503</v>
      </c>
      <c r="C523" s="250" t="s">
        <v>782</v>
      </c>
      <c r="D523" s="265" t="s">
        <v>801</v>
      </c>
      <c r="E523" s="250" t="s">
        <v>833</v>
      </c>
      <c r="F523" s="251" t="s">
        <v>834</v>
      </c>
      <c r="G523" s="217" t="s">
        <v>780</v>
      </c>
      <c r="H523" s="252">
        <v>42979</v>
      </c>
      <c r="I523" s="164" t="s">
        <v>409</v>
      </c>
      <c r="J523" s="51">
        <f t="shared" ref="J523:J586" si="138">SUM(K523:L523)</f>
        <v>66</v>
      </c>
      <c r="K523" s="51">
        <v>12</v>
      </c>
      <c r="L523" s="51">
        <v>54</v>
      </c>
      <c r="M523" s="51"/>
      <c r="N523" s="260">
        <v>0.2</v>
      </c>
      <c r="O523" s="260">
        <v>0.9</v>
      </c>
      <c r="P523" s="261">
        <v>1</v>
      </c>
      <c r="Q523" s="53"/>
      <c r="R523" s="54" t="s">
        <v>158</v>
      </c>
      <c r="S523" s="54" t="s">
        <v>158</v>
      </c>
      <c r="T523" s="54" t="s">
        <v>158</v>
      </c>
      <c r="U523" s="54" t="s">
        <v>158</v>
      </c>
      <c r="V523" s="254" t="s">
        <v>835</v>
      </c>
      <c r="W523" s="53"/>
      <c r="X523" s="53">
        <f t="shared" si="127"/>
        <v>0</v>
      </c>
      <c r="Y523" s="55"/>
      <c r="Z523" s="55"/>
      <c r="AA523" s="52">
        <f t="shared" si="128"/>
        <v>0</v>
      </c>
      <c r="AB523" s="53">
        <f t="shared" si="129"/>
        <v>0</v>
      </c>
      <c r="AC523" s="53">
        <f t="shared" si="130"/>
        <v>0</v>
      </c>
      <c r="AD523" s="53">
        <f t="shared" si="131"/>
        <v>0</v>
      </c>
      <c r="AE523" s="53">
        <f t="shared" si="132"/>
        <v>0</v>
      </c>
      <c r="AF523" s="53">
        <f t="shared" si="133"/>
        <v>0</v>
      </c>
      <c r="AG523" s="56">
        <f t="shared" si="134"/>
        <v>0</v>
      </c>
      <c r="AH523" s="53">
        <f t="shared" si="135"/>
        <v>0</v>
      </c>
      <c r="AI523" s="55"/>
      <c r="AJ523" s="53">
        <f t="shared" si="136"/>
        <v>0</v>
      </c>
      <c r="AK523" s="53">
        <f t="shared" si="137"/>
        <v>0</v>
      </c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7"/>
      <c r="AW523" s="57"/>
      <c r="AX523" s="57"/>
    </row>
    <row r="524" spans="2:50">
      <c r="B524" s="45">
        <v>504</v>
      </c>
      <c r="C524" s="250" t="s">
        <v>782</v>
      </c>
      <c r="D524" s="265" t="s">
        <v>801</v>
      </c>
      <c r="E524" s="250" t="s">
        <v>833</v>
      </c>
      <c r="F524" s="251" t="s">
        <v>836</v>
      </c>
      <c r="G524" s="217" t="s">
        <v>780</v>
      </c>
      <c r="H524" s="252">
        <v>43713</v>
      </c>
      <c r="I524" s="164" t="s">
        <v>409</v>
      </c>
      <c r="J524" s="51">
        <f t="shared" si="138"/>
        <v>18</v>
      </c>
      <c r="K524" s="51">
        <v>18</v>
      </c>
      <c r="L524" s="51">
        <v>0</v>
      </c>
      <c r="M524" s="51"/>
      <c r="N524" s="260">
        <v>0.3</v>
      </c>
      <c r="O524" s="260">
        <v>0</v>
      </c>
      <c r="P524" s="261">
        <v>1</v>
      </c>
      <c r="Q524" s="53"/>
      <c r="R524" s="54" t="s">
        <v>158</v>
      </c>
      <c r="S524" s="54" t="s">
        <v>158</v>
      </c>
      <c r="T524" s="54" t="s">
        <v>158</v>
      </c>
      <c r="U524" s="54" t="s">
        <v>158</v>
      </c>
      <c r="V524" s="254" t="s">
        <v>835</v>
      </c>
      <c r="W524" s="53"/>
      <c r="X524" s="53">
        <f t="shared" si="127"/>
        <v>0</v>
      </c>
      <c r="Y524" s="55"/>
      <c r="Z524" s="55"/>
      <c r="AA524" s="52">
        <f t="shared" si="128"/>
        <v>0</v>
      </c>
      <c r="AB524" s="53">
        <f t="shared" si="129"/>
        <v>0</v>
      </c>
      <c r="AC524" s="53">
        <f t="shared" si="130"/>
        <v>0</v>
      </c>
      <c r="AD524" s="53">
        <f t="shared" si="131"/>
        <v>0</v>
      </c>
      <c r="AE524" s="53">
        <f t="shared" si="132"/>
        <v>0</v>
      </c>
      <c r="AF524" s="53">
        <f t="shared" si="133"/>
        <v>0</v>
      </c>
      <c r="AG524" s="56">
        <f t="shared" si="134"/>
        <v>0</v>
      </c>
      <c r="AH524" s="53">
        <f t="shared" si="135"/>
        <v>0</v>
      </c>
      <c r="AI524" s="55"/>
      <c r="AJ524" s="53">
        <f t="shared" si="136"/>
        <v>0</v>
      </c>
      <c r="AK524" s="53">
        <f t="shared" si="137"/>
        <v>0</v>
      </c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7"/>
      <c r="AW524" s="57"/>
      <c r="AX524" s="57"/>
    </row>
    <row r="525" spans="2:50">
      <c r="B525" s="45">
        <v>505</v>
      </c>
      <c r="C525" s="250" t="s">
        <v>782</v>
      </c>
      <c r="D525" s="265" t="s">
        <v>801</v>
      </c>
      <c r="E525" s="250" t="s">
        <v>833</v>
      </c>
      <c r="F525" s="251" t="s">
        <v>837</v>
      </c>
      <c r="G525" s="217" t="s">
        <v>780</v>
      </c>
      <c r="H525" s="252">
        <v>43788</v>
      </c>
      <c r="I525" s="164" t="s">
        <v>409</v>
      </c>
      <c r="J525" s="51">
        <f t="shared" si="138"/>
        <v>24</v>
      </c>
      <c r="K525" s="51">
        <v>6</v>
      </c>
      <c r="L525" s="51">
        <v>18</v>
      </c>
      <c r="M525" s="51"/>
      <c r="N525" s="260">
        <v>0.1</v>
      </c>
      <c r="O525" s="260">
        <v>0.3</v>
      </c>
      <c r="P525" s="261">
        <v>1</v>
      </c>
      <c r="Q525" s="53"/>
      <c r="R525" s="54" t="s">
        <v>158</v>
      </c>
      <c r="S525" s="54" t="s">
        <v>158</v>
      </c>
      <c r="T525" s="54" t="s">
        <v>158</v>
      </c>
      <c r="U525" s="54" t="s">
        <v>158</v>
      </c>
      <c r="V525" s="254" t="s">
        <v>835</v>
      </c>
      <c r="W525" s="53"/>
      <c r="X525" s="53">
        <f t="shared" si="127"/>
        <v>0</v>
      </c>
      <c r="Y525" s="55"/>
      <c r="Z525" s="55"/>
      <c r="AA525" s="52">
        <f t="shared" si="128"/>
        <v>0</v>
      </c>
      <c r="AB525" s="53">
        <f t="shared" si="129"/>
        <v>0</v>
      </c>
      <c r="AC525" s="53">
        <f t="shared" si="130"/>
        <v>0</v>
      </c>
      <c r="AD525" s="53">
        <f t="shared" si="131"/>
        <v>0</v>
      </c>
      <c r="AE525" s="53">
        <f t="shared" si="132"/>
        <v>0</v>
      </c>
      <c r="AF525" s="53">
        <f t="shared" si="133"/>
        <v>0</v>
      </c>
      <c r="AG525" s="56">
        <f t="shared" si="134"/>
        <v>0</v>
      </c>
      <c r="AH525" s="53">
        <f t="shared" si="135"/>
        <v>0</v>
      </c>
      <c r="AI525" s="55"/>
      <c r="AJ525" s="53">
        <f t="shared" si="136"/>
        <v>0</v>
      </c>
      <c r="AK525" s="53">
        <f t="shared" si="137"/>
        <v>0</v>
      </c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7"/>
      <c r="AW525" s="57"/>
      <c r="AX525" s="57"/>
    </row>
    <row r="526" spans="2:50">
      <c r="B526" s="45">
        <v>506</v>
      </c>
      <c r="C526" s="250" t="s">
        <v>782</v>
      </c>
      <c r="D526" s="265" t="s">
        <v>801</v>
      </c>
      <c r="E526" s="250" t="s">
        <v>833</v>
      </c>
      <c r="F526" s="251" t="s">
        <v>511</v>
      </c>
      <c r="G526" s="217" t="s">
        <v>780</v>
      </c>
      <c r="H526" s="252">
        <v>43713</v>
      </c>
      <c r="I526" s="164" t="s">
        <v>409</v>
      </c>
      <c r="J526" s="51">
        <f t="shared" si="138"/>
        <v>2664</v>
      </c>
      <c r="K526" s="51">
        <v>24</v>
      </c>
      <c r="L526" s="51">
        <v>2640</v>
      </c>
      <c r="M526" s="51"/>
      <c r="N526" s="260">
        <v>0.4</v>
      </c>
      <c r="O526" s="260">
        <v>44</v>
      </c>
      <c r="P526" s="261">
        <v>1</v>
      </c>
      <c r="Q526" s="53"/>
      <c r="R526" s="54" t="s">
        <v>158</v>
      </c>
      <c r="S526" s="54" t="s">
        <v>158</v>
      </c>
      <c r="T526" s="54" t="s">
        <v>158</v>
      </c>
      <c r="U526" s="54" t="s">
        <v>158</v>
      </c>
      <c r="V526" s="254" t="s">
        <v>835</v>
      </c>
      <c r="W526" s="53"/>
      <c r="X526" s="53">
        <f t="shared" si="127"/>
        <v>0</v>
      </c>
      <c r="Y526" s="55"/>
      <c r="Z526" s="55"/>
      <c r="AA526" s="52">
        <f t="shared" si="128"/>
        <v>0</v>
      </c>
      <c r="AB526" s="53">
        <f t="shared" si="129"/>
        <v>0</v>
      </c>
      <c r="AC526" s="53">
        <f t="shared" si="130"/>
        <v>0</v>
      </c>
      <c r="AD526" s="53">
        <f t="shared" si="131"/>
        <v>0</v>
      </c>
      <c r="AE526" s="53">
        <f t="shared" si="132"/>
        <v>0</v>
      </c>
      <c r="AF526" s="53">
        <f t="shared" si="133"/>
        <v>0</v>
      </c>
      <c r="AG526" s="56">
        <f t="shared" si="134"/>
        <v>0</v>
      </c>
      <c r="AH526" s="53">
        <f t="shared" si="135"/>
        <v>0</v>
      </c>
      <c r="AI526" s="55"/>
      <c r="AJ526" s="53">
        <f t="shared" si="136"/>
        <v>0</v>
      </c>
      <c r="AK526" s="53">
        <f t="shared" si="137"/>
        <v>0</v>
      </c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7"/>
      <c r="AW526" s="57"/>
      <c r="AX526" s="57"/>
    </row>
    <row r="527" spans="2:50">
      <c r="B527" s="45">
        <v>507</v>
      </c>
      <c r="C527" s="250" t="s">
        <v>782</v>
      </c>
      <c r="D527" s="265" t="s">
        <v>801</v>
      </c>
      <c r="E527" s="250" t="s">
        <v>833</v>
      </c>
      <c r="F527" s="251" t="s">
        <v>838</v>
      </c>
      <c r="G527" s="217" t="s">
        <v>780</v>
      </c>
      <c r="H527" s="252">
        <v>43789</v>
      </c>
      <c r="I527" s="164" t="s">
        <v>409</v>
      </c>
      <c r="J527" s="51">
        <f t="shared" si="138"/>
        <v>1806</v>
      </c>
      <c r="K527" s="51">
        <v>90</v>
      </c>
      <c r="L527" s="51">
        <v>1716</v>
      </c>
      <c r="M527" s="51"/>
      <c r="N527" s="260">
        <v>1.5</v>
      </c>
      <c r="O527" s="260">
        <v>28.6</v>
      </c>
      <c r="P527" s="261">
        <v>1</v>
      </c>
      <c r="Q527" s="53"/>
      <c r="R527" s="54" t="s">
        <v>158</v>
      </c>
      <c r="S527" s="54" t="s">
        <v>158</v>
      </c>
      <c r="T527" s="54" t="s">
        <v>158</v>
      </c>
      <c r="U527" s="54" t="s">
        <v>158</v>
      </c>
      <c r="V527" s="254" t="s">
        <v>835</v>
      </c>
      <c r="W527" s="53"/>
      <c r="X527" s="53">
        <f t="shared" si="127"/>
        <v>0</v>
      </c>
      <c r="Y527" s="55"/>
      <c r="Z527" s="55"/>
      <c r="AA527" s="52">
        <f t="shared" si="128"/>
        <v>0</v>
      </c>
      <c r="AB527" s="53">
        <f t="shared" si="129"/>
        <v>0</v>
      </c>
      <c r="AC527" s="53">
        <f t="shared" si="130"/>
        <v>0</v>
      </c>
      <c r="AD527" s="53">
        <f t="shared" si="131"/>
        <v>0</v>
      </c>
      <c r="AE527" s="53">
        <f t="shared" si="132"/>
        <v>0</v>
      </c>
      <c r="AF527" s="53">
        <f t="shared" si="133"/>
        <v>0</v>
      </c>
      <c r="AG527" s="56">
        <f t="shared" si="134"/>
        <v>0</v>
      </c>
      <c r="AH527" s="53">
        <f t="shared" si="135"/>
        <v>0</v>
      </c>
      <c r="AI527" s="55"/>
      <c r="AJ527" s="53">
        <f t="shared" si="136"/>
        <v>0</v>
      </c>
      <c r="AK527" s="53">
        <f t="shared" si="137"/>
        <v>0</v>
      </c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7"/>
      <c r="AW527" s="57"/>
      <c r="AX527" s="57"/>
    </row>
    <row r="528" spans="2:50">
      <c r="B528" s="45">
        <v>508</v>
      </c>
      <c r="C528" s="250" t="s">
        <v>782</v>
      </c>
      <c r="D528" s="265" t="s">
        <v>801</v>
      </c>
      <c r="E528" s="250" t="s">
        <v>833</v>
      </c>
      <c r="F528" s="251" t="s">
        <v>839</v>
      </c>
      <c r="G528" s="217" t="s">
        <v>780</v>
      </c>
      <c r="H528" s="252">
        <v>43720</v>
      </c>
      <c r="I528" s="164" t="s">
        <v>409</v>
      </c>
      <c r="J528" s="51">
        <f t="shared" si="138"/>
        <v>1692</v>
      </c>
      <c r="K528" s="51">
        <v>12</v>
      </c>
      <c r="L528" s="51">
        <v>1680</v>
      </c>
      <c r="M528" s="51"/>
      <c r="N528" s="260">
        <v>0.2</v>
      </c>
      <c r="O528" s="260">
        <v>28</v>
      </c>
      <c r="P528" s="261">
        <v>1</v>
      </c>
      <c r="Q528" s="53"/>
      <c r="R528" s="54" t="s">
        <v>158</v>
      </c>
      <c r="S528" s="54" t="s">
        <v>158</v>
      </c>
      <c r="T528" s="54" t="s">
        <v>158</v>
      </c>
      <c r="U528" s="54" t="s">
        <v>158</v>
      </c>
      <c r="V528" s="254" t="s">
        <v>835</v>
      </c>
      <c r="W528" s="53"/>
      <c r="X528" s="53">
        <f t="shared" si="127"/>
        <v>0</v>
      </c>
      <c r="Y528" s="55"/>
      <c r="Z528" s="55"/>
      <c r="AA528" s="52">
        <f t="shared" si="128"/>
        <v>0</v>
      </c>
      <c r="AB528" s="53">
        <f t="shared" si="129"/>
        <v>0</v>
      </c>
      <c r="AC528" s="53">
        <f t="shared" si="130"/>
        <v>0</v>
      </c>
      <c r="AD528" s="53">
        <f t="shared" si="131"/>
        <v>0</v>
      </c>
      <c r="AE528" s="53">
        <f t="shared" si="132"/>
        <v>0</v>
      </c>
      <c r="AF528" s="53">
        <f t="shared" si="133"/>
        <v>0</v>
      </c>
      <c r="AG528" s="56">
        <f t="shared" si="134"/>
        <v>0</v>
      </c>
      <c r="AH528" s="53">
        <f t="shared" si="135"/>
        <v>0</v>
      </c>
      <c r="AI528" s="55"/>
      <c r="AJ528" s="53">
        <f t="shared" si="136"/>
        <v>0</v>
      </c>
      <c r="AK528" s="53">
        <f t="shared" si="137"/>
        <v>0</v>
      </c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7"/>
      <c r="AW528" s="57"/>
      <c r="AX528" s="57"/>
    </row>
    <row r="529" spans="2:50">
      <c r="B529" s="45">
        <v>509</v>
      </c>
      <c r="C529" s="250" t="s">
        <v>782</v>
      </c>
      <c r="D529" s="265" t="s">
        <v>801</v>
      </c>
      <c r="E529" s="250" t="s">
        <v>833</v>
      </c>
      <c r="F529" s="251" t="s">
        <v>840</v>
      </c>
      <c r="G529" s="217" t="s">
        <v>780</v>
      </c>
      <c r="H529" s="252">
        <v>43298</v>
      </c>
      <c r="I529" s="164" t="s">
        <v>409</v>
      </c>
      <c r="J529" s="51">
        <f t="shared" si="138"/>
        <v>1920</v>
      </c>
      <c r="K529" s="51">
        <v>150</v>
      </c>
      <c r="L529" s="51">
        <v>1770</v>
      </c>
      <c r="M529" s="51"/>
      <c r="N529" s="262">
        <v>2.5000000000000004</v>
      </c>
      <c r="O529" s="223">
        <v>29.5</v>
      </c>
      <c r="P529" s="224">
        <v>1</v>
      </c>
      <c r="Q529" s="53"/>
      <c r="R529" s="54" t="s">
        <v>158</v>
      </c>
      <c r="S529" s="54" t="s">
        <v>158</v>
      </c>
      <c r="T529" s="54" t="s">
        <v>158</v>
      </c>
      <c r="U529" s="54" t="s">
        <v>158</v>
      </c>
      <c r="V529" s="254" t="s">
        <v>835</v>
      </c>
      <c r="W529" s="53"/>
      <c r="X529" s="53">
        <f t="shared" si="127"/>
        <v>0</v>
      </c>
      <c r="Y529" s="55"/>
      <c r="Z529" s="55"/>
      <c r="AA529" s="52">
        <f t="shared" si="128"/>
        <v>0</v>
      </c>
      <c r="AB529" s="53">
        <f t="shared" si="129"/>
        <v>0</v>
      </c>
      <c r="AC529" s="53">
        <f t="shared" si="130"/>
        <v>0</v>
      </c>
      <c r="AD529" s="53">
        <f t="shared" si="131"/>
        <v>0</v>
      </c>
      <c r="AE529" s="53">
        <f t="shared" si="132"/>
        <v>0</v>
      </c>
      <c r="AF529" s="53">
        <f t="shared" si="133"/>
        <v>0</v>
      </c>
      <c r="AG529" s="56">
        <f t="shared" si="134"/>
        <v>0</v>
      </c>
      <c r="AH529" s="53">
        <f t="shared" si="135"/>
        <v>0</v>
      </c>
      <c r="AI529" s="55"/>
      <c r="AJ529" s="53">
        <f t="shared" si="136"/>
        <v>0</v>
      </c>
      <c r="AK529" s="53">
        <f t="shared" si="137"/>
        <v>0</v>
      </c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7"/>
      <c r="AW529" s="57"/>
      <c r="AX529" s="57"/>
    </row>
    <row r="530" spans="2:50">
      <c r="B530" s="45">
        <v>510</v>
      </c>
      <c r="C530" s="250" t="s">
        <v>782</v>
      </c>
      <c r="D530" s="250" t="s">
        <v>841</v>
      </c>
      <c r="E530" s="250" t="s">
        <v>842</v>
      </c>
      <c r="F530" s="251" t="s">
        <v>179</v>
      </c>
      <c r="G530" s="217" t="s">
        <v>780</v>
      </c>
      <c r="H530" s="252">
        <v>43713</v>
      </c>
      <c r="I530" s="164" t="s">
        <v>409</v>
      </c>
      <c r="J530" s="51">
        <f t="shared" si="138"/>
        <v>102</v>
      </c>
      <c r="K530" s="51">
        <v>72</v>
      </c>
      <c r="L530" s="51">
        <v>30</v>
      </c>
      <c r="M530" s="51"/>
      <c r="N530" s="271">
        <v>1.2</v>
      </c>
      <c r="O530" s="260">
        <v>0.5</v>
      </c>
      <c r="P530" s="261">
        <v>1</v>
      </c>
      <c r="Q530" s="53"/>
      <c r="R530" s="54" t="s">
        <v>158</v>
      </c>
      <c r="S530" s="54" t="s">
        <v>158</v>
      </c>
      <c r="T530" s="54" t="s">
        <v>158</v>
      </c>
      <c r="U530" s="54" t="s">
        <v>158</v>
      </c>
      <c r="V530" s="254" t="s">
        <v>843</v>
      </c>
      <c r="W530" s="53"/>
      <c r="X530" s="53">
        <f t="shared" si="127"/>
        <v>0</v>
      </c>
      <c r="Y530" s="55"/>
      <c r="Z530" s="55"/>
      <c r="AA530" s="52">
        <f t="shared" si="128"/>
        <v>0</v>
      </c>
      <c r="AB530" s="53">
        <f t="shared" si="129"/>
        <v>0</v>
      </c>
      <c r="AC530" s="53">
        <f t="shared" si="130"/>
        <v>0</v>
      </c>
      <c r="AD530" s="53">
        <f t="shared" si="131"/>
        <v>0</v>
      </c>
      <c r="AE530" s="53">
        <f t="shared" si="132"/>
        <v>0</v>
      </c>
      <c r="AF530" s="53">
        <f t="shared" si="133"/>
        <v>0</v>
      </c>
      <c r="AG530" s="56">
        <f t="shared" si="134"/>
        <v>0</v>
      </c>
      <c r="AH530" s="53">
        <f t="shared" si="135"/>
        <v>0</v>
      </c>
      <c r="AI530" s="55"/>
      <c r="AJ530" s="53">
        <f t="shared" si="136"/>
        <v>0</v>
      </c>
      <c r="AK530" s="53">
        <f t="shared" si="137"/>
        <v>0</v>
      </c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7"/>
      <c r="AW530" s="57"/>
      <c r="AX530" s="57"/>
    </row>
    <row r="531" spans="2:50">
      <c r="B531" s="45">
        <v>511</v>
      </c>
      <c r="C531" s="250" t="s">
        <v>782</v>
      </c>
      <c r="D531" s="250" t="s">
        <v>841</v>
      </c>
      <c r="E531" s="250" t="s">
        <v>844</v>
      </c>
      <c r="F531" s="250" t="s">
        <v>181</v>
      </c>
      <c r="G531" s="217" t="s">
        <v>780</v>
      </c>
      <c r="H531" s="252">
        <v>43713</v>
      </c>
      <c r="I531" s="164" t="s">
        <v>409</v>
      </c>
      <c r="J531" s="51">
        <f t="shared" si="138"/>
        <v>228</v>
      </c>
      <c r="K531" s="51">
        <v>168</v>
      </c>
      <c r="L531" s="51">
        <v>60</v>
      </c>
      <c r="M531" s="51"/>
      <c r="N531" s="262">
        <v>2.8</v>
      </c>
      <c r="O531" s="223">
        <v>1</v>
      </c>
      <c r="P531" s="224">
        <v>1</v>
      </c>
      <c r="Q531" s="53"/>
      <c r="R531" s="54" t="s">
        <v>158</v>
      </c>
      <c r="S531" s="54" t="s">
        <v>158</v>
      </c>
      <c r="T531" s="54" t="s">
        <v>158</v>
      </c>
      <c r="U531" s="54" t="s">
        <v>158</v>
      </c>
      <c r="V531" s="254" t="s">
        <v>843</v>
      </c>
      <c r="W531" s="53"/>
      <c r="X531" s="53">
        <f t="shared" si="127"/>
        <v>0</v>
      </c>
      <c r="Y531" s="55"/>
      <c r="Z531" s="55"/>
      <c r="AA531" s="52">
        <f t="shared" si="128"/>
        <v>0</v>
      </c>
      <c r="AB531" s="53">
        <f t="shared" si="129"/>
        <v>0</v>
      </c>
      <c r="AC531" s="53">
        <f t="shared" si="130"/>
        <v>0</v>
      </c>
      <c r="AD531" s="53">
        <f t="shared" si="131"/>
        <v>0</v>
      </c>
      <c r="AE531" s="53">
        <f t="shared" si="132"/>
        <v>0</v>
      </c>
      <c r="AF531" s="53">
        <f t="shared" si="133"/>
        <v>0</v>
      </c>
      <c r="AG531" s="56">
        <f t="shared" si="134"/>
        <v>0</v>
      </c>
      <c r="AH531" s="53">
        <f t="shared" si="135"/>
        <v>0</v>
      </c>
      <c r="AI531" s="55"/>
      <c r="AJ531" s="53">
        <f t="shared" si="136"/>
        <v>0</v>
      </c>
      <c r="AK531" s="53">
        <f t="shared" si="137"/>
        <v>0</v>
      </c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7"/>
      <c r="AW531" s="57"/>
      <c r="AX531" s="57"/>
    </row>
    <row r="532" spans="2:50">
      <c r="B532" s="45">
        <v>512</v>
      </c>
      <c r="C532" s="250" t="s">
        <v>782</v>
      </c>
      <c r="D532" s="250" t="s">
        <v>841</v>
      </c>
      <c r="E532" s="250" t="s">
        <v>845</v>
      </c>
      <c r="F532" s="250" t="s">
        <v>183</v>
      </c>
      <c r="G532" s="217" t="s">
        <v>780</v>
      </c>
      <c r="H532" s="252">
        <v>43713</v>
      </c>
      <c r="I532" s="164" t="s">
        <v>409</v>
      </c>
      <c r="J532" s="51">
        <f t="shared" si="138"/>
        <v>228</v>
      </c>
      <c r="K532" s="51">
        <v>168</v>
      </c>
      <c r="L532" s="51">
        <v>60</v>
      </c>
      <c r="M532" s="51"/>
      <c r="N532" s="262">
        <v>2.8</v>
      </c>
      <c r="O532" s="223">
        <v>1</v>
      </c>
      <c r="P532" s="224">
        <v>1</v>
      </c>
      <c r="Q532" s="53"/>
      <c r="R532" s="54" t="s">
        <v>158</v>
      </c>
      <c r="S532" s="54" t="s">
        <v>158</v>
      </c>
      <c r="T532" s="54" t="s">
        <v>158</v>
      </c>
      <c r="U532" s="54" t="s">
        <v>158</v>
      </c>
      <c r="V532" s="254" t="s">
        <v>843</v>
      </c>
      <c r="W532" s="53"/>
      <c r="X532" s="53">
        <f t="shared" si="127"/>
        <v>0</v>
      </c>
      <c r="Y532" s="55"/>
      <c r="Z532" s="55"/>
      <c r="AA532" s="52">
        <f t="shared" si="128"/>
        <v>0</v>
      </c>
      <c r="AB532" s="53">
        <f t="shared" si="129"/>
        <v>0</v>
      </c>
      <c r="AC532" s="53">
        <f t="shared" si="130"/>
        <v>0</v>
      </c>
      <c r="AD532" s="53">
        <f t="shared" si="131"/>
        <v>0</v>
      </c>
      <c r="AE532" s="53">
        <f t="shared" si="132"/>
        <v>0</v>
      </c>
      <c r="AF532" s="53">
        <f t="shared" si="133"/>
        <v>0</v>
      </c>
      <c r="AG532" s="56">
        <f t="shared" si="134"/>
        <v>0</v>
      </c>
      <c r="AH532" s="53">
        <f t="shared" si="135"/>
        <v>0</v>
      </c>
      <c r="AI532" s="55"/>
      <c r="AJ532" s="53">
        <f t="shared" si="136"/>
        <v>0</v>
      </c>
      <c r="AK532" s="53">
        <f t="shared" si="137"/>
        <v>0</v>
      </c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7"/>
      <c r="AW532" s="57"/>
      <c r="AX532" s="57"/>
    </row>
    <row r="533" spans="2:50">
      <c r="B533" s="45">
        <v>513</v>
      </c>
      <c r="C533" s="250" t="s">
        <v>782</v>
      </c>
      <c r="D533" s="250" t="s">
        <v>841</v>
      </c>
      <c r="E533" s="250" t="s">
        <v>846</v>
      </c>
      <c r="F533" s="250" t="s">
        <v>184</v>
      </c>
      <c r="G533" s="217" t="s">
        <v>780</v>
      </c>
      <c r="H533" s="252">
        <v>43713</v>
      </c>
      <c r="I533" s="164" t="s">
        <v>409</v>
      </c>
      <c r="J533" s="51">
        <f t="shared" si="138"/>
        <v>228</v>
      </c>
      <c r="K533" s="51">
        <v>168</v>
      </c>
      <c r="L533" s="51">
        <v>60</v>
      </c>
      <c r="M533" s="51"/>
      <c r="N533" s="262">
        <v>2.8</v>
      </c>
      <c r="O533" s="223">
        <v>1</v>
      </c>
      <c r="P533" s="224">
        <v>1</v>
      </c>
      <c r="Q533" s="53"/>
      <c r="R533" s="54" t="s">
        <v>158</v>
      </c>
      <c r="S533" s="54" t="s">
        <v>158</v>
      </c>
      <c r="T533" s="54" t="s">
        <v>158</v>
      </c>
      <c r="U533" s="54" t="s">
        <v>158</v>
      </c>
      <c r="V533" s="254" t="s">
        <v>843</v>
      </c>
      <c r="W533" s="53"/>
      <c r="X533" s="53">
        <f t="shared" si="127"/>
        <v>0</v>
      </c>
      <c r="Y533" s="55"/>
      <c r="Z533" s="55"/>
      <c r="AA533" s="52">
        <f t="shared" si="128"/>
        <v>0</v>
      </c>
      <c r="AB533" s="53">
        <f t="shared" si="129"/>
        <v>0</v>
      </c>
      <c r="AC533" s="53">
        <f t="shared" si="130"/>
        <v>0</v>
      </c>
      <c r="AD533" s="53">
        <f t="shared" si="131"/>
        <v>0</v>
      </c>
      <c r="AE533" s="53">
        <f t="shared" si="132"/>
        <v>0</v>
      </c>
      <c r="AF533" s="53">
        <f t="shared" si="133"/>
        <v>0</v>
      </c>
      <c r="AG533" s="56">
        <f t="shared" si="134"/>
        <v>0</v>
      </c>
      <c r="AH533" s="53">
        <f t="shared" si="135"/>
        <v>0</v>
      </c>
      <c r="AI533" s="55"/>
      <c r="AJ533" s="53">
        <f t="shared" si="136"/>
        <v>0</v>
      </c>
      <c r="AK533" s="53">
        <f t="shared" si="137"/>
        <v>0</v>
      </c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7"/>
      <c r="AW533" s="57"/>
      <c r="AX533" s="57"/>
    </row>
    <row r="534" spans="2:50">
      <c r="B534" s="45">
        <v>514</v>
      </c>
      <c r="C534" s="250" t="s">
        <v>782</v>
      </c>
      <c r="D534" s="250" t="s">
        <v>847</v>
      </c>
      <c r="E534" s="250" t="s">
        <v>848</v>
      </c>
      <c r="F534" s="251" t="s">
        <v>849</v>
      </c>
      <c r="G534" s="217" t="s">
        <v>780</v>
      </c>
      <c r="H534" s="252">
        <v>43350</v>
      </c>
      <c r="I534" s="164" t="s">
        <v>409</v>
      </c>
      <c r="J534" s="51">
        <f t="shared" si="138"/>
        <v>822</v>
      </c>
      <c r="K534" s="51">
        <v>42</v>
      </c>
      <c r="L534" s="51">
        <v>780</v>
      </c>
      <c r="M534" s="51"/>
      <c r="N534" s="262">
        <v>0.7</v>
      </c>
      <c r="O534" s="223">
        <v>13</v>
      </c>
      <c r="P534" s="224">
        <v>1</v>
      </c>
      <c r="Q534" s="53"/>
      <c r="R534" s="54" t="s">
        <v>158</v>
      </c>
      <c r="S534" s="54" t="s">
        <v>158</v>
      </c>
      <c r="T534" s="54" t="s">
        <v>158</v>
      </c>
      <c r="U534" s="54" t="s">
        <v>158</v>
      </c>
      <c r="V534" s="254" t="s">
        <v>850</v>
      </c>
      <c r="W534" s="53"/>
      <c r="X534" s="53">
        <f t="shared" si="127"/>
        <v>0</v>
      </c>
      <c r="Y534" s="55"/>
      <c r="Z534" s="55"/>
      <c r="AA534" s="52">
        <f t="shared" si="128"/>
        <v>0</v>
      </c>
      <c r="AB534" s="53">
        <f t="shared" si="129"/>
        <v>0</v>
      </c>
      <c r="AC534" s="53">
        <f t="shared" si="130"/>
        <v>0</v>
      </c>
      <c r="AD534" s="53">
        <f t="shared" si="131"/>
        <v>0</v>
      </c>
      <c r="AE534" s="53">
        <f t="shared" si="132"/>
        <v>0</v>
      </c>
      <c r="AF534" s="53">
        <f t="shared" si="133"/>
        <v>0</v>
      </c>
      <c r="AG534" s="56">
        <f t="shared" si="134"/>
        <v>0</v>
      </c>
      <c r="AH534" s="53">
        <f t="shared" si="135"/>
        <v>0</v>
      </c>
      <c r="AI534" s="55"/>
      <c r="AJ534" s="53">
        <f t="shared" si="136"/>
        <v>0</v>
      </c>
      <c r="AK534" s="53">
        <f t="shared" si="137"/>
        <v>0</v>
      </c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7"/>
      <c r="AW534" s="57"/>
      <c r="AX534" s="57"/>
    </row>
    <row r="535" spans="2:50">
      <c r="B535" s="45">
        <v>515</v>
      </c>
      <c r="C535" s="250" t="s">
        <v>782</v>
      </c>
      <c r="D535" s="250" t="s">
        <v>847</v>
      </c>
      <c r="E535" s="250" t="s">
        <v>848</v>
      </c>
      <c r="F535" s="272" t="s">
        <v>851</v>
      </c>
      <c r="G535" s="217" t="s">
        <v>780</v>
      </c>
      <c r="H535" s="273">
        <v>43789</v>
      </c>
      <c r="I535" s="164" t="s">
        <v>409</v>
      </c>
      <c r="J535" s="51">
        <f t="shared" si="138"/>
        <v>30</v>
      </c>
      <c r="K535" s="51">
        <v>30</v>
      </c>
      <c r="L535" s="51">
        <v>0</v>
      </c>
      <c r="M535" s="51"/>
      <c r="N535" s="262">
        <v>0.5</v>
      </c>
      <c r="O535" s="223">
        <v>0</v>
      </c>
      <c r="P535" s="224">
        <v>1</v>
      </c>
      <c r="Q535" s="53"/>
      <c r="R535" s="54" t="s">
        <v>158</v>
      </c>
      <c r="S535" s="54" t="s">
        <v>158</v>
      </c>
      <c r="T535" s="54" t="s">
        <v>158</v>
      </c>
      <c r="U535" s="54" t="s">
        <v>158</v>
      </c>
      <c r="V535" s="254" t="s">
        <v>850</v>
      </c>
      <c r="W535" s="53"/>
      <c r="X535" s="53">
        <f t="shared" si="127"/>
        <v>0</v>
      </c>
      <c r="Y535" s="55"/>
      <c r="Z535" s="55"/>
      <c r="AA535" s="52">
        <f t="shared" si="128"/>
        <v>0</v>
      </c>
      <c r="AB535" s="53">
        <f t="shared" si="129"/>
        <v>0</v>
      </c>
      <c r="AC535" s="53">
        <f t="shared" si="130"/>
        <v>0</v>
      </c>
      <c r="AD535" s="53">
        <f t="shared" si="131"/>
        <v>0</v>
      </c>
      <c r="AE535" s="53">
        <f t="shared" si="132"/>
        <v>0</v>
      </c>
      <c r="AF535" s="53">
        <f t="shared" si="133"/>
        <v>0</v>
      </c>
      <c r="AG535" s="56">
        <f t="shared" si="134"/>
        <v>0</v>
      </c>
      <c r="AH535" s="53">
        <f t="shared" si="135"/>
        <v>0</v>
      </c>
      <c r="AI535" s="55"/>
      <c r="AJ535" s="53">
        <f t="shared" si="136"/>
        <v>0</v>
      </c>
      <c r="AK535" s="53">
        <f t="shared" si="137"/>
        <v>0</v>
      </c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7"/>
      <c r="AW535" s="57"/>
      <c r="AX535" s="57"/>
    </row>
    <row r="536" spans="2:50">
      <c r="B536" s="45">
        <v>516</v>
      </c>
      <c r="C536" s="250" t="s">
        <v>782</v>
      </c>
      <c r="D536" s="250" t="s">
        <v>847</v>
      </c>
      <c r="E536" s="250" t="s">
        <v>848</v>
      </c>
      <c r="F536" s="251" t="s">
        <v>852</v>
      </c>
      <c r="G536" s="217" t="s">
        <v>780</v>
      </c>
      <c r="H536" s="252">
        <v>43118</v>
      </c>
      <c r="I536" s="164" t="s">
        <v>409</v>
      </c>
      <c r="J536" s="51">
        <f t="shared" si="138"/>
        <v>276</v>
      </c>
      <c r="K536" s="51">
        <v>6</v>
      </c>
      <c r="L536" s="51">
        <v>270</v>
      </c>
      <c r="M536" s="51"/>
      <c r="N536" s="260">
        <v>0.1</v>
      </c>
      <c r="O536" s="260">
        <v>4.5</v>
      </c>
      <c r="P536" s="261">
        <v>1</v>
      </c>
      <c r="Q536" s="53"/>
      <c r="R536" s="54" t="s">
        <v>158</v>
      </c>
      <c r="S536" s="54" t="s">
        <v>158</v>
      </c>
      <c r="T536" s="54" t="s">
        <v>158</v>
      </c>
      <c r="U536" s="54" t="s">
        <v>158</v>
      </c>
      <c r="V536" s="254" t="s">
        <v>850</v>
      </c>
      <c r="W536" s="53"/>
      <c r="X536" s="53">
        <f t="shared" si="127"/>
        <v>0</v>
      </c>
      <c r="Y536" s="55"/>
      <c r="Z536" s="55"/>
      <c r="AA536" s="52">
        <f t="shared" si="128"/>
        <v>0</v>
      </c>
      <c r="AB536" s="53">
        <f t="shared" si="129"/>
        <v>0</v>
      </c>
      <c r="AC536" s="53">
        <f t="shared" si="130"/>
        <v>0</v>
      </c>
      <c r="AD536" s="53">
        <f t="shared" si="131"/>
        <v>0</v>
      </c>
      <c r="AE536" s="53">
        <f t="shared" si="132"/>
        <v>0</v>
      </c>
      <c r="AF536" s="53">
        <f t="shared" si="133"/>
        <v>0</v>
      </c>
      <c r="AG536" s="56">
        <f t="shared" si="134"/>
        <v>0</v>
      </c>
      <c r="AH536" s="53">
        <f t="shared" si="135"/>
        <v>0</v>
      </c>
      <c r="AI536" s="55"/>
      <c r="AJ536" s="53">
        <f t="shared" si="136"/>
        <v>0</v>
      </c>
      <c r="AK536" s="53">
        <f t="shared" si="137"/>
        <v>0</v>
      </c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7"/>
      <c r="AW536" s="57"/>
      <c r="AX536" s="57"/>
    </row>
    <row r="537" spans="2:50">
      <c r="B537" s="45">
        <v>517</v>
      </c>
      <c r="C537" s="250" t="s">
        <v>782</v>
      </c>
      <c r="D537" s="250" t="s">
        <v>847</v>
      </c>
      <c r="E537" s="250" t="s">
        <v>848</v>
      </c>
      <c r="F537" s="274" t="s">
        <v>853</v>
      </c>
      <c r="G537" s="217" t="s">
        <v>780</v>
      </c>
      <c r="H537" s="252">
        <v>43790</v>
      </c>
      <c r="I537" s="164" t="s">
        <v>409</v>
      </c>
      <c r="J537" s="51">
        <f t="shared" si="138"/>
        <v>7410</v>
      </c>
      <c r="K537" s="51">
        <v>210</v>
      </c>
      <c r="L537" s="51">
        <v>7200</v>
      </c>
      <c r="M537" s="51"/>
      <c r="N537" s="262">
        <v>3.5</v>
      </c>
      <c r="O537" s="223">
        <v>120</v>
      </c>
      <c r="P537" s="224">
        <v>1</v>
      </c>
      <c r="Q537" s="53"/>
      <c r="R537" s="54" t="s">
        <v>158</v>
      </c>
      <c r="S537" s="54" t="s">
        <v>158</v>
      </c>
      <c r="T537" s="54" t="s">
        <v>158</v>
      </c>
      <c r="U537" s="54" t="s">
        <v>158</v>
      </c>
      <c r="V537" s="254" t="s">
        <v>850</v>
      </c>
      <c r="W537" s="53"/>
      <c r="X537" s="53">
        <f t="shared" si="127"/>
        <v>0</v>
      </c>
      <c r="Y537" s="55"/>
      <c r="Z537" s="55"/>
      <c r="AA537" s="52">
        <f t="shared" si="128"/>
        <v>0</v>
      </c>
      <c r="AB537" s="53">
        <f t="shared" si="129"/>
        <v>0</v>
      </c>
      <c r="AC537" s="53">
        <f t="shared" si="130"/>
        <v>0</v>
      </c>
      <c r="AD537" s="53">
        <f t="shared" si="131"/>
        <v>0</v>
      </c>
      <c r="AE537" s="53">
        <f t="shared" si="132"/>
        <v>0</v>
      </c>
      <c r="AF537" s="53">
        <f t="shared" si="133"/>
        <v>0</v>
      </c>
      <c r="AG537" s="56">
        <f t="shared" si="134"/>
        <v>0</v>
      </c>
      <c r="AH537" s="53">
        <f t="shared" si="135"/>
        <v>0</v>
      </c>
      <c r="AI537" s="55"/>
      <c r="AJ537" s="53">
        <f t="shared" si="136"/>
        <v>0</v>
      </c>
      <c r="AK537" s="53">
        <f t="shared" si="137"/>
        <v>0</v>
      </c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7"/>
      <c r="AW537" s="57"/>
      <c r="AX537" s="57"/>
    </row>
    <row r="538" spans="2:50">
      <c r="B538" s="45">
        <v>518</v>
      </c>
      <c r="C538" s="250" t="s">
        <v>782</v>
      </c>
      <c r="D538" s="250" t="s">
        <v>847</v>
      </c>
      <c r="E538" s="250" t="s">
        <v>854</v>
      </c>
      <c r="F538" s="251" t="s">
        <v>854</v>
      </c>
      <c r="G538" s="217" t="s">
        <v>780</v>
      </c>
      <c r="H538" s="252">
        <v>43571</v>
      </c>
      <c r="I538" s="164" t="s">
        <v>409</v>
      </c>
      <c r="J538" s="51">
        <f t="shared" si="138"/>
        <v>12</v>
      </c>
      <c r="K538" s="51">
        <v>12</v>
      </c>
      <c r="L538" s="51">
        <v>0</v>
      </c>
      <c r="M538" s="51"/>
      <c r="N538" s="260">
        <v>0.2</v>
      </c>
      <c r="O538" s="260">
        <v>0</v>
      </c>
      <c r="P538" s="261">
        <v>1</v>
      </c>
      <c r="Q538" s="53"/>
      <c r="R538" s="54" t="s">
        <v>158</v>
      </c>
      <c r="S538" s="54" t="s">
        <v>158</v>
      </c>
      <c r="T538" s="54" t="s">
        <v>158</v>
      </c>
      <c r="U538" s="54" t="s">
        <v>158</v>
      </c>
      <c r="V538" s="254" t="s">
        <v>850</v>
      </c>
      <c r="W538" s="53"/>
      <c r="X538" s="53">
        <f t="shared" si="127"/>
        <v>0</v>
      </c>
      <c r="Y538" s="55"/>
      <c r="Z538" s="55"/>
      <c r="AA538" s="52">
        <f t="shared" si="128"/>
        <v>0</v>
      </c>
      <c r="AB538" s="53">
        <f t="shared" si="129"/>
        <v>0</v>
      </c>
      <c r="AC538" s="53">
        <f t="shared" si="130"/>
        <v>0</v>
      </c>
      <c r="AD538" s="53">
        <f t="shared" si="131"/>
        <v>0</v>
      </c>
      <c r="AE538" s="53">
        <f t="shared" si="132"/>
        <v>0</v>
      </c>
      <c r="AF538" s="53">
        <f t="shared" si="133"/>
        <v>0</v>
      </c>
      <c r="AG538" s="56">
        <f t="shared" si="134"/>
        <v>0</v>
      </c>
      <c r="AH538" s="53">
        <f t="shared" si="135"/>
        <v>0</v>
      </c>
      <c r="AI538" s="55"/>
      <c r="AJ538" s="53">
        <f t="shared" si="136"/>
        <v>0</v>
      </c>
      <c r="AK538" s="53">
        <f t="shared" si="137"/>
        <v>0</v>
      </c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7"/>
      <c r="AW538" s="57"/>
      <c r="AX538" s="57"/>
    </row>
    <row r="539" spans="2:50">
      <c r="B539" s="45">
        <v>519</v>
      </c>
      <c r="C539" s="250" t="s">
        <v>782</v>
      </c>
      <c r="D539" s="250" t="s">
        <v>855</v>
      </c>
      <c r="E539" s="250" t="s">
        <v>856</v>
      </c>
      <c r="F539" s="251" t="s">
        <v>857</v>
      </c>
      <c r="G539" s="217" t="s">
        <v>780</v>
      </c>
      <c r="H539" s="252">
        <v>43224</v>
      </c>
      <c r="I539" s="164" t="s">
        <v>409</v>
      </c>
      <c r="J539" s="51">
        <f t="shared" si="138"/>
        <v>132</v>
      </c>
      <c r="K539" s="51">
        <v>12</v>
      </c>
      <c r="L539" s="51">
        <v>120</v>
      </c>
      <c r="M539" s="51"/>
      <c r="N539" s="262">
        <v>0.2</v>
      </c>
      <c r="O539" s="223">
        <v>2</v>
      </c>
      <c r="P539" s="224">
        <v>1</v>
      </c>
      <c r="Q539" s="53"/>
      <c r="R539" s="54" t="s">
        <v>158</v>
      </c>
      <c r="S539" s="54" t="s">
        <v>158</v>
      </c>
      <c r="T539" s="54" t="s">
        <v>158</v>
      </c>
      <c r="U539" s="54" t="s">
        <v>158</v>
      </c>
      <c r="V539" s="254" t="s">
        <v>858</v>
      </c>
      <c r="W539" s="53"/>
      <c r="X539" s="53">
        <f t="shared" si="127"/>
        <v>0</v>
      </c>
      <c r="Y539" s="55"/>
      <c r="Z539" s="55"/>
      <c r="AA539" s="52">
        <f t="shared" si="128"/>
        <v>0</v>
      </c>
      <c r="AB539" s="53">
        <f t="shared" si="129"/>
        <v>0</v>
      </c>
      <c r="AC539" s="53">
        <f t="shared" si="130"/>
        <v>0</v>
      </c>
      <c r="AD539" s="53">
        <f t="shared" si="131"/>
        <v>0</v>
      </c>
      <c r="AE539" s="53">
        <f t="shared" si="132"/>
        <v>0</v>
      </c>
      <c r="AF539" s="53">
        <f t="shared" si="133"/>
        <v>0</v>
      </c>
      <c r="AG539" s="56">
        <f t="shared" si="134"/>
        <v>0</v>
      </c>
      <c r="AH539" s="53">
        <f t="shared" si="135"/>
        <v>0</v>
      </c>
      <c r="AI539" s="55"/>
      <c r="AJ539" s="53">
        <f t="shared" si="136"/>
        <v>0</v>
      </c>
      <c r="AK539" s="53">
        <f t="shared" si="137"/>
        <v>0</v>
      </c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7"/>
      <c r="AW539" s="57"/>
      <c r="AX539" s="57"/>
    </row>
    <row r="540" spans="2:50">
      <c r="B540" s="45">
        <v>520</v>
      </c>
      <c r="C540" s="250" t="s">
        <v>782</v>
      </c>
      <c r="D540" s="250" t="s">
        <v>855</v>
      </c>
      <c r="E540" s="250" t="s">
        <v>856</v>
      </c>
      <c r="F540" s="275" t="s">
        <v>859</v>
      </c>
      <c r="G540" s="217" t="s">
        <v>780</v>
      </c>
      <c r="H540" s="276">
        <v>43340</v>
      </c>
      <c r="I540" s="164" t="s">
        <v>409</v>
      </c>
      <c r="J540" s="51">
        <f t="shared" si="138"/>
        <v>252</v>
      </c>
      <c r="K540" s="51">
        <v>12</v>
      </c>
      <c r="L540" s="51">
        <v>240</v>
      </c>
      <c r="M540" s="51"/>
      <c r="N540" s="262">
        <v>0.2</v>
      </c>
      <c r="O540" s="223">
        <v>4</v>
      </c>
      <c r="P540" s="224">
        <v>1</v>
      </c>
      <c r="Q540" s="53"/>
      <c r="R540" s="54" t="s">
        <v>158</v>
      </c>
      <c r="S540" s="54" t="s">
        <v>158</v>
      </c>
      <c r="T540" s="54" t="s">
        <v>158</v>
      </c>
      <c r="U540" s="54" t="s">
        <v>158</v>
      </c>
      <c r="V540" s="254" t="s">
        <v>858</v>
      </c>
      <c r="W540" s="53"/>
      <c r="X540" s="53">
        <f t="shared" si="127"/>
        <v>0</v>
      </c>
      <c r="Y540" s="55"/>
      <c r="Z540" s="55"/>
      <c r="AA540" s="52">
        <f t="shared" si="128"/>
        <v>0</v>
      </c>
      <c r="AB540" s="53">
        <f t="shared" si="129"/>
        <v>0</v>
      </c>
      <c r="AC540" s="53">
        <f t="shared" si="130"/>
        <v>0</v>
      </c>
      <c r="AD540" s="53">
        <f t="shared" si="131"/>
        <v>0</v>
      </c>
      <c r="AE540" s="53">
        <f t="shared" si="132"/>
        <v>0</v>
      </c>
      <c r="AF540" s="53">
        <f t="shared" si="133"/>
        <v>0</v>
      </c>
      <c r="AG540" s="56">
        <f t="shared" si="134"/>
        <v>0</v>
      </c>
      <c r="AH540" s="53">
        <f t="shared" si="135"/>
        <v>0</v>
      </c>
      <c r="AI540" s="55"/>
      <c r="AJ540" s="53">
        <f t="shared" si="136"/>
        <v>0</v>
      </c>
      <c r="AK540" s="53">
        <f t="shared" si="137"/>
        <v>0</v>
      </c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7"/>
      <c r="AW540" s="57"/>
      <c r="AX540" s="57"/>
    </row>
    <row r="541" spans="2:50">
      <c r="B541" s="45">
        <v>521</v>
      </c>
      <c r="C541" s="250" t="s">
        <v>782</v>
      </c>
      <c r="D541" s="250" t="s">
        <v>855</v>
      </c>
      <c r="E541" s="250" t="s">
        <v>860</v>
      </c>
      <c r="F541" s="251" t="s">
        <v>830</v>
      </c>
      <c r="G541" s="217" t="s">
        <v>780</v>
      </c>
      <c r="H541" s="257">
        <v>43724</v>
      </c>
      <c r="I541" s="164" t="s">
        <v>409</v>
      </c>
      <c r="J541" s="51">
        <f t="shared" si="138"/>
        <v>48</v>
      </c>
      <c r="K541" s="51">
        <v>48</v>
      </c>
      <c r="L541" s="51">
        <v>0</v>
      </c>
      <c r="M541" s="51"/>
      <c r="N541" s="263">
        <v>0.8</v>
      </c>
      <c r="O541" s="263">
        <v>0</v>
      </c>
      <c r="P541" s="264">
        <v>1</v>
      </c>
      <c r="Q541" s="53"/>
      <c r="R541" s="54" t="s">
        <v>158</v>
      </c>
      <c r="S541" s="54" t="s">
        <v>158</v>
      </c>
      <c r="T541" s="54" t="s">
        <v>158</v>
      </c>
      <c r="U541" s="54" t="s">
        <v>158</v>
      </c>
      <c r="V541" s="254" t="s">
        <v>861</v>
      </c>
      <c r="W541" s="53"/>
      <c r="X541" s="53">
        <f t="shared" si="127"/>
        <v>0</v>
      </c>
      <c r="Y541" s="55"/>
      <c r="Z541" s="55"/>
      <c r="AA541" s="52">
        <f t="shared" si="128"/>
        <v>0</v>
      </c>
      <c r="AB541" s="53">
        <f t="shared" si="129"/>
        <v>0</v>
      </c>
      <c r="AC541" s="53">
        <f t="shared" si="130"/>
        <v>0</v>
      </c>
      <c r="AD541" s="53">
        <f t="shared" si="131"/>
        <v>0</v>
      </c>
      <c r="AE541" s="53">
        <f t="shared" si="132"/>
        <v>0</v>
      </c>
      <c r="AF541" s="53">
        <f t="shared" si="133"/>
        <v>0</v>
      </c>
      <c r="AG541" s="56">
        <f t="shared" si="134"/>
        <v>0</v>
      </c>
      <c r="AH541" s="53">
        <f t="shared" si="135"/>
        <v>0</v>
      </c>
      <c r="AI541" s="55"/>
      <c r="AJ541" s="53">
        <f t="shared" si="136"/>
        <v>0</v>
      </c>
      <c r="AK541" s="53">
        <f t="shared" si="137"/>
        <v>0</v>
      </c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7"/>
      <c r="AW541" s="57"/>
      <c r="AX541" s="57"/>
    </row>
    <row r="542" spans="2:50">
      <c r="B542" s="45">
        <v>522</v>
      </c>
      <c r="C542" s="250" t="s">
        <v>782</v>
      </c>
      <c r="D542" s="250" t="s">
        <v>855</v>
      </c>
      <c r="E542" s="250" t="s">
        <v>860</v>
      </c>
      <c r="F542" s="275" t="s">
        <v>862</v>
      </c>
      <c r="G542" s="217" t="s">
        <v>780</v>
      </c>
      <c r="H542" s="276">
        <v>43340</v>
      </c>
      <c r="I542" s="164" t="s">
        <v>409</v>
      </c>
      <c r="J542" s="51">
        <f t="shared" si="138"/>
        <v>252</v>
      </c>
      <c r="K542" s="51">
        <v>12</v>
      </c>
      <c r="L542" s="51">
        <v>240</v>
      </c>
      <c r="M542" s="51"/>
      <c r="N542" s="262">
        <v>0.2</v>
      </c>
      <c r="O542" s="223">
        <v>4</v>
      </c>
      <c r="P542" s="224">
        <v>1</v>
      </c>
      <c r="Q542" s="53"/>
      <c r="R542" s="54" t="s">
        <v>158</v>
      </c>
      <c r="S542" s="54" t="s">
        <v>158</v>
      </c>
      <c r="T542" s="54" t="s">
        <v>158</v>
      </c>
      <c r="U542" s="54" t="s">
        <v>158</v>
      </c>
      <c r="V542" s="254" t="s">
        <v>861</v>
      </c>
      <c r="W542" s="53"/>
      <c r="X542" s="53">
        <f t="shared" si="127"/>
        <v>0</v>
      </c>
      <c r="Y542" s="55"/>
      <c r="Z542" s="55"/>
      <c r="AA542" s="52">
        <f t="shared" si="128"/>
        <v>0</v>
      </c>
      <c r="AB542" s="53">
        <f t="shared" si="129"/>
        <v>0</v>
      </c>
      <c r="AC542" s="53">
        <f t="shared" si="130"/>
        <v>0</v>
      </c>
      <c r="AD542" s="53">
        <f t="shared" si="131"/>
        <v>0</v>
      </c>
      <c r="AE542" s="53">
        <f t="shared" si="132"/>
        <v>0</v>
      </c>
      <c r="AF542" s="53">
        <f t="shared" si="133"/>
        <v>0</v>
      </c>
      <c r="AG542" s="56">
        <f t="shared" si="134"/>
        <v>0</v>
      </c>
      <c r="AH542" s="53">
        <f t="shared" si="135"/>
        <v>0</v>
      </c>
      <c r="AI542" s="55"/>
      <c r="AJ542" s="53">
        <f t="shared" si="136"/>
        <v>0</v>
      </c>
      <c r="AK542" s="53">
        <f t="shared" si="137"/>
        <v>0</v>
      </c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7"/>
      <c r="AW542" s="57"/>
      <c r="AX542" s="57"/>
    </row>
    <row r="543" spans="2:50">
      <c r="B543" s="45">
        <v>523</v>
      </c>
      <c r="C543" s="250" t="s">
        <v>782</v>
      </c>
      <c r="D543" s="250" t="s">
        <v>855</v>
      </c>
      <c r="E543" s="250" t="s">
        <v>863</v>
      </c>
      <c r="F543" s="251" t="s">
        <v>864</v>
      </c>
      <c r="G543" s="217" t="s">
        <v>780</v>
      </c>
      <c r="H543" s="252">
        <v>42758</v>
      </c>
      <c r="I543" s="164" t="s">
        <v>409</v>
      </c>
      <c r="J543" s="51">
        <f t="shared" si="138"/>
        <v>30</v>
      </c>
      <c r="K543" s="51">
        <v>30</v>
      </c>
      <c r="L543" s="51">
        <v>0</v>
      </c>
      <c r="M543" s="51"/>
      <c r="N543" s="260">
        <v>0.5</v>
      </c>
      <c r="O543" s="260">
        <v>0</v>
      </c>
      <c r="P543" s="261">
        <v>1</v>
      </c>
      <c r="Q543" s="53"/>
      <c r="R543" s="54" t="s">
        <v>158</v>
      </c>
      <c r="S543" s="54" t="s">
        <v>158</v>
      </c>
      <c r="T543" s="54" t="s">
        <v>158</v>
      </c>
      <c r="U543" s="54" t="s">
        <v>158</v>
      </c>
      <c r="V543" s="254" t="s">
        <v>865</v>
      </c>
      <c r="W543" s="53"/>
      <c r="X543" s="53">
        <f t="shared" si="127"/>
        <v>0</v>
      </c>
      <c r="Y543" s="55"/>
      <c r="Z543" s="55"/>
      <c r="AA543" s="52">
        <f t="shared" si="128"/>
        <v>0</v>
      </c>
      <c r="AB543" s="53">
        <f t="shared" si="129"/>
        <v>0</v>
      </c>
      <c r="AC543" s="53">
        <f t="shared" si="130"/>
        <v>0</v>
      </c>
      <c r="AD543" s="53">
        <f t="shared" si="131"/>
        <v>0</v>
      </c>
      <c r="AE543" s="53">
        <f t="shared" si="132"/>
        <v>0</v>
      </c>
      <c r="AF543" s="53">
        <f t="shared" si="133"/>
        <v>0</v>
      </c>
      <c r="AG543" s="56">
        <f t="shared" si="134"/>
        <v>0</v>
      </c>
      <c r="AH543" s="53">
        <f t="shared" si="135"/>
        <v>0</v>
      </c>
      <c r="AI543" s="55"/>
      <c r="AJ543" s="53">
        <f t="shared" si="136"/>
        <v>0</v>
      </c>
      <c r="AK543" s="53">
        <f t="shared" si="137"/>
        <v>0</v>
      </c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7"/>
      <c r="AW543" s="57"/>
      <c r="AX543" s="57"/>
    </row>
    <row r="544" spans="2:50">
      <c r="B544" s="45">
        <v>524</v>
      </c>
      <c r="C544" s="250" t="s">
        <v>782</v>
      </c>
      <c r="D544" s="250" t="s">
        <v>855</v>
      </c>
      <c r="E544" s="250" t="s">
        <v>863</v>
      </c>
      <c r="F544" s="251" t="s">
        <v>866</v>
      </c>
      <c r="G544" s="217" t="s">
        <v>780</v>
      </c>
      <c r="H544" s="252">
        <v>42758</v>
      </c>
      <c r="I544" s="164" t="s">
        <v>409</v>
      </c>
      <c r="J544" s="51">
        <f t="shared" si="138"/>
        <v>126</v>
      </c>
      <c r="K544" s="51">
        <v>6</v>
      </c>
      <c r="L544" s="51">
        <v>120</v>
      </c>
      <c r="M544" s="51"/>
      <c r="N544" s="260">
        <v>0.1</v>
      </c>
      <c r="O544" s="260">
        <v>2</v>
      </c>
      <c r="P544" s="261">
        <v>1</v>
      </c>
      <c r="Q544" s="53"/>
      <c r="R544" s="54" t="s">
        <v>158</v>
      </c>
      <c r="S544" s="54" t="s">
        <v>158</v>
      </c>
      <c r="T544" s="54" t="s">
        <v>158</v>
      </c>
      <c r="U544" s="54" t="s">
        <v>158</v>
      </c>
      <c r="V544" s="254" t="s">
        <v>865</v>
      </c>
      <c r="W544" s="53"/>
      <c r="X544" s="53">
        <f t="shared" si="127"/>
        <v>0</v>
      </c>
      <c r="Y544" s="55"/>
      <c r="Z544" s="55"/>
      <c r="AA544" s="52">
        <f t="shared" si="128"/>
        <v>0</v>
      </c>
      <c r="AB544" s="53">
        <f t="shared" si="129"/>
        <v>0</v>
      </c>
      <c r="AC544" s="53">
        <f t="shared" si="130"/>
        <v>0</v>
      </c>
      <c r="AD544" s="53">
        <f t="shared" si="131"/>
        <v>0</v>
      </c>
      <c r="AE544" s="53">
        <f t="shared" si="132"/>
        <v>0</v>
      </c>
      <c r="AF544" s="53">
        <f t="shared" si="133"/>
        <v>0</v>
      </c>
      <c r="AG544" s="56">
        <f t="shared" si="134"/>
        <v>0</v>
      </c>
      <c r="AH544" s="53">
        <f t="shared" si="135"/>
        <v>0</v>
      </c>
      <c r="AI544" s="55"/>
      <c r="AJ544" s="53">
        <f t="shared" si="136"/>
        <v>0</v>
      </c>
      <c r="AK544" s="53">
        <f t="shared" si="137"/>
        <v>0</v>
      </c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7"/>
      <c r="AW544" s="57"/>
      <c r="AX544" s="57"/>
    </row>
    <row r="545" spans="2:50">
      <c r="B545" s="45">
        <v>525</v>
      </c>
      <c r="C545" s="250" t="s">
        <v>782</v>
      </c>
      <c r="D545" s="250" t="s">
        <v>855</v>
      </c>
      <c r="E545" s="250" t="s">
        <v>867</v>
      </c>
      <c r="F545" s="251" t="s">
        <v>868</v>
      </c>
      <c r="G545" s="217" t="s">
        <v>780</v>
      </c>
      <c r="H545" s="252">
        <v>42170</v>
      </c>
      <c r="I545" s="164" t="s">
        <v>409</v>
      </c>
      <c r="J545" s="51">
        <f t="shared" si="138"/>
        <v>156</v>
      </c>
      <c r="K545" s="51">
        <v>36</v>
      </c>
      <c r="L545" s="51">
        <v>120</v>
      </c>
      <c r="M545" s="51"/>
      <c r="N545" s="260">
        <v>0.6</v>
      </c>
      <c r="O545" s="260">
        <v>2</v>
      </c>
      <c r="P545" s="261">
        <v>1</v>
      </c>
      <c r="Q545" s="53"/>
      <c r="R545" s="54" t="s">
        <v>158</v>
      </c>
      <c r="S545" s="54" t="s">
        <v>158</v>
      </c>
      <c r="T545" s="54" t="s">
        <v>158</v>
      </c>
      <c r="U545" s="54" t="s">
        <v>158</v>
      </c>
      <c r="V545" s="254" t="s">
        <v>869</v>
      </c>
      <c r="W545" s="53"/>
      <c r="X545" s="53">
        <f t="shared" si="127"/>
        <v>0</v>
      </c>
      <c r="Y545" s="55"/>
      <c r="Z545" s="55"/>
      <c r="AA545" s="52">
        <f t="shared" si="128"/>
        <v>0</v>
      </c>
      <c r="AB545" s="53">
        <f t="shared" si="129"/>
        <v>0</v>
      </c>
      <c r="AC545" s="53">
        <f t="shared" si="130"/>
        <v>0</v>
      </c>
      <c r="AD545" s="53">
        <f t="shared" si="131"/>
        <v>0</v>
      </c>
      <c r="AE545" s="53">
        <f t="shared" si="132"/>
        <v>0</v>
      </c>
      <c r="AF545" s="53">
        <f t="shared" si="133"/>
        <v>0</v>
      </c>
      <c r="AG545" s="56">
        <f t="shared" si="134"/>
        <v>0</v>
      </c>
      <c r="AH545" s="53">
        <f t="shared" si="135"/>
        <v>0</v>
      </c>
      <c r="AI545" s="55"/>
      <c r="AJ545" s="53">
        <f t="shared" si="136"/>
        <v>0</v>
      </c>
      <c r="AK545" s="53">
        <f t="shared" si="137"/>
        <v>0</v>
      </c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7"/>
      <c r="AW545" s="57"/>
      <c r="AX545" s="57"/>
    </row>
    <row r="546" spans="2:50">
      <c r="B546" s="45">
        <v>526</v>
      </c>
      <c r="C546" s="250" t="s">
        <v>782</v>
      </c>
      <c r="D546" s="250" t="s">
        <v>855</v>
      </c>
      <c r="E546" s="250" t="s">
        <v>867</v>
      </c>
      <c r="F546" s="251" t="s">
        <v>830</v>
      </c>
      <c r="G546" s="217" t="s">
        <v>780</v>
      </c>
      <c r="H546" s="252">
        <v>42304</v>
      </c>
      <c r="I546" s="164" t="s">
        <v>409</v>
      </c>
      <c r="J546" s="51">
        <f t="shared" si="138"/>
        <v>36</v>
      </c>
      <c r="K546" s="51">
        <v>36</v>
      </c>
      <c r="L546" s="51">
        <v>0</v>
      </c>
      <c r="M546" s="51"/>
      <c r="N546" s="260">
        <v>0.60000000000000009</v>
      </c>
      <c r="O546" s="260">
        <v>0</v>
      </c>
      <c r="P546" s="261">
        <v>1</v>
      </c>
      <c r="Q546" s="53"/>
      <c r="R546" s="54" t="s">
        <v>158</v>
      </c>
      <c r="S546" s="54" t="s">
        <v>158</v>
      </c>
      <c r="T546" s="54" t="s">
        <v>158</v>
      </c>
      <c r="U546" s="54" t="s">
        <v>158</v>
      </c>
      <c r="V546" s="254" t="s">
        <v>869</v>
      </c>
      <c r="W546" s="53"/>
      <c r="X546" s="53">
        <f t="shared" si="127"/>
        <v>0</v>
      </c>
      <c r="Y546" s="55"/>
      <c r="Z546" s="55"/>
      <c r="AA546" s="52">
        <f t="shared" si="128"/>
        <v>0</v>
      </c>
      <c r="AB546" s="53">
        <f t="shared" si="129"/>
        <v>0</v>
      </c>
      <c r="AC546" s="53">
        <f t="shared" si="130"/>
        <v>0</v>
      </c>
      <c r="AD546" s="53">
        <f t="shared" si="131"/>
        <v>0</v>
      </c>
      <c r="AE546" s="53">
        <f t="shared" si="132"/>
        <v>0</v>
      </c>
      <c r="AF546" s="53">
        <f t="shared" si="133"/>
        <v>0</v>
      </c>
      <c r="AG546" s="56">
        <f t="shared" si="134"/>
        <v>0</v>
      </c>
      <c r="AH546" s="53">
        <f t="shared" si="135"/>
        <v>0</v>
      </c>
      <c r="AI546" s="55"/>
      <c r="AJ546" s="53">
        <f t="shared" si="136"/>
        <v>0</v>
      </c>
      <c r="AK546" s="53">
        <f t="shared" si="137"/>
        <v>0</v>
      </c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7"/>
      <c r="AW546" s="57"/>
      <c r="AX546" s="57"/>
    </row>
    <row r="547" spans="2:50">
      <c r="B547" s="45">
        <v>527</v>
      </c>
      <c r="C547" s="250" t="s">
        <v>782</v>
      </c>
      <c r="D547" s="250" t="s">
        <v>855</v>
      </c>
      <c r="E547" s="250" t="s">
        <v>870</v>
      </c>
      <c r="F547" s="251" t="s">
        <v>871</v>
      </c>
      <c r="G547" s="217" t="s">
        <v>780</v>
      </c>
      <c r="H547" s="252">
        <v>43347</v>
      </c>
      <c r="I547" s="164" t="s">
        <v>409</v>
      </c>
      <c r="J547" s="51">
        <f t="shared" si="138"/>
        <v>18</v>
      </c>
      <c r="K547" s="51">
        <v>18</v>
      </c>
      <c r="L547" s="51">
        <v>0</v>
      </c>
      <c r="M547" s="51"/>
      <c r="N547" s="260">
        <v>0.30000000000000004</v>
      </c>
      <c r="O547" s="260">
        <v>0</v>
      </c>
      <c r="P547" s="261">
        <v>1</v>
      </c>
      <c r="Q547" s="53"/>
      <c r="R547" s="54" t="s">
        <v>158</v>
      </c>
      <c r="S547" s="54" t="s">
        <v>158</v>
      </c>
      <c r="T547" s="54" t="s">
        <v>158</v>
      </c>
      <c r="U547" s="54" t="s">
        <v>158</v>
      </c>
      <c r="V547" s="254" t="s">
        <v>872</v>
      </c>
      <c r="W547" s="53"/>
      <c r="X547" s="53">
        <f t="shared" si="127"/>
        <v>0</v>
      </c>
      <c r="Y547" s="55"/>
      <c r="Z547" s="55"/>
      <c r="AA547" s="52">
        <f t="shared" si="128"/>
        <v>0</v>
      </c>
      <c r="AB547" s="53">
        <f t="shared" si="129"/>
        <v>0</v>
      </c>
      <c r="AC547" s="53">
        <f t="shared" si="130"/>
        <v>0</v>
      </c>
      <c r="AD547" s="53">
        <f t="shared" si="131"/>
        <v>0</v>
      </c>
      <c r="AE547" s="53">
        <f t="shared" si="132"/>
        <v>0</v>
      </c>
      <c r="AF547" s="53">
        <f t="shared" si="133"/>
        <v>0</v>
      </c>
      <c r="AG547" s="56">
        <f t="shared" si="134"/>
        <v>0</v>
      </c>
      <c r="AH547" s="53">
        <f t="shared" si="135"/>
        <v>0</v>
      </c>
      <c r="AI547" s="55"/>
      <c r="AJ547" s="53">
        <f t="shared" si="136"/>
        <v>0</v>
      </c>
      <c r="AK547" s="53">
        <f t="shared" si="137"/>
        <v>0</v>
      </c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7"/>
      <c r="AW547" s="57"/>
      <c r="AX547" s="57"/>
    </row>
    <row r="548" spans="2:50">
      <c r="B548" s="45">
        <v>528</v>
      </c>
      <c r="C548" s="250" t="s">
        <v>782</v>
      </c>
      <c r="D548" s="250" t="s">
        <v>873</v>
      </c>
      <c r="E548" s="250" t="s">
        <v>874</v>
      </c>
      <c r="F548" s="251" t="s">
        <v>875</v>
      </c>
      <c r="G548" s="217" t="s">
        <v>795</v>
      </c>
      <c r="H548" s="252">
        <v>43558</v>
      </c>
      <c r="I548" s="164" t="s">
        <v>409</v>
      </c>
      <c r="J548" s="51">
        <f t="shared" si="138"/>
        <v>12</v>
      </c>
      <c r="K548" s="51">
        <v>12</v>
      </c>
      <c r="L548" s="51">
        <v>0</v>
      </c>
      <c r="M548" s="51"/>
      <c r="N548" s="260">
        <v>0.2</v>
      </c>
      <c r="O548" s="260">
        <v>0</v>
      </c>
      <c r="P548" s="261">
        <v>1</v>
      </c>
      <c r="Q548" s="53"/>
      <c r="R548" s="54" t="s">
        <v>158</v>
      </c>
      <c r="S548" s="54" t="s">
        <v>158</v>
      </c>
      <c r="T548" s="54" t="s">
        <v>158</v>
      </c>
      <c r="U548" s="54" t="s">
        <v>158</v>
      </c>
      <c r="V548" s="254" t="s">
        <v>876</v>
      </c>
      <c r="W548" s="53"/>
      <c r="X548" s="53">
        <f t="shared" si="127"/>
        <v>0</v>
      </c>
      <c r="Y548" s="55"/>
      <c r="Z548" s="55"/>
      <c r="AA548" s="52">
        <f t="shared" si="128"/>
        <v>0</v>
      </c>
      <c r="AB548" s="53">
        <f t="shared" si="129"/>
        <v>0</v>
      </c>
      <c r="AC548" s="53">
        <f t="shared" si="130"/>
        <v>0</v>
      </c>
      <c r="AD548" s="53">
        <f t="shared" si="131"/>
        <v>0</v>
      </c>
      <c r="AE548" s="53">
        <f t="shared" si="132"/>
        <v>0</v>
      </c>
      <c r="AF548" s="53">
        <f t="shared" si="133"/>
        <v>0</v>
      </c>
      <c r="AG548" s="56">
        <f t="shared" si="134"/>
        <v>0</v>
      </c>
      <c r="AH548" s="53">
        <f t="shared" si="135"/>
        <v>0</v>
      </c>
      <c r="AI548" s="55"/>
      <c r="AJ548" s="53">
        <f t="shared" si="136"/>
        <v>0</v>
      </c>
      <c r="AK548" s="53">
        <f t="shared" si="137"/>
        <v>0</v>
      </c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7"/>
      <c r="AW548" s="57"/>
      <c r="AX548" s="57"/>
    </row>
    <row r="549" spans="2:50">
      <c r="B549" s="45">
        <v>529</v>
      </c>
      <c r="C549" s="250" t="s">
        <v>782</v>
      </c>
      <c r="D549" s="250" t="s">
        <v>873</v>
      </c>
      <c r="E549" s="250" t="s">
        <v>874</v>
      </c>
      <c r="F549" s="251" t="s">
        <v>877</v>
      </c>
      <c r="G549" s="217" t="s">
        <v>795</v>
      </c>
      <c r="H549" s="252">
        <v>42969</v>
      </c>
      <c r="I549" s="164" t="s">
        <v>409</v>
      </c>
      <c r="J549" s="51">
        <f t="shared" si="138"/>
        <v>168</v>
      </c>
      <c r="K549" s="51">
        <v>18</v>
      </c>
      <c r="L549" s="51">
        <v>150</v>
      </c>
      <c r="M549" s="51"/>
      <c r="N549" s="260">
        <v>0.3</v>
      </c>
      <c r="O549" s="260">
        <v>2.5</v>
      </c>
      <c r="P549" s="261">
        <v>2</v>
      </c>
      <c r="Q549" s="53" t="s">
        <v>257</v>
      </c>
      <c r="R549" s="54" t="s">
        <v>158</v>
      </c>
      <c r="S549" s="54" t="s">
        <v>158</v>
      </c>
      <c r="T549" s="54" t="s">
        <v>158</v>
      </c>
      <c r="U549" s="54" t="s">
        <v>158</v>
      </c>
      <c r="V549" s="254" t="s">
        <v>876</v>
      </c>
      <c r="W549" s="53"/>
      <c r="X549" s="53">
        <f t="shared" si="127"/>
        <v>0</v>
      </c>
      <c r="Y549" s="55"/>
      <c r="Z549" s="55"/>
      <c r="AA549" s="52">
        <f t="shared" si="128"/>
        <v>0</v>
      </c>
      <c r="AB549" s="53">
        <f t="shared" si="129"/>
        <v>0</v>
      </c>
      <c r="AC549" s="53">
        <f t="shared" si="130"/>
        <v>0</v>
      </c>
      <c r="AD549" s="53">
        <f t="shared" si="131"/>
        <v>0</v>
      </c>
      <c r="AE549" s="53">
        <f t="shared" si="132"/>
        <v>0</v>
      </c>
      <c r="AF549" s="53">
        <f t="shared" si="133"/>
        <v>0</v>
      </c>
      <c r="AG549" s="56">
        <f t="shared" si="134"/>
        <v>1</v>
      </c>
      <c r="AH549" s="53">
        <f t="shared" si="135"/>
        <v>0</v>
      </c>
      <c r="AI549" s="55"/>
      <c r="AJ549" s="53">
        <f t="shared" si="136"/>
        <v>0</v>
      </c>
      <c r="AK549" s="53">
        <f t="shared" si="137"/>
        <v>0</v>
      </c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7"/>
      <c r="AW549" s="57"/>
      <c r="AX549" s="57"/>
    </row>
    <row r="550" spans="2:50">
      <c r="B550" s="45">
        <v>530</v>
      </c>
      <c r="C550" s="250" t="s">
        <v>782</v>
      </c>
      <c r="D550" s="250" t="s">
        <v>873</v>
      </c>
      <c r="E550" s="250" t="s">
        <v>874</v>
      </c>
      <c r="F550" s="274" t="s">
        <v>878</v>
      </c>
      <c r="G550" s="217" t="s">
        <v>795</v>
      </c>
      <c r="H550" s="252">
        <v>43713</v>
      </c>
      <c r="I550" s="164" t="s">
        <v>409</v>
      </c>
      <c r="J550" s="51">
        <f t="shared" si="138"/>
        <v>21</v>
      </c>
      <c r="K550" s="51">
        <v>6</v>
      </c>
      <c r="L550" s="51">
        <v>15</v>
      </c>
      <c r="M550" s="51"/>
      <c r="N550" s="262">
        <v>0.1</v>
      </c>
      <c r="O550" s="223">
        <v>0.25</v>
      </c>
      <c r="P550" s="224">
        <v>2</v>
      </c>
      <c r="Q550" s="53"/>
      <c r="R550" s="54" t="s">
        <v>158</v>
      </c>
      <c r="S550" s="54" t="s">
        <v>158</v>
      </c>
      <c r="T550" s="54" t="s">
        <v>158</v>
      </c>
      <c r="U550" s="54" t="s">
        <v>158</v>
      </c>
      <c r="V550" s="254" t="s">
        <v>879</v>
      </c>
      <c r="W550" s="53"/>
      <c r="X550" s="53">
        <f t="shared" si="127"/>
        <v>0</v>
      </c>
      <c r="Y550" s="55"/>
      <c r="Z550" s="55"/>
      <c r="AA550" s="52">
        <f t="shared" si="128"/>
        <v>0</v>
      </c>
      <c r="AB550" s="53">
        <f t="shared" si="129"/>
        <v>0</v>
      </c>
      <c r="AC550" s="53">
        <f t="shared" si="130"/>
        <v>0</v>
      </c>
      <c r="AD550" s="53">
        <f t="shared" si="131"/>
        <v>0</v>
      </c>
      <c r="AE550" s="53">
        <f t="shared" si="132"/>
        <v>0</v>
      </c>
      <c r="AF550" s="53">
        <f t="shared" si="133"/>
        <v>0</v>
      </c>
      <c r="AG550" s="56">
        <f t="shared" si="134"/>
        <v>0</v>
      </c>
      <c r="AH550" s="53">
        <f t="shared" si="135"/>
        <v>0</v>
      </c>
      <c r="AI550" s="55"/>
      <c r="AJ550" s="53">
        <f t="shared" si="136"/>
        <v>0</v>
      </c>
      <c r="AK550" s="53">
        <f t="shared" si="137"/>
        <v>0</v>
      </c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7"/>
      <c r="AW550" s="57"/>
      <c r="AX550" s="57"/>
    </row>
    <row r="551" spans="2:50">
      <c r="B551" s="45">
        <v>531</v>
      </c>
      <c r="C551" s="250" t="s">
        <v>782</v>
      </c>
      <c r="D551" s="250" t="s">
        <v>873</v>
      </c>
      <c r="E551" s="250" t="s">
        <v>874</v>
      </c>
      <c r="F551" s="251" t="s">
        <v>728</v>
      </c>
      <c r="G551" s="217" t="s">
        <v>795</v>
      </c>
      <c r="H551" s="252">
        <v>42334</v>
      </c>
      <c r="I551" s="164" t="s">
        <v>409</v>
      </c>
      <c r="J551" s="51">
        <f t="shared" si="138"/>
        <v>198</v>
      </c>
      <c r="K551" s="51">
        <v>78</v>
      </c>
      <c r="L551" s="51">
        <v>120</v>
      </c>
      <c r="M551" s="51"/>
      <c r="N551" s="260">
        <v>1.3</v>
      </c>
      <c r="O551" s="260">
        <v>2</v>
      </c>
      <c r="P551" s="261">
        <v>2</v>
      </c>
      <c r="Q551" s="53" t="s">
        <v>257</v>
      </c>
      <c r="R551" s="54" t="s">
        <v>158</v>
      </c>
      <c r="S551" s="54" t="s">
        <v>158</v>
      </c>
      <c r="T551" s="54" t="s">
        <v>158</v>
      </c>
      <c r="U551" s="54" t="s">
        <v>158</v>
      </c>
      <c r="V551" s="254" t="s">
        <v>876</v>
      </c>
      <c r="W551" s="53"/>
      <c r="X551" s="53">
        <f t="shared" si="127"/>
        <v>0</v>
      </c>
      <c r="Y551" s="55"/>
      <c r="Z551" s="55"/>
      <c r="AA551" s="52">
        <f t="shared" si="128"/>
        <v>0</v>
      </c>
      <c r="AB551" s="53">
        <f t="shared" si="129"/>
        <v>0</v>
      </c>
      <c r="AC551" s="53">
        <f t="shared" si="130"/>
        <v>0</v>
      </c>
      <c r="AD551" s="53">
        <f t="shared" si="131"/>
        <v>0</v>
      </c>
      <c r="AE551" s="53">
        <f t="shared" si="132"/>
        <v>0</v>
      </c>
      <c r="AF551" s="53">
        <f t="shared" si="133"/>
        <v>0</v>
      </c>
      <c r="AG551" s="56">
        <f t="shared" si="134"/>
        <v>1</v>
      </c>
      <c r="AH551" s="53">
        <f t="shared" si="135"/>
        <v>0</v>
      </c>
      <c r="AI551" s="55"/>
      <c r="AJ551" s="53">
        <f t="shared" si="136"/>
        <v>0</v>
      </c>
      <c r="AK551" s="53">
        <f t="shared" si="137"/>
        <v>0</v>
      </c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7"/>
      <c r="AW551" s="57"/>
      <c r="AX551" s="57"/>
    </row>
    <row r="552" spans="2:50">
      <c r="B552" s="45">
        <v>532</v>
      </c>
      <c r="C552" s="250" t="s">
        <v>782</v>
      </c>
      <c r="D552" s="250" t="s">
        <v>873</v>
      </c>
      <c r="E552" s="250" t="s">
        <v>874</v>
      </c>
      <c r="F552" s="274" t="s">
        <v>880</v>
      </c>
      <c r="G552" s="217" t="s">
        <v>795</v>
      </c>
      <c r="H552" s="252">
        <v>43347</v>
      </c>
      <c r="I552" s="164" t="s">
        <v>409</v>
      </c>
      <c r="J552" s="51">
        <f t="shared" si="138"/>
        <v>75</v>
      </c>
      <c r="K552" s="51">
        <v>60</v>
      </c>
      <c r="L552" s="51">
        <v>15</v>
      </c>
      <c r="M552" s="51"/>
      <c r="N552" s="262">
        <v>1</v>
      </c>
      <c r="O552" s="223">
        <v>0</v>
      </c>
      <c r="P552" s="224">
        <v>2</v>
      </c>
      <c r="Q552" s="53"/>
      <c r="R552" s="54" t="s">
        <v>158</v>
      </c>
      <c r="S552" s="54" t="s">
        <v>158</v>
      </c>
      <c r="T552" s="54" t="s">
        <v>158</v>
      </c>
      <c r="U552" s="54" t="s">
        <v>158</v>
      </c>
      <c r="V552" s="254" t="s">
        <v>876</v>
      </c>
      <c r="W552" s="53"/>
      <c r="X552" s="53">
        <f t="shared" ref="X552:X615" si="139">SUMIF(W552,"Y",K552)</f>
        <v>0</v>
      </c>
      <c r="Y552" s="55"/>
      <c r="Z552" s="55"/>
      <c r="AA552" s="52">
        <f t="shared" ref="AA552:AA615" si="140">(COUNTA(AL552:AU552)-COUNTIF(AL552:AU552, "X"))</f>
        <v>0</v>
      </c>
      <c r="AB552" s="53">
        <f t="shared" ref="AB552:AB615" si="141">(COUNTA(AL552:AU552)-COUNTIF(AL552:AU552, "X"))*P552*K552</f>
        <v>0</v>
      </c>
      <c r="AC552" s="53">
        <f t="shared" ref="AC552:AC615" si="142">COUNTIF(AL552:AU552,"A")</f>
        <v>0</v>
      </c>
      <c r="AD552" s="53">
        <f t="shared" ref="AD552:AD615" si="143">COUNTIF(AL552:AU552,"V")*P552*M552</f>
        <v>0</v>
      </c>
      <c r="AE552" s="53">
        <f t="shared" ref="AE552:AE615" si="144">COUNTIF(AL552:AU552,"L")</f>
        <v>0</v>
      </c>
      <c r="AF552" s="53">
        <f t="shared" ref="AF552:AF615" si="145">COUNTIF(AL552:AU552,"L")*K552*P552</f>
        <v>0</v>
      </c>
      <c r="AG552" s="56">
        <f t="shared" ref="AG552:AG615" si="146">IF(Q552="Y",1,0)</f>
        <v>0</v>
      </c>
      <c r="AH552" s="53">
        <f t="shared" ref="AH552:AH615" si="147">IF(Q552="Y", AA552, 0)*K552*P552/2</f>
        <v>0</v>
      </c>
      <c r="AI552" s="55"/>
      <c r="AJ552" s="53">
        <f t="shared" ref="AJ552:AJ615" si="148">COUNTIF(AL552:AU552, "V")</f>
        <v>0</v>
      </c>
      <c r="AK552" s="53">
        <f t="shared" ref="AK552:AK615" si="149">AB552-AD552-AF552-AH552</f>
        <v>0</v>
      </c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7"/>
      <c r="AW552" s="57"/>
      <c r="AX552" s="57"/>
    </row>
    <row r="553" spans="2:50">
      <c r="B553" s="45">
        <v>533</v>
      </c>
      <c r="C553" s="250" t="s">
        <v>782</v>
      </c>
      <c r="D553" s="250" t="s">
        <v>873</v>
      </c>
      <c r="E553" s="250" t="s">
        <v>881</v>
      </c>
      <c r="F553" s="251" t="s">
        <v>875</v>
      </c>
      <c r="G553" s="217" t="s">
        <v>795</v>
      </c>
      <c r="H553" s="252">
        <v>42334</v>
      </c>
      <c r="I553" s="164" t="s">
        <v>409</v>
      </c>
      <c r="J553" s="51">
        <f t="shared" si="138"/>
        <v>6</v>
      </c>
      <c r="K553" s="51">
        <v>6</v>
      </c>
      <c r="L553" s="51">
        <v>0</v>
      </c>
      <c r="M553" s="51"/>
      <c r="N553" s="260">
        <v>0.1</v>
      </c>
      <c r="O553" s="260">
        <v>0</v>
      </c>
      <c r="P553" s="261">
        <v>1</v>
      </c>
      <c r="Q553" s="53" t="s">
        <v>257</v>
      </c>
      <c r="R553" s="54" t="s">
        <v>158</v>
      </c>
      <c r="S553" s="54" t="s">
        <v>158</v>
      </c>
      <c r="T553" s="54" t="s">
        <v>158</v>
      </c>
      <c r="U553" s="54" t="s">
        <v>158</v>
      </c>
      <c r="V553" s="254" t="s">
        <v>882</v>
      </c>
      <c r="W553" s="53"/>
      <c r="X553" s="53">
        <f t="shared" si="139"/>
        <v>0</v>
      </c>
      <c r="Y553" s="55"/>
      <c r="Z553" s="55"/>
      <c r="AA553" s="52">
        <f t="shared" si="140"/>
        <v>0</v>
      </c>
      <c r="AB553" s="53">
        <f t="shared" si="141"/>
        <v>0</v>
      </c>
      <c r="AC553" s="53">
        <f t="shared" si="142"/>
        <v>0</v>
      </c>
      <c r="AD553" s="53">
        <f t="shared" si="143"/>
        <v>0</v>
      </c>
      <c r="AE553" s="53">
        <f t="shared" si="144"/>
        <v>0</v>
      </c>
      <c r="AF553" s="53">
        <f t="shared" si="145"/>
        <v>0</v>
      </c>
      <c r="AG553" s="56">
        <f t="shared" si="146"/>
        <v>1</v>
      </c>
      <c r="AH553" s="53">
        <f t="shared" si="147"/>
        <v>0</v>
      </c>
      <c r="AI553" s="55"/>
      <c r="AJ553" s="53">
        <f t="shared" si="148"/>
        <v>0</v>
      </c>
      <c r="AK553" s="53">
        <f t="shared" si="149"/>
        <v>0</v>
      </c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7"/>
      <c r="AW553" s="57"/>
      <c r="AX553" s="57"/>
    </row>
    <row r="554" spans="2:50">
      <c r="B554" s="45">
        <v>534</v>
      </c>
      <c r="C554" s="250" t="s">
        <v>782</v>
      </c>
      <c r="D554" s="250" t="s">
        <v>873</v>
      </c>
      <c r="E554" s="250" t="s">
        <v>881</v>
      </c>
      <c r="F554" s="251" t="s">
        <v>877</v>
      </c>
      <c r="G554" s="217" t="s">
        <v>795</v>
      </c>
      <c r="H554" s="252">
        <v>42713</v>
      </c>
      <c r="I554" s="164" t="s">
        <v>409</v>
      </c>
      <c r="J554" s="51">
        <f t="shared" si="138"/>
        <v>120</v>
      </c>
      <c r="K554" s="51">
        <v>120</v>
      </c>
      <c r="L554" s="51">
        <v>0</v>
      </c>
      <c r="M554" s="51"/>
      <c r="N554" s="260">
        <v>2</v>
      </c>
      <c r="O554" s="260">
        <v>0</v>
      </c>
      <c r="P554" s="261">
        <v>2</v>
      </c>
      <c r="Q554" s="53" t="s">
        <v>257</v>
      </c>
      <c r="R554" s="54" t="s">
        <v>158</v>
      </c>
      <c r="S554" s="54" t="s">
        <v>158</v>
      </c>
      <c r="T554" s="54" t="s">
        <v>158</v>
      </c>
      <c r="U554" s="54" t="s">
        <v>158</v>
      </c>
      <c r="V554" s="254" t="s">
        <v>882</v>
      </c>
      <c r="W554" s="53"/>
      <c r="X554" s="53">
        <f t="shared" si="139"/>
        <v>0</v>
      </c>
      <c r="Y554" s="55"/>
      <c r="Z554" s="55"/>
      <c r="AA554" s="52">
        <f t="shared" si="140"/>
        <v>0</v>
      </c>
      <c r="AB554" s="53">
        <f t="shared" si="141"/>
        <v>0</v>
      </c>
      <c r="AC554" s="53">
        <f t="shared" si="142"/>
        <v>0</v>
      </c>
      <c r="AD554" s="53">
        <f t="shared" si="143"/>
        <v>0</v>
      </c>
      <c r="AE554" s="53">
        <f t="shared" si="144"/>
        <v>0</v>
      </c>
      <c r="AF554" s="53">
        <f t="shared" si="145"/>
        <v>0</v>
      </c>
      <c r="AG554" s="56">
        <f t="shared" si="146"/>
        <v>1</v>
      </c>
      <c r="AH554" s="53">
        <f t="shared" si="147"/>
        <v>0</v>
      </c>
      <c r="AI554" s="55"/>
      <c r="AJ554" s="53">
        <f t="shared" si="148"/>
        <v>0</v>
      </c>
      <c r="AK554" s="53">
        <f t="shared" si="149"/>
        <v>0</v>
      </c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7"/>
      <c r="AW554" s="57"/>
      <c r="AX554" s="57"/>
    </row>
    <row r="555" spans="2:50">
      <c r="B555" s="45">
        <v>535</v>
      </c>
      <c r="C555" s="250" t="s">
        <v>782</v>
      </c>
      <c r="D555" s="250" t="s">
        <v>873</v>
      </c>
      <c r="E555" s="250" t="s">
        <v>881</v>
      </c>
      <c r="F555" s="251" t="s">
        <v>883</v>
      </c>
      <c r="G555" s="217" t="s">
        <v>795</v>
      </c>
      <c r="H555" s="252">
        <v>43188</v>
      </c>
      <c r="I555" s="164" t="s">
        <v>409</v>
      </c>
      <c r="J555" s="51">
        <f t="shared" si="138"/>
        <v>6</v>
      </c>
      <c r="K555" s="51">
        <v>6</v>
      </c>
      <c r="L555" s="51">
        <v>0</v>
      </c>
      <c r="M555" s="51"/>
      <c r="N555" s="260">
        <v>0.1</v>
      </c>
      <c r="O555" s="260">
        <v>0</v>
      </c>
      <c r="P555" s="261">
        <v>2</v>
      </c>
      <c r="Q555" s="53" t="s">
        <v>257</v>
      </c>
      <c r="R555" s="54" t="s">
        <v>158</v>
      </c>
      <c r="S555" s="54" t="s">
        <v>158</v>
      </c>
      <c r="T555" s="54" t="s">
        <v>158</v>
      </c>
      <c r="U555" s="54" t="s">
        <v>158</v>
      </c>
      <c r="V555" s="254" t="s">
        <v>882</v>
      </c>
      <c r="W555" s="53"/>
      <c r="X555" s="53">
        <f t="shared" si="139"/>
        <v>0</v>
      </c>
      <c r="Y555" s="55"/>
      <c r="Z555" s="55"/>
      <c r="AA555" s="52">
        <f t="shared" si="140"/>
        <v>0</v>
      </c>
      <c r="AB555" s="53">
        <f t="shared" si="141"/>
        <v>0</v>
      </c>
      <c r="AC555" s="53">
        <f t="shared" si="142"/>
        <v>0</v>
      </c>
      <c r="AD555" s="53">
        <f t="shared" si="143"/>
        <v>0</v>
      </c>
      <c r="AE555" s="53">
        <f t="shared" si="144"/>
        <v>0</v>
      </c>
      <c r="AF555" s="53">
        <f t="shared" si="145"/>
        <v>0</v>
      </c>
      <c r="AG555" s="56">
        <f t="shared" si="146"/>
        <v>1</v>
      </c>
      <c r="AH555" s="53">
        <f t="shared" si="147"/>
        <v>0</v>
      </c>
      <c r="AI555" s="55"/>
      <c r="AJ555" s="53">
        <f t="shared" si="148"/>
        <v>0</v>
      </c>
      <c r="AK555" s="53">
        <f t="shared" si="149"/>
        <v>0</v>
      </c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7"/>
      <c r="AW555" s="57"/>
      <c r="AX555" s="57"/>
    </row>
    <row r="556" spans="2:50">
      <c r="B556" s="45">
        <v>536</v>
      </c>
      <c r="C556" s="250" t="s">
        <v>782</v>
      </c>
      <c r="D556" s="250" t="s">
        <v>873</v>
      </c>
      <c r="E556" s="250" t="s">
        <v>881</v>
      </c>
      <c r="F556" s="251" t="s">
        <v>884</v>
      </c>
      <c r="G556" s="217" t="s">
        <v>795</v>
      </c>
      <c r="H556" s="252">
        <v>43728</v>
      </c>
      <c r="I556" s="164" t="s">
        <v>409</v>
      </c>
      <c r="J556" s="51">
        <f t="shared" si="138"/>
        <v>60</v>
      </c>
      <c r="K556" s="51">
        <v>60</v>
      </c>
      <c r="L556" s="51">
        <v>0</v>
      </c>
      <c r="M556" s="51"/>
      <c r="N556" s="260">
        <v>1</v>
      </c>
      <c r="O556" s="260">
        <v>0</v>
      </c>
      <c r="P556" s="261">
        <v>2</v>
      </c>
      <c r="Q556" s="53" t="s">
        <v>257</v>
      </c>
      <c r="R556" s="54" t="s">
        <v>158</v>
      </c>
      <c r="S556" s="54" t="s">
        <v>158</v>
      </c>
      <c r="T556" s="54" t="s">
        <v>158</v>
      </c>
      <c r="U556" s="54" t="s">
        <v>158</v>
      </c>
      <c r="V556" s="254" t="s">
        <v>882</v>
      </c>
      <c r="W556" s="53"/>
      <c r="X556" s="53">
        <f t="shared" si="139"/>
        <v>0</v>
      </c>
      <c r="Y556" s="55"/>
      <c r="Z556" s="55"/>
      <c r="AA556" s="52">
        <f t="shared" si="140"/>
        <v>0</v>
      </c>
      <c r="AB556" s="53">
        <f t="shared" si="141"/>
        <v>0</v>
      </c>
      <c r="AC556" s="53">
        <f t="shared" si="142"/>
        <v>0</v>
      </c>
      <c r="AD556" s="53">
        <f t="shared" si="143"/>
        <v>0</v>
      </c>
      <c r="AE556" s="53">
        <f t="shared" si="144"/>
        <v>0</v>
      </c>
      <c r="AF556" s="53">
        <f t="shared" si="145"/>
        <v>0</v>
      </c>
      <c r="AG556" s="56">
        <f t="shared" si="146"/>
        <v>1</v>
      </c>
      <c r="AH556" s="53">
        <f t="shared" si="147"/>
        <v>0</v>
      </c>
      <c r="AI556" s="55"/>
      <c r="AJ556" s="53">
        <f t="shared" si="148"/>
        <v>0</v>
      </c>
      <c r="AK556" s="53">
        <f t="shared" si="149"/>
        <v>0</v>
      </c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7"/>
      <c r="AW556" s="57"/>
      <c r="AX556" s="57"/>
    </row>
    <row r="557" spans="2:50">
      <c r="B557" s="45">
        <v>537</v>
      </c>
      <c r="C557" s="250" t="s">
        <v>782</v>
      </c>
      <c r="D557" s="250" t="s">
        <v>873</v>
      </c>
      <c r="E557" s="250" t="s">
        <v>881</v>
      </c>
      <c r="F557" s="274" t="s">
        <v>885</v>
      </c>
      <c r="G557" s="217" t="s">
        <v>795</v>
      </c>
      <c r="H557" s="273">
        <v>43577</v>
      </c>
      <c r="I557" s="164" t="s">
        <v>409</v>
      </c>
      <c r="J557" s="51">
        <f t="shared" si="138"/>
        <v>27</v>
      </c>
      <c r="K557" s="51">
        <v>12</v>
      </c>
      <c r="L557" s="51">
        <v>15</v>
      </c>
      <c r="M557" s="51"/>
      <c r="N557" s="223">
        <v>0.2</v>
      </c>
      <c r="O557" s="223">
        <v>0</v>
      </c>
      <c r="P557" s="224">
        <v>2</v>
      </c>
      <c r="Q557" s="53"/>
      <c r="R557" s="54" t="s">
        <v>158</v>
      </c>
      <c r="S557" s="54" t="s">
        <v>158</v>
      </c>
      <c r="T557" s="54" t="s">
        <v>158</v>
      </c>
      <c r="U557" s="54" t="s">
        <v>158</v>
      </c>
      <c r="V557" s="254" t="s">
        <v>882</v>
      </c>
      <c r="W557" s="53"/>
      <c r="X557" s="53">
        <f t="shared" si="139"/>
        <v>0</v>
      </c>
      <c r="Y557" s="55"/>
      <c r="Z557" s="55"/>
      <c r="AA557" s="52">
        <f t="shared" si="140"/>
        <v>0</v>
      </c>
      <c r="AB557" s="53">
        <f t="shared" si="141"/>
        <v>0</v>
      </c>
      <c r="AC557" s="53">
        <f t="shared" si="142"/>
        <v>0</v>
      </c>
      <c r="AD557" s="53">
        <f t="shared" si="143"/>
        <v>0</v>
      </c>
      <c r="AE557" s="53">
        <f t="shared" si="144"/>
        <v>0</v>
      </c>
      <c r="AF557" s="53">
        <f t="shared" si="145"/>
        <v>0</v>
      </c>
      <c r="AG557" s="56">
        <f t="shared" si="146"/>
        <v>0</v>
      </c>
      <c r="AH557" s="53">
        <f t="shared" si="147"/>
        <v>0</v>
      </c>
      <c r="AI557" s="55"/>
      <c r="AJ557" s="53">
        <f t="shared" si="148"/>
        <v>0</v>
      </c>
      <c r="AK557" s="53">
        <f t="shared" si="149"/>
        <v>0</v>
      </c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7"/>
      <c r="AW557" s="57"/>
      <c r="AX557" s="57"/>
    </row>
    <row r="558" spans="2:50">
      <c r="B558" s="45">
        <v>538</v>
      </c>
      <c r="C558" s="250" t="s">
        <v>782</v>
      </c>
      <c r="D558" s="250" t="s">
        <v>873</v>
      </c>
      <c r="E558" s="250" t="s">
        <v>886</v>
      </c>
      <c r="F558" s="251" t="s">
        <v>887</v>
      </c>
      <c r="G558" s="217" t="s">
        <v>888</v>
      </c>
      <c r="H558" s="252">
        <v>42334</v>
      </c>
      <c r="I558" s="164" t="s">
        <v>409</v>
      </c>
      <c r="J558" s="51">
        <f t="shared" si="138"/>
        <v>108</v>
      </c>
      <c r="K558" s="51">
        <v>18</v>
      </c>
      <c r="L558" s="51">
        <v>90</v>
      </c>
      <c r="M558" s="51"/>
      <c r="N558" s="260">
        <v>0.3</v>
      </c>
      <c r="O558" s="260">
        <v>1.5</v>
      </c>
      <c r="P558" s="261">
        <v>1</v>
      </c>
      <c r="Q558" s="53" t="s">
        <v>257</v>
      </c>
      <c r="R558" s="54" t="s">
        <v>158</v>
      </c>
      <c r="S558" s="54" t="s">
        <v>158</v>
      </c>
      <c r="T558" s="54" t="s">
        <v>158</v>
      </c>
      <c r="U558" s="54" t="s">
        <v>158</v>
      </c>
      <c r="V558" s="254" t="s">
        <v>889</v>
      </c>
      <c r="W558" s="53"/>
      <c r="X558" s="53">
        <f t="shared" si="139"/>
        <v>0</v>
      </c>
      <c r="Y558" s="55"/>
      <c r="Z558" s="55"/>
      <c r="AA558" s="52">
        <f t="shared" si="140"/>
        <v>0</v>
      </c>
      <c r="AB558" s="53">
        <f t="shared" si="141"/>
        <v>0</v>
      </c>
      <c r="AC558" s="53">
        <f t="shared" si="142"/>
        <v>0</v>
      </c>
      <c r="AD558" s="53">
        <f t="shared" si="143"/>
        <v>0</v>
      </c>
      <c r="AE558" s="53">
        <f t="shared" si="144"/>
        <v>0</v>
      </c>
      <c r="AF558" s="53">
        <f t="shared" si="145"/>
        <v>0</v>
      </c>
      <c r="AG558" s="56">
        <f t="shared" si="146"/>
        <v>1</v>
      </c>
      <c r="AH558" s="53">
        <f t="shared" si="147"/>
        <v>0</v>
      </c>
      <c r="AI558" s="55"/>
      <c r="AJ558" s="53">
        <f t="shared" si="148"/>
        <v>0</v>
      </c>
      <c r="AK558" s="53">
        <f t="shared" si="149"/>
        <v>0</v>
      </c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7"/>
      <c r="AW558" s="57"/>
      <c r="AX558" s="57"/>
    </row>
    <row r="559" spans="2:50">
      <c r="B559" s="45">
        <v>539</v>
      </c>
      <c r="C559" s="250" t="s">
        <v>782</v>
      </c>
      <c r="D559" s="250" t="s">
        <v>873</v>
      </c>
      <c r="E559" s="250" t="s">
        <v>886</v>
      </c>
      <c r="F559" s="251" t="s">
        <v>555</v>
      </c>
      <c r="G559" s="217" t="s">
        <v>888</v>
      </c>
      <c r="H559" s="252">
        <v>43728</v>
      </c>
      <c r="I559" s="164" t="s">
        <v>409</v>
      </c>
      <c r="J559" s="51">
        <f t="shared" si="138"/>
        <v>60</v>
      </c>
      <c r="K559" s="51">
        <v>60</v>
      </c>
      <c r="L559" s="51">
        <v>0</v>
      </c>
      <c r="M559" s="51"/>
      <c r="N559" s="260">
        <v>1</v>
      </c>
      <c r="O559" s="260">
        <v>0</v>
      </c>
      <c r="P559" s="261">
        <v>1</v>
      </c>
      <c r="Q559" s="53" t="s">
        <v>257</v>
      </c>
      <c r="R559" s="54" t="s">
        <v>158</v>
      </c>
      <c r="S559" s="54" t="s">
        <v>158</v>
      </c>
      <c r="T559" s="54" t="s">
        <v>158</v>
      </c>
      <c r="U559" s="54" t="s">
        <v>158</v>
      </c>
      <c r="V559" s="254" t="s">
        <v>889</v>
      </c>
      <c r="W559" s="53"/>
      <c r="X559" s="53">
        <f t="shared" si="139"/>
        <v>0</v>
      </c>
      <c r="Y559" s="55"/>
      <c r="Z559" s="55"/>
      <c r="AA559" s="52">
        <f t="shared" si="140"/>
        <v>0</v>
      </c>
      <c r="AB559" s="53">
        <f t="shared" si="141"/>
        <v>0</v>
      </c>
      <c r="AC559" s="53">
        <f t="shared" si="142"/>
        <v>0</v>
      </c>
      <c r="AD559" s="53">
        <f t="shared" si="143"/>
        <v>0</v>
      </c>
      <c r="AE559" s="53">
        <f t="shared" si="144"/>
        <v>0</v>
      </c>
      <c r="AF559" s="53">
        <f t="shared" si="145"/>
        <v>0</v>
      </c>
      <c r="AG559" s="56">
        <f t="shared" si="146"/>
        <v>1</v>
      </c>
      <c r="AH559" s="53">
        <f t="shared" si="147"/>
        <v>0</v>
      </c>
      <c r="AI559" s="55"/>
      <c r="AJ559" s="53">
        <f t="shared" si="148"/>
        <v>0</v>
      </c>
      <c r="AK559" s="53">
        <f t="shared" si="149"/>
        <v>0</v>
      </c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7"/>
      <c r="AW559" s="57"/>
      <c r="AX559" s="57"/>
    </row>
    <row r="560" spans="2:50">
      <c r="B560" s="45">
        <v>540</v>
      </c>
      <c r="C560" s="250" t="s">
        <v>782</v>
      </c>
      <c r="D560" s="250" t="s">
        <v>873</v>
      </c>
      <c r="E560" s="250" t="s">
        <v>890</v>
      </c>
      <c r="F560" s="251" t="s">
        <v>891</v>
      </c>
      <c r="G560" s="217" t="s">
        <v>795</v>
      </c>
      <c r="H560" s="252">
        <v>42334</v>
      </c>
      <c r="I560" s="164" t="s">
        <v>409</v>
      </c>
      <c r="J560" s="51">
        <f t="shared" si="138"/>
        <v>48</v>
      </c>
      <c r="K560" s="51">
        <v>48</v>
      </c>
      <c r="L560" s="51">
        <v>0</v>
      </c>
      <c r="M560" s="51"/>
      <c r="N560" s="260">
        <v>0.8</v>
      </c>
      <c r="O560" s="260">
        <v>0</v>
      </c>
      <c r="P560" s="261">
        <v>1</v>
      </c>
      <c r="Q560" s="53"/>
      <c r="R560" s="54" t="s">
        <v>158</v>
      </c>
      <c r="S560" s="54" t="s">
        <v>158</v>
      </c>
      <c r="T560" s="54" t="s">
        <v>158</v>
      </c>
      <c r="U560" s="54" t="s">
        <v>158</v>
      </c>
      <c r="V560" s="254" t="s">
        <v>892</v>
      </c>
      <c r="W560" s="53"/>
      <c r="X560" s="53">
        <f t="shared" si="139"/>
        <v>0</v>
      </c>
      <c r="Y560" s="55"/>
      <c r="Z560" s="55"/>
      <c r="AA560" s="52">
        <f t="shared" si="140"/>
        <v>0</v>
      </c>
      <c r="AB560" s="53">
        <f t="shared" si="141"/>
        <v>0</v>
      </c>
      <c r="AC560" s="53">
        <f t="shared" si="142"/>
        <v>0</v>
      </c>
      <c r="AD560" s="53">
        <f t="shared" si="143"/>
        <v>0</v>
      </c>
      <c r="AE560" s="53">
        <f t="shared" si="144"/>
        <v>0</v>
      </c>
      <c r="AF560" s="53">
        <f t="shared" si="145"/>
        <v>0</v>
      </c>
      <c r="AG560" s="56">
        <f t="shared" si="146"/>
        <v>0</v>
      </c>
      <c r="AH560" s="53">
        <f t="shared" si="147"/>
        <v>0</v>
      </c>
      <c r="AI560" s="55"/>
      <c r="AJ560" s="53">
        <f t="shared" si="148"/>
        <v>0</v>
      </c>
      <c r="AK560" s="53">
        <f t="shared" si="149"/>
        <v>0</v>
      </c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7"/>
      <c r="AW560" s="57"/>
      <c r="AX560" s="57"/>
    </row>
    <row r="561" spans="2:50">
      <c r="B561" s="45">
        <v>541</v>
      </c>
      <c r="C561" s="250" t="s">
        <v>782</v>
      </c>
      <c r="D561" s="250" t="s">
        <v>873</v>
      </c>
      <c r="E561" s="250" t="s">
        <v>893</v>
      </c>
      <c r="F561" s="251" t="s">
        <v>891</v>
      </c>
      <c r="G561" s="217" t="s">
        <v>795</v>
      </c>
      <c r="H561" s="252">
        <v>42334</v>
      </c>
      <c r="I561" s="164" t="s">
        <v>409</v>
      </c>
      <c r="J561" s="51">
        <f t="shared" si="138"/>
        <v>36</v>
      </c>
      <c r="K561" s="51">
        <v>6</v>
      </c>
      <c r="L561" s="51">
        <v>30</v>
      </c>
      <c r="M561" s="51"/>
      <c r="N561" s="260">
        <v>0.1</v>
      </c>
      <c r="O561" s="260">
        <v>0.5</v>
      </c>
      <c r="P561" s="261">
        <v>1</v>
      </c>
      <c r="Q561" s="53"/>
      <c r="R561" s="54" t="s">
        <v>158</v>
      </c>
      <c r="S561" s="54" t="s">
        <v>158</v>
      </c>
      <c r="T561" s="54" t="s">
        <v>158</v>
      </c>
      <c r="U561" s="54" t="s">
        <v>158</v>
      </c>
      <c r="V561" s="254" t="s">
        <v>894</v>
      </c>
      <c r="W561" s="53"/>
      <c r="X561" s="53">
        <f t="shared" si="139"/>
        <v>0</v>
      </c>
      <c r="Y561" s="55"/>
      <c r="Z561" s="55"/>
      <c r="AA561" s="52">
        <f t="shared" si="140"/>
        <v>0</v>
      </c>
      <c r="AB561" s="53">
        <f t="shared" si="141"/>
        <v>0</v>
      </c>
      <c r="AC561" s="53">
        <f t="shared" si="142"/>
        <v>0</v>
      </c>
      <c r="AD561" s="53">
        <f t="shared" si="143"/>
        <v>0</v>
      </c>
      <c r="AE561" s="53">
        <f t="shared" si="144"/>
        <v>0</v>
      </c>
      <c r="AF561" s="53">
        <f t="shared" si="145"/>
        <v>0</v>
      </c>
      <c r="AG561" s="56">
        <f t="shared" si="146"/>
        <v>0</v>
      </c>
      <c r="AH561" s="53">
        <f t="shared" si="147"/>
        <v>0</v>
      </c>
      <c r="AI561" s="55"/>
      <c r="AJ561" s="53">
        <f t="shared" si="148"/>
        <v>0</v>
      </c>
      <c r="AK561" s="53">
        <f t="shared" si="149"/>
        <v>0</v>
      </c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7"/>
      <c r="AW561" s="57"/>
      <c r="AX561" s="57"/>
    </row>
    <row r="562" spans="2:50">
      <c r="B562" s="45">
        <v>542</v>
      </c>
      <c r="C562" s="250" t="s">
        <v>782</v>
      </c>
      <c r="D562" s="250" t="s">
        <v>873</v>
      </c>
      <c r="E562" s="250" t="s">
        <v>893</v>
      </c>
      <c r="F562" s="251" t="s">
        <v>877</v>
      </c>
      <c r="G562" s="217" t="s">
        <v>795</v>
      </c>
      <c r="H562" s="252">
        <v>42334</v>
      </c>
      <c r="I562" s="164" t="s">
        <v>409</v>
      </c>
      <c r="J562" s="51">
        <f t="shared" si="138"/>
        <v>42</v>
      </c>
      <c r="K562" s="51">
        <v>42</v>
      </c>
      <c r="L562" s="51">
        <v>0</v>
      </c>
      <c r="M562" s="51"/>
      <c r="N562" s="260">
        <v>0.7</v>
      </c>
      <c r="O562" s="260">
        <v>0</v>
      </c>
      <c r="P562" s="261">
        <v>1</v>
      </c>
      <c r="Q562" s="53"/>
      <c r="R562" s="54" t="s">
        <v>158</v>
      </c>
      <c r="S562" s="54" t="s">
        <v>158</v>
      </c>
      <c r="T562" s="54" t="s">
        <v>158</v>
      </c>
      <c r="U562" s="54" t="s">
        <v>158</v>
      </c>
      <c r="V562" s="254" t="s">
        <v>894</v>
      </c>
      <c r="W562" s="53"/>
      <c r="X562" s="53">
        <f t="shared" si="139"/>
        <v>0</v>
      </c>
      <c r="Y562" s="55"/>
      <c r="Z562" s="55"/>
      <c r="AA562" s="52">
        <f t="shared" si="140"/>
        <v>0</v>
      </c>
      <c r="AB562" s="53">
        <f t="shared" si="141"/>
        <v>0</v>
      </c>
      <c r="AC562" s="53">
        <f t="shared" si="142"/>
        <v>0</v>
      </c>
      <c r="AD562" s="53">
        <f t="shared" si="143"/>
        <v>0</v>
      </c>
      <c r="AE562" s="53">
        <f t="shared" si="144"/>
        <v>0</v>
      </c>
      <c r="AF562" s="53">
        <f t="shared" si="145"/>
        <v>0</v>
      </c>
      <c r="AG562" s="56">
        <f t="shared" si="146"/>
        <v>0</v>
      </c>
      <c r="AH562" s="53">
        <f t="shared" si="147"/>
        <v>0</v>
      </c>
      <c r="AI562" s="55"/>
      <c r="AJ562" s="53">
        <f t="shared" si="148"/>
        <v>0</v>
      </c>
      <c r="AK562" s="53">
        <f t="shared" si="149"/>
        <v>0</v>
      </c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7"/>
      <c r="AW562" s="57"/>
      <c r="AX562" s="57"/>
    </row>
    <row r="563" spans="2:50">
      <c r="B563" s="45">
        <v>543</v>
      </c>
      <c r="C563" s="250" t="s">
        <v>782</v>
      </c>
      <c r="D563" s="250" t="s">
        <v>873</v>
      </c>
      <c r="E563" s="250" t="s">
        <v>895</v>
      </c>
      <c r="F563" s="251" t="s">
        <v>896</v>
      </c>
      <c r="G563" s="217" t="s">
        <v>795</v>
      </c>
      <c r="H563" s="252">
        <v>42929</v>
      </c>
      <c r="I563" s="164" t="s">
        <v>409</v>
      </c>
      <c r="J563" s="51">
        <f t="shared" si="138"/>
        <v>12</v>
      </c>
      <c r="K563" s="51">
        <v>12</v>
      </c>
      <c r="L563" s="51">
        <v>0</v>
      </c>
      <c r="M563" s="51"/>
      <c r="N563" s="260">
        <v>0.2</v>
      </c>
      <c r="O563" s="260">
        <v>0</v>
      </c>
      <c r="P563" s="261">
        <v>1</v>
      </c>
      <c r="Q563" s="53" t="s">
        <v>257</v>
      </c>
      <c r="R563" s="54" t="s">
        <v>158</v>
      </c>
      <c r="S563" s="54" t="s">
        <v>158</v>
      </c>
      <c r="T563" s="54" t="s">
        <v>158</v>
      </c>
      <c r="U563" s="54" t="s">
        <v>158</v>
      </c>
      <c r="V563" s="254" t="s">
        <v>897</v>
      </c>
      <c r="W563" s="53"/>
      <c r="X563" s="53">
        <f t="shared" si="139"/>
        <v>0</v>
      </c>
      <c r="Y563" s="55"/>
      <c r="Z563" s="55"/>
      <c r="AA563" s="52">
        <f t="shared" si="140"/>
        <v>0</v>
      </c>
      <c r="AB563" s="53">
        <f t="shared" si="141"/>
        <v>0</v>
      </c>
      <c r="AC563" s="53">
        <f t="shared" si="142"/>
        <v>0</v>
      </c>
      <c r="AD563" s="53">
        <f t="shared" si="143"/>
        <v>0</v>
      </c>
      <c r="AE563" s="53">
        <f t="shared" si="144"/>
        <v>0</v>
      </c>
      <c r="AF563" s="53">
        <f t="shared" si="145"/>
        <v>0</v>
      </c>
      <c r="AG563" s="56">
        <f t="shared" si="146"/>
        <v>1</v>
      </c>
      <c r="AH563" s="53">
        <f t="shared" si="147"/>
        <v>0</v>
      </c>
      <c r="AI563" s="55"/>
      <c r="AJ563" s="53">
        <f t="shared" si="148"/>
        <v>0</v>
      </c>
      <c r="AK563" s="53">
        <f t="shared" si="149"/>
        <v>0</v>
      </c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7"/>
      <c r="AW563" s="57"/>
      <c r="AX563" s="57"/>
    </row>
    <row r="564" spans="2:50">
      <c r="B564" s="45">
        <v>544</v>
      </c>
      <c r="C564" s="250" t="s">
        <v>782</v>
      </c>
      <c r="D564" s="250" t="s">
        <v>873</v>
      </c>
      <c r="E564" s="250" t="s">
        <v>895</v>
      </c>
      <c r="F564" s="251" t="s">
        <v>898</v>
      </c>
      <c r="G564" s="217" t="s">
        <v>795</v>
      </c>
      <c r="H564" s="252">
        <v>43761</v>
      </c>
      <c r="I564" s="164" t="s">
        <v>409</v>
      </c>
      <c r="J564" s="51">
        <f t="shared" si="138"/>
        <v>30</v>
      </c>
      <c r="K564" s="51">
        <v>30</v>
      </c>
      <c r="L564" s="51">
        <v>0</v>
      </c>
      <c r="M564" s="51"/>
      <c r="N564" s="260">
        <v>0.5</v>
      </c>
      <c r="O564" s="260">
        <v>0</v>
      </c>
      <c r="P564" s="261">
        <v>1</v>
      </c>
      <c r="Q564" s="53" t="s">
        <v>257</v>
      </c>
      <c r="R564" s="54" t="s">
        <v>158</v>
      </c>
      <c r="S564" s="54" t="s">
        <v>158</v>
      </c>
      <c r="T564" s="54" t="s">
        <v>158</v>
      </c>
      <c r="U564" s="54" t="s">
        <v>158</v>
      </c>
      <c r="V564" s="254" t="s">
        <v>897</v>
      </c>
      <c r="W564" s="53"/>
      <c r="X564" s="53">
        <f t="shared" si="139"/>
        <v>0</v>
      </c>
      <c r="Y564" s="55"/>
      <c r="Z564" s="55"/>
      <c r="AA564" s="52">
        <f t="shared" si="140"/>
        <v>0</v>
      </c>
      <c r="AB564" s="53">
        <f t="shared" si="141"/>
        <v>0</v>
      </c>
      <c r="AC564" s="53">
        <f t="shared" si="142"/>
        <v>0</v>
      </c>
      <c r="AD564" s="53">
        <f t="shared" si="143"/>
        <v>0</v>
      </c>
      <c r="AE564" s="53">
        <f t="shared" si="144"/>
        <v>0</v>
      </c>
      <c r="AF564" s="53">
        <f t="shared" si="145"/>
        <v>0</v>
      </c>
      <c r="AG564" s="56">
        <f t="shared" si="146"/>
        <v>1</v>
      </c>
      <c r="AH564" s="53">
        <f t="shared" si="147"/>
        <v>0</v>
      </c>
      <c r="AI564" s="55"/>
      <c r="AJ564" s="53">
        <f t="shared" si="148"/>
        <v>0</v>
      </c>
      <c r="AK564" s="53">
        <f t="shared" si="149"/>
        <v>0</v>
      </c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7"/>
      <c r="AW564" s="57"/>
      <c r="AX564" s="57"/>
    </row>
    <row r="565" spans="2:50">
      <c r="B565" s="45">
        <v>545</v>
      </c>
      <c r="C565" s="250" t="s">
        <v>782</v>
      </c>
      <c r="D565" s="250" t="s">
        <v>873</v>
      </c>
      <c r="E565" s="250" t="s">
        <v>895</v>
      </c>
      <c r="F565" s="251" t="s">
        <v>899</v>
      </c>
      <c r="G565" s="217" t="s">
        <v>795</v>
      </c>
      <c r="H565" s="252">
        <v>43728</v>
      </c>
      <c r="I565" s="164" t="s">
        <v>409</v>
      </c>
      <c r="J565" s="51">
        <f t="shared" si="138"/>
        <v>60</v>
      </c>
      <c r="K565" s="51">
        <v>60</v>
      </c>
      <c r="L565" s="51">
        <v>0</v>
      </c>
      <c r="M565" s="51"/>
      <c r="N565" s="260">
        <v>1</v>
      </c>
      <c r="O565" s="260">
        <v>0</v>
      </c>
      <c r="P565" s="261">
        <v>1</v>
      </c>
      <c r="Q565" s="53" t="s">
        <v>257</v>
      </c>
      <c r="R565" s="54" t="s">
        <v>158</v>
      </c>
      <c r="S565" s="54" t="s">
        <v>158</v>
      </c>
      <c r="T565" s="54" t="s">
        <v>158</v>
      </c>
      <c r="U565" s="54" t="s">
        <v>158</v>
      </c>
      <c r="V565" s="254" t="s">
        <v>897</v>
      </c>
      <c r="W565" s="53"/>
      <c r="X565" s="53">
        <f t="shared" si="139"/>
        <v>0</v>
      </c>
      <c r="Y565" s="55"/>
      <c r="Z565" s="55"/>
      <c r="AA565" s="52">
        <f t="shared" si="140"/>
        <v>0</v>
      </c>
      <c r="AB565" s="53">
        <f t="shared" si="141"/>
        <v>0</v>
      </c>
      <c r="AC565" s="53">
        <f t="shared" si="142"/>
        <v>0</v>
      </c>
      <c r="AD565" s="53">
        <f t="shared" si="143"/>
        <v>0</v>
      </c>
      <c r="AE565" s="53">
        <f t="shared" si="144"/>
        <v>0</v>
      </c>
      <c r="AF565" s="53">
        <f t="shared" si="145"/>
        <v>0</v>
      </c>
      <c r="AG565" s="56">
        <f t="shared" si="146"/>
        <v>1</v>
      </c>
      <c r="AH565" s="53">
        <f t="shared" si="147"/>
        <v>0</v>
      </c>
      <c r="AI565" s="55"/>
      <c r="AJ565" s="53">
        <f t="shared" si="148"/>
        <v>0</v>
      </c>
      <c r="AK565" s="53">
        <f t="shared" si="149"/>
        <v>0</v>
      </c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7"/>
      <c r="AW565" s="57"/>
      <c r="AX565" s="57"/>
    </row>
    <row r="566" spans="2:50">
      <c r="B566" s="45">
        <v>546</v>
      </c>
      <c r="C566" s="250" t="s">
        <v>782</v>
      </c>
      <c r="D566" s="250" t="s">
        <v>873</v>
      </c>
      <c r="E566" s="250" t="s">
        <v>895</v>
      </c>
      <c r="F566" s="251" t="s">
        <v>900</v>
      </c>
      <c r="G566" s="217" t="s">
        <v>795</v>
      </c>
      <c r="H566" s="252">
        <v>42233</v>
      </c>
      <c r="I566" s="164" t="s">
        <v>409</v>
      </c>
      <c r="J566" s="51">
        <f t="shared" si="138"/>
        <v>210</v>
      </c>
      <c r="K566" s="51">
        <v>60</v>
      </c>
      <c r="L566" s="51">
        <v>150</v>
      </c>
      <c r="M566" s="51"/>
      <c r="N566" s="260">
        <v>1</v>
      </c>
      <c r="O566" s="260">
        <v>2.5</v>
      </c>
      <c r="P566" s="261">
        <v>1</v>
      </c>
      <c r="Q566" s="53" t="s">
        <v>257</v>
      </c>
      <c r="R566" s="54" t="s">
        <v>158</v>
      </c>
      <c r="S566" s="54" t="s">
        <v>158</v>
      </c>
      <c r="T566" s="54" t="s">
        <v>158</v>
      </c>
      <c r="U566" s="54" t="s">
        <v>158</v>
      </c>
      <c r="V566" s="254" t="s">
        <v>897</v>
      </c>
      <c r="W566" s="53"/>
      <c r="X566" s="53">
        <f t="shared" si="139"/>
        <v>0</v>
      </c>
      <c r="Y566" s="55"/>
      <c r="Z566" s="55"/>
      <c r="AA566" s="52">
        <f t="shared" si="140"/>
        <v>0</v>
      </c>
      <c r="AB566" s="53">
        <f t="shared" si="141"/>
        <v>0</v>
      </c>
      <c r="AC566" s="53">
        <f t="shared" si="142"/>
        <v>0</v>
      </c>
      <c r="AD566" s="53">
        <f t="shared" si="143"/>
        <v>0</v>
      </c>
      <c r="AE566" s="53">
        <f t="shared" si="144"/>
        <v>0</v>
      </c>
      <c r="AF566" s="53">
        <f t="shared" si="145"/>
        <v>0</v>
      </c>
      <c r="AG566" s="56">
        <f t="shared" si="146"/>
        <v>1</v>
      </c>
      <c r="AH566" s="53">
        <f t="shared" si="147"/>
        <v>0</v>
      </c>
      <c r="AI566" s="55"/>
      <c r="AJ566" s="53">
        <f t="shared" si="148"/>
        <v>0</v>
      </c>
      <c r="AK566" s="53">
        <f t="shared" si="149"/>
        <v>0</v>
      </c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7"/>
      <c r="AW566" s="57"/>
      <c r="AX566" s="57"/>
    </row>
    <row r="567" spans="2:50">
      <c r="B567" s="45">
        <v>547</v>
      </c>
      <c r="C567" s="250" t="s">
        <v>782</v>
      </c>
      <c r="D567" s="250" t="s">
        <v>873</v>
      </c>
      <c r="E567" s="250" t="s">
        <v>895</v>
      </c>
      <c r="F567" s="251" t="s">
        <v>901</v>
      </c>
      <c r="G567" s="217" t="s">
        <v>795</v>
      </c>
      <c r="H567" s="252">
        <v>42233</v>
      </c>
      <c r="I567" s="164" t="s">
        <v>409</v>
      </c>
      <c r="J567" s="51">
        <f t="shared" si="138"/>
        <v>12</v>
      </c>
      <c r="K567" s="51">
        <v>12</v>
      </c>
      <c r="L567" s="51">
        <v>0</v>
      </c>
      <c r="M567" s="51"/>
      <c r="N567" s="260">
        <v>0.2</v>
      </c>
      <c r="O567" s="260">
        <v>0</v>
      </c>
      <c r="P567" s="261">
        <v>1</v>
      </c>
      <c r="Q567" s="53" t="s">
        <v>257</v>
      </c>
      <c r="R567" s="54" t="s">
        <v>158</v>
      </c>
      <c r="S567" s="54" t="s">
        <v>158</v>
      </c>
      <c r="T567" s="54" t="s">
        <v>158</v>
      </c>
      <c r="U567" s="54" t="s">
        <v>158</v>
      </c>
      <c r="V567" s="254" t="s">
        <v>897</v>
      </c>
      <c r="W567" s="53"/>
      <c r="X567" s="53">
        <f t="shared" si="139"/>
        <v>0</v>
      </c>
      <c r="Y567" s="55"/>
      <c r="Z567" s="55"/>
      <c r="AA567" s="52">
        <f t="shared" si="140"/>
        <v>0</v>
      </c>
      <c r="AB567" s="53">
        <f t="shared" si="141"/>
        <v>0</v>
      </c>
      <c r="AC567" s="53">
        <f t="shared" si="142"/>
        <v>0</v>
      </c>
      <c r="AD567" s="53">
        <f t="shared" si="143"/>
        <v>0</v>
      </c>
      <c r="AE567" s="53">
        <f t="shared" si="144"/>
        <v>0</v>
      </c>
      <c r="AF567" s="53">
        <f t="shared" si="145"/>
        <v>0</v>
      </c>
      <c r="AG567" s="56">
        <f t="shared" si="146"/>
        <v>1</v>
      </c>
      <c r="AH567" s="53">
        <f t="shared" si="147"/>
        <v>0</v>
      </c>
      <c r="AI567" s="55"/>
      <c r="AJ567" s="53">
        <f t="shared" si="148"/>
        <v>0</v>
      </c>
      <c r="AK567" s="53">
        <f t="shared" si="149"/>
        <v>0</v>
      </c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7"/>
      <c r="AW567" s="57"/>
      <c r="AX567" s="57"/>
    </row>
    <row r="568" spans="2:50">
      <c r="B568" s="45">
        <v>548</v>
      </c>
      <c r="C568" s="250" t="s">
        <v>782</v>
      </c>
      <c r="D568" s="250" t="s">
        <v>873</v>
      </c>
      <c r="E568" s="250" t="s">
        <v>895</v>
      </c>
      <c r="F568" s="251" t="s">
        <v>902</v>
      </c>
      <c r="G568" s="217" t="s">
        <v>795</v>
      </c>
      <c r="H568" s="252">
        <v>42233</v>
      </c>
      <c r="I568" s="164" t="s">
        <v>409</v>
      </c>
      <c r="J568" s="51">
        <f t="shared" si="138"/>
        <v>30</v>
      </c>
      <c r="K568" s="51">
        <v>30</v>
      </c>
      <c r="L568" s="51">
        <v>0</v>
      </c>
      <c r="M568" s="51"/>
      <c r="N568" s="260">
        <v>0.5</v>
      </c>
      <c r="O568" s="260">
        <v>0</v>
      </c>
      <c r="P568" s="261">
        <v>1</v>
      </c>
      <c r="Q568" s="53" t="s">
        <v>257</v>
      </c>
      <c r="R568" s="54" t="s">
        <v>158</v>
      </c>
      <c r="S568" s="54" t="s">
        <v>158</v>
      </c>
      <c r="T568" s="54" t="s">
        <v>158</v>
      </c>
      <c r="U568" s="54" t="s">
        <v>158</v>
      </c>
      <c r="V568" s="254" t="s">
        <v>897</v>
      </c>
      <c r="W568" s="53"/>
      <c r="X568" s="53">
        <f t="shared" si="139"/>
        <v>0</v>
      </c>
      <c r="Y568" s="55"/>
      <c r="Z568" s="55"/>
      <c r="AA568" s="52">
        <f t="shared" si="140"/>
        <v>0</v>
      </c>
      <c r="AB568" s="53">
        <f t="shared" si="141"/>
        <v>0</v>
      </c>
      <c r="AC568" s="53">
        <f t="shared" si="142"/>
        <v>0</v>
      </c>
      <c r="AD568" s="53">
        <f t="shared" si="143"/>
        <v>0</v>
      </c>
      <c r="AE568" s="53">
        <f t="shared" si="144"/>
        <v>0</v>
      </c>
      <c r="AF568" s="53">
        <f t="shared" si="145"/>
        <v>0</v>
      </c>
      <c r="AG568" s="56">
        <f t="shared" si="146"/>
        <v>1</v>
      </c>
      <c r="AH568" s="53">
        <f t="shared" si="147"/>
        <v>0</v>
      </c>
      <c r="AI568" s="55"/>
      <c r="AJ568" s="53">
        <f t="shared" si="148"/>
        <v>0</v>
      </c>
      <c r="AK568" s="53">
        <f t="shared" si="149"/>
        <v>0</v>
      </c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7"/>
      <c r="AW568" s="57"/>
      <c r="AX568" s="57"/>
    </row>
    <row r="569" spans="2:50">
      <c r="B569" s="45">
        <v>549</v>
      </c>
      <c r="C569" s="250" t="s">
        <v>782</v>
      </c>
      <c r="D569" s="250" t="s">
        <v>873</v>
      </c>
      <c r="E569" s="250" t="s">
        <v>895</v>
      </c>
      <c r="F569" s="251" t="s">
        <v>903</v>
      </c>
      <c r="G569" s="217" t="s">
        <v>795</v>
      </c>
      <c r="H569" s="252">
        <v>42936</v>
      </c>
      <c r="I569" s="164" t="s">
        <v>409</v>
      </c>
      <c r="J569" s="51">
        <f t="shared" si="138"/>
        <v>270</v>
      </c>
      <c r="K569" s="51">
        <v>270</v>
      </c>
      <c r="L569" s="51">
        <v>0</v>
      </c>
      <c r="M569" s="51"/>
      <c r="N569" s="260">
        <v>4.5</v>
      </c>
      <c r="O569" s="260">
        <v>0</v>
      </c>
      <c r="P569" s="261">
        <v>1</v>
      </c>
      <c r="Q569" s="53" t="s">
        <v>257</v>
      </c>
      <c r="R569" s="54" t="s">
        <v>158</v>
      </c>
      <c r="S569" s="54" t="s">
        <v>158</v>
      </c>
      <c r="T569" s="54" t="s">
        <v>158</v>
      </c>
      <c r="U569" s="54" t="s">
        <v>158</v>
      </c>
      <c r="V569" s="254" t="s">
        <v>897</v>
      </c>
      <c r="W569" s="53"/>
      <c r="X569" s="53">
        <f t="shared" si="139"/>
        <v>0</v>
      </c>
      <c r="Y569" s="55"/>
      <c r="Z569" s="55"/>
      <c r="AA569" s="52">
        <f t="shared" si="140"/>
        <v>0</v>
      </c>
      <c r="AB569" s="53">
        <f t="shared" si="141"/>
        <v>0</v>
      </c>
      <c r="AC569" s="53">
        <f t="shared" si="142"/>
        <v>0</v>
      </c>
      <c r="AD569" s="53">
        <f t="shared" si="143"/>
        <v>0</v>
      </c>
      <c r="AE569" s="53">
        <f t="shared" si="144"/>
        <v>0</v>
      </c>
      <c r="AF569" s="53">
        <f t="shared" si="145"/>
        <v>0</v>
      </c>
      <c r="AG569" s="56">
        <f t="shared" si="146"/>
        <v>1</v>
      </c>
      <c r="AH569" s="53">
        <f t="shared" si="147"/>
        <v>0</v>
      </c>
      <c r="AI569" s="55"/>
      <c r="AJ569" s="53">
        <f t="shared" si="148"/>
        <v>0</v>
      </c>
      <c r="AK569" s="53">
        <f t="shared" si="149"/>
        <v>0</v>
      </c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7"/>
      <c r="AW569" s="57"/>
      <c r="AX569" s="57"/>
    </row>
    <row r="570" spans="2:50">
      <c r="B570" s="45">
        <v>550</v>
      </c>
      <c r="C570" s="250" t="s">
        <v>782</v>
      </c>
      <c r="D570" s="250" t="s">
        <v>873</v>
      </c>
      <c r="E570" s="250" t="s">
        <v>895</v>
      </c>
      <c r="F570" s="251" t="s">
        <v>904</v>
      </c>
      <c r="G570" s="217" t="s">
        <v>795</v>
      </c>
      <c r="H570" s="252">
        <v>42685</v>
      </c>
      <c r="I570" s="164" t="s">
        <v>409</v>
      </c>
      <c r="J570" s="51">
        <f t="shared" si="138"/>
        <v>60</v>
      </c>
      <c r="K570" s="51">
        <v>30</v>
      </c>
      <c r="L570" s="51">
        <v>30</v>
      </c>
      <c r="M570" s="51"/>
      <c r="N570" s="260">
        <v>0.5</v>
      </c>
      <c r="O570" s="260">
        <v>0.5</v>
      </c>
      <c r="P570" s="261">
        <v>1</v>
      </c>
      <c r="Q570" s="53" t="s">
        <v>257</v>
      </c>
      <c r="R570" s="54" t="s">
        <v>158</v>
      </c>
      <c r="S570" s="54" t="s">
        <v>158</v>
      </c>
      <c r="T570" s="54" t="s">
        <v>158</v>
      </c>
      <c r="U570" s="54" t="s">
        <v>158</v>
      </c>
      <c r="V570" s="254" t="s">
        <v>897</v>
      </c>
      <c r="W570" s="53"/>
      <c r="X570" s="53">
        <f t="shared" si="139"/>
        <v>0</v>
      </c>
      <c r="Y570" s="55"/>
      <c r="Z570" s="55"/>
      <c r="AA570" s="52">
        <f t="shared" si="140"/>
        <v>0</v>
      </c>
      <c r="AB570" s="53">
        <f t="shared" si="141"/>
        <v>0</v>
      </c>
      <c r="AC570" s="53">
        <f t="shared" si="142"/>
        <v>0</v>
      </c>
      <c r="AD570" s="53">
        <f t="shared" si="143"/>
        <v>0</v>
      </c>
      <c r="AE570" s="53">
        <f t="shared" si="144"/>
        <v>0</v>
      </c>
      <c r="AF570" s="53">
        <f t="shared" si="145"/>
        <v>0</v>
      </c>
      <c r="AG570" s="56">
        <f t="shared" si="146"/>
        <v>1</v>
      </c>
      <c r="AH570" s="53">
        <f t="shared" si="147"/>
        <v>0</v>
      </c>
      <c r="AI570" s="55"/>
      <c r="AJ570" s="53">
        <f t="shared" si="148"/>
        <v>0</v>
      </c>
      <c r="AK570" s="53">
        <f t="shared" si="149"/>
        <v>0</v>
      </c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7"/>
      <c r="AW570" s="57"/>
      <c r="AX570" s="57"/>
    </row>
    <row r="571" spans="2:50">
      <c r="B571" s="45">
        <v>551</v>
      </c>
      <c r="C571" s="250" t="s">
        <v>782</v>
      </c>
      <c r="D571" s="250" t="s">
        <v>873</v>
      </c>
      <c r="E571" s="250" t="s">
        <v>895</v>
      </c>
      <c r="F571" s="251" t="s">
        <v>905</v>
      </c>
      <c r="G571" s="217" t="s">
        <v>795</v>
      </c>
      <c r="H571" s="252">
        <v>42685</v>
      </c>
      <c r="I571" s="164" t="s">
        <v>409</v>
      </c>
      <c r="J571" s="51">
        <f t="shared" si="138"/>
        <v>60</v>
      </c>
      <c r="K571" s="51">
        <v>30</v>
      </c>
      <c r="L571" s="51">
        <v>30</v>
      </c>
      <c r="M571" s="51"/>
      <c r="N571" s="260">
        <v>0.5</v>
      </c>
      <c r="O571" s="260">
        <v>0.5</v>
      </c>
      <c r="P571" s="261">
        <v>1</v>
      </c>
      <c r="Q571" s="53" t="s">
        <v>257</v>
      </c>
      <c r="R571" s="54" t="s">
        <v>158</v>
      </c>
      <c r="S571" s="54" t="s">
        <v>158</v>
      </c>
      <c r="T571" s="54" t="s">
        <v>158</v>
      </c>
      <c r="U571" s="54" t="s">
        <v>158</v>
      </c>
      <c r="V571" s="254" t="s">
        <v>897</v>
      </c>
      <c r="W571" s="53"/>
      <c r="X571" s="53">
        <f t="shared" si="139"/>
        <v>0</v>
      </c>
      <c r="Y571" s="55"/>
      <c r="Z571" s="55"/>
      <c r="AA571" s="52">
        <f t="shared" si="140"/>
        <v>0</v>
      </c>
      <c r="AB571" s="53">
        <f t="shared" si="141"/>
        <v>0</v>
      </c>
      <c r="AC571" s="53">
        <f t="shared" si="142"/>
        <v>0</v>
      </c>
      <c r="AD571" s="53">
        <f t="shared" si="143"/>
        <v>0</v>
      </c>
      <c r="AE571" s="53">
        <f t="shared" si="144"/>
        <v>0</v>
      </c>
      <c r="AF571" s="53">
        <f t="shared" si="145"/>
        <v>0</v>
      </c>
      <c r="AG571" s="56">
        <f t="shared" si="146"/>
        <v>1</v>
      </c>
      <c r="AH571" s="53">
        <f t="shared" si="147"/>
        <v>0</v>
      </c>
      <c r="AI571" s="55"/>
      <c r="AJ571" s="53">
        <f t="shared" si="148"/>
        <v>0</v>
      </c>
      <c r="AK571" s="53">
        <f t="shared" si="149"/>
        <v>0</v>
      </c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7"/>
      <c r="AW571" s="57"/>
      <c r="AX571" s="57"/>
    </row>
    <row r="572" spans="2:50">
      <c r="B572" s="45">
        <v>552</v>
      </c>
      <c r="C572" s="250" t="s">
        <v>782</v>
      </c>
      <c r="D572" s="250" t="s">
        <v>873</v>
      </c>
      <c r="E572" s="250" t="s">
        <v>895</v>
      </c>
      <c r="F572" s="274" t="s">
        <v>906</v>
      </c>
      <c r="G572" s="217" t="s">
        <v>795</v>
      </c>
      <c r="H572" s="252">
        <v>43577</v>
      </c>
      <c r="I572" s="164" t="s">
        <v>409</v>
      </c>
      <c r="J572" s="51">
        <f t="shared" si="138"/>
        <v>12</v>
      </c>
      <c r="K572" s="51">
        <v>12</v>
      </c>
      <c r="L572" s="51">
        <v>0</v>
      </c>
      <c r="M572" s="51"/>
      <c r="N572" s="262">
        <v>0.2</v>
      </c>
      <c r="O572" s="223">
        <v>0</v>
      </c>
      <c r="P572" s="224">
        <v>1</v>
      </c>
      <c r="Q572" s="53" t="s">
        <v>257</v>
      </c>
      <c r="R572" s="54" t="s">
        <v>158</v>
      </c>
      <c r="S572" s="54" t="s">
        <v>158</v>
      </c>
      <c r="T572" s="54" t="s">
        <v>158</v>
      </c>
      <c r="U572" s="54" t="s">
        <v>158</v>
      </c>
      <c r="V572" s="254" t="s">
        <v>897</v>
      </c>
      <c r="W572" s="53"/>
      <c r="X572" s="53">
        <f t="shared" si="139"/>
        <v>0</v>
      </c>
      <c r="Y572" s="55"/>
      <c r="Z572" s="55"/>
      <c r="AA572" s="52">
        <f t="shared" si="140"/>
        <v>0</v>
      </c>
      <c r="AB572" s="53">
        <f t="shared" si="141"/>
        <v>0</v>
      </c>
      <c r="AC572" s="53">
        <f t="shared" si="142"/>
        <v>0</v>
      </c>
      <c r="AD572" s="53">
        <f t="shared" si="143"/>
        <v>0</v>
      </c>
      <c r="AE572" s="53">
        <f t="shared" si="144"/>
        <v>0</v>
      </c>
      <c r="AF572" s="53">
        <f t="shared" si="145"/>
        <v>0</v>
      </c>
      <c r="AG572" s="56">
        <f t="shared" si="146"/>
        <v>1</v>
      </c>
      <c r="AH572" s="53">
        <f t="shared" si="147"/>
        <v>0</v>
      </c>
      <c r="AI572" s="55"/>
      <c r="AJ572" s="53">
        <f t="shared" si="148"/>
        <v>0</v>
      </c>
      <c r="AK572" s="53">
        <f t="shared" si="149"/>
        <v>0</v>
      </c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7"/>
      <c r="AW572" s="57"/>
      <c r="AX572" s="57"/>
    </row>
    <row r="573" spans="2:50">
      <c r="B573" s="45">
        <v>553</v>
      </c>
      <c r="C573" s="250" t="s">
        <v>782</v>
      </c>
      <c r="D573" s="250" t="s">
        <v>873</v>
      </c>
      <c r="E573" s="250" t="s">
        <v>907</v>
      </c>
      <c r="F573" s="251" t="s">
        <v>908</v>
      </c>
      <c r="G573" s="217" t="s">
        <v>888</v>
      </c>
      <c r="H573" s="252">
        <v>43728</v>
      </c>
      <c r="I573" s="164" t="s">
        <v>409</v>
      </c>
      <c r="J573" s="51">
        <f t="shared" si="138"/>
        <v>30</v>
      </c>
      <c r="K573" s="51">
        <v>30</v>
      </c>
      <c r="L573" s="51">
        <v>0</v>
      </c>
      <c r="M573" s="51"/>
      <c r="N573" s="260">
        <v>0.5</v>
      </c>
      <c r="O573" s="260">
        <v>0</v>
      </c>
      <c r="P573" s="261">
        <v>1</v>
      </c>
      <c r="Q573" s="53" t="s">
        <v>257</v>
      </c>
      <c r="R573" s="54" t="s">
        <v>158</v>
      </c>
      <c r="S573" s="54" t="s">
        <v>158</v>
      </c>
      <c r="T573" s="54" t="s">
        <v>158</v>
      </c>
      <c r="U573" s="54" t="s">
        <v>158</v>
      </c>
      <c r="V573" s="254" t="s">
        <v>909</v>
      </c>
      <c r="W573" s="53"/>
      <c r="X573" s="53">
        <f t="shared" si="139"/>
        <v>0</v>
      </c>
      <c r="Y573" s="55"/>
      <c r="Z573" s="55"/>
      <c r="AA573" s="52">
        <f t="shared" si="140"/>
        <v>0</v>
      </c>
      <c r="AB573" s="53">
        <f t="shared" si="141"/>
        <v>0</v>
      </c>
      <c r="AC573" s="53">
        <f t="shared" si="142"/>
        <v>0</v>
      </c>
      <c r="AD573" s="53">
        <f t="shared" si="143"/>
        <v>0</v>
      </c>
      <c r="AE573" s="53">
        <f t="shared" si="144"/>
        <v>0</v>
      </c>
      <c r="AF573" s="53">
        <f t="shared" si="145"/>
        <v>0</v>
      </c>
      <c r="AG573" s="56">
        <f t="shared" si="146"/>
        <v>1</v>
      </c>
      <c r="AH573" s="53">
        <f t="shared" si="147"/>
        <v>0</v>
      </c>
      <c r="AI573" s="55"/>
      <c r="AJ573" s="53">
        <f t="shared" si="148"/>
        <v>0</v>
      </c>
      <c r="AK573" s="53">
        <f t="shared" si="149"/>
        <v>0</v>
      </c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7"/>
      <c r="AW573" s="57"/>
      <c r="AX573" s="57"/>
    </row>
    <row r="574" spans="2:50">
      <c r="B574" s="45">
        <v>554</v>
      </c>
      <c r="C574" s="250" t="s">
        <v>782</v>
      </c>
      <c r="D574" s="250" t="s">
        <v>873</v>
      </c>
      <c r="E574" s="250" t="s">
        <v>907</v>
      </c>
      <c r="F574" s="251" t="s">
        <v>896</v>
      </c>
      <c r="G574" s="217" t="s">
        <v>888</v>
      </c>
      <c r="H574" s="252">
        <v>41995</v>
      </c>
      <c r="I574" s="164" t="s">
        <v>409</v>
      </c>
      <c r="J574" s="51">
        <f t="shared" si="138"/>
        <v>12</v>
      </c>
      <c r="K574" s="51">
        <v>12</v>
      </c>
      <c r="L574" s="51">
        <v>0</v>
      </c>
      <c r="M574" s="51"/>
      <c r="N574" s="260">
        <v>0.2</v>
      </c>
      <c r="O574" s="260">
        <v>0</v>
      </c>
      <c r="P574" s="261">
        <v>1</v>
      </c>
      <c r="Q574" s="53" t="s">
        <v>257</v>
      </c>
      <c r="R574" s="54" t="s">
        <v>158</v>
      </c>
      <c r="S574" s="54" t="s">
        <v>158</v>
      </c>
      <c r="T574" s="54" t="s">
        <v>158</v>
      </c>
      <c r="U574" s="54" t="s">
        <v>158</v>
      </c>
      <c r="V574" s="254" t="s">
        <v>909</v>
      </c>
      <c r="W574" s="53"/>
      <c r="X574" s="53">
        <f t="shared" si="139"/>
        <v>0</v>
      </c>
      <c r="Y574" s="55"/>
      <c r="Z574" s="55"/>
      <c r="AA574" s="52">
        <f t="shared" si="140"/>
        <v>0</v>
      </c>
      <c r="AB574" s="53">
        <f t="shared" si="141"/>
        <v>0</v>
      </c>
      <c r="AC574" s="53">
        <f t="shared" si="142"/>
        <v>0</v>
      </c>
      <c r="AD574" s="53">
        <f t="shared" si="143"/>
        <v>0</v>
      </c>
      <c r="AE574" s="53">
        <f t="shared" si="144"/>
        <v>0</v>
      </c>
      <c r="AF574" s="53">
        <f t="shared" si="145"/>
        <v>0</v>
      </c>
      <c r="AG574" s="56">
        <f t="shared" si="146"/>
        <v>1</v>
      </c>
      <c r="AH574" s="53">
        <f t="shared" si="147"/>
        <v>0</v>
      </c>
      <c r="AI574" s="55"/>
      <c r="AJ574" s="53">
        <f t="shared" si="148"/>
        <v>0</v>
      </c>
      <c r="AK574" s="53">
        <f t="shared" si="149"/>
        <v>0</v>
      </c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7"/>
      <c r="AW574" s="57"/>
      <c r="AX574" s="57"/>
    </row>
    <row r="575" spans="2:50">
      <c r="B575" s="45">
        <v>555</v>
      </c>
      <c r="C575" s="250" t="s">
        <v>782</v>
      </c>
      <c r="D575" s="250" t="s">
        <v>873</v>
      </c>
      <c r="E575" s="250" t="s">
        <v>907</v>
      </c>
      <c r="F575" s="251" t="s">
        <v>910</v>
      </c>
      <c r="G575" s="217" t="s">
        <v>888</v>
      </c>
      <c r="H575" s="252">
        <v>42019</v>
      </c>
      <c r="I575" s="164" t="s">
        <v>409</v>
      </c>
      <c r="J575" s="51">
        <f t="shared" si="138"/>
        <v>84</v>
      </c>
      <c r="K575" s="51">
        <v>84</v>
      </c>
      <c r="L575" s="51">
        <v>0</v>
      </c>
      <c r="M575" s="51"/>
      <c r="N575" s="260">
        <v>1.4</v>
      </c>
      <c r="O575" s="260">
        <v>0</v>
      </c>
      <c r="P575" s="261">
        <v>1</v>
      </c>
      <c r="Q575" s="53"/>
      <c r="R575" s="54" t="s">
        <v>158</v>
      </c>
      <c r="S575" s="54" t="s">
        <v>158</v>
      </c>
      <c r="T575" s="54" t="s">
        <v>158</v>
      </c>
      <c r="U575" s="54" t="s">
        <v>158</v>
      </c>
      <c r="V575" s="254" t="s">
        <v>909</v>
      </c>
      <c r="W575" s="53"/>
      <c r="X575" s="53">
        <f t="shared" si="139"/>
        <v>0</v>
      </c>
      <c r="Y575" s="55"/>
      <c r="Z575" s="55"/>
      <c r="AA575" s="52">
        <f t="shared" si="140"/>
        <v>0</v>
      </c>
      <c r="AB575" s="53">
        <f t="shared" si="141"/>
        <v>0</v>
      </c>
      <c r="AC575" s="53">
        <f t="shared" si="142"/>
        <v>0</v>
      </c>
      <c r="AD575" s="53">
        <f t="shared" si="143"/>
        <v>0</v>
      </c>
      <c r="AE575" s="53">
        <f t="shared" si="144"/>
        <v>0</v>
      </c>
      <c r="AF575" s="53">
        <f t="shared" si="145"/>
        <v>0</v>
      </c>
      <c r="AG575" s="56">
        <f t="shared" si="146"/>
        <v>0</v>
      </c>
      <c r="AH575" s="53">
        <f t="shared" si="147"/>
        <v>0</v>
      </c>
      <c r="AI575" s="55"/>
      <c r="AJ575" s="53">
        <f t="shared" si="148"/>
        <v>0</v>
      </c>
      <c r="AK575" s="53">
        <f t="shared" si="149"/>
        <v>0</v>
      </c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7"/>
      <c r="AW575" s="57"/>
      <c r="AX575" s="57"/>
    </row>
    <row r="576" spans="2:50">
      <c r="B576" s="45">
        <v>556</v>
      </c>
      <c r="C576" s="250" t="s">
        <v>782</v>
      </c>
      <c r="D576" s="250" t="s">
        <v>873</v>
      </c>
      <c r="E576" s="250" t="s">
        <v>907</v>
      </c>
      <c r="F576" s="251" t="s">
        <v>911</v>
      </c>
      <c r="G576" s="217" t="s">
        <v>888</v>
      </c>
      <c r="H576" s="252">
        <v>42936</v>
      </c>
      <c r="I576" s="164" t="s">
        <v>409</v>
      </c>
      <c r="J576" s="51">
        <f t="shared" si="138"/>
        <v>18</v>
      </c>
      <c r="K576" s="51">
        <v>12</v>
      </c>
      <c r="L576" s="51">
        <v>6</v>
      </c>
      <c r="M576" s="51"/>
      <c r="N576" s="260">
        <v>0.2</v>
      </c>
      <c r="O576" s="260">
        <v>0.1</v>
      </c>
      <c r="P576" s="261">
        <v>1</v>
      </c>
      <c r="Q576" s="53"/>
      <c r="R576" s="54" t="s">
        <v>158</v>
      </c>
      <c r="S576" s="54" t="s">
        <v>158</v>
      </c>
      <c r="T576" s="54" t="s">
        <v>158</v>
      </c>
      <c r="U576" s="54" t="s">
        <v>158</v>
      </c>
      <c r="V576" s="254" t="s">
        <v>909</v>
      </c>
      <c r="W576" s="53"/>
      <c r="X576" s="53">
        <f t="shared" si="139"/>
        <v>0</v>
      </c>
      <c r="Y576" s="55"/>
      <c r="Z576" s="55"/>
      <c r="AA576" s="52">
        <f t="shared" si="140"/>
        <v>0</v>
      </c>
      <c r="AB576" s="53">
        <f t="shared" si="141"/>
        <v>0</v>
      </c>
      <c r="AC576" s="53">
        <f t="shared" si="142"/>
        <v>0</v>
      </c>
      <c r="AD576" s="53">
        <f t="shared" si="143"/>
        <v>0</v>
      </c>
      <c r="AE576" s="53">
        <f t="shared" si="144"/>
        <v>0</v>
      </c>
      <c r="AF576" s="53">
        <f t="shared" si="145"/>
        <v>0</v>
      </c>
      <c r="AG576" s="56">
        <f t="shared" si="146"/>
        <v>0</v>
      </c>
      <c r="AH576" s="53">
        <f t="shared" si="147"/>
        <v>0</v>
      </c>
      <c r="AI576" s="55"/>
      <c r="AJ576" s="53">
        <f t="shared" si="148"/>
        <v>0</v>
      </c>
      <c r="AK576" s="53">
        <f t="shared" si="149"/>
        <v>0</v>
      </c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7"/>
      <c r="AW576" s="57"/>
      <c r="AX576" s="57"/>
    </row>
    <row r="577" spans="2:50">
      <c r="B577" s="45">
        <v>557</v>
      </c>
      <c r="C577" s="250" t="s">
        <v>782</v>
      </c>
      <c r="D577" s="250" t="s">
        <v>873</v>
      </c>
      <c r="E577" s="250" t="s">
        <v>907</v>
      </c>
      <c r="F577" s="251" t="s">
        <v>815</v>
      </c>
      <c r="G577" s="217" t="s">
        <v>888</v>
      </c>
      <c r="H577" s="252">
        <v>43728</v>
      </c>
      <c r="I577" s="164" t="s">
        <v>409</v>
      </c>
      <c r="J577" s="51">
        <f t="shared" si="138"/>
        <v>60</v>
      </c>
      <c r="K577" s="51">
        <v>30</v>
      </c>
      <c r="L577" s="51">
        <v>30</v>
      </c>
      <c r="M577" s="51"/>
      <c r="N577" s="260">
        <v>0.5</v>
      </c>
      <c r="O577" s="260">
        <v>0.5</v>
      </c>
      <c r="P577" s="261">
        <v>1</v>
      </c>
      <c r="Q577" s="53"/>
      <c r="R577" s="54" t="s">
        <v>158</v>
      </c>
      <c r="S577" s="54" t="s">
        <v>158</v>
      </c>
      <c r="T577" s="54" t="s">
        <v>158</v>
      </c>
      <c r="U577" s="54" t="s">
        <v>158</v>
      </c>
      <c r="V577" s="254" t="s">
        <v>909</v>
      </c>
      <c r="W577" s="53"/>
      <c r="X577" s="53">
        <f t="shared" si="139"/>
        <v>0</v>
      </c>
      <c r="Y577" s="55"/>
      <c r="Z577" s="55"/>
      <c r="AA577" s="52">
        <f t="shared" si="140"/>
        <v>0</v>
      </c>
      <c r="AB577" s="53">
        <f t="shared" si="141"/>
        <v>0</v>
      </c>
      <c r="AC577" s="53">
        <f t="shared" si="142"/>
        <v>0</v>
      </c>
      <c r="AD577" s="53">
        <f t="shared" si="143"/>
        <v>0</v>
      </c>
      <c r="AE577" s="53">
        <f t="shared" si="144"/>
        <v>0</v>
      </c>
      <c r="AF577" s="53">
        <f t="shared" si="145"/>
        <v>0</v>
      </c>
      <c r="AG577" s="56">
        <f t="shared" si="146"/>
        <v>0</v>
      </c>
      <c r="AH577" s="53">
        <f t="shared" si="147"/>
        <v>0</v>
      </c>
      <c r="AI577" s="55"/>
      <c r="AJ577" s="53">
        <f t="shared" si="148"/>
        <v>0</v>
      </c>
      <c r="AK577" s="53">
        <f t="shared" si="149"/>
        <v>0</v>
      </c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7"/>
      <c r="AW577" s="57"/>
      <c r="AX577" s="57"/>
    </row>
    <row r="578" spans="2:50">
      <c r="B578" s="45">
        <v>558</v>
      </c>
      <c r="C578" s="250" t="s">
        <v>782</v>
      </c>
      <c r="D578" s="250" t="s">
        <v>873</v>
      </c>
      <c r="E578" s="250" t="s">
        <v>907</v>
      </c>
      <c r="F578" s="274" t="s">
        <v>912</v>
      </c>
      <c r="G578" s="217" t="s">
        <v>888</v>
      </c>
      <c r="H578" s="273">
        <v>43577</v>
      </c>
      <c r="I578" s="164" t="s">
        <v>409</v>
      </c>
      <c r="J578" s="51">
        <f t="shared" si="138"/>
        <v>12</v>
      </c>
      <c r="K578" s="51">
        <v>12</v>
      </c>
      <c r="L578" s="51">
        <v>0</v>
      </c>
      <c r="M578" s="51"/>
      <c r="N578" s="262">
        <v>0.2</v>
      </c>
      <c r="O578" s="223">
        <v>0</v>
      </c>
      <c r="P578" s="224">
        <v>1</v>
      </c>
      <c r="Q578" s="53"/>
      <c r="R578" s="54" t="s">
        <v>158</v>
      </c>
      <c r="S578" s="54" t="s">
        <v>158</v>
      </c>
      <c r="T578" s="54" t="s">
        <v>158</v>
      </c>
      <c r="U578" s="54" t="s">
        <v>158</v>
      </c>
      <c r="V578" s="254" t="s">
        <v>909</v>
      </c>
      <c r="W578" s="53"/>
      <c r="X578" s="53">
        <f t="shared" si="139"/>
        <v>0</v>
      </c>
      <c r="Y578" s="55"/>
      <c r="Z578" s="55"/>
      <c r="AA578" s="52">
        <f t="shared" si="140"/>
        <v>0</v>
      </c>
      <c r="AB578" s="53">
        <f t="shared" si="141"/>
        <v>0</v>
      </c>
      <c r="AC578" s="53">
        <f t="shared" si="142"/>
        <v>0</v>
      </c>
      <c r="AD578" s="53">
        <f t="shared" si="143"/>
        <v>0</v>
      </c>
      <c r="AE578" s="53">
        <f t="shared" si="144"/>
        <v>0</v>
      </c>
      <c r="AF578" s="53">
        <f t="shared" si="145"/>
        <v>0</v>
      </c>
      <c r="AG578" s="56">
        <f t="shared" si="146"/>
        <v>0</v>
      </c>
      <c r="AH578" s="53">
        <f t="shared" si="147"/>
        <v>0</v>
      </c>
      <c r="AI578" s="55"/>
      <c r="AJ578" s="53">
        <f t="shared" si="148"/>
        <v>0</v>
      </c>
      <c r="AK578" s="53">
        <f t="shared" si="149"/>
        <v>0</v>
      </c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7"/>
      <c r="AW578" s="57"/>
      <c r="AX578" s="57"/>
    </row>
    <row r="579" spans="2:50">
      <c r="B579" s="45">
        <v>559</v>
      </c>
      <c r="C579" s="250" t="s">
        <v>782</v>
      </c>
      <c r="D579" s="250" t="s">
        <v>873</v>
      </c>
      <c r="E579" s="250" t="s">
        <v>913</v>
      </c>
      <c r="F579" s="251" t="s">
        <v>914</v>
      </c>
      <c r="G579" s="217" t="s">
        <v>795</v>
      </c>
      <c r="H579" s="252">
        <v>42334</v>
      </c>
      <c r="I579" s="164" t="s">
        <v>409</v>
      </c>
      <c r="J579" s="51">
        <f t="shared" si="138"/>
        <v>36</v>
      </c>
      <c r="K579" s="51">
        <v>36</v>
      </c>
      <c r="L579" s="51">
        <v>0</v>
      </c>
      <c r="M579" s="51"/>
      <c r="N579" s="260">
        <v>0.60000000000000009</v>
      </c>
      <c r="O579" s="260">
        <v>0</v>
      </c>
      <c r="P579" s="261">
        <v>1</v>
      </c>
      <c r="Q579" s="53"/>
      <c r="R579" s="54" t="s">
        <v>158</v>
      </c>
      <c r="S579" s="54" t="s">
        <v>158</v>
      </c>
      <c r="T579" s="54" t="s">
        <v>158</v>
      </c>
      <c r="U579" s="54" t="s">
        <v>158</v>
      </c>
      <c r="V579" s="254" t="s">
        <v>858</v>
      </c>
      <c r="W579" s="53"/>
      <c r="X579" s="53">
        <f t="shared" si="139"/>
        <v>0</v>
      </c>
      <c r="Y579" s="55"/>
      <c r="Z579" s="55"/>
      <c r="AA579" s="52">
        <f t="shared" si="140"/>
        <v>0</v>
      </c>
      <c r="AB579" s="53">
        <f t="shared" si="141"/>
        <v>0</v>
      </c>
      <c r="AC579" s="53">
        <f t="shared" si="142"/>
        <v>0</v>
      </c>
      <c r="AD579" s="53">
        <f t="shared" si="143"/>
        <v>0</v>
      </c>
      <c r="AE579" s="53">
        <f t="shared" si="144"/>
        <v>0</v>
      </c>
      <c r="AF579" s="53">
        <f t="shared" si="145"/>
        <v>0</v>
      </c>
      <c r="AG579" s="56">
        <f t="shared" si="146"/>
        <v>0</v>
      </c>
      <c r="AH579" s="53">
        <f t="shared" si="147"/>
        <v>0</v>
      </c>
      <c r="AI579" s="55"/>
      <c r="AJ579" s="53">
        <f t="shared" si="148"/>
        <v>0</v>
      </c>
      <c r="AK579" s="53">
        <f t="shared" si="149"/>
        <v>0</v>
      </c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7"/>
      <c r="AW579" s="57"/>
      <c r="AX579" s="57"/>
    </row>
    <row r="580" spans="2:50">
      <c r="B580" s="45">
        <v>560</v>
      </c>
      <c r="C580" s="250" t="s">
        <v>782</v>
      </c>
      <c r="D580" s="250" t="s">
        <v>873</v>
      </c>
      <c r="E580" s="250" t="s">
        <v>913</v>
      </c>
      <c r="F580" s="251" t="s">
        <v>877</v>
      </c>
      <c r="G580" s="217" t="s">
        <v>795</v>
      </c>
      <c r="H580" s="252">
        <v>42334</v>
      </c>
      <c r="I580" s="164" t="s">
        <v>409</v>
      </c>
      <c r="J580" s="51">
        <f t="shared" si="138"/>
        <v>180</v>
      </c>
      <c r="K580" s="51">
        <v>180</v>
      </c>
      <c r="L580" s="51">
        <v>0</v>
      </c>
      <c r="M580" s="51"/>
      <c r="N580" s="260">
        <v>3</v>
      </c>
      <c r="O580" s="260">
        <v>0</v>
      </c>
      <c r="P580" s="261">
        <v>1</v>
      </c>
      <c r="Q580" s="53"/>
      <c r="R580" s="54" t="s">
        <v>158</v>
      </c>
      <c r="S580" s="54" t="s">
        <v>158</v>
      </c>
      <c r="T580" s="54" t="s">
        <v>158</v>
      </c>
      <c r="U580" s="54" t="s">
        <v>158</v>
      </c>
      <c r="V580" s="254" t="s">
        <v>858</v>
      </c>
      <c r="W580" s="53"/>
      <c r="X580" s="53">
        <f t="shared" si="139"/>
        <v>0</v>
      </c>
      <c r="Y580" s="55"/>
      <c r="Z580" s="55"/>
      <c r="AA580" s="52">
        <f t="shared" si="140"/>
        <v>0</v>
      </c>
      <c r="AB580" s="53">
        <f t="shared" si="141"/>
        <v>0</v>
      </c>
      <c r="AC580" s="53">
        <f t="shared" si="142"/>
        <v>0</v>
      </c>
      <c r="AD580" s="53">
        <f t="shared" si="143"/>
        <v>0</v>
      </c>
      <c r="AE580" s="53">
        <f t="shared" si="144"/>
        <v>0</v>
      </c>
      <c r="AF580" s="53">
        <f t="shared" si="145"/>
        <v>0</v>
      </c>
      <c r="AG580" s="56">
        <f t="shared" si="146"/>
        <v>0</v>
      </c>
      <c r="AH580" s="53">
        <f t="shared" si="147"/>
        <v>0</v>
      </c>
      <c r="AI580" s="55"/>
      <c r="AJ580" s="53">
        <f t="shared" si="148"/>
        <v>0</v>
      </c>
      <c r="AK580" s="53">
        <f t="shared" si="149"/>
        <v>0</v>
      </c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7"/>
      <c r="AW580" s="57"/>
      <c r="AX580" s="57"/>
    </row>
    <row r="581" spans="2:50">
      <c r="B581" s="45">
        <v>561</v>
      </c>
      <c r="C581" s="250" t="s">
        <v>782</v>
      </c>
      <c r="D581" s="250" t="s">
        <v>873</v>
      </c>
      <c r="E581" s="250" t="s">
        <v>913</v>
      </c>
      <c r="F581" s="251" t="s">
        <v>915</v>
      </c>
      <c r="G581" s="217" t="s">
        <v>795</v>
      </c>
      <c r="H581" s="252">
        <v>42334</v>
      </c>
      <c r="I581" s="164" t="s">
        <v>409</v>
      </c>
      <c r="J581" s="51">
        <f t="shared" si="138"/>
        <v>270</v>
      </c>
      <c r="K581" s="51">
        <v>270</v>
      </c>
      <c r="L581" s="51">
        <v>0</v>
      </c>
      <c r="M581" s="51"/>
      <c r="N581" s="260">
        <v>4.5</v>
      </c>
      <c r="O581" s="260">
        <v>0</v>
      </c>
      <c r="P581" s="261">
        <v>1</v>
      </c>
      <c r="Q581" s="53"/>
      <c r="R581" s="54" t="s">
        <v>158</v>
      </c>
      <c r="S581" s="54" t="s">
        <v>158</v>
      </c>
      <c r="T581" s="54" t="s">
        <v>158</v>
      </c>
      <c r="U581" s="54" t="s">
        <v>158</v>
      </c>
      <c r="V581" s="254" t="s">
        <v>858</v>
      </c>
      <c r="W581" s="53"/>
      <c r="X581" s="53">
        <f t="shared" si="139"/>
        <v>0</v>
      </c>
      <c r="Y581" s="55"/>
      <c r="Z581" s="55"/>
      <c r="AA581" s="52">
        <f t="shared" si="140"/>
        <v>0</v>
      </c>
      <c r="AB581" s="53">
        <f t="shared" si="141"/>
        <v>0</v>
      </c>
      <c r="AC581" s="53">
        <f t="shared" si="142"/>
        <v>0</v>
      </c>
      <c r="AD581" s="53">
        <f t="shared" si="143"/>
        <v>0</v>
      </c>
      <c r="AE581" s="53">
        <f t="shared" si="144"/>
        <v>0</v>
      </c>
      <c r="AF581" s="53">
        <f t="shared" si="145"/>
        <v>0</v>
      </c>
      <c r="AG581" s="56">
        <f t="shared" si="146"/>
        <v>0</v>
      </c>
      <c r="AH581" s="53">
        <f t="shared" si="147"/>
        <v>0</v>
      </c>
      <c r="AI581" s="55"/>
      <c r="AJ581" s="53">
        <f t="shared" si="148"/>
        <v>0</v>
      </c>
      <c r="AK581" s="53">
        <f t="shared" si="149"/>
        <v>0</v>
      </c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7"/>
      <c r="AW581" s="57"/>
      <c r="AX581" s="57"/>
    </row>
    <row r="582" spans="2:50">
      <c r="B582" s="45">
        <v>562</v>
      </c>
      <c r="C582" s="250" t="s">
        <v>782</v>
      </c>
      <c r="D582" s="250" t="s">
        <v>873</v>
      </c>
      <c r="E582" s="250" t="s">
        <v>913</v>
      </c>
      <c r="F582" s="251" t="s">
        <v>916</v>
      </c>
      <c r="G582" s="217" t="s">
        <v>795</v>
      </c>
      <c r="H582" s="252">
        <v>42334</v>
      </c>
      <c r="I582" s="164" t="s">
        <v>409</v>
      </c>
      <c r="J582" s="51">
        <f t="shared" si="138"/>
        <v>12</v>
      </c>
      <c r="K582" s="51">
        <v>12</v>
      </c>
      <c r="L582" s="51">
        <v>0</v>
      </c>
      <c r="M582" s="51"/>
      <c r="N582" s="260">
        <v>0.2</v>
      </c>
      <c r="O582" s="260">
        <v>0</v>
      </c>
      <c r="P582" s="261">
        <v>1</v>
      </c>
      <c r="Q582" s="53"/>
      <c r="R582" s="54" t="s">
        <v>158</v>
      </c>
      <c r="S582" s="54" t="s">
        <v>158</v>
      </c>
      <c r="T582" s="54" t="s">
        <v>158</v>
      </c>
      <c r="U582" s="54" t="s">
        <v>158</v>
      </c>
      <c r="V582" s="254" t="s">
        <v>858</v>
      </c>
      <c r="W582" s="53"/>
      <c r="X582" s="53">
        <f t="shared" si="139"/>
        <v>0</v>
      </c>
      <c r="Y582" s="55"/>
      <c r="Z582" s="55"/>
      <c r="AA582" s="52">
        <f t="shared" si="140"/>
        <v>0</v>
      </c>
      <c r="AB582" s="53">
        <f t="shared" si="141"/>
        <v>0</v>
      </c>
      <c r="AC582" s="53">
        <f t="shared" si="142"/>
        <v>0</v>
      </c>
      <c r="AD582" s="53">
        <f t="shared" si="143"/>
        <v>0</v>
      </c>
      <c r="AE582" s="53">
        <f t="shared" si="144"/>
        <v>0</v>
      </c>
      <c r="AF582" s="53">
        <f t="shared" si="145"/>
        <v>0</v>
      </c>
      <c r="AG582" s="56">
        <f t="shared" si="146"/>
        <v>0</v>
      </c>
      <c r="AH582" s="53">
        <f t="shared" si="147"/>
        <v>0</v>
      </c>
      <c r="AI582" s="55"/>
      <c r="AJ582" s="53">
        <f t="shared" si="148"/>
        <v>0</v>
      </c>
      <c r="AK582" s="53">
        <f t="shared" si="149"/>
        <v>0</v>
      </c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7"/>
      <c r="AW582" s="57"/>
      <c r="AX582" s="57"/>
    </row>
    <row r="583" spans="2:50">
      <c r="B583" s="45">
        <v>563</v>
      </c>
      <c r="C583" s="250" t="s">
        <v>782</v>
      </c>
      <c r="D583" s="250" t="s">
        <v>873</v>
      </c>
      <c r="E583" s="250" t="s">
        <v>917</v>
      </c>
      <c r="F583" s="251" t="s">
        <v>918</v>
      </c>
      <c r="G583" s="217" t="s">
        <v>795</v>
      </c>
      <c r="H583" s="252">
        <v>41995</v>
      </c>
      <c r="I583" s="164" t="s">
        <v>409</v>
      </c>
      <c r="J583" s="51">
        <f t="shared" si="138"/>
        <v>6</v>
      </c>
      <c r="K583" s="51">
        <v>6</v>
      </c>
      <c r="L583" s="51">
        <v>0</v>
      </c>
      <c r="M583" s="51"/>
      <c r="N583" s="260">
        <v>0.1</v>
      </c>
      <c r="O583" s="260">
        <v>0</v>
      </c>
      <c r="P583" s="261">
        <v>1</v>
      </c>
      <c r="Q583" s="53"/>
      <c r="R583" s="54" t="s">
        <v>158</v>
      </c>
      <c r="S583" s="54" t="s">
        <v>158</v>
      </c>
      <c r="T583" s="54" t="s">
        <v>158</v>
      </c>
      <c r="U583" s="54" t="s">
        <v>158</v>
      </c>
      <c r="V583" s="254" t="s">
        <v>919</v>
      </c>
      <c r="W583" s="53"/>
      <c r="X583" s="53">
        <f t="shared" si="139"/>
        <v>0</v>
      </c>
      <c r="Y583" s="55"/>
      <c r="Z583" s="55"/>
      <c r="AA583" s="52">
        <f t="shared" si="140"/>
        <v>0</v>
      </c>
      <c r="AB583" s="53">
        <f t="shared" si="141"/>
        <v>0</v>
      </c>
      <c r="AC583" s="53">
        <f t="shared" si="142"/>
        <v>0</v>
      </c>
      <c r="AD583" s="53">
        <f t="shared" si="143"/>
        <v>0</v>
      </c>
      <c r="AE583" s="53">
        <f t="shared" si="144"/>
        <v>0</v>
      </c>
      <c r="AF583" s="53">
        <f t="shared" si="145"/>
        <v>0</v>
      </c>
      <c r="AG583" s="56">
        <f t="shared" si="146"/>
        <v>0</v>
      </c>
      <c r="AH583" s="53">
        <f t="shared" si="147"/>
        <v>0</v>
      </c>
      <c r="AI583" s="55"/>
      <c r="AJ583" s="53">
        <f t="shared" si="148"/>
        <v>0</v>
      </c>
      <c r="AK583" s="53">
        <f t="shared" si="149"/>
        <v>0</v>
      </c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7"/>
      <c r="AW583" s="57"/>
      <c r="AX583" s="57"/>
    </row>
    <row r="584" spans="2:50">
      <c r="B584" s="45">
        <v>564</v>
      </c>
      <c r="C584" s="250" t="s">
        <v>782</v>
      </c>
      <c r="D584" s="250" t="s">
        <v>873</v>
      </c>
      <c r="E584" s="250" t="s">
        <v>917</v>
      </c>
      <c r="F584" s="251" t="s">
        <v>920</v>
      </c>
      <c r="G584" s="217" t="s">
        <v>795</v>
      </c>
      <c r="H584" s="252">
        <v>41995</v>
      </c>
      <c r="I584" s="164" t="s">
        <v>409</v>
      </c>
      <c r="J584" s="51">
        <f t="shared" si="138"/>
        <v>36</v>
      </c>
      <c r="K584" s="51">
        <v>36</v>
      </c>
      <c r="L584" s="51">
        <v>0</v>
      </c>
      <c r="M584" s="51"/>
      <c r="N584" s="260">
        <v>0.6</v>
      </c>
      <c r="O584" s="260">
        <v>0</v>
      </c>
      <c r="P584" s="261">
        <v>1</v>
      </c>
      <c r="Q584" s="53"/>
      <c r="R584" s="54" t="s">
        <v>158</v>
      </c>
      <c r="S584" s="54" t="s">
        <v>158</v>
      </c>
      <c r="T584" s="54" t="s">
        <v>158</v>
      </c>
      <c r="U584" s="54" t="s">
        <v>158</v>
      </c>
      <c r="V584" s="254" t="s">
        <v>919</v>
      </c>
      <c r="W584" s="53"/>
      <c r="X584" s="53">
        <f t="shared" si="139"/>
        <v>0</v>
      </c>
      <c r="Y584" s="55"/>
      <c r="Z584" s="55"/>
      <c r="AA584" s="52">
        <f t="shared" si="140"/>
        <v>0</v>
      </c>
      <c r="AB584" s="53">
        <f t="shared" si="141"/>
        <v>0</v>
      </c>
      <c r="AC584" s="53">
        <f t="shared" si="142"/>
        <v>0</v>
      </c>
      <c r="AD584" s="53">
        <f t="shared" si="143"/>
        <v>0</v>
      </c>
      <c r="AE584" s="53">
        <f t="shared" si="144"/>
        <v>0</v>
      </c>
      <c r="AF584" s="53">
        <f t="shared" si="145"/>
        <v>0</v>
      </c>
      <c r="AG584" s="56">
        <f t="shared" si="146"/>
        <v>0</v>
      </c>
      <c r="AH584" s="53">
        <f t="shared" si="147"/>
        <v>0</v>
      </c>
      <c r="AI584" s="55"/>
      <c r="AJ584" s="53">
        <f t="shared" si="148"/>
        <v>0</v>
      </c>
      <c r="AK584" s="53">
        <f t="shared" si="149"/>
        <v>0</v>
      </c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7"/>
      <c r="AW584" s="57"/>
      <c r="AX584" s="57"/>
    </row>
    <row r="585" spans="2:50">
      <c r="B585" s="45">
        <v>565</v>
      </c>
      <c r="C585" s="250" t="s">
        <v>782</v>
      </c>
      <c r="D585" s="250" t="s">
        <v>873</v>
      </c>
      <c r="E585" s="250" t="s">
        <v>917</v>
      </c>
      <c r="F585" s="251" t="s">
        <v>921</v>
      </c>
      <c r="G585" s="217" t="s">
        <v>795</v>
      </c>
      <c r="H585" s="252">
        <v>41995</v>
      </c>
      <c r="I585" s="164" t="s">
        <v>409</v>
      </c>
      <c r="J585" s="51">
        <f t="shared" si="138"/>
        <v>30</v>
      </c>
      <c r="K585" s="51">
        <v>30</v>
      </c>
      <c r="L585" s="51">
        <v>0</v>
      </c>
      <c r="M585" s="51"/>
      <c r="N585" s="260">
        <v>0.5</v>
      </c>
      <c r="O585" s="260">
        <v>0</v>
      </c>
      <c r="P585" s="261">
        <v>1</v>
      </c>
      <c r="Q585" s="53"/>
      <c r="R585" s="54" t="s">
        <v>158</v>
      </c>
      <c r="S585" s="54" t="s">
        <v>158</v>
      </c>
      <c r="T585" s="54" t="s">
        <v>158</v>
      </c>
      <c r="U585" s="54" t="s">
        <v>158</v>
      </c>
      <c r="V585" s="254" t="s">
        <v>919</v>
      </c>
      <c r="W585" s="53"/>
      <c r="X585" s="53">
        <f t="shared" si="139"/>
        <v>0</v>
      </c>
      <c r="Y585" s="55"/>
      <c r="Z585" s="55"/>
      <c r="AA585" s="52">
        <f t="shared" si="140"/>
        <v>0</v>
      </c>
      <c r="AB585" s="53">
        <f t="shared" si="141"/>
        <v>0</v>
      </c>
      <c r="AC585" s="53">
        <f t="shared" si="142"/>
        <v>0</v>
      </c>
      <c r="AD585" s="53">
        <f t="shared" si="143"/>
        <v>0</v>
      </c>
      <c r="AE585" s="53">
        <f t="shared" si="144"/>
        <v>0</v>
      </c>
      <c r="AF585" s="53">
        <f t="shared" si="145"/>
        <v>0</v>
      </c>
      <c r="AG585" s="56">
        <f t="shared" si="146"/>
        <v>0</v>
      </c>
      <c r="AH585" s="53">
        <f t="shared" si="147"/>
        <v>0</v>
      </c>
      <c r="AI585" s="55"/>
      <c r="AJ585" s="53">
        <f t="shared" si="148"/>
        <v>0</v>
      </c>
      <c r="AK585" s="53">
        <f t="shared" si="149"/>
        <v>0</v>
      </c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7"/>
      <c r="AW585" s="57"/>
      <c r="AX585" s="57"/>
    </row>
    <row r="586" spans="2:50">
      <c r="B586" s="45">
        <v>566</v>
      </c>
      <c r="C586" s="250" t="s">
        <v>782</v>
      </c>
      <c r="D586" s="250" t="s">
        <v>873</v>
      </c>
      <c r="E586" s="250" t="s">
        <v>917</v>
      </c>
      <c r="F586" s="251" t="s">
        <v>736</v>
      </c>
      <c r="G586" s="217" t="s">
        <v>795</v>
      </c>
      <c r="H586" s="252">
        <v>41995</v>
      </c>
      <c r="I586" s="164" t="s">
        <v>409</v>
      </c>
      <c r="J586" s="51">
        <f t="shared" si="138"/>
        <v>36</v>
      </c>
      <c r="K586" s="51">
        <v>36</v>
      </c>
      <c r="L586" s="51">
        <v>0</v>
      </c>
      <c r="M586" s="51"/>
      <c r="N586" s="260">
        <v>0.6</v>
      </c>
      <c r="O586" s="260">
        <v>0</v>
      </c>
      <c r="P586" s="261">
        <v>1</v>
      </c>
      <c r="Q586" s="53"/>
      <c r="R586" s="54" t="s">
        <v>158</v>
      </c>
      <c r="S586" s="54" t="s">
        <v>158</v>
      </c>
      <c r="T586" s="54" t="s">
        <v>158</v>
      </c>
      <c r="U586" s="54" t="s">
        <v>158</v>
      </c>
      <c r="V586" s="254" t="s">
        <v>919</v>
      </c>
      <c r="W586" s="53"/>
      <c r="X586" s="53">
        <f t="shared" si="139"/>
        <v>0</v>
      </c>
      <c r="Y586" s="55"/>
      <c r="Z586" s="55"/>
      <c r="AA586" s="52">
        <f t="shared" si="140"/>
        <v>0</v>
      </c>
      <c r="AB586" s="53">
        <f t="shared" si="141"/>
        <v>0</v>
      </c>
      <c r="AC586" s="53">
        <f t="shared" si="142"/>
        <v>0</v>
      </c>
      <c r="AD586" s="53">
        <f t="shared" si="143"/>
        <v>0</v>
      </c>
      <c r="AE586" s="53">
        <f t="shared" si="144"/>
        <v>0</v>
      </c>
      <c r="AF586" s="53">
        <f t="shared" si="145"/>
        <v>0</v>
      </c>
      <c r="AG586" s="56">
        <f t="shared" si="146"/>
        <v>0</v>
      </c>
      <c r="AH586" s="53">
        <f t="shared" si="147"/>
        <v>0</v>
      </c>
      <c r="AI586" s="55"/>
      <c r="AJ586" s="53">
        <f t="shared" si="148"/>
        <v>0</v>
      </c>
      <c r="AK586" s="53">
        <f t="shared" si="149"/>
        <v>0</v>
      </c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7"/>
      <c r="AW586" s="57"/>
      <c r="AX586" s="57"/>
    </row>
    <row r="587" spans="2:50">
      <c r="B587" s="45">
        <v>567</v>
      </c>
      <c r="C587" s="250" t="s">
        <v>782</v>
      </c>
      <c r="D587" s="250" t="s">
        <v>873</v>
      </c>
      <c r="E587" s="250" t="s">
        <v>922</v>
      </c>
      <c r="F587" s="251" t="s">
        <v>877</v>
      </c>
      <c r="G587" s="217" t="s">
        <v>795</v>
      </c>
      <c r="H587" s="252">
        <v>42334</v>
      </c>
      <c r="I587" s="164" t="s">
        <v>409</v>
      </c>
      <c r="J587" s="51">
        <f t="shared" ref="J587:J650" si="150">SUM(K587:L587)</f>
        <v>138</v>
      </c>
      <c r="K587" s="51">
        <v>138</v>
      </c>
      <c r="L587" s="51">
        <v>0</v>
      </c>
      <c r="M587" s="51"/>
      <c r="N587" s="260">
        <v>2.3000000000000003</v>
      </c>
      <c r="O587" s="260">
        <v>0</v>
      </c>
      <c r="P587" s="261">
        <v>1</v>
      </c>
      <c r="Q587" s="53" t="s">
        <v>257</v>
      </c>
      <c r="R587" s="54" t="s">
        <v>158</v>
      </c>
      <c r="S587" s="54" t="s">
        <v>158</v>
      </c>
      <c r="T587" s="54" t="s">
        <v>158</v>
      </c>
      <c r="U587" s="54" t="s">
        <v>158</v>
      </c>
      <c r="V587" s="254" t="s">
        <v>923</v>
      </c>
      <c r="W587" s="53"/>
      <c r="X587" s="53">
        <f t="shared" si="139"/>
        <v>0</v>
      </c>
      <c r="Y587" s="55"/>
      <c r="Z587" s="55"/>
      <c r="AA587" s="52">
        <f t="shared" si="140"/>
        <v>0</v>
      </c>
      <c r="AB587" s="53">
        <f t="shared" si="141"/>
        <v>0</v>
      </c>
      <c r="AC587" s="53">
        <f t="shared" si="142"/>
        <v>0</v>
      </c>
      <c r="AD587" s="53">
        <f t="shared" si="143"/>
        <v>0</v>
      </c>
      <c r="AE587" s="53">
        <f t="shared" si="144"/>
        <v>0</v>
      </c>
      <c r="AF587" s="53">
        <f t="shared" si="145"/>
        <v>0</v>
      </c>
      <c r="AG587" s="56">
        <f t="shared" si="146"/>
        <v>1</v>
      </c>
      <c r="AH587" s="53">
        <f t="shared" si="147"/>
        <v>0</v>
      </c>
      <c r="AI587" s="55"/>
      <c r="AJ587" s="53">
        <f t="shared" si="148"/>
        <v>0</v>
      </c>
      <c r="AK587" s="53">
        <f t="shared" si="149"/>
        <v>0</v>
      </c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7"/>
      <c r="AW587" s="57"/>
      <c r="AX587" s="57"/>
    </row>
    <row r="588" spans="2:50">
      <c r="B588" s="45">
        <v>568</v>
      </c>
      <c r="C588" s="250" t="s">
        <v>782</v>
      </c>
      <c r="D588" s="250" t="s">
        <v>873</v>
      </c>
      <c r="E588" s="250" t="s">
        <v>922</v>
      </c>
      <c r="F588" s="251" t="s">
        <v>924</v>
      </c>
      <c r="G588" s="217" t="s">
        <v>795</v>
      </c>
      <c r="H588" s="252">
        <v>42334</v>
      </c>
      <c r="I588" s="164" t="s">
        <v>409</v>
      </c>
      <c r="J588" s="51">
        <f t="shared" si="150"/>
        <v>180</v>
      </c>
      <c r="K588" s="51">
        <v>120</v>
      </c>
      <c r="L588" s="51">
        <v>60</v>
      </c>
      <c r="M588" s="51"/>
      <c r="N588" s="260">
        <v>2</v>
      </c>
      <c r="O588" s="260">
        <v>1</v>
      </c>
      <c r="P588" s="261">
        <v>1</v>
      </c>
      <c r="Q588" s="53" t="s">
        <v>257</v>
      </c>
      <c r="R588" s="54" t="s">
        <v>158</v>
      </c>
      <c r="S588" s="54" t="s">
        <v>158</v>
      </c>
      <c r="T588" s="54" t="s">
        <v>158</v>
      </c>
      <c r="U588" s="54" t="s">
        <v>158</v>
      </c>
      <c r="V588" s="254" t="s">
        <v>923</v>
      </c>
      <c r="W588" s="53"/>
      <c r="X588" s="53">
        <f t="shared" si="139"/>
        <v>0</v>
      </c>
      <c r="Y588" s="55"/>
      <c r="Z588" s="55"/>
      <c r="AA588" s="52">
        <f t="shared" si="140"/>
        <v>0</v>
      </c>
      <c r="AB588" s="53">
        <f t="shared" si="141"/>
        <v>0</v>
      </c>
      <c r="AC588" s="53">
        <f t="shared" si="142"/>
        <v>0</v>
      </c>
      <c r="AD588" s="53">
        <f t="shared" si="143"/>
        <v>0</v>
      </c>
      <c r="AE588" s="53">
        <f t="shared" si="144"/>
        <v>0</v>
      </c>
      <c r="AF588" s="53">
        <f t="shared" si="145"/>
        <v>0</v>
      </c>
      <c r="AG588" s="56">
        <f t="shared" si="146"/>
        <v>1</v>
      </c>
      <c r="AH588" s="53">
        <f t="shared" si="147"/>
        <v>0</v>
      </c>
      <c r="AI588" s="55"/>
      <c r="AJ588" s="53">
        <f t="shared" si="148"/>
        <v>0</v>
      </c>
      <c r="AK588" s="53">
        <f t="shared" si="149"/>
        <v>0</v>
      </c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7"/>
      <c r="AW588" s="57"/>
      <c r="AX588" s="57"/>
    </row>
    <row r="589" spans="2:50">
      <c r="B589" s="45">
        <v>569</v>
      </c>
      <c r="C589" s="250" t="s">
        <v>782</v>
      </c>
      <c r="D589" s="250" t="s">
        <v>873</v>
      </c>
      <c r="E589" s="250" t="s">
        <v>925</v>
      </c>
      <c r="F589" s="251" t="s">
        <v>926</v>
      </c>
      <c r="G589" s="217" t="s">
        <v>795</v>
      </c>
      <c r="H589" s="252">
        <v>41995</v>
      </c>
      <c r="I589" s="164" t="s">
        <v>409</v>
      </c>
      <c r="J589" s="51">
        <f t="shared" si="150"/>
        <v>174</v>
      </c>
      <c r="K589" s="51">
        <v>54</v>
      </c>
      <c r="L589" s="51">
        <v>120</v>
      </c>
      <c r="M589" s="51"/>
      <c r="N589" s="260">
        <v>0.89999999999999991</v>
      </c>
      <c r="O589" s="260">
        <v>2</v>
      </c>
      <c r="P589" s="261">
        <v>1</v>
      </c>
      <c r="Q589" s="53"/>
      <c r="R589" s="54" t="s">
        <v>158</v>
      </c>
      <c r="S589" s="54" t="s">
        <v>158</v>
      </c>
      <c r="T589" s="54" t="s">
        <v>158</v>
      </c>
      <c r="U589" s="54" t="s">
        <v>158</v>
      </c>
      <c r="V589" s="254" t="s">
        <v>927</v>
      </c>
      <c r="W589" s="53"/>
      <c r="X589" s="53">
        <f t="shared" si="139"/>
        <v>0</v>
      </c>
      <c r="Y589" s="55"/>
      <c r="Z589" s="55"/>
      <c r="AA589" s="52">
        <f t="shared" si="140"/>
        <v>0</v>
      </c>
      <c r="AB589" s="53">
        <f t="shared" si="141"/>
        <v>0</v>
      </c>
      <c r="AC589" s="53">
        <f t="shared" si="142"/>
        <v>0</v>
      </c>
      <c r="AD589" s="53">
        <f t="shared" si="143"/>
        <v>0</v>
      </c>
      <c r="AE589" s="53">
        <f t="shared" si="144"/>
        <v>0</v>
      </c>
      <c r="AF589" s="53">
        <f t="shared" si="145"/>
        <v>0</v>
      </c>
      <c r="AG589" s="56">
        <f t="shared" si="146"/>
        <v>0</v>
      </c>
      <c r="AH589" s="53">
        <f t="shared" si="147"/>
        <v>0</v>
      </c>
      <c r="AI589" s="55"/>
      <c r="AJ589" s="53">
        <f t="shared" si="148"/>
        <v>0</v>
      </c>
      <c r="AK589" s="53">
        <f t="shared" si="149"/>
        <v>0</v>
      </c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7"/>
      <c r="AW589" s="57"/>
      <c r="AX589" s="57"/>
    </row>
    <row r="590" spans="2:50">
      <c r="B590" s="45">
        <v>570</v>
      </c>
      <c r="C590" s="250" t="s">
        <v>782</v>
      </c>
      <c r="D590" s="250" t="s">
        <v>873</v>
      </c>
      <c r="E590" s="250" t="s">
        <v>925</v>
      </c>
      <c r="F590" s="251" t="s">
        <v>815</v>
      </c>
      <c r="G590" s="217" t="s">
        <v>795</v>
      </c>
      <c r="H590" s="252">
        <v>41995</v>
      </c>
      <c r="I590" s="164" t="s">
        <v>409</v>
      </c>
      <c r="J590" s="51">
        <f t="shared" si="150"/>
        <v>540</v>
      </c>
      <c r="K590" s="51">
        <v>540</v>
      </c>
      <c r="L590" s="51">
        <v>0</v>
      </c>
      <c r="M590" s="51"/>
      <c r="N590" s="260">
        <v>9</v>
      </c>
      <c r="O590" s="260">
        <v>0</v>
      </c>
      <c r="P590" s="261">
        <v>1</v>
      </c>
      <c r="Q590" s="53"/>
      <c r="R590" s="54" t="s">
        <v>158</v>
      </c>
      <c r="S590" s="54" t="s">
        <v>158</v>
      </c>
      <c r="T590" s="54" t="s">
        <v>158</v>
      </c>
      <c r="U590" s="54" t="s">
        <v>158</v>
      </c>
      <c r="V590" s="254" t="s">
        <v>927</v>
      </c>
      <c r="W590" s="53"/>
      <c r="X590" s="53">
        <f t="shared" si="139"/>
        <v>0</v>
      </c>
      <c r="Y590" s="55"/>
      <c r="Z590" s="55"/>
      <c r="AA590" s="52">
        <f t="shared" si="140"/>
        <v>0</v>
      </c>
      <c r="AB590" s="53">
        <f t="shared" si="141"/>
        <v>0</v>
      </c>
      <c r="AC590" s="53">
        <f t="shared" si="142"/>
        <v>0</v>
      </c>
      <c r="AD590" s="53">
        <f t="shared" si="143"/>
        <v>0</v>
      </c>
      <c r="AE590" s="53">
        <f t="shared" si="144"/>
        <v>0</v>
      </c>
      <c r="AF590" s="53">
        <f t="shared" si="145"/>
        <v>0</v>
      </c>
      <c r="AG590" s="56">
        <f t="shared" si="146"/>
        <v>0</v>
      </c>
      <c r="AH590" s="53">
        <f t="shared" si="147"/>
        <v>0</v>
      </c>
      <c r="AI590" s="55"/>
      <c r="AJ590" s="53">
        <f t="shared" si="148"/>
        <v>0</v>
      </c>
      <c r="AK590" s="53">
        <f t="shared" si="149"/>
        <v>0</v>
      </c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7"/>
      <c r="AW590" s="57"/>
      <c r="AX590" s="57"/>
    </row>
    <row r="591" spans="2:50">
      <c r="B591" s="45">
        <v>571</v>
      </c>
      <c r="C591" s="250" t="s">
        <v>782</v>
      </c>
      <c r="D591" s="250" t="s">
        <v>873</v>
      </c>
      <c r="E591" s="250" t="s">
        <v>925</v>
      </c>
      <c r="F591" s="251" t="s">
        <v>928</v>
      </c>
      <c r="G591" s="217" t="s">
        <v>795</v>
      </c>
      <c r="H591" s="252">
        <v>41995</v>
      </c>
      <c r="I591" s="164" t="s">
        <v>409</v>
      </c>
      <c r="J591" s="51">
        <f t="shared" si="150"/>
        <v>1704</v>
      </c>
      <c r="K591" s="51">
        <v>24</v>
      </c>
      <c r="L591" s="51">
        <v>1680</v>
      </c>
      <c r="M591" s="51"/>
      <c r="N591" s="260">
        <v>0.4</v>
      </c>
      <c r="O591" s="260">
        <v>28</v>
      </c>
      <c r="P591" s="261">
        <v>1</v>
      </c>
      <c r="Q591" s="53"/>
      <c r="R591" s="54" t="s">
        <v>158</v>
      </c>
      <c r="S591" s="54" t="s">
        <v>158</v>
      </c>
      <c r="T591" s="54" t="s">
        <v>158</v>
      </c>
      <c r="U591" s="54" t="s">
        <v>158</v>
      </c>
      <c r="V591" s="254" t="s">
        <v>927</v>
      </c>
      <c r="W591" s="53"/>
      <c r="X591" s="53">
        <f t="shared" si="139"/>
        <v>0</v>
      </c>
      <c r="Y591" s="55"/>
      <c r="Z591" s="55"/>
      <c r="AA591" s="52">
        <f t="shared" si="140"/>
        <v>0</v>
      </c>
      <c r="AB591" s="53">
        <f t="shared" si="141"/>
        <v>0</v>
      </c>
      <c r="AC591" s="53">
        <f t="shared" si="142"/>
        <v>0</v>
      </c>
      <c r="AD591" s="53">
        <f t="shared" si="143"/>
        <v>0</v>
      </c>
      <c r="AE591" s="53">
        <f t="shared" si="144"/>
        <v>0</v>
      </c>
      <c r="AF591" s="53">
        <f t="shared" si="145"/>
        <v>0</v>
      </c>
      <c r="AG591" s="56">
        <f t="shared" si="146"/>
        <v>0</v>
      </c>
      <c r="AH591" s="53">
        <f t="shared" si="147"/>
        <v>0</v>
      </c>
      <c r="AI591" s="55"/>
      <c r="AJ591" s="53">
        <f t="shared" si="148"/>
        <v>0</v>
      </c>
      <c r="AK591" s="53">
        <f t="shared" si="149"/>
        <v>0</v>
      </c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7"/>
      <c r="AW591" s="57"/>
      <c r="AX591" s="57"/>
    </row>
    <row r="592" spans="2:50">
      <c r="B592" s="45">
        <v>572</v>
      </c>
      <c r="C592" s="250" t="s">
        <v>782</v>
      </c>
      <c r="D592" s="250" t="s">
        <v>873</v>
      </c>
      <c r="E592" s="250" t="s">
        <v>929</v>
      </c>
      <c r="F592" s="251" t="s">
        <v>930</v>
      </c>
      <c r="G592" s="217" t="s">
        <v>795</v>
      </c>
      <c r="H592" s="252">
        <v>41995</v>
      </c>
      <c r="I592" s="164" t="s">
        <v>409</v>
      </c>
      <c r="J592" s="51">
        <f t="shared" si="150"/>
        <v>12</v>
      </c>
      <c r="K592" s="51">
        <v>12</v>
      </c>
      <c r="L592" s="51">
        <v>0</v>
      </c>
      <c r="M592" s="51"/>
      <c r="N592" s="260">
        <v>0.2</v>
      </c>
      <c r="O592" s="260">
        <v>0</v>
      </c>
      <c r="P592" s="261">
        <v>1</v>
      </c>
      <c r="Q592" s="53"/>
      <c r="R592" s="54" t="s">
        <v>158</v>
      </c>
      <c r="S592" s="54" t="s">
        <v>158</v>
      </c>
      <c r="T592" s="54" t="s">
        <v>158</v>
      </c>
      <c r="U592" s="54" t="s">
        <v>158</v>
      </c>
      <c r="V592" s="254" t="s">
        <v>931</v>
      </c>
      <c r="W592" s="53"/>
      <c r="X592" s="53">
        <f t="shared" si="139"/>
        <v>0</v>
      </c>
      <c r="Y592" s="55"/>
      <c r="Z592" s="55"/>
      <c r="AA592" s="52">
        <f t="shared" si="140"/>
        <v>0</v>
      </c>
      <c r="AB592" s="53">
        <f t="shared" si="141"/>
        <v>0</v>
      </c>
      <c r="AC592" s="53">
        <f t="shared" si="142"/>
        <v>0</v>
      </c>
      <c r="AD592" s="53">
        <f t="shared" si="143"/>
        <v>0</v>
      </c>
      <c r="AE592" s="53">
        <f t="shared" si="144"/>
        <v>0</v>
      </c>
      <c r="AF592" s="53">
        <f t="shared" si="145"/>
        <v>0</v>
      </c>
      <c r="AG592" s="56">
        <f t="shared" si="146"/>
        <v>0</v>
      </c>
      <c r="AH592" s="53">
        <f t="shared" si="147"/>
        <v>0</v>
      </c>
      <c r="AI592" s="55"/>
      <c r="AJ592" s="53">
        <f t="shared" si="148"/>
        <v>0</v>
      </c>
      <c r="AK592" s="53">
        <f t="shared" si="149"/>
        <v>0</v>
      </c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7"/>
      <c r="AW592" s="57"/>
      <c r="AX592" s="57"/>
    </row>
    <row r="593" spans="2:50">
      <c r="B593" s="45">
        <v>573</v>
      </c>
      <c r="C593" s="250" t="s">
        <v>782</v>
      </c>
      <c r="D593" s="250" t="s">
        <v>873</v>
      </c>
      <c r="E593" s="250" t="s">
        <v>929</v>
      </c>
      <c r="F593" s="251" t="s">
        <v>932</v>
      </c>
      <c r="G593" s="217" t="s">
        <v>795</v>
      </c>
      <c r="H593" s="252">
        <v>41995</v>
      </c>
      <c r="I593" s="164" t="s">
        <v>409</v>
      </c>
      <c r="J593" s="51">
        <f t="shared" si="150"/>
        <v>18</v>
      </c>
      <c r="K593" s="51">
        <v>18</v>
      </c>
      <c r="L593" s="51">
        <v>0</v>
      </c>
      <c r="M593" s="51"/>
      <c r="N593" s="260">
        <v>0.3</v>
      </c>
      <c r="O593" s="260">
        <v>0</v>
      </c>
      <c r="P593" s="261">
        <v>1</v>
      </c>
      <c r="Q593" s="53"/>
      <c r="R593" s="54" t="s">
        <v>158</v>
      </c>
      <c r="S593" s="54" t="s">
        <v>158</v>
      </c>
      <c r="T593" s="54" t="s">
        <v>158</v>
      </c>
      <c r="U593" s="54" t="s">
        <v>158</v>
      </c>
      <c r="V593" s="254" t="s">
        <v>931</v>
      </c>
      <c r="W593" s="53"/>
      <c r="X593" s="53">
        <f t="shared" si="139"/>
        <v>0</v>
      </c>
      <c r="Y593" s="55"/>
      <c r="Z593" s="55"/>
      <c r="AA593" s="52">
        <f t="shared" si="140"/>
        <v>0</v>
      </c>
      <c r="AB593" s="53">
        <f t="shared" si="141"/>
        <v>0</v>
      </c>
      <c r="AC593" s="53">
        <f t="shared" si="142"/>
        <v>0</v>
      </c>
      <c r="AD593" s="53">
        <f t="shared" si="143"/>
        <v>0</v>
      </c>
      <c r="AE593" s="53">
        <f t="shared" si="144"/>
        <v>0</v>
      </c>
      <c r="AF593" s="53">
        <f t="shared" si="145"/>
        <v>0</v>
      </c>
      <c r="AG593" s="56">
        <f t="shared" si="146"/>
        <v>0</v>
      </c>
      <c r="AH593" s="53">
        <f t="shared" si="147"/>
        <v>0</v>
      </c>
      <c r="AI593" s="55"/>
      <c r="AJ593" s="53">
        <f t="shared" si="148"/>
        <v>0</v>
      </c>
      <c r="AK593" s="53">
        <f t="shared" si="149"/>
        <v>0</v>
      </c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7"/>
      <c r="AW593" s="57"/>
      <c r="AX593" s="57"/>
    </row>
    <row r="594" spans="2:50">
      <c r="B594" s="45">
        <v>574</v>
      </c>
      <c r="C594" s="250" t="s">
        <v>782</v>
      </c>
      <c r="D594" s="250" t="s">
        <v>873</v>
      </c>
      <c r="E594" s="250" t="s">
        <v>929</v>
      </c>
      <c r="F594" s="251" t="s">
        <v>933</v>
      </c>
      <c r="G594" s="217" t="s">
        <v>795</v>
      </c>
      <c r="H594" s="252">
        <v>41995</v>
      </c>
      <c r="I594" s="164" t="s">
        <v>409</v>
      </c>
      <c r="J594" s="51">
        <f t="shared" si="150"/>
        <v>12</v>
      </c>
      <c r="K594" s="51">
        <v>12</v>
      </c>
      <c r="L594" s="51">
        <v>0</v>
      </c>
      <c r="M594" s="51"/>
      <c r="N594" s="260">
        <v>0.2</v>
      </c>
      <c r="O594" s="260">
        <v>0</v>
      </c>
      <c r="P594" s="261">
        <v>1</v>
      </c>
      <c r="Q594" s="53"/>
      <c r="R594" s="54" t="s">
        <v>158</v>
      </c>
      <c r="S594" s="54" t="s">
        <v>158</v>
      </c>
      <c r="T594" s="54" t="s">
        <v>158</v>
      </c>
      <c r="U594" s="54" t="s">
        <v>158</v>
      </c>
      <c r="V594" s="254" t="s">
        <v>931</v>
      </c>
      <c r="W594" s="53"/>
      <c r="X594" s="53">
        <f t="shared" si="139"/>
        <v>0</v>
      </c>
      <c r="Y594" s="55"/>
      <c r="Z594" s="55"/>
      <c r="AA594" s="52">
        <f t="shared" si="140"/>
        <v>0</v>
      </c>
      <c r="AB594" s="53">
        <f t="shared" si="141"/>
        <v>0</v>
      </c>
      <c r="AC594" s="53">
        <f t="shared" si="142"/>
        <v>0</v>
      </c>
      <c r="AD594" s="53">
        <f t="shared" si="143"/>
        <v>0</v>
      </c>
      <c r="AE594" s="53">
        <f t="shared" si="144"/>
        <v>0</v>
      </c>
      <c r="AF594" s="53">
        <f t="shared" si="145"/>
        <v>0</v>
      </c>
      <c r="AG594" s="56">
        <f t="shared" si="146"/>
        <v>0</v>
      </c>
      <c r="AH594" s="53">
        <f t="shared" si="147"/>
        <v>0</v>
      </c>
      <c r="AI594" s="55"/>
      <c r="AJ594" s="53">
        <f t="shared" si="148"/>
        <v>0</v>
      </c>
      <c r="AK594" s="53">
        <f t="shared" si="149"/>
        <v>0</v>
      </c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7"/>
      <c r="AW594" s="57"/>
      <c r="AX594" s="57"/>
    </row>
    <row r="595" spans="2:50">
      <c r="B595" s="45">
        <v>575</v>
      </c>
      <c r="C595" s="250" t="s">
        <v>782</v>
      </c>
      <c r="D595" s="250" t="s">
        <v>873</v>
      </c>
      <c r="E595" s="250" t="s">
        <v>929</v>
      </c>
      <c r="F595" s="251" t="s">
        <v>934</v>
      </c>
      <c r="G595" s="217" t="s">
        <v>795</v>
      </c>
      <c r="H595" s="252">
        <v>41995</v>
      </c>
      <c r="I595" s="164" t="s">
        <v>409</v>
      </c>
      <c r="J595" s="51">
        <f t="shared" si="150"/>
        <v>984</v>
      </c>
      <c r="K595" s="51">
        <v>264</v>
      </c>
      <c r="L595" s="51">
        <v>720</v>
      </c>
      <c r="M595" s="51"/>
      <c r="N595" s="260">
        <v>4.4000000000000004</v>
      </c>
      <c r="O595" s="260">
        <v>12</v>
      </c>
      <c r="P595" s="261">
        <v>1</v>
      </c>
      <c r="Q595" s="53"/>
      <c r="R595" s="54" t="s">
        <v>158</v>
      </c>
      <c r="S595" s="54" t="s">
        <v>158</v>
      </c>
      <c r="T595" s="54" t="s">
        <v>158</v>
      </c>
      <c r="U595" s="54" t="s">
        <v>158</v>
      </c>
      <c r="V595" s="254" t="s">
        <v>931</v>
      </c>
      <c r="W595" s="53"/>
      <c r="X595" s="53">
        <f t="shared" si="139"/>
        <v>0</v>
      </c>
      <c r="Y595" s="55"/>
      <c r="Z595" s="55"/>
      <c r="AA595" s="52">
        <f t="shared" si="140"/>
        <v>0</v>
      </c>
      <c r="AB595" s="53">
        <f t="shared" si="141"/>
        <v>0</v>
      </c>
      <c r="AC595" s="53">
        <f t="shared" si="142"/>
        <v>0</v>
      </c>
      <c r="AD595" s="53">
        <f t="shared" si="143"/>
        <v>0</v>
      </c>
      <c r="AE595" s="53">
        <f t="shared" si="144"/>
        <v>0</v>
      </c>
      <c r="AF595" s="53">
        <f t="shared" si="145"/>
        <v>0</v>
      </c>
      <c r="AG595" s="56">
        <f t="shared" si="146"/>
        <v>0</v>
      </c>
      <c r="AH595" s="53">
        <f t="shared" si="147"/>
        <v>0</v>
      </c>
      <c r="AI595" s="55"/>
      <c r="AJ595" s="53">
        <f t="shared" si="148"/>
        <v>0</v>
      </c>
      <c r="AK595" s="53">
        <f t="shared" si="149"/>
        <v>0</v>
      </c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7"/>
      <c r="AW595" s="57"/>
      <c r="AX595" s="57"/>
    </row>
    <row r="596" spans="2:50">
      <c r="B596" s="45">
        <v>576</v>
      </c>
      <c r="C596" s="250" t="s">
        <v>782</v>
      </c>
      <c r="D596" s="250" t="s">
        <v>873</v>
      </c>
      <c r="E596" s="250" t="s">
        <v>929</v>
      </c>
      <c r="F596" s="251" t="s">
        <v>935</v>
      </c>
      <c r="G596" s="217" t="s">
        <v>795</v>
      </c>
      <c r="H596" s="252">
        <v>41995</v>
      </c>
      <c r="I596" s="164" t="s">
        <v>409</v>
      </c>
      <c r="J596" s="51">
        <f t="shared" si="150"/>
        <v>66</v>
      </c>
      <c r="K596" s="51">
        <v>66</v>
      </c>
      <c r="L596" s="51">
        <v>0</v>
      </c>
      <c r="M596" s="51"/>
      <c r="N596" s="260">
        <v>1.1000000000000001</v>
      </c>
      <c r="O596" s="260">
        <v>0</v>
      </c>
      <c r="P596" s="261">
        <v>1</v>
      </c>
      <c r="Q596" s="53"/>
      <c r="R596" s="54" t="s">
        <v>158</v>
      </c>
      <c r="S596" s="54" t="s">
        <v>158</v>
      </c>
      <c r="T596" s="54" t="s">
        <v>158</v>
      </c>
      <c r="U596" s="54" t="s">
        <v>158</v>
      </c>
      <c r="V596" s="254" t="s">
        <v>931</v>
      </c>
      <c r="W596" s="53"/>
      <c r="X596" s="53">
        <f t="shared" si="139"/>
        <v>0</v>
      </c>
      <c r="Y596" s="55"/>
      <c r="Z596" s="55"/>
      <c r="AA596" s="52">
        <f t="shared" si="140"/>
        <v>0</v>
      </c>
      <c r="AB596" s="53">
        <f t="shared" si="141"/>
        <v>0</v>
      </c>
      <c r="AC596" s="53">
        <f t="shared" si="142"/>
        <v>0</v>
      </c>
      <c r="AD596" s="53">
        <f t="shared" si="143"/>
        <v>0</v>
      </c>
      <c r="AE596" s="53">
        <f t="shared" si="144"/>
        <v>0</v>
      </c>
      <c r="AF596" s="53">
        <f t="shared" si="145"/>
        <v>0</v>
      </c>
      <c r="AG596" s="56">
        <f t="shared" si="146"/>
        <v>0</v>
      </c>
      <c r="AH596" s="53">
        <f t="shared" si="147"/>
        <v>0</v>
      </c>
      <c r="AI596" s="55"/>
      <c r="AJ596" s="53">
        <f t="shared" si="148"/>
        <v>0</v>
      </c>
      <c r="AK596" s="53">
        <f t="shared" si="149"/>
        <v>0</v>
      </c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7"/>
      <c r="AW596" s="57"/>
      <c r="AX596" s="57"/>
    </row>
    <row r="597" spans="2:50">
      <c r="B597" s="45">
        <v>577</v>
      </c>
      <c r="C597" s="250" t="s">
        <v>782</v>
      </c>
      <c r="D597" s="250" t="s">
        <v>873</v>
      </c>
      <c r="E597" s="250" t="s">
        <v>936</v>
      </c>
      <c r="F597" s="250" t="s">
        <v>937</v>
      </c>
      <c r="G597" s="217" t="s">
        <v>795</v>
      </c>
      <c r="H597" s="252">
        <v>42234</v>
      </c>
      <c r="I597" s="164" t="s">
        <v>409</v>
      </c>
      <c r="J597" s="51">
        <f t="shared" si="150"/>
        <v>240</v>
      </c>
      <c r="K597" s="51">
        <v>240</v>
      </c>
      <c r="L597" s="51">
        <v>0</v>
      </c>
      <c r="M597" s="51"/>
      <c r="N597" s="277">
        <v>4</v>
      </c>
      <c r="O597" s="277">
        <v>0</v>
      </c>
      <c r="P597" s="278">
        <v>1</v>
      </c>
      <c r="Q597" s="53"/>
      <c r="R597" s="54" t="s">
        <v>158</v>
      </c>
      <c r="S597" s="54" t="s">
        <v>158</v>
      </c>
      <c r="T597" s="54" t="s">
        <v>158</v>
      </c>
      <c r="U597" s="54" t="s">
        <v>158</v>
      </c>
      <c r="V597" s="254" t="s">
        <v>938</v>
      </c>
      <c r="W597" s="53"/>
      <c r="X597" s="53">
        <f t="shared" si="139"/>
        <v>0</v>
      </c>
      <c r="Y597" s="55"/>
      <c r="Z597" s="55"/>
      <c r="AA597" s="52">
        <f t="shared" si="140"/>
        <v>0</v>
      </c>
      <c r="AB597" s="53">
        <f t="shared" si="141"/>
        <v>0</v>
      </c>
      <c r="AC597" s="53">
        <f t="shared" si="142"/>
        <v>0</v>
      </c>
      <c r="AD597" s="53">
        <f t="shared" si="143"/>
        <v>0</v>
      </c>
      <c r="AE597" s="53">
        <f t="shared" si="144"/>
        <v>0</v>
      </c>
      <c r="AF597" s="53">
        <f t="shared" si="145"/>
        <v>0</v>
      </c>
      <c r="AG597" s="56">
        <f t="shared" si="146"/>
        <v>0</v>
      </c>
      <c r="AH597" s="53">
        <f t="shared" si="147"/>
        <v>0</v>
      </c>
      <c r="AI597" s="55"/>
      <c r="AJ597" s="53">
        <f t="shared" si="148"/>
        <v>0</v>
      </c>
      <c r="AK597" s="53">
        <f t="shared" si="149"/>
        <v>0</v>
      </c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7"/>
      <c r="AW597" s="57"/>
      <c r="AX597" s="57"/>
    </row>
    <row r="598" spans="2:50">
      <c r="B598" s="45">
        <v>578</v>
      </c>
      <c r="C598" s="250" t="s">
        <v>782</v>
      </c>
      <c r="D598" s="250" t="s">
        <v>873</v>
      </c>
      <c r="E598" s="250" t="s">
        <v>939</v>
      </c>
      <c r="F598" s="250" t="s">
        <v>940</v>
      </c>
      <c r="G598" s="217" t="s">
        <v>795</v>
      </c>
      <c r="H598" s="252">
        <v>42338</v>
      </c>
      <c r="I598" s="164" t="s">
        <v>409</v>
      </c>
      <c r="J598" s="51">
        <f t="shared" si="150"/>
        <v>264</v>
      </c>
      <c r="K598" s="51">
        <v>264</v>
      </c>
      <c r="L598" s="51">
        <v>0</v>
      </c>
      <c r="M598" s="51"/>
      <c r="N598" s="260">
        <v>4.3999999999999995</v>
      </c>
      <c r="O598" s="260">
        <v>0</v>
      </c>
      <c r="P598" s="261">
        <v>1</v>
      </c>
      <c r="Q598" s="53"/>
      <c r="R598" s="54" t="s">
        <v>158</v>
      </c>
      <c r="S598" s="54" t="s">
        <v>158</v>
      </c>
      <c r="T598" s="54" t="s">
        <v>158</v>
      </c>
      <c r="U598" s="54" t="s">
        <v>158</v>
      </c>
      <c r="V598" s="254" t="s">
        <v>941</v>
      </c>
      <c r="W598" s="53"/>
      <c r="X598" s="53">
        <f t="shared" si="139"/>
        <v>0</v>
      </c>
      <c r="Y598" s="55"/>
      <c r="Z598" s="55"/>
      <c r="AA598" s="52">
        <f t="shared" si="140"/>
        <v>0</v>
      </c>
      <c r="AB598" s="53">
        <f t="shared" si="141"/>
        <v>0</v>
      </c>
      <c r="AC598" s="53">
        <f t="shared" si="142"/>
        <v>0</v>
      </c>
      <c r="AD598" s="53">
        <f t="shared" si="143"/>
        <v>0</v>
      </c>
      <c r="AE598" s="53">
        <f t="shared" si="144"/>
        <v>0</v>
      </c>
      <c r="AF598" s="53">
        <f t="shared" si="145"/>
        <v>0</v>
      </c>
      <c r="AG598" s="56">
        <f t="shared" si="146"/>
        <v>0</v>
      </c>
      <c r="AH598" s="53">
        <f t="shared" si="147"/>
        <v>0</v>
      </c>
      <c r="AI598" s="55"/>
      <c r="AJ598" s="53">
        <f t="shared" si="148"/>
        <v>0</v>
      </c>
      <c r="AK598" s="53">
        <f t="shared" si="149"/>
        <v>0</v>
      </c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7"/>
      <c r="AW598" s="57"/>
      <c r="AX598" s="57"/>
    </row>
    <row r="599" spans="2:50">
      <c r="B599" s="45">
        <v>579</v>
      </c>
      <c r="C599" s="250" t="s">
        <v>782</v>
      </c>
      <c r="D599" s="250" t="s">
        <v>873</v>
      </c>
      <c r="E599" s="250" t="s">
        <v>939</v>
      </c>
      <c r="F599" s="251" t="s">
        <v>942</v>
      </c>
      <c r="G599" s="217" t="s">
        <v>795</v>
      </c>
      <c r="H599" s="252">
        <v>42338</v>
      </c>
      <c r="I599" s="164" t="s">
        <v>409</v>
      </c>
      <c r="J599" s="51">
        <f t="shared" si="150"/>
        <v>144</v>
      </c>
      <c r="K599" s="51">
        <v>144</v>
      </c>
      <c r="L599" s="51">
        <v>0</v>
      </c>
      <c r="M599" s="51"/>
      <c r="N599" s="277">
        <v>2.4000000000000004</v>
      </c>
      <c r="O599" s="260">
        <v>0</v>
      </c>
      <c r="P599" s="261">
        <v>1</v>
      </c>
      <c r="Q599" s="53"/>
      <c r="R599" s="54" t="s">
        <v>158</v>
      </c>
      <c r="S599" s="54" t="s">
        <v>158</v>
      </c>
      <c r="T599" s="54" t="s">
        <v>158</v>
      </c>
      <c r="U599" s="54" t="s">
        <v>158</v>
      </c>
      <c r="V599" s="254" t="s">
        <v>941</v>
      </c>
      <c r="W599" s="53"/>
      <c r="X599" s="53">
        <f t="shared" si="139"/>
        <v>0</v>
      </c>
      <c r="Y599" s="55"/>
      <c r="Z599" s="55"/>
      <c r="AA599" s="52">
        <f t="shared" si="140"/>
        <v>0</v>
      </c>
      <c r="AB599" s="53">
        <f t="shared" si="141"/>
        <v>0</v>
      </c>
      <c r="AC599" s="53">
        <f t="shared" si="142"/>
        <v>0</v>
      </c>
      <c r="AD599" s="53">
        <f t="shared" si="143"/>
        <v>0</v>
      </c>
      <c r="AE599" s="53">
        <f t="shared" si="144"/>
        <v>0</v>
      </c>
      <c r="AF599" s="53">
        <f t="shared" si="145"/>
        <v>0</v>
      </c>
      <c r="AG599" s="56">
        <f t="shared" si="146"/>
        <v>0</v>
      </c>
      <c r="AH599" s="53">
        <f t="shared" si="147"/>
        <v>0</v>
      </c>
      <c r="AI599" s="55"/>
      <c r="AJ599" s="53">
        <f t="shared" si="148"/>
        <v>0</v>
      </c>
      <c r="AK599" s="53">
        <f t="shared" si="149"/>
        <v>0</v>
      </c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7"/>
      <c r="AW599" s="57"/>
      <c r="AX599" s="57"/>
    </row>
    <row r="600" spans="2:50">
      <c r="B600" s="45">
        <v>580</v>
      </c>
      <c r="C600" s="250" t="s">
        <v>782</v>
      </c>
      <c r="D600" s="250" t="s">
        <v>873</v>
      </c>
      <c r="E600" s="250" t="s">
        <v>939</v>
      </c>
      <c r="F600" s="251" t="s">
        <v>943</v>
      </c>
      <c r="G600" s="217" t="s">
        <v>795</v>
      </c>
      <c r="H600" s="252">
        <v>42338</v>
      </c>
      <c r="I600" s="164" t="s">
        <v>409</v>
      </c>
      <c r="J600" s="51">
        <f t="shared" si="150"/>
        <v>354</v>
      </c>
      <c r="K600" s="51">
        <v>354</v>
      </c>
      <c r="L600" s="51">
        <v>0</v>
      </c>
      <c r="M600" s="51"/>
      <c r="N600" s="279">
        <v>5.9</v>
      </c>
      <c r="O600" s="260">
        <v>0</v>
      </c>
      <c r="P600" s="261">
        <v>1</v>
      </c>
      <c r="Q600" s="53"/>
      <c r="R600" s="54" t="s">
        <v>158</v>
      </c>
      <c r="S600" s="54" t="s">
        <v>158</v>
      </c>
      <c r="T600" s="54" t="s">
        <v>158</v>
      </c>
      <c r="U600" s="54" t="s">
        <v>158</v>
      </c>
      <c r="V600" s="254" t="s">
        <v>941</v>
      </c>
      <c r="W600" s="53"/>
      <c r="X600" s="53">
        <f t="shared" si="139"/>
        <v>0</v>
      </c>
      <c r="Y600" s="55"/>
      <c r="Z600" s="55"/>
      <c r="AA600" s="52">
        <f t="shared" si="140"/>
        <v>0</v>
      </c>
      <c r="AB600" s="53">
        <f t="shared" si="141"/>
        <v>0</v>
      </c>
      <c r="AC600" s="53">
        <f t="shared" si="142"/>
        <v>0</v>
      </c>
      <c r="AD600" s="53">
        <f t="shared" si="143"/>
        <v>0</v>
      </c>
      <c r="AE600" s="53">
        <f t="shared" si="144"/>
        <v>0</v>
      </c>
      <c r="AF600" s="53">
        <f t="shared" si="145"/>
        <v>0</v>
      </c>
      <c r="AG600" s="56">
        <f t="shared" si="146"/>
        <v>0</v>
      </c>
      <c r="AH600" s="53">
        <f t="shared" si="147"/>
        <v>0</v>
      </c>
      <c r="AI600" s="55"/>
      <c r="AJ600" s="53">
        <f t="shared" si="148"/>
        <v>0</v>
      </c>
      <c r="AK600" s="53">
        <f t="shared" si="149"/>
        <v>0</v>
      </c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7"/>
      <c r="AW600" s="57"/>
      <c r="AX600" s="57"/>
    </row>
    <row r="601" spans="2:50">
      <c r="B601" s="45">
        <v>581</v>
      </c>
      <c r="C601" s="250" t="s">
        <v>782</v>
      </c>
      <c r="D601" s="250" t="s">
        <v>873</v>
      </c>
      <c r="E601" s="250" t="s">
        <v>939</v>
      </c>
      <c r="F601" s="251" t="s">
        <v>944</v>
      </c>
      <c r="G601" s="217" t="s">
        <v>795</v>
      </c>
      <c r="H601" s="252">
        <v>42415</v>
      </c>
      <c r="I601" s="164" t="s">
        <v>409</v>
      </c>
      <c r="J601" s="51">
        <f t="shared" si="150"/>
        <v>120</v>
      </c>
      <c r="K601" s="51">
        <v>120</v>
      </c>
      <c r="L601" s="51">
        <v>0</v>
      </c>
      <c r="M601" s="51"/>
      <c r="N601" s="277">
        <v>2</v>
      </c>
      <c r="O601" s="260">
        <v>0</v>
      </c>
      <c r="P601" s="261">
        <v>1</v>
      </c>
      <c r="Q601" s="53"/>
      <c r="R601" s="54" t="s">
        <v>158</v>
      </c>
      <c r="S601" s="54" t="s">
        <v>158</v>
      </c>
      <c r="T601" s="54" t="s">
        <v>158</v>
      </c>
      <c r="U601" s="54" t="s">
        <v>158</v>
      </c>
      <c r="V601" s="254" t="s">
        <v>941</v>
      </c>
      <c r="W601" s="53"/>
      <c r="X601" s="53">
        <f t="shared" si="139"/>
        <v>0</v>
      </c>
      <c r="Y601" s="55"/>
      <c r="Z601" s="55"/>
      <c r="AA601" s="52">
        <f t="shared" si="140"/>
        <v>0</v>
      </c>
      <c r="AB601" s="53">
        <f t="shared" si="141"/>
        <v>0</v>
      </c>
      <c r="AC601" s="53">
        <f t="shared" si="142"/>
        <v>0</v>
      </c>
      <c r="AD601" s="53">
        <f t="shared" si="143"/>
        <v>0</v>
      </c>
      <c r="AE601" s="53">
        <f t="shared" si="144"/>
        <v>0</v>
      </c>
      <c r="AF601" s="53">
        <f t="shared" si="145"/>
        <v>0</v>
      </c>
      <c r="AG601" s="56">
        <f t="shared" si="146"/>
        <v>0</v>
      </c>
      <c r="AH601" s="53">
        <f t="shared" si="147"/>
        <v>0</v>
      </c>
      <c r="AI601" s="55"/>
      <c r="AJ601" s="53">
        <f t="shared" si="148"/>
        <v>0</v>
      </c>
      <c r="AK601" s="53">
        <f t="shared" si="149"/>
        <v>0</v>
      </c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7"/>
      <c r="AW601" s="57"/>
      <c r="AX601" s="57"/>
    </row>
    <row r="602" spans="2:50">
      <c r="B602" s="45">
        <v>582</v>
      </c>
      <c r="C602" s="250" t="s">
        <v>782</v>
      </c>
      <c r="D602" s="250" t="s">
        <v>873</v>
      </c>
      <c r="E602" s="250" t="s">
        <v>939</v>
      </c>
      <c r="F602" s="251" t="s">
        <v>945</v>
      </c>
      <c r="G602" s="217" t="s">
        <v>795</v>
      </c>
      <c r="H602" s="252">
        <v>42338</v>
      </c>
      <c r="I602" s="164" t="s">
        <v>409</v>
      </c>
      <c r="J602" s="51">
        <f t="shared" si="150"/>
        <v>120</v>
      </c>
      <c r="K602" s="51">
        <v>120</v>
      </c>
      <c r="L602" s="51">
        <v>0</v>
      </c>
      <c r="M602" s="51"/>
      <c r="N602" s="277">
        <v>2</v>
      </c>
      <c r="O602" s="260">
        <v>0</v>
      </c>
      <c r="P602" s="261">
        <v>1</v>
      </c>
      <c r="Q602" s="53"/>
      <c r="R602" s="54" t="s">
        <v>158</v>
      </c>
      <c r="S602" s="54" t="s">
        <v>158</v>
      </c>
      <c r="T602" s="54" t="s">
        <v>158</v>
      </c>
      <c r="U602" s="54" t="s">
        <v>158</v>
      </c>
      <c r="V602" s="254" t="s">
        <v>941</v>
      </c>
      <c r="W602" s="53"/>
      <c r="X602" s="53">
        <f t="shared" si="139"/>
        <v>0</v>
      </c>
      <c r="Y602" s="55"/>
      <c r="Z602" s="55"/>
      <c r="AA602" s="52">
        <f t="shared" si="140"/>
        <v>0</v>
      </c>
      <c r="AB602" s="53">
        <f t="shared" si="141"/>
        <v>0</v>
      </c>
      <c r="AC602" s="53">
        <f t="shared" si="142"/>
        <v>0</v>
      </c>
      <c r="AD602" s="53">
        <f t="shared" si="143"/>
        <v>0</v>
      </c>
      <c r="AE602" s="53">
        <f t="shared" si="144"/>
        <v>0</v>
      </c>
      <c r="AF602" s="53">
        <f t="shared" si="145"/>
        <v>0</v>
      </c>
      <c r="AG602" s="56">
        <f t="shared" si="146"/>
        <v>0</v>
      </c>
      <c r="AH602" s="53">
        <f t="shared" si="147"/>
        <v>0</v>
      </c>
      <c r="AI602" s="55"/>
      <c r="AJ602" s="53">
        <f t="shared" si="148"/>
        <v>0</v>
      </c>
      <c r="AK602" s="53">
        <f t="shared" si="149"/>
        <v>0</v>
      </c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7"/>
      <c r="AW602" s="57"/>
      <c r="AX602" s="57"/>
    </row>
    <row r="603" spans="2:50">
      <c r="B603" s="45">
        <v>583</v>
      </c>
      <c r="C603" s="250" t="s">
        <v>782</v>
      </c>
      <c r="D603" s="250" t="s">
        <v>873</v>
      </c>
      <c r="E603" s="250" t="s">
        <v>939</v>
      </c>
      <c r="F603" s="251" t="s">
        <v>946</v>
      </c>
      <c r="G603" s="217" t="s">
        <v>795</v>
      </c>
      <c r="H603" s="252">
        <v>42338</v>
      </c>
      <c r="I603" s="164" t="s">
        <v>409</v>
      </c>
      <c r="J603" s="51">
        <f t="shared" si="150"/>
        <v>1452</v>
      </c>
      <c r="K603" s="51">
        <v>12</v>
      </c>
      <c r="L603" s="51">
        <v>1440</v>
      </c>
      <c r="M603" s="51"/>
      <c r="N603" s="279">
        <v>0.2</v>
      </c>
      <c r="O603" s="260">
        <v>24</v>
      </c>
      <c r="P603" s="261">
        <v>1</v>
      </c>
      <c r="Q603" s="53"/>
      <c r="R603" s="54" t="s">
        <v>158</v>
      </c>
      <c r="S603" s="54" t="s">
        <v>158</v>
      </c>
      <c r="T603" s="54" t="s">
        <v>158</v>
      </c>
      <c r="U603" s="54" t="s">
        <v>158</v>
      </c>
      <c r="V603" s="254" t="s">
        <v>941</v>
      </c>
      <c r="W603" s="53"/>
      <c r="X603" s="53">
        <f t="shared" si="139"/>
        <v>0</v>
      </c>
      <c r="Y603" s="55"/>
      <c r="Z603" s="55"/>
      <c r="AA603" s="52">
        <f t="shared" si="140"/>
        <v>0</v>
      </c>
      <c r="AB603" s="53">
        <f t="shared" si="141"/>
        <v>0</v>
      </c>
      <c r="AC603" s="53">
        <f t="shared" si="142"/>
        <v>0</v>
      </c>
      <c r="AD603" s="53">
        <f t="shared" si="143"/>
        <v>0</v>
      </c>
      <c r="AE603" s="53">
        <f t="shared" si="144"/>
        <v>0</v>
      </c>
      <c r="AF603" s="53">
        <f t="shared" si="145"/>
        <v>0</v>
      </c>
      <c r="AG603" s="56">
        <f t="shared" si="146"/>
        <v>0</v>
      </c>
      <c r="AH603" s="53">
        <f t="shared" si="147"/>
        <v>0</v>
      </c>
      <c r="AI603" s="55"/>
      <c r="AJ603" s="53">
        <f t="shared" si="148"/>
        <v>0</v>
      </c>
      <c r="AK603" s="53">
        <f t="shared" si="149"/>
        <v>0</v>
      </c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7"/>
      <c r="AW603" s="57"/>
      <c r="AX603" s="57"/>
    </row>
    <row r="604" spans="2:50">
      <c r="B604" s="45">
        <v>584</v>
      </c>
      <c r="C604" s="250" t="s">
        <v>782</v>
      </c>
      <c r="D604" s="250" t="s">
        <v>873</v>
      </c>
      <c r="E604" s="250" t="s">
        <v>939</v>
      </c>
      <c r="F604" s="251" t="s">
        <v>947</v>
      </c>
      <c r="G604" s="217" t="s">
        <v>795</v>
      </c>
      <c r="H604" s="252">
        <v>42338</v>
      </c>
      <c r="I604" s="164" t="s">
        <v>409</v>
      </c>
      <c r="J604" s="51">
        <f t="shared" si="150"/>
        <v>222</v>
      </c>
      <c r="K604" s="51">
        <v>222</v>
      </c>
      <c r="L604" s="51">
        <v>0</v>
      </c>
      <c r="M604" s="51"/>
      <c r="N604" s="277">
        <v>3.7</v>
      </c>
      <c r="O604" s="260">
        <v>0</v>
      </c>
      <c r="P604" s="261">
        <v>1</v>
      </c>
      <c r="Q604" s="53"/>
      <c r="R604" s="54" t="s">
        <v>158</v>
      </c>
      <c r="S604" s="54" t="s">
        <v>158</v>
      </c>
      <c r="T604" s="54" t="s">
        <v>158</v>
      </c>
      <c r="U604" s="54" t="s">
        <v>158</v>
      </c>
      <c r="V604" s="254" t="s">
        <v>941</v>
      </c>
      <c r="W604" s="53"/>
      <c r="X604" s="53">
        <f t="shared" si="139"/>
        <v>0</v>
      </c>
      <c r="Y604" s="55"/>
      <c r="Z604" s="55"/>
      <c r="AA604" s="52">
        <f t="shared" si="140"/>
        <v>0</v>
      </c>
      <c r="AB604" s="53">
        <f t="shared" si="141"/>
        <v>0</v>
      </c>
      <c r="AC604" s="53">
        <f t="shared" si="142"/>
        <v>0</v>
      </c>
      <c r="AD604" s="53">
        <f t="shared" si="143"/>
        <v>0</v>
      </c>
      <c r="AE604" s="53">
        <f t="shared" si="144"/>
        <v>0</v>
      </c>
      <c r="AF604" s="53">
        <f t="shared" si="145"/>
        <v>0</v>
      </c>
      <c r="AG604" s="56">
        <f t="shared" si="146"/>
        <v>0</v>
      </c>
      <c r="AH604" s="53">
        <f t="shared" si="147"/>
        <v>0</v>
      </c>
      <c r="AI604" s="55"/>
      <c r="AJ604" s="53">
        <f t="shared" si="148"/>
        <v>0</v>
      </c>
      <c r="AK604" s="53">
        <f t="shared" si="149"/>
        <v>0</v>
      </c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7"/>
      <c r="AW604" s="57"/>
      <c r="AX604" s="57"/>
    </row>
    <row r="605" spans="2:50">
      <c r="B605" s="45">
        <v>585</v>
      </c>
      <c r="C605" s="250" t="s">
        <v>782</v>
      </c>
      <c r="D605" s="250" t="s">
        <v>873</v>
      </c>
      <c r="E605" s="250" t="s">
        <v>948</v>
      </c>
      <c r="F605" s="250" t="s">
        <v>949</v>
      </c>
      <c r="G605" s="217" t="s">
        <v>795</v>
      </c>
      <c r="H605" s="252">
        <v>42425</v>
      </c>
      <c r="I605" s="164" t="s">
        <v>409</v>
      </c>
      <c r="J605" s="51">
        <f t="shared" si="150"/>
        <v>162</v>
      </c>
      <c r="K605" s="51">
        <v>42</v>
      </c>
      <c r="L605" s="51">
        <v>120</v>
      </c>
      <c r="M605" s="51"/>
      <c r="N605" s="277">
        <v>0.7</v>
      </c>
      <c r="O605" s="277">
        <v>2</v>
      </c>
      <c r="P605" s="278">
        <v>1</v>
      </c>
      <c r="Q605" s="53"/>
      <c r="R605" s="54" t="s">
        <v>158</v>
      </c>
      <c r="S605" s="54" t="s">
        <v>158</v>
      </c>
      <c r="T605" s="54" t="s">
        <v>158</v>
      </c>
      <c r="U605" s="54" t="s">
        <v>158</v>
      </c>
      <c r="V605" s="254" t="s">
        <v>950</v>
      </c>
      <c r="W605" s="53"/>
      <c r="X605" s="53">
        <f t="shared" si="139"/>
        <v>0</v>
      </c>
      <c r="Y605" s="55"/>
      <c r="Z605" s="55"/>
      <c r="AA605" s="52">
        <f t="shared" si="140"/>
        <v>0</v>
      </c>
      <c r="AB605" s="53">
        <f t="shared" si="141"/>
        <v>0</v>
      </c>
      <c r="AC605" s="53">
        <f t="shared" si="142"/>
        <v>0</v>
      </c>
      <c r="AD605" s="53">
        <f t="shared" si="143"/>
        <v>0</v>
      </c>
      <c r="AE605" s="53">
        <f t="shared" si="144"/>
        <v>0</v>
      </c>
      <c r="AF605" s="53">
        <f t="shared" si="145"/>
        <v>0</v>
      </c>
      <c r="AG605" s="56">
        <f t="shared" si="146"/>
        <v>0</v>
      </c>
      <c r="AH605" s="53">
        <f t="shared" si="147"/>
        <v>0</v>
      </c>
      <c r="AI605" s="55"/>
      <c r="AJ605" s="53">
        <f t="shared" si="148"/>
        <v>0</v>
      </c>
      <c r="AK605" s="53">
        <f t="shared" si="149"/>
        <v>0</v>
      </c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7"/>
      <c r="AW605" s="57"/>
      <c r="AX605" s="57"/>
    </row>
    <row r="606" spans="2:50">
      <c r="B606" s="45">
        <v>586</v>
      </c>
      <c r="C606" s="250" t="s">
        <v>782</v>
      </c>
      <c r="D606" s="250" t="s">
        <v>873</v>
      </c>
      <c r="E606" s="280" t="s">
        <v>951</v>
      </c>
      <c r="F606" s="281" t="s">
        <v>952</v>
      </c>
      <c r="G606" s="217" t="s">
        <v>795</v>
      </c>
      <c r="H606" s="282">
        <v>42473</v>
      </c>
      <c r="I606" s="169" t="s">
        <v>409</v>
      </c>
      <c r="J606" s="219">
        <f t="shared" si="150"/>
        <v>12</v>
      </c>
      <c r="K606" s="219">
        <v>12</v>
      </c>
      <c r="L606" s="219">
        <v>0</v>
      </c>
      <c r="M606" s="219"/>
      <c r="N606" s="283">
        <v>0.2</v>
      </c>
      <c r="O606" s="283">
        <v>0</v>
      </c>
      <c r="P606" s="284">
        <v>1</v>
      </c>
      <c r="Q606" s="153"/>
      <c r="R606" s="54" t="s">
        <v>158</v>
      </c>
      <c r="S606" s="54" t="s">
        <v>158</v>
      </c>
      <c r="T606" s="54" t="s">
        <v>158</v>
      </c>
      <c r="U606" s="54" t="s">
        <v>158</v>
      </c>
      <c r="V606" s="236" t="s">
        <v>950</v>
      </c>
      <c r="W606" s="53"/>
      <c r="X606" s="153">
        <f t="shared" si="139"/>
        <v>0</v>
      </c>
      <c r="Y606" s="55"/>
      <c r="Z606" s="55"/>
      <c r="AA606" s="52">
        <f t="shared" si="140"/>
        <v>0</v>
      </c>
      <c r="AB606" s="53">
        <f t="shared" si="141"/>
        <v>0</v>
      </c>
      <c r="AC606" s="53">
        <f t="shared" si="142"/>
        <v>0</v>
      </c>
      <c r="AD606" s="53">
        <f t="shared" si="143"/>
        <v>0</v>
      </c>
      <c r="AE606" s="53">
        <f t="shared" si="144"/>
        <v>0</v>
      </c>
      <c r="AF606" s="53">
        <f t="shared" si="145"/>
        <v>0</v>
      </c>
      <c r="AG606" s="56">
        <f t="shared" si="146"/>
        <v>0</v>
      </c>
      <c r="AH606" s="53">
        <f t="shared" si="147"/>
        <v>0</v>
      </c>
      <c r="AI606" s="55"/>
      <c r="AJ606" s="53">
        <f t="shared" si="148"/>
        <v>0</v>
      </c>
      <c r="AK606" s="53">
        <f t="shared" si="149"/>
        <v>0</v>
      </c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7"/>
      <c r="AW606" s="57"/>
      <c r="AX606" s="57"/>
    </row>
    <row r="607" spans="2:50">
      <c r="B607" s="45">
        <v>587</v>
      </c>
      <c r="C607" s="250" t="s">
        <v>782</v>
      </c>
      <c r="D607" s="250" t="s">
        <v>873</v>
      </c>
      <c r="E607" s="280" t="s">
        <v>951</v>
      </c>
      <c r="F607" s="281" t="s">
        <v>953</v>
      </c>
      <c r="G607" s="217" t="s">
        <v>795</v>
      </c>
      <c r="H607" s="282">
        <v>43104</v>
      </c>
      <c r="I607" s="169" t="s">
        <v>409</v>
      </c>
      <c r="J607" s="219">
        <f t="shared" si="150"/>
        <v>270</v>
      </c>
      <c r="K607" s="219">
        <v>30</v>
      </c>
      <c r="L607" s="219">
        <v>240</v>
      </c>
      <c r="M607" s="219"/>
      <c r="N607" s="283">
        <v>0.5</v>
      </c>
      <c r="O607" s="283">
        <v>4</v>
      </c>
      <c r="P607" s="284">
        <v>1</v>
      </c>
      <c r="Q607" s="153"/>
      <c r="R607" s="54" t="s">
        <v>158</v>
      </c>
      <c r="S607" s="54" t="s">
        <v>158</v>
      </c>
      <c r="T607" s="54" t="s">
        <v>158</v>
      </c>
      <c r="U607" s="54" t="s">
        <v>158</v>
      </c>
      <c r="V607" s="236" t="s">
        <v>950</v>
      </c>
      <c r="W607" s="53"/>
      <c r="X607" s="153">
        <f t="shared" si="139"/>
        <v>0</v>
      </c>
      <c r="Y607" s="55"/>
      <c r="Z607" s="55"/>
      <c r="AA607" s="52">
        <f t="shared" si="140"/>
        <v>0</v>
      </c>
      <c r="AB607" s="53">
        <f t="shared" si="141"/>
        <v>0</v>
      </c>
      <c r="AC607" s="53">
        <f t="shared" si="142"/>
        <v>0</v>
      </c>
      <c r="AD607" s="53">
        <f t="shared" si="143"/>
        <v>0</v>
      </c>
      <c r="AE607" s="53">
        <f t="shared" si="144"/>
        <v>0</v>
      </c>
      <c r="AF607" s="53">
        <f t="shared" si="145"/>
        <v>0</v>
      </c>
      <c r="AG607" s="56">
        <f t="shared" si="146"/>
        <v>0</v>
      </c>
      <c r="AH607" s="53">
        <f t="shared" si="147"/>
        <v>0</v>
      </c>
      <c r="AI607" s="55"/>
      <c r="AJ607" s="53">
        <f t="shared" si="148"/>
        <v>0</v>
      </c>
      <c r="AK607" s="53">
        <f t="shared" si="149"/>
        <v>0</v>
      </c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7"/>
      <c r="AW607" s="57"/>
      <c r="AX607" s="57"/>
    </row>
    <row r="608" spans="2:50">
      <c r="B608" s="45">
        <v>588</v>
      </c>
      <c r="C608" s="250" t="s">
        <v>782</v>
      </c>
      <c r="D608" s="250" t="s">
        <v>873</v>
      </c>
      <c r="E608" s="280" t="s">
        <v>951</v>
      </c>
      <c r="F608" s="281" t="s">
        <v>954</v>
      </c>
      <c r="G608" s="217" t="s">
        <v>795</v>
      </c>
      <c r="H608" s="282">
        <v>43104</v>
      </c>
      <c r="I608" s="169" t="s">
        <v>409</v>
      </c>
      <c r="J608" s="219">
        <f t="shared" si="150"/>
        <v>282</v>
      </c>
      <c r="K608" s="219">
        <v>42</v>
      </c>
      <c r="L608" s="219">
        <v>240</v>
      </c>
      <c r="M608" s="219"/>
      <c r="N608" s="283">
        <v>0.7</v>
      </c>
      <c r="O608" s="283">
        <v>4</v>
      </c>
      <c r="P608" s="284">
        <v>1</v>
      </c>
      <c r="Q608" s="153"/>
      <c r="R608" s="54" t="s">
        <v>158</v>
      </c>
      <c r="S608" s="54" t="s">
        <v>158</v>
      </c>
      <c r="T608" s="54" t="s">
        <v>158</v>
      </c>
      <c r="U608" s="54" t="s">
        <v>158</v>
      </c>
      <c r="V608" s="236" t="s">
        <v>950</v>
      </c>
      <c r="W608" s="53"/>
      <c r="X608" s="153">
        <f t="shared" si="139"/>
        <v>0</v>
      </c>
      <c r="Y608" s="55"/>
      <c r="Z608" s="55"/>
      <c r="AA608" s="52">
        <f t="shared" si="140"/>
        <v>0</v>
      </c>
      <c r="AB608" s="53">
        <f t="shared" si="141"/>
        <v>0</v>
      </c>
      <c r="AC608" s="53">
        <f t="shared" si="142"/>
        <v>0</v>
      </c>
      <c r="AD608" s="53">
        <f t="shared" si="143"/>
        <v>0</v>
      </c>
      <c r="AE608" s="53">
        <f t="shared" si="144"/>
        <v>0</v>
      </c>
      <c r="AF608" s="53">
        <f t="shared" si="145"/>
        <v>0</v>
      </c>
      <c r="AG608" s="56">
        <f t="shared" si="146"/>
        <v>0</v>
      </c>
      <c r="AH608" s="53">
        <f t="shared" si="147"/>
        <v>0</v>
      </c>
      <c r="AI608" s="55"/>
      <c r="AJ608" s="53">
        <f t="shared" si="148"/>
        <v>0</v>
      </c>
      <c r="AK608" s="53">
        <f t="shared" si="149"/>
        <v>0</v>
      </c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7"/>
      <c r="AW608" s="57"/>
      <c r="AX608" s="57"/>
    </row>
    <row r="609" spans="2:50">
      <c r="B609" s="45">
        <v>589</v>
      </c>
      <c r="C609" s="250" t="s">
        <v>782</v>
      </c>
      <c r="D609" s="250" t="s">
        <v>873</v>
      </c>
      <c r="E609" s="280" t="s">
        <v>951</v>
      </c>
      <c r="F609" s="281" t="s">
        <v>955</v>
      </c>
      <c r="G609" s="217" t="s">
        <v>795</v>
      </c>
      <c r="H609" s="282">
        <v>43104</v>
      </c>
      <c r="I609" s="169" t="s">
        <v>409</v>
      </c>
      <c r="J609" s="219">
        <f t="shared" si="150"/>
        <v>276</v>
      </c>
      <c r="K609" s="219">
        <v>36</v>
      </c>
      <c r="L609" s="219">
        <v>240</v>
      </c>
      <c r="M609" s="219"/>
      <c r="N609" s="283">
        <v>0.60000000000000009</v>
      </c>
      <c r="O609" s="283">
        <v>4</v>
      </c>
      <c r="P609" s="284">
        <v>1</v>
      </c>
      <c r="Q609" s="153"/>
      <c r="R609" s="54" t="s">
        <v>158</v>
      </c>
      <c r="S609" s="54" t="s">
        <v>158</v>
      </c>
      <c r="T609" s="54" t="s">
        <v>158</v>
      </c>
      <c r="U609" s="54" t="s">
        <v>158</v>
      </c>
      <c r="V609" s="236" t="s">
        <v>950</v>
      </c>
      <c r="W609" s="53"/>
      <c r="X609" s="153">
        <f t="shared" si="139"/>
        <v>0</v>
      </c>
      <c r="Y609" s="55"/>
      <c r="Z609" s="55"/>
      <c r="AA609" s="52">
        <f t="shared" si="140"/>
        <v>0</v>
      </c>
      <c r="AB609" s="53">
        <f t="shared" si="141"/>
        <v>0</v>
      </c>
      <c r="AC609" s="53">
        <f t="shared" si="142"/>
        <v>0</v>
      </c>
      <c r="AD609" s="53">
        <f t="shared" si="143"/>
        <v>0</v>
      </c>
      <c r="AE609" s="53">
        <f t="shared" si="144"/>
        <v>0</v>
      </c>
      <c r="AF609" s="53">
        <f t="shared" si="145"/>
        <v>0</v>
      </c>
      <c r="AG609" s="56">
        <f t="shared" si="146"/>
        <v>0</v>
      </c>
      <c r="AH609" s="53">
        <f t="shared" si="147"/>
        <v>0</v>
      </c>
      <c r="AI609" s="55"/>
      <c r="AJ609" s="53">
        <f t="shared" si="148"/>
        <v>0</v>
      </c>
      <c r="AK609" s="53">
        <f t="shared" si="149"/>
        <v>0</v>
      </c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7"/>
      <c r="AW609" s="57"/>
      <c r="AX609" s="57"/>
    </row>
    <row r="610" spans="2:50">
      <c r="B610" s="45">
        <v>590</v>
      </c>
      <c r="C610" s="250" t="s">
        <v>782</v>
      </c>
      <c r="D610" s="250" t="s">
        <v>873</v>
      </c>
      <c r="E610" s="280" t="s">
        <v>951</v>
      </c>
      <c r="F610" s="268" t="s">
        <v>956</v>
      </c>
      <c r="G610" s="217" t="s">
        <v>795</v>
      </c>
      <c r="H610" s="269">
        <v>43754</v>
      </c>
      <c r="I610" s="169" t="s">
        <v>409</v>
      </c>
      <c r="J610" s="219">
        <f t="shared" si="150"/>
        <v>12</v>
      </c>
      <c r="K610" s="219">
        <v>12</v>
      </c>
      <c r="L610" s="219">
        <v>0</v>
      </c>
      <c r="M610" s="219"/>
      <c r="N610" s="270">
        <v>12</v>
      </c>
      <c r="O610" s="230">
        <v>0</v>
      </c>
      <c r="P610" s="231">
        <v>1</v>
      </c>
      <c r="Q610" s="153"/>
      <c r="R610" s="54" t="s">
        <v>158</v>
      </c>
      <c r="S610" s="54" t="s">
        <v>158</v>
      </c>
      <c r="T610" s="54" t="s">
        <v>158</v>
      </c>
      <c r="U610" s="54" t="s">
        <v>158</v>
      </c>
      <c r="V610" s="236" t="s">
        <v>950</v>
      </c>
      <c r="W610" s="53"/>
      <c r="X610" s="153">
        <f t="shared" si="139"/>
        <v>0</v>
      </c>
      <c r="Y610" s="55"/>
      <c r="Z610" s="55"/>
      <c r="AA610" s="52">
        <f t="shared" si="140"/>
        <v>0</v>
      </c>
      <c r="AB610" s="53">
        <f t="shared" si="141"/>
        <v>0</v>
      </c>
      <c r="AC610" s="53">
        <f t="shared" si="142"/>
        <v>0</v>
      </c>
      <c r="AD610" s="53">
        <f t="shared" si="143"/>
        <v>0</v>
      </c>
      <c r="AE610" s="53">
        <f t="shared" si="144"/>
        <v>0</v>
      </c>
      <c r="AF610" s="53">
        <f t="shared" si="145"/>
        <v>0</v>
      </c>
      <c r="AG610" s="56">
        <f t="shared" si="146"/>
        <v>0</v>
      </c>
      <c r="AH610" s="53">
        <f t="shared" si="147"/>
        <v>0</v>
      </c>
      <c r="AI610" s="55"/>
      <c r="AJ610" s="53">
        <f t="shared" si="148"/>
        <v>0</v>
      </c>
      <c r="AK610" s="53">
        <f t="shared" si="149"/>
        <v>0</v>
      </c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7"/>
      <c r="AW610" s="57"/>
      <c r="AX610" s="57"/>
    </row>
    <row r="611" spans="2:50">
      <c r="B611" s="45">
        <v>591</v>
      </c>
      <c r="C611" s="250" t="s">
        <v>782</v>
      </c>
      <c r="D611" s="250" t="s">
        <v>873</v>
      </c>
      <c r="E611" s="280" t="s">
        <v>957</v>
      </c>
      <c r="F611" s="280" t="s">
        <v>958</v>
      </c>
      <c r="G611" s="217" t="s">
        <v>795</v>
      </c>
      <c r="H611" s="282">
        <v>42936</v>
      </c>
      <c r="I611" s="169" t="s">
        <v>409</v>
      </c>
      <c r="J611" s="219">
        <f t="shared" si="150"/>
        <v>12</v>
      </c>
      <c r="K611" s="219">
        <v>6</v>
      </c>
      <c r="L611" s="219">
        <v>6</v>
      </c>
      <c r="M611" s="219"/>
      <c r="N611" s="283">
        <v>0.1</v>
      </c>
      <c r="O611" s="283">
        <v>0.1</v>
      </c>
      <c r="P611" s="284">
        <v>1</v>
      </c>
      <c r="Q611" s="153"/>
      <c r="R611" s="54" t="s">
        <v>158</v>
      </c>
      <c r="S611" s="54" t="s">
        <v>158</v>
      </c>
      <c r="T611" s="54" t="s">
        <v>158</v>
      </c>
      <c r="U611" s="54" t="s">
        <v>158</v>
      </c>
      <c r="V611" s="236" t="s">
        <v>950</v>
      </c>
      <c r="W611" s="53"/>
      <c r="X611" s="153">
        <f t="shared" si="139"/>
        <v>0</v>
      </c>
      <c r="Y611" s="55"/>
      <c r="Z611" s="55"/>
      <c r="AA611" s="52">
        <f t="shared" si="140"/>
        <v>0</v>
      </c>
      <c r="AB611" s="53">
        <f t="shared" si="141"/>
        <v>0</v>
      </c>
      <c r="AC611" s="53">
        <f t="shared" si="142"/>
        <v>0</v>
      </c>
      <c r="AD611" s="53">
        <f t="shared" si="143"/>
        <v>0</v>
      </c>
      <c r="AE611" s="53">
        <f t="shared" si="144"/>
        <v>0</v>
      </c>
      <c r="AF611" s="53">
        <f t="shared" si="145"/>
        <v>0</v>
      </c>
      <c r="AG611" s="56">
        <f t="shared" si="146"/>
        <v>0</v>
      </c>
      <c r="AH611" s="53">
        <f t="shared" si="147"/>
        <v>0</v>
      </c>
      <c r="AI611" s="55"/>
      <c r="AJ611" s="53">
        <f t="shared" si="148"/>
        <v>0</v>
      </c>
      <c r="AK611" s="53">
        <f t="shared" si="149"/>
        <v>0</v>
      </c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7"/>
      <c r="AW611" s="57"/>
      <c r="AX611" s="57"/>
    </row>
    <row r="612" spans="2:50">
      <c r="B612" s="45">
        <v>592</v>
      </c>
      <c r="C612" s="250" t="s">
        <v>782</v>
      </c>
      <c r="D612" s="250" t="s">
        <v>873</v>
      </c>
      <c r="E612" s="280" t="s">
        <v>957</v>
      </c>
      <c r="F612" s="281" t="s">
        <v>959</v>
      </c>
      <c r="G612" s="217" t="s">
        <v>795</v>
      </c>
      <c r="H612" s="282">
        <v>42936</v>
      </c>
      <c r="I612" s="169" t="s">
        <v>409</v>
      </c>
      <c r="J612" s="219">
        <f t="shared" si="150"/>
        <v>18</v>
      </c>
      <c r="K612" s="219">
        <v>12</v>
      </c>
      <c r="L612" s="219">
        <v>6</v>
      </c>
      <c r="M612" s="219"/>
      <c r="N612" s="283">
        <v>0.2</v>
      </c>
      <c r="O612" s="283">
        <v>0.1</v>
      </c>
      <c r="P612" s="284">
        <v>1</v>
      </c>
      <c r="Q612" s="153"/>
      <c r="R612" s="54" t="s">
        <v>158</v>
      </c>
      <c r="S612" s="54" t="s">
        <v>158</v>
      </c>
      <c r="T612" s="54" t="s">
        <v>158</v>
      </c>
      <c r="U612" s="54" t="s">
        <v>158</v>
      </c>
      <c r="V612" s="236" t="s">
        <v>950</v>
      </c>
      <c r="W612" s="53"/>
      <c r="X612" s="153">
        <f t="shared" si="139"/>
        <v>0</v>
      </c>
      <c r="Y612" s="55"/>
      <c r="Z612" s="55"/>
      <c r="AA612" s="52">
        <f t="shared" si="140"/>
        <v>0</v>
      </c>
      <c r="AB612" s="53">
        <f t="shared" si="141"/>
        <v>0</v>
      </c>
      <c r="AC612" s="53">
        <f t="shared" si="142"/>
        <v>0</v>
      </c>
      <c r="AD612" s="53">
        <f t="shared" si="143"/>
        <v>0</v>
      </c>
      <c r="AE612" s="53">
        <f t="shared" si="144"/>
        <v>0</v>
      </c>
      <c r="AF612" s="53">
        <f t="shared" si="145"/>
        <v>0</v>
      </c>
      <c r="AG612" s="56">
        <f t="shared" si="146"/>
        <v>0</v>
      </c>
      <c r="AH612" s="53">
        <f t="shared" si="147"/>
        <v>0</v>
      </c>
      <c r="AI612" s="55"/>
      <c r="AJ612" s="53">
        <f t="shared" si="148"/>
        <v>0</v>
      </c>
      <c r="AK612" s="53">
        <f t="shared" si="149"/>
        <v>0</v>
      </c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7"/>
      <c r="AW612" s="57"/>
      <c r="AX612" s="57"/>
    </row>
    <row r="613" spans="2:50">
      <c r="B613" s="45">
        <v>593</v>
      </c>
      <c r="C613" s="250" t="s">
        <v>782</v>
      </c>
      <c r="D613" s="250" t="s">
        <v>873</v>
      </c>
      <c r="E613" s="280" t="s">
        <v>957</v>
      </c>
      <c r="F613" s="281" t="s">
        <v>815</v>
      </c>
      <c r="G613" s="217" t="s">
        <v>795</v>
      </c>
      <c r="H613" s="282">
        <v>42936</v>
      </c>
      <c r="I613" s="169" t="s">
        <v>409</v>
      </c>
      <c r="J613" s="219">
        <f t="shared" si="150"/>
        <v>6</v>
      </c>
      <c r="K613" s="219">
        <v>6</v>
      </c>
      <c r="L613" s="219">
        <v>0</v>
      </c>
      <c r="M613" s="219"/>
      <c r="N613" s="283">
        <v>0.1</v>
      </c>
      <c r="O613" s="283">
        <v>0</v>
      </c>
      <c r="P613" s="284">
        <v>1</v>
      </c>
      <c r="Q613" s="153"/>
      <c r="R613" s="54" t="s">
        <v>158</v>
      </c>
      <c r="S613" s="54" t="s">
        <v>158</v>
      </c>
      <c r="T613" s="54" t="s">
        <v>158</v>
      </c>
      <c r="U613" s="54" t="s">
        <v>158</v>
      </c>
      <c r="V613" s="236" t="s">
        <v>950</v>
      </c>
      <c r="W613" s="53"/>
      <c r="X613" s="153">
        <f t="shared" si="139"/>
        <v>0</v>
      </c>
      <c r="Y613" s="55"/>
      <c r="Z613" s="55"/>
      <c r="AA613" s="52">
        <f t="shared" si="140"/>
        <v>0</v>
      </c>
      <c r="AB613" s="53">
        <f t="shared" si="141"/>
        <v>0</v>
      </c>
      <c r="AC613" s="53">
        <f t="shared" si="142"/>
        <v>0</v>
      </c>
      <c r="AD613" s="53">
        <f t="shared" si="143"/>
        <v>0</v>
      </c>
      <c r="AE613" s="53">
        <f t="shared" si="144"/>
        <v>0</v>
      </c>
      <c r="AF613" s="53">
        <f t="shared" si="145"/>
        <v>0</v>
      </c>
      <c r="AG613" s="56">
        <f t="shared" si="146"/>
        <v>0</v>
      </c>
      <c r="AH613" s="53">
        <f t="shared" si="147"/>
        <v>0</v>
      </c>
      <c r="AI613" s="55"/>
      <c r="AJ613" s="53">
        <f t="shared" si="148"/>
        <v>0</v>
      </c>
      <c r="AK613" s="53">
        <f t="shared" si="149"/>
        <v>0</v>
      </c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7"/>
      <c r="AW613" s="57"/>
      <c r="AX613" s="57"/>
    </row>
    <row r="614" spans="2:50">
      <c r="B614" s="45">
        <v>594</v>
      </c>
      <c r="C614" s="250" t="s">
        <v>782</v>
      </c>
      <c r="D614" s="250" t="s">
        <v>873</v>
      </c>
      <c r="E614" s="280" t="s">
        <v>957</v>
      </c>
      <c r="F614" s="281" t="s">
        <v>960</v>
      </c>
      <c r="G614" s="217" t="s">
        <v>795</v>
      </c>
      <c r="H614" s="282">
        <v>43017</v>
      </c>
      <c r="I614" s="169" t="s">
        <v>409</v>
      </c>
      <c r="J614" s="219">
        <f t="shared" si="150"/>
        <v>240</v>
      </c>
      <c r="K614" s="219">
        <v>180</v>
      </c>
      <c r="L614" s="219">
        <v>60</v>
      </c>
      <c r="M614" s="219"/>
      <c r="N614" s="283">
        <v>3</v>
      </c>
      <c r="O614" s="283">
        <v>1</v>
      </c>
      <c r="P614" s="284">
        <v>1</v>
      </c>
      <c r="Q614" s="153"/>
      <c r="R614" s="54" t="s">
        <v>158</v>
      </c>
      <c r="S614" s="54" t="s">
        <v>158</v>
      </c>
      <c r="T614" s="54" t="s">
        <v>158</v>
      </c>
      <c r="U614" s="54" t="s">
        <v>158</v>
      </c>
      <c r="V614" s="236" t="s">
        <v>950</v>
      </c>
      <c r="W614" s="53"/>
      <c r="X614" s="153">
        <f t="shared" si="139"/>
        <v>0</v>
      </c>
      <c r="Y614" s="55"/>
      <c r="Z614" s="55"/>
      <c r="AA614" s="52">
        <f t="shared" si="140"/>
        <v>0</v>
      </c>
      <c r="AB614" s="53">
        <f t="shared" si="141"/>
        <v>0</v>
      </c>
      <c r="AC614" s="53">
        <f t="shared" si="142"/>
        <v>0</v>
      </c>
      <c r="AD614" s="53">
        <f t="shared" si="143"/>
        <v>0</v>
      </c>
      <c r="AE614" s="53">
        <f t="shared" si="144"/>
        <v>0</v>
      </c>
      <c r="AF614" s="53">
        <f t="shared" si="145"/>
        <v>0</v>
      </c>
      <c r="AG614" s="56">
        <f t="shared" si="146"/>
        <v>0</v>
      </c>
      <c r="AH614" s="53">
        <f t="shared" si="147"/>
        <v>0</v>
      </c>
      <c r="AI614" s="55"/>
      <c r="AJ614" s="53">
        <f t="shared" si="148"/>
        <v>0</v>
      </c>
      <c r="AK614" s="53">
        <f t="shared" si="149"/>
        <v>0</v>
      </c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7"/>
      <c r="AW614" s="57"/>
      <c r="AX614" s="57"/>
    </row>
    <row r="615" spans="2:50">
      <c r="B615" s="45">
        <v>595</v>
      </c>
      <c r="C615" s="250" t="s">
        <v>782</v>
      </c>
      <c r="D615" s="250" t="s">
        <v>873</v>
      </c>
      <c r="E615" s="280" t="s">
        <v>957</v>
      </c>
      <c r="F615" s="281" t="s">
        <v>961</v>
      </c>
      <c r="G615" s="217" t="s">
        <v>795</v>
      </c>
      <c r="H615" s="282">
        <v>43017</v>
      </c>
      <c r="I615" s="169" t="s">
        <v>409</v>
      </c>
      <c r="J615" s="219">
        <f t="shared" si="150"/>
        <v>24</v>
      </c>
      <c r="K615" s="219">
        <v>18</v>
      </c>
      <c r="L615" s="219">
        <v>6</v>
      </c>
      <c r="M615" s="219"/>
      <c r="N615" s="283">
        <v>0.3</v>
      </c>
      <c r="O615" s="283">
        <v>0.1</v>
      </c>
      <c r="P615" s="284">
        <v>1</v>
      </c>
      <c r="Q615" s="153"/>
      <c r="R615" s="54" t="s">
        <v>158</v>
      </c>
      <c r="S615" s="54" t="s">
        <v>158</v>
      </c>
      <c r="T615" s="54" t="s">
        <v>158</v>
      </c>
      <c r="U615" s="54" t="s">
        <v>158</v>
      </c>
      <c r="V615" s="236" t="s">
        <v>950</v>
      </c>
      <c r="W615" s="53"/>
      <c r="X615" s="153">
        <f t="shared" si="139"/>
        <v>0</v>
      </c>
      <c r="Y615" s="55"/>
      <c r="Z615" s="55"/>
      <c r="AA615" s="52">
        <f t="shared" si="140"/>
        <v>0</v>
      </c>
      <c r="AB615" s="53">
        <f t="shared" si="141"/>
        <v>0</v>
      </c>
      <c r="AC615" s="53">
        <f t="shared" si="142"/>
        <v>0</v>
      </c>
      <c r="AD615" s="53">
        <f t="shared" si="143"/>
        <v>0</v>
      </c>
      <c r="AE615" s="53">
        <f t="shared" si="144"/>
        <v>0</v>
      </c>
      <c r="AF615" s="53">
        <f t="shared" si="145"/>
        <v>0</v>
      </c>
      <c r="AG615" s="56">
        <f t="shared" si="146"/>
        <v>0</v>
      </c>
      <c r="AH615" s="53">
        <f t="shared" si="147"/>
        <v>0</v>
      </c>
      <c r="AI615" s="55"/>
      <c r="AJ615" s="53">
        <f t="shared" si="148"/>
        <v>0</v>
      </c>
      <c r="AK615" s="53">
        <f t="shared" si="149"/>
        <v>0</v>
      </c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7"/>
      <c r="AW615" s="57"/>
      <c r="AX615" s="57"/>
    </row>
    <row r="616" spans="2:50">
      <c r="B616" s="45">
        <v>596</v>
      </c>
      <c r="C616" s="250" t="s">
        <v>782</v>
      </c>
      <c r="D616" s="250" t="s">
        <v>873</v>
      </c>
      <c r="E616" s="280" t="s">
        <v>962</v>
      </c>
      <c r="F616" s="280" t="s">
        <v>963</v>
      </c>
      <c r="G616" s="217" t="s">
        <v>795</v>
      </c>
      <c r="H616" s="285">
        <v>43305</v>
      </c>
      <c r="I616" s="169" t="s">
        <v>409</v>
      </c>
      <c r="J616" s="219">
        <f t="shared" si="150"/>
        <v>36</v>
      </c>
      <c r="K616" s="219">
        <v>36</v>
      </c>
      <c r="L616" s="219">
        <v>0</v>
      </c>
      <c r="M616" s="219"/>
      <c r="N616" s="286">
        <v>0.6</v>
      </c>
      <c r="O616" s="286">
        <v>0</v>
      </c>
      <c r="P616" s="287">
        <v>1</v>
      </c>
      <c r="Q616" s="153"/>
      <c r="R616" s="54" t="s">
        <v>158</v>
      </c>
      <c r="S616" s="54" t="s">
        <v>158</v>
      </c>
      <c r="T616" s="54" t="s">
        <v>158</v>
      </c>
      <c r="U616" s="54" t="s">
        <v>158</v>
      </c>
      <c r="V616" s="236" t="s">
        <v>964</v>
      </c>
      <c r="W616" s="53"/>
      <c r="X616" s="153">
        <f t="shared" ref="X616:X628" si="151">SUMIF(W616,"Y",K616)</f>
        <v>0</v>
      </c>
      <c r="Y616" s="55"/>
      <c r="Z616" s="55"/>
      <c r="AA616" s="52">
        <f t="shared" ref="AA616:AA628" si="152">(COUNTA(AL616:AU616)-COUNTIF(AL616:AU616, "X"))</f>
        <v>0</v>
      </c>
      <c r="AB616" s="53">
        <f t="shared" ref="AB616:AB628" si="153">(COUNTA(AL616:AU616)-COUNTIF(AL616:AU616, "X"))*P616*K616</f>
        <v>0</v>
      </c>
      <c r="AC616" s="53">
        <f t="shared" ref="AC616:AC628" si="154">COUNTIF(AL616:AU616,"A")</f>
        <v>0</v>
      </c>
      <c r="AD616" s="53">
        <f t="shared" ref="AD616:AD628" si="155">COUNTIF(AL616:AU616,"V")*P616*M616</f>
        <v>0</v>
      </c>
      <c r="AE616" s="53">
        <f t="shared" ref="AE616:AE628" si="156">COUNTIF(AL616:AU616,"L")</f>
        <v>0</v>
      </c>
      <c r="AF616" s="53">
        <f t="shared" ref="AF616:AF628" si="157">COUNTIF(AL616:AU616,"L")*K616*P616</f>
        <v>0</v>
      </c>
      <c r="AG616" s="56">
        <f t="shared" ref="AG616:AG628" si="158">IF(Q616="Y",1,0)</f>
        <v>0</v>
      </c>
      <c r="AH616" s="53">
        <f t="shared" ref="AH616:AH628" si="159">IF(Q616="Y", AA616, 0)*K616*P616/2</f>
        <v>0</v>
      </c>
      <c r="AI616" s="55"/>
      <c r="AJ616" s="53">
        <f t="shared" ref="AJ616:AJ628" si="160">COUNTIF(AL616:AU616, "V")</f>
        <v>0</v>
      </c>
      <c r="AK616" s="53">
        <f t="shared" ref="AK616:AK628" si="161">AB616-AD616-AF616-AH616</f>
        <v>0</v>
      </c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7"/>
      <c r="AW616" s="57"/>
      <c r="AX616" s="57"/>
    </row>
    <row r="617" spans="2:50">
      <c r="B617" s="45">
        <v>597</v>
      </c>
      <c r="C617" s="250" t="s">
        <v>782</v>
      </c>
      <c r="D617" s="250" t="s">
        <v>873</v>
      </c>
      <c r="E617" s="280" t="s">
        <v>962</v>
      </c>
      <c r="F617" s="288" t="s">
        <v>965</v>
      </c>
      <c r="G617" s="217" t="s">
        <v>795</v>
      </c>
      <c r="H617" s="282">
        <v>43017</v>
      </c>
      <c r="I617" s="169" t="s">
        <v>409</v>
      </c>
      <c r="J617" s="219">
        <f t="shared" si="150"/>
        <v>42</v>
      </c>
      <c r="K617" s="219">
        <v>42</v>
      </c>
      <c r="L617" s="219">
        <v>0</v>
      </c>
      <c r="M617" s="219"/>
      <c r="N617" s="283">
        <v>0.7</v>
      </c>
      <c r="O617" s="283">
        <v>0</v>
      </c>
      <c r="P617" s="284">
        <v>1</v>
      </c>
      <c r="Q617" s="153"/>
      <c r="R617" s="54" t="s">
        <v>158</v>
      </c>
      <c r="S617" s="54" t="s">
        <v>158</v>
      </c>
      <c r="T617" s="54" t="s">
        <v>158</v>
      </c>
      <c r="U617" s="54" t="s">
        <v>158</v>
      </c>
      <c r="V617" s="236" t="s">
        <v>964</v>
      </c>
      <c r="W617" s="53"/>
      <c r="X617" s="153">
        <f t="shared" si="151"/>
        <v>0</v>
      </c>
      <c r="Y617" s="55"/>
      <c r="Z617" s="55"/>
      <c r="AA617" s="52">
        <f t="shared" si="152"/>
        <v>0</v>
      </c>
      <c r="AB617" s="53">
        <f t="shared" si="153"/>
        <v>0</v>
      </c>
      <c r="AC617" s="53">
        <f t="shared" si="154"/>
        <v>0</v>
      </c>
      <c r="AD617" s="53">
        <f t="shared" si="155"/>
        <v>0</v>
      </c>
      <c r="AE617" s="53">
        <f t="shared" si="156"/>
        <v>0</v>
      </c>
      <c r="AF617" s="53">
        <f t="shared" si="157"/>
        <v>0</v>
      </c>
      <c r="AG617" s="56">
        <f t="shared" si="158"/>
        <v>0</v>
      </c>
      <c r="AH617" s="53">
        <f t="shared" si="159"/>
        <v>0</v>
      </c>
      <c r="AI617" s="55"/>
      <c r="AJ617" s="53">
        <f t="shared" si="160"/>
        <v>0</v>
      </c>
      <c r="AK617" s="53">
        <f t="shared" si="161"/>
        <v>0</v>
      </c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7"/>
      <c r="AW617" s="57"/>
      <c r="AX617" s="57"/>
    </row>
    <row r="618" spans="2:50">
      <c r="B618" s="45">
        <v>598</v>
      </c>
      <c r="C618" s="250" t="s">
        <v>782</v>
      </c>
      <c r="D618" s="250" t="s">
        <v>873</v>
      </c>
      <c r="E618" s="280" t="s">
        <v>962</v>
      </c>
      <c r="F618" s="288" t="s">
        <v>966</v>
      </c>
      <c r="G618" s="217" t="s">
        <v>795</v>
      </c>
      <c r="H618" s="282">
        <v>43017</v>
      </c>
      <c r="I618" s="169" t="s">
        <v>409</v>
      </c>
      <c r="J618" s="219">
        <f t="shared" si="150"/>
        <v>54</v>
      </c>
      <c r="K618" s="219">
        <v>54</v>
      </c>
      <c r="L618" s="219">
        <v>0</v>
      </c>
      <c r="M618" s="219"/>
      <c r="N618" s="283">
        <v>0.89999999999999991</v>
      </c>
      <c r="O618" s="283">
        <v>0</v>
      </c>
      <c r="P618" s="284">
        <v>1</v>
      </c>
      <c r="Q618" s="153"/>
      <c r="R618" s="54" t="s">
        <v>158</v>
      </c>
      <c r="S618" s="54" t="s">
        <v>158</v>
      </c>
      <c r="T618" s="54" t="s">
        <v>158</v>
      </c>
      <c r="U618" s="54" t="s">
        <v>158</v>
      </c>
      <c r="V618" s="236" t="s">
        <v>964</v>
      </c>
      <c r="W618" s="53"/>
      <c r="X618" s="153">
        <f t="shared" si="151"/>
        <v>0</v>
      </c>
      <c r="Y618" s="55"/>
      <c r="Z618" s="55"/>
      <c r="AA618" s="52">
        <f t="shared" si="152"/>
        <v>0</v>
      </c>
      <c r="AB618" s="53">
        <f t="shared" si="153"/>
        <v>0</v>
      </c>
      <c r="AC618" s="53">
        <f t="shared" si="154"/>
        <v>0</v>
      </c>
      <c r="AD618" s="53">
        <f t="shared" si="155"/>
        <v>0</v>
      </c>
      <c r="AE618" s="53">
        <f t="shared" si="156"/>
        <v>0</v>
      </c>
      <c r="AF618" s="53">
        <f t="shared" si="157"/>
        <v>0</v>
      </c>
      <c r="AG618" s="56">
        <f t="shared" si="158"/>
        <v>0</v>
      </c>
      <c r="AH618" s="53">
        <f t="shared" si="159"/>
        <v>0</v>
      </c>
      <c r="AI618" s="55"/>
      <c r="AJ618" s="53">
        <f t="shared" si="160"/>
        <v>0</v>
      </c>
      <c r="AK618" s="53">
        <f t="shared" si="161"/>
        <v>0</v>
      </c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7"/>
      <c r="AW618" s="57"/>
      <c r="AX618" s="57"/>
    </row>
    <row r="619" spans="2:50">
      <c r="B619" s="45">
        <v>599</v>
      </c>
      <c r="C619" s="250" t="s">
        <v>782</v>
      </c>
      <c r="D619" s="250" t="s">
        <v>873</v>
      </c>
      <c r="E619" s="280" t="s">
        <v>962</v>
      </c>
      <c r="F619" s="288" t="s">
        <v>967</v>
      </c>
      <c r="G619" s="217" t="s">
        <v>795</v>
      </c>
      <c r="H619" s="282">
        <v>43017</v>
      </c>
      <c r="I619" s="169" t="s">
        <v>409</v>
      </c>
      <c r="J619" s="219">
        <f t="shared" si="150"/>
        <v>192</v>
      </c>
      <c r="K619" s="219">
        <v>192</v>
      </c>
      <c r="L619" s="219">
        <v>0</v>
      </c>
      <c r="M619" s="219"/>
      <c r="N619" s="283">
        <v>3.1999999999999997</v>
      </c>
      <c r="O619" s="283">
        <v>0</v>
      </c>
      <c r="P619" s="284">
        <v>1</v>
      </c>
      <c r="Q619" s="153"/>
      <c r="R619" s="54" t="s">
        <v>158</v>
      </c>
      <c r="S619" s="54" t="s">
        <v>158</v>
      </c>
      <c r="T619" s="54" t="s">
        <v>158</v>
      </c>
      <c r="U619" s="54" t="s">
        <v>158</v>
      </c>
      <c r="V619" s="236" t="s">
        <v>964</v>
      </c>
      <c r="W619" s="53"/>
      <c r="X619" s="153">
        <f t="shared" si="151"/>
        <v>0</v>
      </c>
      <c r="Y619" s="55"/>
      <c r="Z619" s="55"/>
      <c r="AA619" s="52">
        <f t="shared" si="152"/>
        <v>0</v>
      </c>
      <c r="AB619" s="53">
        <f t="shared" si="153"/>
        <v>0</v>
      </c>
      <c r="AC619" s="53">
        <f t="shared" si="154"/>
        <v>0</v>
      </c>
      <c r="AD619" s="53">
        <f t="shared" si="155"/>
        <v>0</v>
      </c>
      <c r="AE619" s="53">
        <f t="shared" si="156"/>
        <v>0</v>
      </c>
      <c r="AF619" s="53">
        <f t="shared" si="157"/>
        <v>0</v>
      </c>
      <c r="AG619" s="56">
        <f t="shared" si="158"/>
        <v>0</v>
      </c>
      <c r="AH619" s="53">
        <f t="shared" si="159"/>
        <v>0</v>
      </c>
      <c r="AI619" s="55"/>
      <c r="AJ619" s="53">
        <f t="shared" si="160"/>
        <v>0</v>
      </c>
      <c r="AK619" s="53">
        <f t="shared" si="161"/>
        <v>0</v>
      </c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7"/>
      <c r="AW619" s="57"/>
      <c r="AX619" s="57"/>
    </row>
    <row r="620" spans="2:50">
      <c r="B620" s="45">
        <v>600</v>
      </c>
      <c r="C620" s="250" t="s">
        <v>782</v>
      </c>
      <c r="D620" s="250" t="s">
        <v>873</v>
      </c>
      <c r="E620" s="280" t="s">
        <v>962</v>
      </c>
      <c r="F620" s="288" t="s">
        <v>837</v>
      </c>
      <c r="G620" s="217" t="s">
        <v>795</v>
      </c>
      <c r="H620" s="282">
        <v>43017</v>
      </c>
      <c r="I620" s="169" t="s">
        <v>409</v>
      </c>
      <c r="J620" s="219">
        <f t="shared" si="150"/>
        <v>240</v>
      </c>
      <c r="K620" s="219">
        <v>156</v>
      </c>
      <c r="L620" s="219">
        <v>84</v>
      </c>
      <c r="M620" s="219"/>
      <c r="N620" s="283">
        <v>2.6</v>
      </c>
      <c r="O620" s="283">
        <v>1.4</v>
      </c>
      <c r="P620" s="284">
        <v>1</v>
      </c>
      <c r="Q620" s="153"/>
      <c r="R620" s="54" t="s">
        <v>158</v>
      </c>
      <c r="S620" s="54" t="s">
        <v>158</v>
      </c>
      <c r="T620" s="54" t="s">
        <v>158</v>
      </c>
      <c r="U620" s="54" t="s">
        <v>158</v>
      </c>
      <c r="V620" s="236" t="s">
        <v>964</v>
      </c>
      <c r="W620" s="53"/>
      <c r="X620" s="153">
        <f t="shared" si="151"/>
        <v>0</v>
      </c>
      <c r="Y620" s="55"/>
      <c r="Z620" s="55"/>
      <c r="AA620" s="52">
        <f t="shared" si="152"/>
        <v>0</v>
      </c>
      <c r="AB620" s="53">
        <f t="shared" si="153"/>
        <v>0</v>
      </c>
      <c r="AC620" s="53">
        <f t="shared" si="154"/>
        <v>0</v>
      </c>
      <c r="AD620" s="53">
        <f t="shared" si="155"/>
        <v>0</v>
      </c>
      <c r="AE620" s="53">
        <f t="shared" si="156"/>
        <v>0</v>
      </c>
      <c r="AF620" s="53">
        <f t="shared" si="157"/>
        <v>0</v>
      </c>
      <c r="AG620" s="56">
        <f t="shared" si="158"/>
        <v>0</v>
      </c>
      <c r="AH620" s="53">
        <f t="shared" si="159"/>
        <v>0</v>
      </c>
      <c r="AI620" s="55"/>
      <c r="AJ620" s="53">
        <f t="shared" si="160"/>
        <v>0</v>
      </c>
      <c r="AK620" s="53">
        <f t="shared" si="161"/>
        <v>0</v>
      </c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7"/>
      <c r="AW620" s="57"/>
      <c r="AX620" s="57"/>
    </row>
    <row r="621" spans="2:50">
      <c r="B621" s="45">
        <v>601</v>
      </c>
      <c r="C621" s="250" t="s">
        <v>782</v>
      </c>
      <c r="D621" s="250" t="s">
        <v>873</v>
      </c>
      <c r="E621" s="280" t="s">
        <v>962</v>
      </c>
      <c r="F621" s="288" t="s">
        <v>968</v>
      </c>
      <c r="G621" s="217" t="s">
        <v>795</v>
      </c>
      <c r="H621" s="282">
        <v>43017</v>
      </c>
      <c r="I621" s="169" t="s">
        <v>409</v>
      </c>
      <c r="J621" s="219">
        <f t="shared" si="150"/>
        <v>54</v>
      </c>
      <c r="K621" s="219">
        <v>54</v>
      </c>
      <c r="L621" s="219">
        <v>0</v>
      </c>
      <c r="M621" s="219"/>
      <c r="N621" s="283">
        <v>0.90000000000000013</v>
      </c>
      <c r="O621" s="283">
        <v>0</v>
      </c>
      <c r="P621" s="284">
        <v>1</v>
      </c>
      <c r="Q621" s="153"/>
      <c r="R621" s="54" t="s">
        <v>158</v>
      </c>
      <c r="S621" s="54" t="s">
        <v>158</v>
      </c>
      <c r="T621" s="54" t="s">
        <v>158</v>
      </c>
      <c r="U621" s="54" t="s">
        <v>158</v>
      </c>
      <c r="V621" s="236" t="s">
        <v>964</v>
      </c>
      <c r="W621" s="53"/>
      <c r="X621" s="153">
        <f t="shared" si="151"/>
        <v>0</v>
      </c>
      <c r="Y621" s="55"/>
      <c r="Z621" s="55"/>
      <c r="AA621" s="52">
        <f t="shared" si="152"/>
        <v>0</v>
      </c>
      <c r="AB621" s="53">
        <f t="shared" si="153"/>
        <v>0</v>
      </c>
      <c r="AC621" s="53">
        <f t="shared" si="154"/>
        <v>0</v>
      </c>
      <c r="AD621" s="53">
        <f t="shared" si="155"/>
        <v>0</v>
      </c>
      <c r="AE621" s="53">
        <f t="shared" si="156"/>
        <v>0</v>
      </c>
      <c r="AF621" s="53">
        <f t="shared" si="157"/>
        <v>0</v>
      </c>
      <c r="AG621" s="56">
        <f t="shared" si="158"/>
        <v>0</v>
      </c>
      <c r="AH621" s="53">
        <f t="shared" si="159"/>
        <v>0</v>
      </c>
      <c r="AI621" s="55"/>
      <c r="AJ621" s="53">
        <f t="shared" si="160"/>
        <v>0</v>
      </c>
      <c r="AK621" s="53">
        <f t="shared" si="161"/>
        <v>0</v>
      </c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7"/>
      <c r="AW621" s="57"/>
      <c r="AX621" s="57"/>
    </row>
    <row r="622" spans="2:50">
      <c r="B622" s="45">
        <v>602</v>
      </c>
      <c r="C622" s="250" t="s">
        <v>782</v>
      </c>
      <c r="D622" s="250" t="s">
        <v>873</v>
      </c>
      <c r="E622" s="280" t="s">
        <v>962</v>
      </c>
      <c r="F622" s="288" t="s">
        <v>969</v>
      </c>
      <c r="G622" s="217" t="s">
        <v>795</v>
      </c>
      <c r="H622" s="282">
        <v>43728</v>
      </c>
      <c r="I622" s="169" t="s">
        <v>409</v>
      </c>
      <c r="J622" s="219">
        <f t="shared" si="150"/>
        <v>1626</v>
      </c>
      <c r="K622" s="219">
        <v>66</v>
      </c>
      <c r="L622" s="219">
        <v>1560</v>
      </c>
      <c r="M622" s="219"/>
      <c r="N622" s="283">
        <v>1.1000000000000001</v>
      </c>
      <c r="O622" s="283">
        <v>26</v>
      </c>
      <c r="P622" s="284">
        <v>1</v>
      </c>
      <c r="Q622" s="153"/>
      <c r="R622" s="54" t="s">
        <v>158</v>
      </c>
      <c r="S622" s="54" t="s">
        <v>158</v>
      </c>
      <c r="T622" s="54" t="s">
        <v>158</v>
      </c>
      <c r="U622" s="54" t="s">
        <v>158</v>
      </c>
      <c r="V622" s="236" t="s">
        <v>964</v>
      </c>
      <c r="W622" s="53"/>
      <c r="X622" s="153">
        <f t="shared" si="151"/>
        <v>0</v>
      </c>
      <c r="Y622" s="55"/>
      <c r="Z622" s="55"/>
      <c r="AA622" s="52">
        <f t="shared" si="152"/>
        <v>0</v>
      </c>
      <c r="AB622" s="53">
        <f t="shared" si="153"/>
        <v>0</v>
      </c>
      <c r="AC622" s="53">
        <f t="shared" si="154"/>
        <v>0</v>
      </c>
      <c r="AD622" s="53">
        <f t="shared" si="155"/>
        <v>0</v>
      </c>
      <c r="AE622" s="53">
        <f t="shared" si="156"/>
        <v>0</v>
      </c>
      <c r="AF622" s="53">
        <f t="shared" si="157"/>
        <v>0</v>
      </c>
      <c r="AG622" s="56">
        <f t="shared" si="158"/>
        <v>0</v>
      </c>
      <c r="AH622" s="53">
        <f t="shared" si="159"/>
        <v>0</v>
      </c>
      <c r="AI622" s="55"/>
      <c r="AJ622" s="53">
        <f t="shared" si="160"/>
        <v>0</v>
      </c>
      <c r="AK622" s="53">
        <f t="shared" si="161"/>
        <v>0</v>
      </c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7"/>
      <c r="AW622" s="57"/>
      <c r="AX622" s="57"/>
    </row>
    <row r="623" spans="2:50">
      <c r="B623" s="45">
        <v>603</v>
      </c>
      <c r="C623" s="250" t="s">
        <v>782</v>
      </c>
      <c r="D623" s="250" t="s">
        <v>873</v>
      </c>
      <c r="E623" s="280" t="s">
        <v>970</v>
      </c>
      <c r="F623" s="280" t="s">
        <v>971</v>
      </c>
      <c r="G623" s="217" t="s">
        <v>795</v>
      </c>
      <c r="H623" s="282">
        <v>43062</v>
      </c>
      <c r="I623" s="169" t="s">
        <v>409</v>
      </c>
      <c r="J623" s="219">
        <f t="shared" si="150"/>
        <v>42</v>
      </c>
      <c r="K623" s="219">
        <v>42</v>
      </c>
      <c r="L623" s="219">
        <v>0</v>
      </c>
      <c r="M623" s="219"/>
      <c r="N623" s="283">
        <v>0.7</v>
      </c>
      <c r="O623" s="283">
        <v>0</v>
      </c>
      <c r="P623" s="284">
        <v>1</v>
      </c>
      <c r="Q623" s="153"/>
      <c r="R623" s="54" t="s">
        <v>158</v>
      </c>
      <c r="S623" s="54" t="s">
        <v>158</v>
      </c>
      <c r="T623" s="54" t="s">
        <v>158</v>
      </c>
      <c r="U623" s="54" t="s">
        <v>158</v>
      </c>
      <c r="V623" s="236" t="s">
        <v>972</v>
      </c>
      <c r="W623" s="53"/>
      <c r="X623" s="153">
        <f t="shared" si="151"/>
        <v>0</v>
      </c>
      <c r="Y623" s="55"/>
      <c r="Z623" s="55"/>
      <c r="AA623" s="52">
        <f t="shared" si="152"/>
        <v>0</v>
      </c>
      <c r="AB623" s="53">
        <f t="shared" si="153"/>
        <v>0</v>
      </c>
      <c r="AC623" s="53">
        <f t="shared" si="154"/>
        <v>0</v>
      </c>
      <c r="AD623" s="53">
        <f t="shared" si="155"/>
        <v>0</v>
      </c>
      <c r="AE623" s="53">
        <f t="shared" si="156"/>
        <v>0</v>
      </c>
      <c r="AF623" s="53">
        <f t="shared" si="157"/>
        <v>0</v>
      </c>
      <c r="AG623" s="56">
        <f t="shared" si="158"/>
        <v>0</v>
      </c>
      <c r="AH623" s="53">
        <f t="shared" si="159"/>
        <v>0</v>
      </c>
      <c r="AI623" s="55"/>
      <c r="AJ623" s="53">
        <f t="shared" si="160"/>
        <v>0</v>
      </c>
      <c r="AK623" s="53">
        <f t="shared" si="161"/>
        <v>0</v>
      </c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7"/>
      <c r="AW623" s="57"/>
      <c r="AX623" s="57"/>
    </row>
    <row r="624" spans="2:50">
      <c r="B624" s="45">
        <v>604</v>
      </c>
      <c r="C624" s="250" t="s">
        <v>782</v>
      </c>
      <c r="D624" s="250" t="s">
        <v>873</v>
      </c>
      <c r="E624" s="268" t="s">
        <v>973</v>
      </c>
      <c r="F624" s="268" t="s">
        <v>530</v>
      </c>
      <c r="G624" s="217" t="s">
        <v>795</v>
      </c>
      <c r="H624" s="269">
        <v>43737</v>
      </c>
      <c r="I624" s="169" t="s">
        <v>409</v>
      </c>
      <c r="J624" s="219">
        <f t="shared" si="150"/>
        <v>36</v>
      </c>
      <c r="K624" s="219">
        <v>36</v>
      </c>
      <c r="L624" s="219">
        <v>0</v>
      </c>
      <c r="M624" s="219"/>
      <c r="N624" s="270">
        <v>0.6</v>
      </c>
      <c r="O624" s="230">
        <v>0</v>
      </c>
      <c r="P624" s="231">
        <v>1</v>
      </c>
      <c r="Q624" s="153"/>
      <c r="R624" s="54" t="s">
        <v>158</v>
      </c>
      <c r="S624" s="54" t="s">
        <v>158</v>
      </c>
      <c r="T624" s="54" t="s">
        <v>158</v>
      </c>
      <c r="U624" s="54" t="s">
        <v>158</v>
      </c>
      <c r="V624" s="236" t="s">
        <v>974</v>
      </c>
      <c r="W624" s="53"/>
      <c r="X624" s="153">
        <f t="shared" si="151"/>
        <v>0</v>
      </c>
      <c r="Y624" s="55"/>
      <c r="Z624" s="55"/>
      <c r="AA624" s="52">
        <f t="shared" si="152"/>
        <v>0</v>
      </c>
      <c r="AB624" s="53">
        <f t="shared" si="153"/>
        <v>0</v>
      </c>
      <c r="AC624" s="53">
        <f t="shared" si="154"/>
        <v>0</v>
      </c>
      <c r="AD624" s="53">
        <f t="shared" si="155"/>
        <v>0</v>
      </c>
      <c r="AE624" s="53">
        <f t="shared" si="156"/>
        <v>0</v>
      </c>
      <c r="AF624" s="53">
        <f t="shared" si="157"/>
        <v>0</v>
      </c>
      <c r="AG624" s="56">
        <f t="shared" si="158"/>
        <v>0</v>
      </c>
      <c r="AH624" s="53">
        <f t="shared" si="159"/>
        <v>0</v>
      </c>
      <c r="AI624" s="55"/>
      <c r="AJ624" s="53">
        <f t="shared" si="160"/>
        <v>0</v>
      </c>
      <c r="AK624" s="53">
        <f t="shared" si="161"/>
        <v>0</v>
      </c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7"/>
      <c r="AW624" s="57"/>
      <c r="AX624" s="57"/>
    </row>
    <row r="625" spans="2:50">
      <c r="B625" s="45">
        <v>605</v>
      </c>
      <c r="C625" s="250" t="s">
        <v>782</v>
      </c>
      <c r="D625" s="250" t="s">
        <v>873</v>
      </c>
      <c r="E625" s="268" t="s">
        <v>973</v>
      </c>
      <c r="F625" s="268" t="s">
        <v>975</v>
      </c>
      <c r="G625" s="217" t="s">
        <v>795</v>
      </c>
      <c r="H625" s="269">
        <v>43737</v>
      </c>
      <c r="I625" s="169" t="s">
        <v>409</v>
      </c>
      <c r="J625" s="219">
        <f t="shared" si="150"/>
        <v>36</v>
      </c>
      <c r="K625" s="219">
        <v>36</v>
      </c>
      <c r="L625" s="219">
        <v>0</v>
      </c>
      <c r="M625" s="219"/>
      <c r="N625" s="270">
        <v>0.60000000000000009</v>
      </c>
      <c r="O625" s="230">
        <v>0</v>
      </c>
      <c r="P625" s="231">
        <v>1</v>
      </c>
      <c r="Q625" s="153"/>
      <c r="R625" s="54" t="s">
        <v>158</v>
      </c>
      <c r="S625" s="54" t="s">
        <v>158</v>
      </c>
      <c r="T625" s="54" t="s">
        <v>158</v>
      </c>
      <c r="U625" s="54" t="s">
        <v>158</v>
      </c>
      <c r="V625" s="236" t="s">
        <v>974</v>
      </c>
      <c r="W625" s="53"/>
      <c r="X625" s="153">
        <f t="shared" si="151"/>
        <v>0</v>
      </c>
      <c r="Y625" s="55"/>
      <c r="Z625" s="55"/>
      <c r="AA625" s="52">
        <f t="shared" si="152"/>
        <v>0</v>
      </c>
      <c r="AB625" s="53">
        <f t="shared" si="153"/>
        <v>0</v>
      </c>
      <c r="AC625" s="53">
        <f t="shared" si="154"/>
        <v>0</v>
      </c>
      <c r="AD625" s="53">
        <f t="shared" si="155"/>
        <v>0</v>
      </c>
      <c r="AE625" s="53">
        <f t="shared" si="156"/>
        <v>0</v>
      </c>
      <c r="AF625" s="53">
        <f t="shared" si="157"/>
        <v>0</v>
      </c>
      <c r="AG625" s="56">
        <f t="shared" si="158"/>
        <v>0</v>
      </c>
      <c r="AH625" s="53">
        <f t="shared" si="159"/>
        <v>0</v>
      </c>
      <c r="AI625" s="55"/>
      <c r="AJ625" s="53">
        <f t="shared" si="160"/>
        <v>0</v>
      </c>
      <c r="AK625" s="53">
        <f t="shared" si="161"/>
        <v>0</v>
      </c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7"/>
      <c r="AW625" s="57"/>
      <c r="AX625" s="57"/>
    </row>
    <row r="626" spans="2:50">
      <c r="B626" s="45">
        <v>606</v>
      </c>
      <c r="C626" s="250" t="s">
        <v>782</v>
      </c>
      <c r="D626" s="250" t="s">
        <v>873</v>
      </c>
      <c r="E626" s="268" t="s">
        <v>973</v>
      </c>
      <c r="F626" s="268" t="s">
        <v>976</v>
      </c>
      <c r="G626" s="217" t="s">
        <v>795</v>
      </c>
      <c r="H626" s="269">
        <v>43737</v>
      </c>
      <c r="I626" s="169" t="s">
        <v>409</v>
      </c>
      <c r="J626" s="219">
        <f t="shared" si="150"/>
        <v>60</v>
      </c>
      <c r="K626" s="219">
        <v>60</v>
      </c>
      <c r="L626" s="219">
        <v>0</v>
      </c>
      <c r="M626" s="219"/>
      <c r="N626" s="270">
        <v>1</v>
      </c>
      <c r="O626" s="230">
        <v>0</v>
      </c>
      <c r="P626" s="231">
        <v>1</v>
      </c>
      <c r="Q626" s="153"/>
      <c r="R626" s="54" t="s">
        <v>158</v>
      </c>
      <c r="S626" s="54" t="s">
        <v>158</v>
      </c>
      <c r="T626" s="54" t="s">
        <v>158</v>
      </c>
      <c r="U626" s="54" t="s">
        <v>158</v>
      </c>
      <c r="V626" s="236" t="s">
        <v>974</v>
      </c>
      <c r="W626" s="53"/>
      <c r="X626" s="153">
        <f t="shared" si="151"/>
        <v>0</v>
      </c>
      <c r="Y626" s="55"/>
      <c r="Z626" s="55"/>
      <c r="AA626" s="52">
        <f t="shared" si="152"/>
        <v>0</v>
      </c>
      <c r="AB626" s="53">
        <f t="shared" si="153"/>
        <v>0</v>
      </c>
      <c r="AC626" s="53">
        <f t="shared" si="154"/>
        <v>0</v>
      </c>
      <c r="AD626" s="53">
        <f t="shared" si="155"/>
        <v>0</v>
      </c>
      <c r="AE626" s="53">
        <f t="shared" si="156"/>
        <v>0</v>
      </c>
      <c r="AF626" s="53">
        <f t="shared" si="157"/>
        <v>0</v>
      </c>
      <c r="AG626" s="56">
        <f t="shared" si="158"/>
        <v>0</v>
      </c>
      <c r="AH626" s="53">
        <f t="shared" si="159"/>
        <v>0</v>
      </c>
      <c r="AI626" s="55"/>
      <c r="AJ626" s="53">
        <f t="shared" si="160"/>
        <v>0</v>
      </c>
      <c r="AK626" s="53">
        <f t="shared" si="161"/>
        <v>0</v>
      </c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7"/>
      <c r="AW626" s="57"/>
      <c r="AX626" s="57"/>
    </row>
    <row r="627" spans="2:50">
      <c r="B627" s="45">
        <v>607</v>
      </c>
      <c r="C627" s="250" t="s">
        <v>782</v>
      </c>
      <c r="D627" s="250" t="s">
        <v>873</v>
      </c>
      <c r="E627" s="268" t="s">
        <v>973</v>
      </c>
      <c r="F627" s="268" t="s">
        <v>724</v>
      </c>
      <c r="G627" s="217" t="s">
        <v>795</v>
      </c>
      <c r="H627" s="269">
        <v>43737</v>
      </c>
      <c r="I627" s="169" t="s">
        <v>409</v>
      </c>
      <c r="J627" s="219">
        <f t="shared" si="150"/>
        <v>9</v>
      </c>
      <c r="K627" s="219">
        <v>9</v>
      </c>
      <c r="L627" s="219">
        <v>0</v>
      </c>
      <c r="M627" s="219"/>
      <c r="N627" s="270">
        <v>0.15</v>
      </c>
      <c r="O627" s="230">
        <v>0</v>
      </c>
      <c r="P627" s="231">
        <v>1</v>
      </c>
      <c r="Q627" s="153"/>
      <c r="R627" s="54" t="s">
        <v>158</v>
      </c>
      <c r="S627" s="54" t="s">
        <v>158</v>
      </c>
      <c r="T627" s="54" t="s">
        <v>158</v>
      </c>
      <c r="U627" s="54" t="s">
        <v>158</v>
      </c>
      <c r="V627" s="236" t="s">
        <v>974</v>
      </c>
      <c r="W627" s="53"/>
      <c r="X627" s="153">
        <f t="shared" si="151"/>
        <v>0</v>
      </c>
      <c r="Y627" s="55"/>
      <c r="Z627" s="55"/>
      <c r="AA627" s="52">
        <f t="shared" si="152"/>
        <v>0</v>
      </c>
      <c r="AB627" s="53">
        <f t="shared" si="153"/>
        <v>0</v>
      </c>
      <c r="AC627" s="53">
        <f t="shared" si="154"/>
        <v>0</v>
      </c>
      <c r="AD627" s="53">
        <f t="shared" si="155"/>
        <v>0</v>
      </c>
      <c r="AE627" s="53">
        <f t="shared" si="156"/>
        <v>0</v>
      </c>
      <c r="AF627" s="53">
        <f t="shared" si="157"/>
        <v>0</v>
      </c>
      <c r="AG627" s="56">
        <f t="shared" si="158"/>
        <v>0</v>
      </c>
      <c r="AH627" s="53">
        <f t="shared" si="159"/>
        <v>0</v>
      </c>
      <c r="AI627" s="55"/>
      <c r="AJ627" s="53">
        <f t="shared" si="160"/>
        <v>0</v>
      </c>
      <c r="AK627" s="53">
        <f t="shared" si="161"/>
        <v>0</v>
      </c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7"/>
      <c r="AW627" s="57"/>
      <c r="AX627" s="57"/>
    </row>
    <row r="628" spans="2:50">
      <c r="B628" s="45">
        <v>608</v>
      </c>
      <c r="C628" s="250" t="s">
        <v>782</v>
      </c>
      <c r="D628" s="250" t="s">
        <v>873</v>
      </c>
      <c r="E628" s="268" t="s">
        <v>973</v>
      </c>
      <c r="F628" s="268" t="s">
        <v>928</v>
      </c>
      <c r="G628" s="217" t="s">
        <v>795</v>
      </c>
      <c r="H628" s="269">
        <v>43737</v>
      </c>
      <c r="I628" s="169" t="s">
        <v>409</v>
      </c>
      <c r="J628" s="219">
        <f t="shared" si="150"/>
        <v>96</v>
      </c>
      <c r="K628" s="219">
        <v>6</v>
      </c>
      <c r="L628" s="219">
        <v>90</v>
      </c>
      <c r="M628" s="219"/>
      <c r="N628" s="270">
        <v>0.1</v>
      </c>
      <c r="O628" s="230">
        <v>1.5</v>
      </c>
      <c r="P628" s="231">
        <v>1</v>
      </c>
      <c r="Q628" s="153"/>
      <c r="R628" s="54" t="s">
        <v>158</v>
      </c>
      <c r="S628" s="54" t="s">
        <v>158</v>
      </c>
      <c r="T628" s="54" t="s">
        <v>158</v>
      </c>
      <c r="U628" s="54" t="s">
        <v>158</v>
      </c>
      <c r="V628" s="236" t="s">
        <v>974</v>
      </c>
      <c r="W628" s="53"/>
      <c r="X628" s="153">
        <f t="shared" si="151"/>
        <v>0</v>
      </c>
      <c r="Y628" s="55"/>
      <c r="Z628" s="55"/>
      <c r="AA628" s="52">
        <f t="shared" si="152"/>
        <v>0</v>
      </c>
      <c r="AB628" s="53">
        <f t="shared" si="153"/>
        <v>0</v>
      </c>
      <c r="AC628" s="53">
        <f t="shared" si="154"/>
        <v>0</v>
      </c>
      <c r="AD628" s="53">
        <f t="shared" si="155"/>
        <v>0</v>
      </c>
      <c r="AE628" s="53">
        <f t="shared" si="156"/>
        <v>0</v>
      </c>
      <c r="AF628" s="53">
        <f t="shared" si="157"/>
        <v>0</v>
      </c>
      <c r="AG628" s="56">
        <f t="shared" si="158"/>
        <v>0</v>
      </c>
      <c r="AH628" s="53">
        <f t="shared" si="159"/>
        <v>0</v>
      </c>
      <c r="AI628" s="55"/>
      <c r="AJ628" s="53">
        <f t="shared" si="160"/>
        <v>0</v>
      </c>
      <c r="AK628" s="53">
        <f t="shared" si="161"/>
        <v>0</v>
      </c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7"/>
      <c r="AW628" s="57"/>
      <c r="AX628" s="57"/>
    </row>
    <row r="629" spans="2:50">
      <c r="B629" s="138" t="s">
        <v>977</v>
      </c>
      <c r="C629" s="139"/>
      <c r="D629" s="139"/>
      <c r="E629" s="139"/>
      <c r="F629" s="140"/>
      <c r="G629" s="141"/>
      <c r="H629" s="141"/>
      <c r="I629" s="142" t="s">
        <v>151</v>
      </c>
      <c r="J629" s="143">
        <f t="shared" si="150"/>
        <v>527.04</v>
      </c>
      <c r="K629" s="143">
        <f>K630/60</f>
        <v>105.09</v>
      </c>
      <c r="L629" s="143">
        <f>L630/60</f>
        <v>421.95</v>
      </c>
      <c r="M629" s="143">
        <f>M630/60</f>
        <v>0</v>
      </c>
      <c r="N629" s="143">
        <f>SUMIF($I631:$I765,"DQA",N631:N765)</f>
        <v>97.27</v>
      </c>
      <c r="O629" s="143">
        <f>SUMIF($I631:$I765,"DQA",O631:O765)</f>
        <v>419.34999999999997</v>
      </c>
      <c r="P629" s="143"/>
      <c r="Q629" s="143"/>
      <c r="R629" s="143">
        <f t="shared" ref="R629:V629" si="162">SUMIF($I631:$I765,"DQA",R631:R765)</f>
        <v>0</v>
      </c>
      <c r="S629" s="143">
        <f t="shared" si="162"/>
        <v>0</v>
      </c>
      <c r="T629" s="143">
        <f t="shared" si="162"/>
        <v>0</v>
      </c>
      <c r="U629" s="143">
        <f t="shared" si="162"/>
        <v>0</v>
      </c>
      <c r="V629" s="143">
        <f t="shared" si="162"/>
        <v>0</v>
      </c>
      <c r="W629" s="143"/>
      <c r="X629" s="143">
        <f>X630/60</f>
        <v>0</v>
      </c>
      <c r="Y629" s="143"/>
      <c r="Z629" s="143"/>
      <c r="AA629" s="143"/>
      <c r="AB629" s="143">
        <f t="shared" ref="AB629:AF629" si="163">AB630/60</f>
        <v>0</v>
      </c>
      <c r="AC629" s="143"/>
      <c r="AD629" s="143">
        <f t="shared" si="163"/>
        <v>0</v>
      </c>
      <c r="AE629" s="143"/>
      <c r="AF629" s="143">
        <f t="shared" si="163"/>
        <v>0</v>
      </c>
      <c r="AG629" s="143"/>
      <c r="AH629" s="143">
        <f>AH630/60</f>
        <v>0</v>
      </c>
      <c r="AI629" s="143"/>
      <c r="AJ629" s="143"/>
      <c r="AK629" s="143">
        <f>AK630/60</f>
        <v>0</v>
      </c>
      <c r="AL629" s="143"/>
      <c r="AM629" s="143"/>
      <c r="AN629" s="143"/>
      <c r="AO629" s="143"/>
      <c r="AP629" s="143"/>
      <c r="AQ629" s="143"/>
      <c r="AR629" s="143"/>
      <c r="AS629" s="143"/>
      <c r="AT629" s="143"/>
      <c r="AU629" s="143"/>
      <c r="AV629" s="143"/>
      <c r="AW629" s="143"/>
      <c r="AX629" s="143">
        <f>AX630/60</f>
        <v>0</v>
      </c>
    </row>
    <row r="630" spans="2:50">
      <c r="B630" s="146"/>
      <c r="C630" s="147"/>
      <c r="D630" s="147"/>
      <c r="E630" s="147"/>
      <c r="F630" s="148"/>
      <c r="G630" s="141"/>
      <c r="H630" s="141"/>
      <c r="I630" s="149" t="s">
        <v>153</v>
      </c>
      <c r="J630" s="143">
        <f t="shared" si="150"/>
        <v>31622.400000000001</v>
      </c>
      <c r="K630" s="143">
        <f>SUMIF($I631:$I765,"DQA",K631:K765)</f>
        <v>6305.4000000000005</v>
      </c>
      <c r="L630" s="143">
        <f>SUMIF($I631:$I765,"DQA",L631:L765)</f>
        <v>25317</v>
      </c>
      <c r="M630" s="143">
        <f>SUMIF($I631:$I765,"DQA",M631:M765)</f>
        <v>0</v>
      </c>
      <c r="N630" s="143">
        <f>N629*60</f>
        <v>5836.2</v>
      </c>
      <c r="O630" s="143">
        <f>O629*60</f>
        <v>25160.999999999996</v>
      </c>
      <c r="P630" s="143"/>
      <c r="Q630" s="143"/>
      <c r="R630" s="143">
        <f t="shared" ref="R630:V630" si="164">R629*60</f>
        <v>0</v>
      </c>
      <c r="S630" s="143">
        <f t="shared" si="164"/>
        <v>0</v>
      </c>
      <c r="T630" s="143">
        <f t="shared" si="164"/>
        <v>0</v>
      </c>
      <c r="U630" s="143">
        <f t="shared" si="164"/>
        <v>0</v>
      </c>
      <c r="V630" s="143">
        <f t="shared" si="164"/>
        <v>0</v>
      </c>
      <c r="W630" s="143"/>
      <c r="X630" s="143">
        <f>SUM(X631:X765)</f>
        <v>0</v>
      </c>
      <c r="Y630" s="143"/>
      <c r="Z630" s="143"/>
      <c r="AA630" s="143"/>
      <c r="AB630" s="143">
        <f t="shared" ref="AB630:AK630" si="165">SUM(AB631:AB765)</f>
        <v>0</v>
      </c>
      <c r="AC630" s="143"/>
      <c r="AD630" s="143">
        <f t="shared" si="165"/>
        <v>0</v>
      </c>
      <c r="AE630" s="143"/>
      <c r="AF630" s="143">
        <f t="shared" si="165"/>
        <v>0</v>
      </c>
      <c r="AG630" s="143"/>
      <c r="AH630" s="143">
        <f t="shared" si="165"/>
        <v>0</v>
      </c>
      <c r="AI630" s="143"/>
      <c r="AJ630" s="143"/>
      <c r="AK630" s="143">
        <f t="shared" si="165"/>
        <v>0</v>
      </c>
      <c r="AL630" s="143"/>
      <c r="AM630" s="143"/>
      <c r="AN630" s="143"/>
      <c r="AO630" s="143"/>
      <c r="AP630" s="143"/>
      <c r="AQ630" s="143"/>
      <c r="AR630" s="143"/>
      <c r="AS630" s="143"/>
      <c r="AT630" s="143"/>
      <c r="AU630" s="143"/>
      <c r="AV630" s="143"/>
      <c r="AW630" s="143"/>
      <c r="AX630" s="143">
        <f>SUM(AX631:AX765)</f>
        <v>0</v>
      </c>
    </row>
    <row r="631" spans="2:50">
      <c r="B631" s="45">
        <v>609</v>
      </c>
      <c r="C631" s="289" t="s">
        <v>977</v>
      </c>
      <c r="D631" s="290" t="s">
        <v>978</v>
      </c>
      <c r="E631" s="290" t="s">
        <v>979</v>
      </c>
      <c r="F631" s="291" t="s">
        <v>980</v>
      </c>
      <c r="G631" s="217" t="s">
        <v>981</v>
      </c>
      <c r="H631" s="292">
        <v>42632</v>
      </c>
      <c r="I631" s="164" t="s">
        <v>409</v>
      </c>
      <c r="J631" s="51">
        <f t="shared" si="150"/>
        <v>84</v>
      </c>
      <c r="K631" s="51">
        <v>84</v>
      </c>
      <c r="L631" s="51">
        <v>0</v>
      </c>
      <c r="M631" s="51"/>
      <c r="N631" s="293">
        <v>1.4000000000000001</v>
      </c>
      <c r="O631" s="293">
        <v>0</v>
      </c>
      <c r="P631" s="294">
        <v>1</v>
      </c>
      <c r="Q631" s="53"/>
      <c r="R631" s="54" t="s">
        <v>158</v>
      </c>
      <c r="S631" s="54" t="s">
        <v>158</v>
      </c>
      <c r="T631" s="54" t="s">
        <v>158</v>
      </c>
      <c r="U631" s="54" t="s">
        <v>158</v>
      </c>
      <c r="V631" s="254" t="s">
        <v>982</v>
      </c>
      <c r="W631" s="53"/>
      <c r="X631" s="53">
        <f t="shared" ref="X631:X694" si="166">SUMIF(W631,"Y",K631)</f>
        <v>0</v>
      </c>
      <c r="Y631" s="55"/>
      <c r="Z631" s="55"/>
      <c r="AA631" s="52">
        <f t="shared" ref="AA631:AA694" si="167">(COUNTA(AL631:AU631)-COUNTIF(AL631:AU631, "X"))</f>
        <v>0</v>
      </c>
      <c r="AB631" s="53">
        <f t="shared" ref="AB631:AB694" si="168">(COUNTA(AL631:AU631)-COUNTIF(AL631:AU631, "X"))*P631*K631</f>
        <v>0</v>
      </c>
      <c r="AC631" s="53">
        <f t="shared" ref="AC631:AC694" si="169">COUNTIF(AL631:AU631,"A")</f>
        <v>0</v>
      </c>
      <c r="AD631" s="53">
        <f t="shared" ref="AD631:AD694" si="170">COUNTIF(AL631:AU631,"V")*P631*M631</f>
        <v>0</v>
      </c>
      <c r="AE631" s="53">
        <f t="shared" ref="AE631:AE694" si="171">COUNTIF(AL631:AU631,"L")</f>
        <v>0</v>
      </c>
      <c r="AF631" s="53">
        <f t="shared" ref="AF631:AF694" si="172">COUNTIF(AL631:AU631,"L")*K631*P631</f>
        <v>0</v>
      </c>
      <c r="AG631" s="56">
        <f t="shared" ref="AG631:AG694" si="173">IF(Q631="Y",1,0)</f>
        <v>0</v>
      </c>
      <c r="AH631" s="53">
        <f t="shared" ref="AH631:AH694" si="174">IF(Q631="Y", AA631, 0)*K631*P631/2</f>
        <v>0</v>
      </c>
      <c r="AI631" s="55"/>
      <c r="AJ631" s="53">
        <f t="shared" ref="AJ631:AJ694" si="175">COUNTIF(AL631:AU631, "V")</f>
        <v>0</v>
      </c>
      <c r="AK631" s="53">
        <f t="shared" ref="AK631:AK694" si="176">AB631-AD631-AF631-AH631</f>
        <v>0</v>
      </c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7"/>
      <c r="AW631" s="57"/>
      <c r="AX631" s="57"/>
    </row>
    <row r="632" spans="2:50">
      <c r="B632" s="45">
        <v>610</v>
      </c>
      <c r="C632" s="289" t="s">
        <v>983</v>
      </c>
      <c r="D632" s="290" t="s">
        <v>978</v>
      </c>
      <c r="E632" s="290" t="s">
        <v>979</v>
      </c>
      <c r="F632" s="291" t="s">
        <v>519</v>
      </c>
      <c r="G632" s="217" t="s">
        <v>981</v>
      </c>
      <c r="H632" s="292">
        <v>43612</v>
      </c>
      <c r="I632" s="164" t="s">
        <v>409</v>
      </c>
      <c r="J632" s="219">
        <f t="shared" si="150"/>
        <v>510</v>
      </c>
      <c r="K632" s="219">
        <v>30</v>
      </c>
      <c r="L632" s="219">
        <v>480</v>
      </c>
      <c r="M632" s="219"/>
      <c r="N632" s="293">
        <v>0.3</v>
      </c>
      <c r="O632" s="293">
        <v>8</v>
      </c>
      <c r="P632" s="294">
        <v>1</v>
      </c>
      <c r="Q632" s="53"/>
      <c r="R632" s="54" t="s">
        <v>158</v>
      </c>
      <c r="S632" s="54" t="s">
        <v>158</v>
      </c>
      <c r="T632" s="54" t="s">
        <v>158</v>
      </c>
      <c r="U632" s="54" t="s">
        <v>158</v>
      </c>
      <c r="V632" s="254" t="s">
        <v>982</v>
      </c>
      <c r="W632" s="53"/>
      <c r="X632" s="53">
        <f t="shared" si="166"/>
        <v>0</v>
      </c>
      <c r="Y632" s="55"/>
      <c r="Z632" s="55"/>
      <c r="AA632" s="52">
        <f t="shared" si="167"/>
        <v>0</v>
      </c>
      <c r="AB632" s="53">
        <f t="shared" si="168"/>
        <v>0</v>
      </c>
      <c r="AC632" s="53">
        <f t="shared" si="169"/>
        <v>0</v>
      </c>
      <c r="AD632" s="53">
        <f t="shared" si="170"/>
        <v>0</v>
      </c>
      <c r="AE632" s="53">
        <f t="shared" si="171"/>
        <v>0</v>
      </c>
      <c r="AF632" s="53">
        <f t="shared" si="172"/>
        <v>0</v>
      </c>
      <c r="AG632" s="56">
        <f t="shared" si="173"/>
        <v>0</v>
      </c>
      <c r="AH632" s="53">
        <f t="shared" si="174"/>
        <v>0</v>
      </c>
      <c r="AI632" s="55"/>
      <c r="AJ632" s="53">
        <f t="shared" si="175"/>
        <v>0</v>
      </c>
      <c r="AK632" s="53">
        <f t="shared" si="176"/>
        <v>0</v>
      </c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7"/>
      <c r="AW632" s="57"/>
      <c r="AX632" s="57"/>
    </row>
    <row r="633" spans="2:50">
      <c r="B633" s="45">
        <v>611</v>
      </c>
      <c r="C633" s="289" t="s">
        <v>983</v>
      </c>
      <c r="D633" s="290" t="s">
        <v>978</v>
      </c>
      <c r="E633" s="290" t="s">
        <v>979</v>
      </c>
      <c r="F633" s="291" t="s">
        <v>984</v>
      </c>
      <c r="G633" s="217" t="s">
        <v>981</v>
      </c>
      <c r="H633" s="292">
        <v>42369</v>
      </c>
      <c r="I633" s="164" t="s">
        <v>409</v>
      </c>
      <c r="J633" s="51">
        <f t="shared" si="150"/>
        <v>42</v>
      </c>
      <c r="K633" s="51">
        <v>42</v>
      </c>
      <c r="L633" s="51">
        <v>0</v>
      </c>
      <c r="M633" s="51"/>
      <c r="N633" s="293">
        <v>0.7</v>
      </c>
      <c r="O633" s="293">
        <v>0</v>
      </c>
      <c r="P633" s="294">
        <v>1</v>
      </c>
      <c r="Q633" s="53"/>
      <c r="R633" s="54" t="s">
        <v>158</v>
      </c>
      <c r="S633" s="54" t="s">
        <v>158</v>
      </c>
      <c r="T633" s="54" t="s">
        <v>158</v>
      </c>
      <c r="U633" s="54" t="s">
        <v>158</v>
      </c>
      <c r="V633" s="254" t="s">
        <v>982</v>
      </c>
      <c r="W633" s="53"/>
      <c r="X633" s="53">
        <f t="shared" si="166"/>
        <v>0</v>
      </c>
      <c r="Y633" s="55"/>
      <c r="Z633" s="55"/>
      <c r="AA633" s="52">
        <f t="shared" si="167"/>
        <v>0</v>
      </c>
      <c r="AB633" s="53">
        <f t="shared" si="168"/>
        <v>0</v>
      </c>
      <c r="AC633" s="53">
        <f t="shared" si="169"/>
        <v>0</v>
      </c>
      <c r="AD633" s="53">
        <f t="shared" si="170"/>
        <v>0</v>
      </c>
      <c r="AE633" s="53">
        <f t="shared" si="171"/>
        <v>0</v>
      </c>
      <c r="AF633" s="53">
        <f t="shared" si="172"/>
        <v>0</v>
      </c>
      <c r="AG633" s="56">
        <f t="shared" si="173"/>
        <v>0</v>
      </c>
      <c r="AH633" s="53">
        <f t="shared" si="174"/>
        <v>0</v>
      </c>
      <c r="AI633" s="55"/>
      <c r="AJ633" s="53">
        <f t="shared" si="175"/>
        <v>0</v>
      </c>
      <c r="AK633" s="53">
        <f t="shared" si="176"/>
        <v>0</v>
      </c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7"/>
      <c r="AW633" s="57"/>
      <c r="AX633" s="57"/>
    </row>
    <row r="634" spans="2:50">
      <c r="B634" s="45">
        <v>612</v>
      </c>
      <c r="C634" s="289" t="s">
        <v>983</v>
      </c>
      <c r="D634" s="290" t="s">
        <v>978</v>
      </c>
      <c r="E634" s="290" t="s">
        <v>979</v>
      </c>
      <c r="F634" s="291" t="s">
        <v>985</v>
      </c>
      <c r="G634" s="217" t="s">
        <v>981</v>
      </c>
      <c r="H634" s="292">
        <v>42986</v>
      </c>
      <c r="I634" s="164" t="s">
        <v>409</v>
      </c>
      <c r="J634" s="219">
        <f t="shared" si="150"/>
        <v>12</v>
      </c>
      <c r="K634" s="219">
        <v>12</v>
      </c>
      <c r="L634" s="219">
        <v>0</v>
      </c>
      <c r="M634" s="219"/>
      <c r="N634" s="293">
        <v>0.2</v>
      </c>
      <c r="O634" s="293">
        <v>0</v>
      </c>
      <c r="P634" s="294">
        <v>1</v>
      </c>
      <c r="Q634" s="53"/>
      <c r="R634" s="54" t="s">
        <v>158</v>
      </c>
      <c r="S634" s="54" t="s">
        <v>158</v>
      </c>
      <c r="T634" s="54" t="s">
        <v>158</v>
      </c>
      <c r="U634" s="54" t="s">
        <v>158</v>
      </c>
      <c r="V634" s="254" t="s">
        <v>982</v>
      </c>
      <c r="W634" s="53"/>
      <c r="X634" s="53">
        <f t="shared" si="166"/>
        <v>0</v>
      </c>
      <c r="Y634" s="55"/>
      <c r="Z634" s="55"/>
      <c r="AA634" s="52">
        <f t="shared" si="167"/>
        <v>0</v>
      </c>
      <c r="AB634" s="53">
        <f t="shared" si="168"/>
        <v>0</v>
      </c>
      <c r="AC634" s="53">
        <f t="shared" si="169"/>
        <v>0</v>
      </c>
      <c r="AD634" s="53">
        <f t="shared" si="170"/>
        <v>0</v>
      </c>
      <c r="AE634" s="53">
        <f t="shared" si="171"/>
        <v>0</v>
      </c>
      <c r="AF634" s="53">
        <f t="shared" si="172"/>
        <v>0</v>
      </c>
      <c r="AG634" s="56">
        <f t="shared" si="173"/>
        <v>0</v>
      </c>
      <c r="AH634" s="53">
        <f t="shared" si="174"/>
        <v>0</v>
      </c>
      <c r="AI634" s="55"/>
      <c r="AJ634" s="53">
        <f t="shared" si="175"/>
        <v>0</v>
      </c>
      <c r="AK634" s="53">
        <f t="shared" si="176"/>
        <v>0</v>
      </c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7"/>
      <c r="AW634" s="57"/>
      <c r="AX634" s="57"/>
    </row>
    <row r="635" spans="2:50">
      <c r="B635" s="45">
        <v>613</v>
      </c>
      <c r="C635" s="289" t="s">
        <v>983</v>
      </c>
      <c r="D635" s="290" t="s">
        <v>978</v>
      </c>
      <c r="E635" s="290" t="s">
        <v>979</v>
      </c>
      <c r="F635" s="291" t="s">
        <v>198</v>
      </c>
      <c r="G635" s="217" t="s">
        <v>981</v>
      </c>
      <c r="H635" s="292">
        <v>43712</v>
      </c>
      <c r="I635" s="164" t="s">
        <v>409</v>
      </c>
      <c r="J635" s="51">
        <f t="shared" si="150"/>
        <v>2904</v>
      </c>
      <c r="K635" s="51">
        <v>24</v>
      </c>
      <c r="L635" s="51">
        <v>2880</v>
      </c>
      <c r="M635" s="51"/>
      <c r="N635" s="293">
        <v>0.4</v>
      </c>
      <c r="O635" s="293">
        <v>48</v>
      </c>
      <c r="P635" s="294">
        <v>1</v>
      </c>
      <c r="Q635" s="53"/>
      <c r="R635" s="54" t="s">
        <v>158</v>
      </c>
      <c r="S635" s="54" t="s">
        <v>158</v>
      </c>
      <c r="T635" s="54" t="s">
        <v>158</v>
      </c>
      <c r="U635" s="54" t="s">
        <v>158</v>
      </c>
      <c r="V635" s="254" t="s">
        <v>982</v>
      </c>
      <c r="W635" s="53"/>
      <c r="X635" s="53">
        <f t="shared" si="166"/>
        <v>0</v>
      </c>
      <c r="Y635" s="55"/>
      <c r="Z635" s="55"/>
      <c r="AA635" s="52">
        <f t="shared" si="167"/>
        <v>0</v>
      </c>
      <c r="AB635" s="53">
        <f t="shared" si="168"/>
        <v>0</v>
      </c>
      <c r="AC635" s="53">
        <f t="shared" si="169"/>
        <v>0</v>
      </c>
      <c r="AD635" s="53">
        <f t="shared" si="170"/>
        <v>0</v>
      </c>
      <c r="AE635" s="53">
        <f t="shared" si="171"/>
        <v>0</v>
      </c>
      <c r="AF635" s="53">
        <f t="shared" si="172"/>
        <v>0</v>
      </c>
      <c r="AG635" s="56">
        <f t="shared" si="173"/>
        <v>0</v>
      </c>
      <c r="AH635" s="53">
        <f t="shared" si="174"/>
        <v>0</v>
      </c>
      <c r="AI635" s="55"/>
      <c r="AJ635" s="53">
        <f t="shared" si="175"/>
        <v>0</v>
      </c>
      <c r="AK635" s="53">
        <f t="shared" si="176"/>
        <v>0</v>
      </c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7"/>
      <c r="AW635" s="57"/>
      <c r="AX635" s="57"/>
    </row>
    <row r="636" spans="2:50">
      <c r="B636" s="45">
        <v>614</v>
      </c>
      <c r="C636" s="289" t="s">
        <v>983</v>
      </c>
      <c r="D636" s="290" t="s">
        <v>978</v>
      </c>
      <c r="E636" s="290" t="s">
        <v>979</v>
      </c>
      <c r="F636" s="291" t="s">
        <v>986</v>
      </c>
      <c r="G636" s="217" t="s">
        <v>981</v>
      </c>
      <c r="H636" s="292">
        <v>43052</v>
      </c>
      <c r="I636" s="164" t="s">
        <v>409</v>
      </c>
      <c r="J636" s="51">
        <f t="shared" si="150"/>
        <v>582</v>
      </c>
      <c r="K636" s="51">
        <v>102</v>
      </c>
      <c r="L636" s="51">
        <v>480</v>
      </c>
      <c r="M636" s="51"/>
      <c r="N636" s="262">
        <v>1.7000000000000002</v>
      </c>
      <c r="O636" s="223">
        <v>8</v>
      </c>
      <c r="P636" s="224">
        <v>1</v>
      </c>
      <c r="Q636" s="53"/>
      <c r="R636" s="54" t="s">
        <v>158</v>
      </c>
      <c r="S636" s="54" t="s">
        <v>158</v>
      </c>
      <c r="T636" s="54" t="s">
        <v>158</v>
      </c>
      <c r="U636" s="54" t="s">
        <v>158</v>
      </c>
      <c r="V636" s="254" t="s">
        <v>982</v>
      </c>
      <c r="W636" s="53"/>
      <c r="X636" s="53">
        <f t="shared" si="166"/>
        <v>0</v>
      </c>
      <c r="Y636" s="55"/>
      <c r="Z636" s="55"/>
      <c r="AA636" s="52">
        <f t="shared" si="167"/>
        <v>0</v>
      </c>
      <c r="AB636" s="53">
        <f t="shared" si="168"/>
        <v>0</v>
      </c>
      <c r="AC636" s="53">
        <f t="shared" si="169"/>
        <v>0</v>
      </c>
      <c r="AD636" s="53">
        <f t="shared" si="170"/>
        <v>0</v>
      </c>
      <c r="AE636" s="53">
        <f t="shared" si="171"/>
        <v>0</v>
      </c>
      <c r="AF636" s="53">
        <f t="shared" si="172"/>
        <v>0</v>
      </c>
      <c r="AG636" s="56">
        <f t="shared" si="173"/>
        <v>0</v>
      </c>
      <c r="AH636" s="53">
        <f t="shared" si="174"/>
        <v>0</v>
      </c>
      <c r="AI636" s="55"/>
      <c r="AJ636" s="53">
        <f t="shared" si="175"/>
        <v>0</v>
      </c>
      <c r="AK636" s="53">
        <f t="shared" si="176"/>
        <v>0</v>
      </c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7"/>
      <c r="AW636" s="57"/>
      <c r="AX636" s="57"/>
    </row>
    <row r="637" spans="2:50">
      <c r="B637" s="45">
        <v>615</v>
      </c>
      <c r="C637" s="289" t="s">
        <v>983</v>
      </c>
      <c r="D637" s="290" t="s">
        <v>978</v>
      </c>
      <c r="E637" s="290" t="s">
        <v>979</v>
      </c>
      <c r="F637" s="291" t="s">
        <v>987</v>
      </c>
      <c r="G637" s="217" t="s">
        <v>981</v>
      </c>
      <c r="H637" s="292">
        <v>42517</v>
      </c>
      <c r="I637" s="164" t="s">
        <v>409</v>
      </c>
      <c r="J637" s="51">
        <f t="shared" si="150"/>
        <v>558</v>
      </c>
      <c r="K637" s="51">
        <v>489</v>
      </c>
      <c r="L637" s="51">
        <v>69</v>
      </c>
      <c r="M637" s="51"/>
      <c r="N637" s="262">
        <v>5.75</v>
      </c>
      <c r="O637" s="223">
        <v>1.1499999999999999</v>
      </c>
      <c r="P637" s="224">
        <v>1</v>
      </c>
      <c r="Q637" s="53"/>
      <c r="R637" s="54" t="s">
        <v>158</v>
      </c>
      <c r="S637" s="54" t="s">
        <v>158</v>
      </c>
      <c r="T637" s="54" t="s">
        <v>158</v>
      </c>
      <c r="U637" s="54" t="s">
        <v>158</v>
      </c>
      <c r="V637" s="254" t="s">
        <v>982</v>
      </c>
      <c r="W637" s="53"/>
      <c r="X637" s="53">
        <f t="shared" si="166"/>
        <v>0</v>
      </c>
      <c r="Y637" s="55"/>
      <c r="Z637" s="55"/>
      <c r="AA637" s="52">
        <f t="shared" si="167"/>
        <v>0</v>
      </c>
      <c r="AB637" s="53">
        <f t="shared" si="168"/>
        <v>0</v>
      </c>
      <c r="AC637" s="53">
        <f t="shared" si="169"/>
        <v>0</v>
      </c>
      <c r="AD637" s="53">
        <f t="shared" si="170"/>
        <v>0</v>
      </c>
      <c r="AE637" s="53">
        <f t="shared" si="171"/>
        <v>0</v>
      </c>
      <c r="AF637" s="53">
        <f t="shared" si="172"/>
        <v>0</v>
      </c>
      <c r="AG637" s="56">
        <f t="shared" si="173"/>
        <v>0</v>
      </c>
      <c r="AH637" s="53">
        <f t="shared" si="174"/>
        <v>0</v>
      </c>
      <c r="AI637" s="55"/>
      <c r="AJ637" s="53">
        <f t="shared" si="175"/>
        <v>0</v>
      </c>
      <c r="AK637" s="53">
        <f t="shared" si="176"/>
        <v>0</v>
      </c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7"/>
      <c r="AW637" s="57"/>
      <c r="AX637" s="57"/>
    </row>
    <row r="638" spans="2:50">
      <c r="B638" s="45">
        <v>616</v>
      </c>
      <c r="C638" s="289" t="s">
        <v>983</v>
      </c>
      <c r="D638" s="290" t="s">
        <v>978</v>
      </c>
      <c r="E638" s="290" t="s">
        <v>979</v>
      </c>
      <c r="F638" s="291" t="s">
        <v>988</v>
      </c>
      <c r="G638" s="217" t="s">
        <v>981</v>
      </c>
      <c r="H638" s="292">
        <v>43298</v>
      </c>
      <c r="I638" s="164" t="s">
        <v>409</v>
      </c>
      <c r="J638" s="51">
        <f t="shared" si="150"/>
        <v>48</v>
      </c>
      <c r="K638" s="51">
        <v>48</v>
      </c>
      <c r="L638" s="51">
        <v>0</v>
      </c>
      <c r="M638" s="51"/>
      <c r="N638" s="293">
        <v>0.8</v>
      </c>
      <c r="O638" s="293">
        <v>0</v>
      </c>
      <c r="P638" s="294">
        <v>1</v>
      </c>
      <c r="Q638" s="53"/>
      <c r="R638" s="54" t="s">
        <v>158</v>
      </c>
      <c r="S638" s="54" t="s">
        <v>158</v>
      </c>
      <c r="T638" s="54" t="s">
        <v>158</v>
      </c>
      <c r="U638" s="54" t="s">
        <v>158</v>
      </c>
      <c r="V638" s="254" t="s">
        <v>982</v>
      </c>
      <c r="W638" s="53"/>
      <c r="X638" s="53">
        <f t="shared" si="166"/>
        <v>0</v>
      </c>
      <c r="Y638" s="55"/>
      <c r="Z638" s="55"/>
      <c r="AA638" s="52">
        <f t="shared" si="167"/>
        <v>0</v>
      </c>
      <c r="AB638" s="53">
        <f t="shared" si="168"/>
        <v>0</v>
      </c>
      <c r="AC638" s="53">
        <f t="shared" si="169"/>
        <v>0</v>
      </c>
      <c r="AD638" s="53">
        <f t="shared" si="170"/>
        <v>0</v>
      </c>
      <c r="AE638" s="53">
        <f t="shared" si="171"/>
        <v>0</v>
      </c>
      <c r="AF638" s="53">
        <f t="shared" si="172"/>
        <v>0</v>
      </c>
      <c r="AG638" s="56">
        <f t="shared" si="173"/>
        <v>0</v>
      </c>
      <c r="AH638" s="53">
        <f t="shared" si="174"/>
        <v>0</v>
      </c>
      <c r="AI638" s="55"/>
      <c r="AJ638" s="53">
        <f t="shared" si="175"/>
        <v>0</v>
      </c>
      <c r="AK638" s="53">
        <f t="shared" si="176"/>
        <v>0</v>
      </c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7"/>
      <c r="AW638" s="57"/>
      <c r="AX638" s="57"/>
    </row>
    <row r="639" spans="2:50">
      <c r="B639" s="45">
        <v>617</v>
      </c>
      <c r="C639" s="289" t="s">
        <v>983</v>
      </c>
      <c r="D639" s="290" t="s">
        <v>978</v>
      </c>
      <c r="E639" s="215" t="s">
        <v>989</v>
      </c>
      <c r="F639" s="291" t="s">
        <v>990</v>
      </c>
      <c r="G639" s="217" t="s">
        <v>981</v>
      </c>
      <c r="H639" s="292">
        <v>43689</v>
      </c>
      <c r="I639" s="164" t="s">
        <v>409</v>
      </c>
      <c r="J639" s="51">
        <f t="shared" si="150"/>
        <v>30</v>
      </c>
      <c r="K639" s="51">
        <v>30</v>
      </c>
      <c r="L639" s="51">
        <v>0</v>
      </c>
      <c r="M639" s="51"/>
      <c r="N639" s="293">
        <v>0.30000000000000004</v>
      </c>
      <c r="O639" s="293">
        <v>0</v>
      </c>
      <c r="P639" s="294">
        <v>1</v>
      </c>
      <c r="Q639" s="53"/>
      <c r="R639" s="54" t="s">
        <v>158</v>
      </c>
      <c r="S639" s="54" t="s">
        <v>158</v>
      </c>
      <c r="T639" s="54" t="s">
        <v>158</v>
      </c>
      <c r="U639" s="54" t="s">
        <v>158</v>
      </c>
      <c r="V639" s="254" t="s">
        <v>982</v>
      </c>
      <c r="W639" s="53"/>
      <c r="X639" s="53">
        <f t="shared" si="166"/>
        <v>0</v>
      </c>
      <c r="Y639" s="55"/>
      <c r="Z639" s="55"/>
      <c r="AA639" s="52">
        <f t="shared" si="167"/>
        <v>0</v>
      </c>
      <c r="AB639" s="53">
        <f t="shared" si="168"/>
        <v>0</v>
      </c>
      <c r="AC639" s="53">
        <f t="shared" si="169"/>
        <v>0</v>
      </c>
      <c r="AD639" s="53">
        <f t="shared" si="170"/>
        <v>0</v>
      </c>
      <c r="AE639" s="53">
        <f t="shared" si="171"/>
        <v>0</v>
      </c>
      <c r="AF639" s="53">
        <f t="shared" si="172"/>
        <v>0</v>
      </c>
      <c r="AG639" s="56">
        <f t="shared" si="173"/>
        <v>0</v>
      </c>
      <c r="AH639" s="53">
        <f t="shared" si="174"/>
        <v>0</v>
      </c>
      <c r="AI639" s="55"/>
      <c r="AJ639" s="53">
        <f t="shared" si="175"/>
        <v>0</v>
      </c>
      <c r="AK639" s="53">
        <f t="shared" si="176"/>
        <v>0</v>
      </c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7"/>
      <c r="AW639" s="57"/>
      <c r="AX639" s="57"/>
    </row>
    <row r="640" spans="2:50">
      <c r="B640" s="45">
        <v>618</v>
      </c>
      <c r="C640" s="289" t="s">
        <v>983</v>
      </c>
      <c r="D640" s="290" t="s">
        <v>978</v>
      </c>
      <c r="E640" s="215" t="s">
        <v>989</v>
      </c>
      <c r="F640" s="291" t="s">
        <v>991</v>
      </c>
      <c r="G640" s="217" t="s">
        <v>981</v>
      </c>
      <c r="H640" s="292">
        <v>43328</v>
      </c>
      <c r="I640" s="164" t="s">
        <v>409</v>
      </c>
      <c r="J640" s="51">
        <f t="shared" si="150"/>
        <v>54</v>
      </c>
      <c r="K640" s="51">
        <v>54</v>
      </c>
      <c r="L640" s="51">
        <v>0</v>
      </c>
      <c r="M640" s="51"/>
      <c r="N640" s="262">
        <v>0.9</v>
      </c>
      <c r="O640" s="223">
        <v>0</v>
      </c>
      <c r="P640" s="224">
        <v>1</v>
      </c>
      <c r="Q640" s="53"/>
      <c r="R640" s="54" t="s">
        <v>158</v>
      </c>
      <c r="S640" s="54" t="s">
        <v>158</v>
      </c>
      <c r="T640" s="54" t="s">
        <v>158</v>
      </c>
      <c r="U640" s="54" t="s">
        <v>158</v>
      </c>
      <c r="V640" s="254" t="s">
        <v>982</v>
      </c>
      <c r="W640" s="53"/>
      <c r="X640" s="53">
        <f t="shared" si="166"/>
        <v>0</v>
      </c>
      <c r="Y640" s="55"/>
      <c r="Z640" s="55"/>
      <c r="AA640" s="52">
        <f t="shared" si="167"/>
        <v>0</v>
      </c>
      <c r="AB640" s="53">
        <f t="shared" si="168"/>
        <v>0</v>
      </c>
      <c r="AC640" s="53">
        <f t="shared" si="169"/>
        <v>0</v>
      </c>
      <c r="AD640" s="53">
        <f t="shared" si="170"/>
        <v>0</v>
      </c>
      <c r="AE640" s="53">
        <f t="shared" si="171"/>
        <v>0</v>
      </c>
      <c r="AF640" s="53">
        <f t="shared" si="172"/>
        <v>0</v>
      </c>
      <c r="AG640" s="56">
        <f t="shared" si="173"/>
        <v>0</v>
      </c>
      <c r="AH640" s="53">
        <f t="shared" si="174"/>
        <v>0</v>
      </c>
      <c r="AI640" s="55"/>
      <c r="AJ640" s="53">
        <f t="shared" si="175"/>
        <v>0</v>
      </c>
      <c r="AK640" s="53">
        <f t="shared" si="176"/>
        <v>0</v>
      </c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7"/>
      <c r="AW640" s="57"/>
      <c r="AX640" s="57"/>
    </row>
    <row r="641" spans="2:50">
      <c r="B641" s="45">
        <v>619</v>
      </c>
      <c r="C641" s="289" t="s">
        <v>983</v>
      </c>
      <c r="D641" s="290" t="s">
        <v>978</v>
      </c>
      <c r="E641" s="215" t="s">
        <v>989</v>
      </c>
      <c r="F641" s="291" t="s">
        <v>992</v>
      </c>
      <c r="G641" s="217" t="s">
        <v>981</v>
      </c>
      <c r="H641" s="292">
        <v>43328</v>
      </c>
      <c r="I641" s="164" t="s">
        <v>409</v>
      </c>
      <c r="J641" s="51">
        <f t="shared" si="150"/>
        <v>60</v>
      </c>
      <c r="K641" s="51">
        <v>60</v>
      </c>
      <c r="L641" s="51">
        <v>0</v>
      </c>
      <c r="M641" s="51"/>
      <c r="N641" s="262">
        <v>1.0000000000000002</v>
      </c>
      <c r="O641" s="223">
        <v>0</v>
      </c>
      <c r="P641" s="224">
        <v>1</v>
      </c>
      <c r="Q641" s="53"/>
      <c r="R641" s="54" t="s">
        <v>158</v>
      </c>
      <c r="S641" s="54" t="s">
        <v>158</v>
      </c>
      <c r="T641" s="54" t="s">
        <v>158</v>
      </c>
      <c r="U641" s="54" t="s">
        <v>158</v>
      </c>
      <c r="V641" s="254" t="s">
        <v>982</v>
      </c>
      <c r="W641" s="53"/>
      <c r="X641" s="53">
        <f t="shared" si="166"/>
        <v>0</v>
      </c>
      <c r="Y641" s="55"/>
      <c r="Z641" s="55"/>
      <c r="AA641" s="52">
        <f t="shared" si="167"/>
        <v>0</v>
      </c>
      <c r="AB641" s="53">
        <f t="shared" si="168"/>
        <v>0</v>
      </c>
      <c r="AC641" s="53">
        <f t="shared" si="169"/>
        <v>0</v>
      </c>
      <c r="AD641" s="53">
        <f t="shared" si="170"/>
        <v>0</v>
      </c>
      <c r="AE641" s="53">
        <f t="shared" si="171"/>
        <v>0</v>
      </c>
      <c r="AF641" s="53">
        <f t="shared" si="172"/>
        <v>0</v>
      </c>
      <c r="AG641" s="56">
        <f t="shared" si="173"/>
        <v>0</v>
      </c>
      <c r="AH641" s="53">
        <f t="shared" si="174"/>
        <v>0</v>
      </c>
      <c r="AI641" s="55"/>
      <c r="AJ641" s="53">
        <f t="shared" si="175"/>
        <v>0</v>
      </c>
      <c r="AK641" s="53">
        <f t="shared" si="176"/>
        <v>0</v>
      </c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7"/>
      <c r="AW641" s="57"/>
      <c r="AX641" s="57"/>
    </row>
    <row r="642" spans="2:50">
      <c r="B642" s="45">
        <v>620</v>
      </c>
      <c r="C642" s="289" t="s">
        <v>983</v>
      </c>
      <c r="D642" s="290" t="s">
        <v>978</v>
      </c>
      <c r="E642" s="215" t="s">
        <v>989</v>
      </c>
      <c r="F642" s="291" t="s">
        <v>993</v>
      </c>
      <c r="G642" s="217" t="s">
        <v>981</v>
      </c>
      <c r="H642" s="292">
        <v>43328</v>
      </c>
      <c r="I642" s="164" t="s">
        <v>409</v>
      </c>
      <c r="J642" s="51">
        <f t="shared" si="150"/>
        <v>24</v>
      </c>
      <c r="K642" s="51">
        <v>24</v>
      </c>
      <c r="L642" s="51">
        <v>0</v>
      </c>
      <c r="M642" s="51"/>
      <c r="N642" s="262">
        <v>0.4</v>
      </c>
      <c r="O642" s="223">
        <v>0</v>
      </c>
      <c r="P642" s="224">
        <v>1</v>
      </c>
      <c r="Q642" s="53"/>
      <c r="R642" s="54" t="s">
        <v>158</v>
      </c>
      <c r="S642" s="54" t="s">
        <v>158</v>
      </c>
      <c r="T642" s="54" t="s">
        <v>158</v>
      </c>
      <c r="U642" s="54" t="s">
        <v>158</v>
      </c>
      <c r="V642" s="254" t="s">
        <v>982</v>
      </c>
      <c r="W642" s="53"/>
      <c r="X642" s="53">
        <f t="shared" si="166"/>
        <v>0</v>
      </c>
      <c r="Y642" s="55"/>
      <c r="Z642" s="55"/>
      <c r="AA642" s="52">
        <f t="shared" si="167"/>
        <v>0</v>
      </c>
      <c r="AB642" s="53">
        <f t="shared" si="168"/>
        <v>0</v>
      </c>
      <c r="AC642" s="53">
        <f t="shared" si="169"/>
        <v>0</v>
      </c>
      <c r="AD642" s="53">
        <f t="shared" si="170"/>
        <v>0</v>
      </c>
      <c r="AE642" s="53">
        <f t="shared" si="171"/>
        <v>0</v>
      </c>
      <c r="AF642" s="53">
        <f t="shared" si="172"/>
        <v>0</v>
      </c>
      <c r="AG642" s="56">
        <f t="shared" si="173"/>
        <v>0</v>
      </c>
      <c r="AH642" s="53">
        <f t="shared" si="174"/>
        <v>0</v>
      </c>
      <c r="AI642" s="55"/>
      <c r="AJ642" s="53">
        <f t="shared" si="175"/>
        <v>0</v>
      </c>
      <c r="AK642" s="53">
        <f t="shared" si="176"/>
        <v>0</v>
      </c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7"/>
      <c r="AW642" s="57"/>
      <c r="AX642" s="57"/>
    </row>
    <row r="643" spans="2:50">
      <c r="B643" s="45">
        <v>621</v>
      </c>
      <c r="C643" s="289" t="s">
        <v>983</v>
      </c>
      <c r="D643" s="290" t="s">
        <v>978</v>
      </c>
      <c r="E643" s="215" t="s">
        <v>989</v>
      </c>
      <c r="F643" s="291" t="s">
        <v>994</v>
      </c>
      <c r="G643" s="217" t="s">
        <v>981</v>
      </c>
      <c r="H643" s="292">
        <v>43328</v>
      </c>
      <c r="I643" s="164" t="s">
        <v>409</v>
      </c>
      <c r="J643" s="51">
        <f t="shared" si="150"/>
        <v>48</v>
      </c>
      <c r="K643" s="51">
        <v>48</v>
      </c>
      <c r="L643" s="51">
        <v>0</v>
      </c>
      <c r="M643" s="51"/>
      <c r="N643" s="262">
        <v>0.79999999999999993</v>
      </c>
      <c r="O643" s="223">
        <v>0</v>
      </c>
      <c r="P643" s="224">
        <v>1</v>
      </c>
      <c r="Q643" s="53"/>
      <c r="R643" s="54" t="s">
        <v>158</v>
      </c>
      <c r="S643" s="54" t="s">
        <v>158</v>
      </c>
      <c r="T643" s="54" t="s">
        <v>158</v>
      </c>
      <c r="U643" s="54" t="s">
        <v>158</v>
      </c>
      <c r="V643" s="254" t="s">
        <v>982</v>
      </c>
      <c r="W643" s="53"/>
      <c r="X643" s="53">
        <f t="shared" si="166"/>
        <v>0</v>
      </c>
      <c r="Y643" s="55"/>
      <c r="Z643" s="55"/>
      <c r="AA643" s="52">
        <f t="shared" si="167"/>
        <v>0</v>
      </c>
      <c r="AB643" s="53">
        <f t="shared" si="168"/>
        <v>0</v>
      </c>
      <c r="AC643" s="53">
        <f t="shared" si="169"/>
        <v>0</v>
      </c>
      <c r="AD643" s="53">
        <f t="shared" si="170"/>
        <v>0</v>
      </c>
      <c r="AE643" s="53">
        <f t="shared" si="171"/>
        <v>0</v>
      </c>
      <c r="AF643" s="53">
        <f t="shared" si="172"/>
        <v>0</v>
      </c>
      <c r="AG643" s="56">
        <f t="shared" si="173"/>
        <v>0</v>
      </c>
      <c r="AH643" s="53">
        <f t="shared" si="174"/>
        <v>0</v>
      </c>
      <c r="AI643" s="55"/>
      <c r="AJ643" s="53">
        <f t="shared" si="175"/>
        <v>0</v>
      </c>
      <c r="AK643" s="53">
        <f t="shared" si="176"/>
        <v>0</v>
      </c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7"/>
      <c r="AW643" s="57"/>
      <c r="AX643" s="57"/>
    </row>
    <row r="644" spans="2:50">
      <c r="B644" s="45">
        <v>622</v>
      </c>
      <c r="C644" s="289" t="s">
        <v>983</v>
      </c>
      <c r="D644" s="290" t="s">
        <v>978</v>
      </c>
      <c r="E644" s="290" t="s">
        <v>995</v>
      </c>
      <c r="F644" s="291" t="s">
        <v>996</v>
      </c>
      <c r="G644" s="217" t="s">
        <v>981</v>
      </c>
      <c r="H644" s="292">
        <v>41995</v>
      </c>
      <c r="I644" s="164" t="s">
        <v>409</v>
      </c>
      <c r="J644" s="51">
        <f t="shared" si="150"/>
        <v>258</v>
      </c>
      <c r="K644" s="51">
        <v>258</v>
      </c>
      <c r="L644" s="51">
        <v>0</v>
      </c>
      <c r="M644" s="51"/>
      <c r="N644" s="293">
        <v>4.3</v>
      </c>
      <c r="O644" s="293">
        <v>0</v>
      </c>
      <c r="P644" s="294">
        <v>1</v>
      </c>
      <c r="Q644" s="53"/>
      <c r="R644" s="54" t="s">
        <v>158</v>
      </c>
      <c r="S644" s="54" t="s">
        <v>158</v>
      </c>
      <c r="T644" s="54" t="s">
        <v>158</v>
      </c>
      <c r="U644" s="54" t="s">
        <v>158</v>
      </c>
      <c r="V644" s="254" t="s">
        <v>982</v>
      </c>
      <c r="W644" s="53"/>
      <c r="X644" s="53">
        <f t="shared" si="166"/>
        <v>0</v>
      </c>
      <c r="Y644" s="55"/>
      <c r="Z644" s="55"/>
      <c r="AA644" s="52">
        <f t="shared" si="167"/>
        <v>0</v>
      </c>
      <c r="AB644" s="53">
        <f t="shared" si="168"/>
        <v>0</v>
      </c>
      <c r="AC644" s="53">
        <f t="shared" si="169"/>
        <v>0</v>
      </c>
      <c r="AD644" s="53">
        <f t="shared" si="170"/>
        <v>0</v>
      </c>
      <c r="AE644" s="53">
        <f t="shared" si="171"/>
        <v>0</v>
      </c>
      <c r="AF644" s="53">
        <f t="shared" si="172"/>
        <v>0</v>
      </c>
      <c r="AG644" s="56">
        <f t="shared" si="173"/>
        <v>0</v>
      </c>
      <c r="AH644" s="53">
        <f t="shared" si="174"/>
        <v>0</v>
      </c>
      <c r="AI644" s="55"/>
      <c r="AJ644" s="53">
        <f t="shared" si="175"/>
        <v>0</v>
      </c>
      <c r="AK644" s="53">
        <f t="shared" si="176"/>
        <v>0</v>
      </c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7"/>
      <c r="AW644" s="57"/>
      <c r="AX644" s="57"/>
    </row>
    <row r="645" spans="2:50">
      <c r="B645" s="45">
        <v>623</v>
      </c>
      <c r="C645" s="289" t="s">
        <v>983</v>
      </c>
      <c r="D645" s="290" t="s">
        <v>978</v>
      </c>
      <c r="E645" s="290" t="s">
        <v>997</v>
      </c>
      <c r="F645" s="291" t="s">
        <v>998</v>
      </c>
      <c r="G645" s="217" t="s">
        <v>981</v>
      </c>
      <c r="H645" s="292">
        <v>42612</v>
      </c>
      <c r="I645" s="164" t="s">
        <v>409</v>
      </c>
      <c r="J645" s="51">
        <f t="shared" si="150"/>
        <v>246</v>
      </c>
      <c r="K645" s="51">
        <v>114</v>
      </c>
      <c r="L645" s="51">
        <v>132</v>
      </c>
      <c r="M645" s="51"/>
      <c r="N645" s="293">
        <v>1.9</v>
      </c>
      <c r="O645" s="293">
        <v>2.2000000000000002</v>
      </c>
      <c r="P645" s="294">
        <v>1</v>
      </c>
      <c r="Q645" s="53"/>
      <c r="R645" s="54" t="s">
        <v>158</v>
      </c>
      <c r="S645" s="54" t="s">
        <v>158</v>
      </c>
      <c r="T645" s="54" t="s">
        <v>158</v>
      </c>
      <c r="U645" s="54" t="s">
        <v>158</v>
      </c>
      <c r="V645" s="254" t="s">
        <v>982</v>
      </c>
      <c r="W645" s="53"/>
      <c r="X645" s="53">
        <f t="shared" si="166"/>
        <v>0</v>
      </c>
      <c r="Y645" s="55"/>
      <c r="Z645" s="55"/>
      <c r="AA645" s="52">
        <f t="shared" si="167"/>
        <v>0</v>
      </c>
      <c r="AB645" s="53">
        <f t="shared" si="168"/>
        <v>0</v>
      </c>
      <c r="AC645" s="53">
        <f t="shared" si="169"/>
        <v>0</v>
      </c>
      <c r="AD645" s="53">
        <f t="shared" si="170"/>
        <v>0</v>
      </c>
      <c r="AE645" s="53">
        <f t="shared" si="171"/>
        <v>0</v>
      </c>
      <c r="AF645" s="53">
        <f t="shared" si="172"/>
        <v>0</v>
      </c>
      <c r="AG645" s="56">
        <f t="shared" si="173"/>
        <v>0</v>
      </c>
      <c r="AH645" s="53">
        <f t="shared" si="174"/>
        <v>0</v>
      </c>
      <c r="AI645" s="55"/>
      <c r="AJ645" s="53">
        <f t="shared" si="175"/>
        <v>0</v>
      </c>
      <c r="AK645" s="53">
        <f t="shared" si="176"/>
        <v>0</v>
      </c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7"/>
      <c r="AW645" s="57"/>
      <c r="AX645" s="57"/>
    </row>
    <row r="646" spans="2:50">
      <c r="B646" s="45">
        <v>624</v>
      </c>
      <c r="C646" s="289" t="s">
        <v>983</v>
      </c>
      <c r="D646" s="290" t="s">
        <v>978</v>
      </c>
      <c r="E646" s="290" t="s">
        <v>997</v>
      </c>
      <c r="F646" s="295" t="s">
        <v>999</v>
      </c>
      <c r="G646" s="217" t="s">
        <v>981</v>
      </c>
      <c r="H646" s="292">
        <v>43298</v>
      </c>
      <c r="I646" s="164" t="s">
        <v>409</v>
      </c>
      <c r="J646" s="51">
        <f t="shared" si="150"/>
        <v>204</v>
      </c>
      <c r="K646" s="51">
        <v>84</v>
      </c>
      <c r="L646" s="51">
        <v>120</v>
      </c>
      <c r="M646" s="51"/>
      <c r="N646" s="293">
        <v>1.4</v>
      </c>
      <c r="O646" s="293">
        <v>2</v>
      </c>
      <c r="P646" s="294">
        <v>1</v>
      </c>
      <c r="Q646" s="53"/>
      <c r="R646" s="54" t="s">
        <v>158</v>
      </c>
      <c r="S646" s="54" t="s">
        <v>158</v>
      </c>
      <c r="T646" s="54" t="s">
        <v>158</v>
      </c>
      <c r="U646" s="54" t="s">
        <v>158</v>
      </c>
      <c r="V646" s="254" t="s">
        <v>982</v>
      </c>
      <c r="W646" s="53"/>
      <c r="X646" s="53">
        <f t="shared" si="166"/>
        <v>0</v>
      </c>
      <c r="Y646" s="55"/>
      <c r="Z646" s="55"/>
      <c r="AA646" s="52">
        <f t="shared" si="167"/>
        <v>0</v>
      </c>
      <c r="AB646" s="53">
        <f t="shared" si="168"/>
        <v>0</v>
      </c>
      <c r="AC646" s="53">
        <f t="shared" si="169"/>
        <v>0</v>
      </c>
      <c r="AD646" s="53">
        <f t="shared" si="170"/>
        <v>0</v>
      </c>
      <c r="AE646" s="53">
        <f t="shared" si="171"/>
        <v>0</v>
      </c>
      <c r="AF646" s="53">
        <f t="shared" si="172"/>
        <v>0</v>
      </c>
      <c r="AG646" s="56">
        <f t="shared" si="173"/>
        <v>0</v>
      </c>
      <c r="AH646" s="53">
        <f t="shared" si="174"/>
        <v>0</v>
      </c>
      <c r="AI646" s="55"/>
      <c r="AJ646" s="53">
        <f t="shared" si="175"/>
        <v>0</v>
      </c>
      <c r="AK646" s="53">
        <f t="shared" si="176"/>
        <v>0</v>
      </c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7"/>
      <c r="AW646" s="57"/>
      <c r="AX646" s="57"/>
    </row>
    <row r="647" spans="2:50">
      <c r="B647" s="45">
        <v>625</v>
      </c>
      <c r="C647" s="289" t="s">
        <v>983</v>
      </c>
      <c r="D647" s="290" t="s">
        <v>1000</v>
      </c>
      <c r="E647" s="290" t="s">
        <v>1001</v>
      </c>
      <c r="F647" s="291" t="s">
        <v>1002</v>
      </c>
      <c r="G647" s="217" t="s">
        <v>981</v>
      </c>
      <c r="H647" s="292">
        <v>42334</v>
      </c>
      <c r="I647" s="164" t="s">
        <v>409</v>
      </c>
      <c r="J647" s="51">
        <f t="shared" si="150"/>
        <v>12</v>
      </c>
      <c r="K647" s="51">
        <v>12</v>
      </c>
      <c r="L647" s="51">
        <v>0</v>
      </c>
      <c r="M647" s="51"/>
      <c r="N647" s="293">
        <v>0.2</v>
      </c>
      <c r="O647" s="293">
        <v>0</v>
      </c>
      <c r="P647" s="294">
        <v>2</v>
      </c>
      <c r="Q647" s="53"/>
      <c r="R647" s="54" t="s">
        <v>158</v>
      </c>
      <c r="S647" s="54" t="s">
        <v>158</v>
      </c>
      <c r="T647" s="54" t="s">
        <v>158</v>
      </c>
      <c r="U647" s="54" t="s">
        <v>158</v>
      </c>
      <c r="V647" s="254" t="s">
        <v>1003</v>
      </c>
      <c r="W647" s="53"/>
      <c r="X647" s="53">
        <f t="shared" si="166"/>
        <v>0</v>
      </c>
      <c r="Y647" s="55"/>
      <c r="Z647" s="55"/>
      <c r="AA647" s="52">
        <f t="shared" si="167"/>
        <v>0</v>
      </c>
      <c r="AB647" s="53">
        <f t="shared" si="168"/>
        <v>0</v>
      </c>
      <c r="AC647" s="53">
        <f t="shared" si="169"/>
        <v>0</v>
      </c>
      <c r="AD647" s="53">
        <f t="shared" si="170"/>
        <v>0</v>
      </c>
      <c r="AE647" s="53">
        <f t="shared" si="171"/>
        <v>0</v>
      </c>
      <c r="AF647" s="53">
        <f t="shared" si="172"/>
        <v>0</v>
      </c>
      <c r="AG647" s="56">
        <f t="shared" si="173"/>
        <v>0</v>
      </c>
      <c r="AH647" s="53">
        <f t="shared" si="174"/>
        <v>0</v>
      </c>
      <c r="AI647" s="55"/>
      <c r="AJ647" s="53">
        <f t="shared" si="175"/>
        <v>0</v>
      </c>
      <c r="AK647" s="53">
        <f t="shared" si="176"/>
        <v>0</v>
      </c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7"/>
      <c r="AW647" s="57"/>
      <c r="AX647" s="57"/>
    </row>
    <row r="648" spans="2:50">
      <c r="B648" s="45">
        <v>626</v>
      </c>
      <c r="C648" s="289" t="s">
        <v>983</v>
      </c>
      <c r="D648" s="290" t="s">
        <v>1000</v>
      </c>
      <c r="E648" s="290" t="s">
        <v>1004</v>
      </c>
      <c r="F648" s="291" t="s">
        <v>1005</v>
      </c>
      <c r="G648" s="217" t="s">
        <v>981</v>
      </c>
      <c r="H648" s="292">
        <v>43172</v>
      </c>
      <c r="I648" s="164" t="s">
        <v>409</v>
      </c>
      <c r="J648" s="51">
        <f t="shared" si="150"/>
        <v>96</v>
      </c>
      <c r="K648" s="51">
        <v>96</v>
      </c>
      <c r="L648" s="51">
        <v>0</v>
      </c>
      <c r="M648" s="51"/>
      <c r="N648" s="293">
        <v>1.6</v>
      </c>
      <c r="O648" s="293">
        <v>0</v>
      </c>
      <c r="P648" s="294">
        <v>2</v>
      </c>
      <c r="Q648" s="53" t="s">
        <v>257</v>
      </c>
      <c r="R648" s="54" t="s">
        <v>158</v>
      </c>
      <c r="S648" s="54" t="s">
        <v>158</v>
      </c>
      <c r="T648" s="54" t="s">
        <v>158</v>
      </c>
      <c r="U648" s="54" t="s">
        <v>158</v>
      </c>
      <c r="V648" s="254" t="s">
        <v>1003</v>
      </c>
      <c r="W648" s="53"/>
      <c r="X648" s="53">
        <f t="shared" si="166"/>
        <v>0</v>
      </c>
      <c r="Y648" s="55"/>
      <c r="Z648" s="55"/>
      <c r="AA648" s="52">
        <f t="shared" si="167"/>
        <v>0</v>
      </c>
      <c r="AB648" s="53">
        <f t="shared" si="168"/>
        <v>0</v>
      </c>
      <c r="AC648" s="53">
        <f t="shared" si="169"/>
        <v>0</v>
      </c>
      <c r="AD648" s="53">
        <f t="shared" si="170"/>
        <v>0</v>
      </c>
      <c r="AE648" s="53">
        <f t="shared" si="171"/>
        <v>0</v>
      </c>
      <c r="AF648" s="53">
        <f t="shared" si="172"/>
        <v>0</v>
      </c>
      <c r="AG648" s="56">
        <f t="shared" si="173"/>
        <v>1</v>
      </c>
      <c r="AH648" s="53">
        <f t="shared" si="174"/>
        <v>0</v>
      </c>
      <c r="AI648" s="55"/>
      <c r="AJ648" s="53">
        <f t="shared" si="175"/>
        <v>0</v>
      </c>
      <c r="AK648" s="53">
        <f t="shared" si="176"/>
        <v>0</v>
      </c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7"/>
      <c r="AW648" s="57"/>
      <c r="AX648" s="57"/>
    </row>
    <row r="649" spans="2:50">
      <c r="B649" s="45">
        <v>627</v>
      </c>
      <c r="C649" s="289" t="s">
        <v>983</v>
      </c>
      <c r="D649" s="290" t="s">
        <v>1000</v>
      </c>
      <c r="E649" s="290" t="s">
        <v>1004</v>
      </c>
      <c r="F649" s="291" t="s">
        <v>1006</v>
      </c>
      <c r="G649" s="217" t="s">
        <v>981</v>
      </c>
      <c r="H649" s="292">
        <v>42452</v>
      </c>
      <c r="I649" s="164" t="s">
        <v>409</v>
      </c>
      <c r="J649" s="51">
        <f t="shared" si="150"/>
        <v>159</v>
      </c>
      <c r="K649" s="51">
        <v>159</v>
      </c>
      <c r="L649" s="51">
        <v>0</v>
      </c>
      <c r="M649" s="51"/>
      <c r="N649" s="293">
        <v>2.65</v>
      </c>
      <c r="O649" s="293">
        <v>0</v>
      </c>
      <c r="P649" s="294">
        <v>2</v>
      </c>
      <c r="Q649" s="53"/>
      <c r="R649" s="54" t="s">
        <v>158</v>
      </c>
      <c r="S649" s="54" t="s">
        <v>158</v>
      </c>
      <c r="T649" s="54" t="s">
        <v>158</v>
      </c>
      <c r="U649" s="54" t="s">
        <v>158</v>
      </c>
      <c r="V649" s="254" t="s">
        <v>1003</v>
      </c>
      <c r="W649" s="53"/>
      <c r="X649" s="53">
        <f t="shared" si="166"/>
        <v>0</v>
      </c>
      <c r="Y649" s="55"/>
      <c r="Z649" s="55"/>
      <c r="AA649" s="52">
        <f t="shared" si="167"/>
        <v>0</v>
      </c>
      <c r="AB649" s="53">
        <f t="shared" si="168"/>
        <v>0</v>
      </c>
      <c r="AC649" s="53">
        <f t="shared" si="169"/>
        <v>0</v>
      </c>
      <c r="AD649" s="53">
        <f t="shared" si="170"/>
        <v>0</v>
      </c>
      <c r="AE649" s="53">
        <f t="shared" si="171"/>
        <v>0</v>
      </c>
      <c r="AF649" s="53">
        <f t="shared" si="172"/>
        <v>0</v>
      </c>
      <c r="AG649" s="56">
        <f t="shared" si="173"/>
        <v>0</v>
      </c>
      <c r="AH649" s="53">
        <f t="shared" si="174"/>
        <v>0</v>
      </c>
      <c r="AI649" s="55"/>
      <c r="AJ649" s="53">
        <f t="shared" si="175"/>
        <v>0</v>
      </c>
      <c r="AK649" s="53">
        <f t="shared" si="176"/>
        <v>0</v>
      </c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7"/>
      <c r="AW649" s="57"/>
      <c r="AX649" s="57"/>
    </row>
    <row r="650" spans="2:50">
      <c r="B650" s="45">
        <v>628</v>
      </c>
      <c r="C650" s="289" t="s">
        <v>983</v>
      </c>
      <c r="D650" s="290" t="s">
        <v>1000</v>
      </c>
      <c r="E650" s="290" t="s">
        <v>1004</v>
      </c>
      <c r="F650" s="291" t="s">
        <v>736</v>
      </c>
      <c r="G650" s="217" t="s">
        <v>981</v>
      </c>
      <c r="H650" s="292">
        <v>43017</v>
      </c>
      <c r="I650" s="164" t="s">
        <v>409</v>
      </c>
      <c r="J650" s="51">
        <f t="shared" si="150"/>
        <v>54</v>
      </c>
      <c r="K650" s="51">
        <v>54</v>
      </c>
      <c r="L650" s="51">
        <v>0</v>
      </c>
      <c r="M650" s="51"/>
      <c r="N650" s="293">
        <v>0.89999999999999991</v>
      </c>
      <c r="O650" s="293">
        <v>0</v>
      </c>
      <c r="P650" s="294">
        <v>2</v>
      </c>
      <c r="Q650" s="53"/>
      <c r="R650" s="54" t="s">
        <v>158</v>
      </c>
      <c r="S650" s="54" t="s">
        <v>158</v>
      </c>
      <c r="T650" s="54" t="s">
        <v>158</v>
      </c>
      <c r="U650" s="54" t="s">
        <v>158</v>
      </c>
      <c r="V650" s="254" t="s">
        <v>1003</v>
      </c>
      <c r="W650" s="53"/>
      <c r="X650" s="53">
        <f t="shared" si="166"/>
        <v>0</v>
      </c>
      <c r="Y650" s="55"/>
      <c r="Z650" s="55"/>
      <c r="AA650" s="52">
        <f t="shared" si="167"/>
        <v>0</v>
      </c>
      <c r="AB650" s="53">
        <f t="shared" si="168"/>
        <v>0</v>
      </c>
      <c r="AC650" s="53">
        <f t="shared" si="169"/>
        <v>0</v>
      </c>
      <c r="AD650" s="53">
        <f t="shared" si="170"/>
        <v>0</v>
      </c>
      <c r="AE650" s="53">
        <f t="shared" si="171"/>
        <v>0</v>
      </c>
      <c r="AF650" s="53">
        <f t="shared" si="172"/>
        <v>0</v>
      </c>
      <c r="AG650" s="56">
        <f t="shared" si="173"/>
        <v>0</v>
      </c>
      <c r="AH650" s="53">
        <f t="shared" si="174"/>
        <v>0</v>
      </c>
      <c r="AI650" s="55"/>
      <c r="AJ650" s="53">
        <f t="shared" si="175"/>
        <v>0</v>
      </c>
      <c r="AK650" s="53">
        <f t="shared" si="176"/>
        <v>0</v>
      </c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7"/>
      <c r="AW650" s="57"/>
      <c r="AX650" s="57"/>
    </row>
    <row r="651" spans="2:50">
      <c r="B651" s="45">
        <v>629</v>
      </c>
      <c r="C651" s="289" t="s">
        <v>983</v>
      </c>
      <c r="D651" s="290" t="s">
        <v>1000</v>
      </c>
      <c r="E651" s="290" t="s">
        <v>1007</v>
      </c>
      <c r="F651" s="291" t="s">
        <v>1008</v>
      </c>
      <c r="G651" s="217" t="s">
        <v>981</v>
      </c>
      <c r="H651" s="292">
        <v>42227</v>
      </c>
      <c r="I651" s="164" t="s">
        <v>409</v>
      </c>
      <c r="J651" s="51">
        <f t="shared" ref="J651:J714" si="177">SUM(K651:L651)</f>
        <v>258</v>
      </c>
      <c r="K651" s="51">
        <v>18</v>
      </c>
      <c r="L651" s="51">
        <v>240</v>
      </c>
      <c r="M651" s="51"/>
      <c r="N651" s="293">
        <v>0.3</v>
      </c>
      <c r="O651" s="293">
        <v>4</v>
      </c>
      <c r="P651" s="294">
        <v>2</v>
      </c>
      <c r="Q651" s="53"/>
      <c r="R651" s="54" t="s">
        <v>158</v>
      </c>
      <c r="S651" s="54" t="s">
        <v>158</v>
      </c>
      <c r="T651" s="54" t="s">
        <v>158</v>
      </c>
      <c r="U651" s="54" t="s">
        <v>158</v>
      </c>
      <c r="V651" s="254" t="s">
        <v>1003</v>
      </c>
      <c r="W651" s="53"/>
      <c r="X651" s="53">
        <f t="shared" si="166"/>
        <v>0</v>
      </c>
      <c r="Y651" s="55"/>
      <c r="Z651" s="55"/>
      <c r="AA651" s="52">
        <f t="shared" si="167"/>
        <v>0</v>
      </c>
      <c r="AB651" s="53">
        <f t="shared" si="168"/>
        <v>0</v>
      </c>
      <c r="AC651" s="53">
        <f t="shared" si="169"/>
        <v>0</v>
      </c>
      <c r="AD651" s="53">
        <f t="shared" si="170"/>
        <v>0</v>
      </c>
      <c r="AE651" s="53">
        <f t="shared" si="171"/>
        <v>0</v>
      </c>
      <c r="AF651" s="53">
        <f t="shared" si="172"/>
        <v>0</v>
      </c>
      <c r="AG651" s="56">
        <f t="shared" si="173"/>
        <v>0</v>
      </c>
      <c r="AH651" s="53">
        <f t="shared" si="174"/>
        <v>0</v>
      </c>
      <c r="AI651" s="55"/>
      <c r="AJ651" s="53">
        <f t="shared" si="175"/>
        <v>0</v>
      </c>
      <c r="AK651" s="53">
        <f t="shared" si="176"/>
        <v>0</v>
      </c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7"/>
      <c r="AW651" s="57"/>
      <c r="AX651" s="57"/>
    </row>
    <row r="652" spans="2:50">
      <c r="B652" s="45">
        <v>630</v>
      </c>
      <c r="C652" s="289" t="s">
        <v>983</v>
      </c>
      <c r="D652" s="290" t="s">
        <v>1000</v>
      </c>
      <c r="E652" s="290" t="s">
        <v>1007</v>
      </c>
      <c r="F652" s="291" t="s">
        <v>1009</v>
      </c>
      <c r="G652" s="217" t="s">
        <v>981</v>
      </c>
      <c r="H652" s="292">
        <v>42789</v>
      </c>
      <c r="I652" s="164" t="s">
        <v>409</v>
      </c>
      <c r="J652" s="51">
        <f t="shared" si="177"/>
        <v>36</v>
      </c>
      <c r="K652" s="51">
        <v>36</v>
      </c>
      <c r="L652" s="51">
        <v>0</v>
      </c>
      <c r="M652" s="51"/>
      <c r="N652" s="293">
        <v>0.6</v>
      </c>
      <c r="O652" s="293">
        <v>0</v>
      </c>
      <c r="P652" s="294">
        <v>2</v>
      </c>
      <c r="Q652" s="53"/>
      <c r="R652" s="54" t="s">
        <v>158</v>
      </c>
      <c r="S652" s="54" t="s">
        <v>158</v>
      </c>
      <c r="T652" s="54" t="s">
        <v>158</v>
      </c>
      <c r="U652" s="54" t="s">
        <v>158</v>
      </c>
      <c r="V652" s="254" t="s">
        <v>1003</v>
      </c>
      <c r="W652" s="53"/>
      <c r="X652" s="53">
        <f t="shared" si="166"/>
        <v>0</v>
      </c>
      <c r="Y652" s="55"/>
      <c r="Z652" s="55"/>
      <c r="AA652" s="52">
        <f t="shared" si="167"/>
        <v>0</v>
      </c>
      <c r="AB652" s="53">
        <f t="shared" si="168"/>
        <v>0</v>
      </c>
      <c r="AC652" s="53">
        <f t="shared" si="169"/>
        <v>0</v>
      </c>
      <c r="AD652" s="53">
        <f t="shared" si="170"/>
        <v>0</v>
      </c>
      <c r="AE652" s="53">
        <f t="shared" si="171"/>
        <v>0</v>
      </c>
      <c r="AF652" s="53">
        <f t="shared" si="172"/>
        <v>0</v>
      </c>
      <c r="AG652" s="56">
        <f t="shared" si="173"/>
        <v>0</v>
      </c>
      <c r="AH652" s="53">
        <f t="shared" si="174"/>
        <v>0</v>
      </c>
      <c r="AI652" s="55"/>
      <c r="AJ652" s="53">
        <f t="shared" si="175"/>
        <v>0</v>
      </c>
      <c r="AK652" s="53">
        <f t="shared" si="176"/>
        <v>0</v>
      </c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7"/>
      <c r="AW652" s="57"/>
      <c r="AX652" s="57"/>
    </row>
    <row r="653" spans="2:50">
      <c r="B653" s="45">
        <v>631</v>
      </c>
      <c r="C653" s="289" t="s">
        <v>983</v>
      </c>
      <c r="D653" s="290" t="s">
        <v>1000</v>
      </c>
      <c r="E653" s="290" t="s">
        <v>1007</v>
      </c>
      <c r="F653" s="291" t="s">
        <v>1010</v>
      </c>
      <c r="G653" s="217" t="s">
        <v>981</v>
      </c>
      <c r="H653" s="292">
        <v>43795</v>
      </c>
      <c r="I653" s="164" t="s">
        <v>409</v>
      </c>
      <c r="J653" s="51">
        <f t="shared" si="177"/>
        <v>48</v>
      </c>
      <c r="K653" s="51">
        <v>48</v>
      </c>
      <c r="L653" s="51">
        <v>0</v>
      </c>
      <c r="M653" s="51"/>
      <c r="N653" s="262">
        <v>0.5</v>
      </c>
      <c r="O653" s="223">
        <v>0</v>
      </c>
      <c r="P653" s="224">
        <v>1</v>
      </c>
      <c r="Q653" s="53"/>
      <c r="R653" s="54" t="s">
        <v>158</v>
      </c>
      <c r="S653" s="54" t="s">
        <v>158</v>
      </c>
      <c r="T653" s="54" t="s">
        <v>158</v>
      </c>
      <c r="U653" s="54" t="s">
        <v>158</v>
      </c>
      <c r="V653" s="254" t="s">
        <v>1003</v>
      </c>
      <c r="W653" s="53"/>
      <c r="X653" s="53">
        <f t="shared" si="166"/>
        <v>0</v>
      </c>
      <c r="Y653" s="55"/>
      <c r="Z653" s="55"/>
      <c r="AA653" s="52">
        <f t="shared" si="167"/>
        <v>0</v>
      </c>
      <c r="AB653" s="53">
        <f t="shared" si="168"/>
        <v>0</v>
      </c>
      <c r="AC653" s="53">
        <f t="shared" si="169"/>
        <v>0</v>
      </c>
      <c r="AD653" s="53">
        <f t="shared" si="170"/>
        <v>0</v>
      </c>
      <c r="AE653" s="53">
        <f t="shared" si="171"/>
        <v>0</v>
      </c>
      <c r="AF653" s="53">
        <f t="shared" si="172"/>
        <v>0</v>
      </c>
      <c r="AG653" s="56">
        <f t="shared" si="173"/>
        <v>0</v>
      </c>
      <c r="AH653" s="53">
        <f t="shared" si="174"/>
        <v>0</v>
      </c>
      <c r="AI653" s="55"/>
      <c r="AJ653" s="53">
        <f t="shared" si="175"/>
        <v>0</v>
      </c>
      <c r="AK653" s="53">
        <f t="shared" si="176"/>
        <v>0</v>
      </c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7"/>
      <c r="AW653" s="57"/>
      <c r="AX653" s="57"/>
    </row>
    <row r="654" spans="2:50">
      <c r="B654" s="45">
        <v>632</v>
      </c>
      <c r="C654" s="289" t="s">
        <v>983</v>
      </c>
      <c r="D654" s="290" t="s">
        <v>1000</v>
      </c>
      <c r="E654" s="290" t="s">
        <v>1011</v>
      </c>
      <c r="F654" s="291" t="s">
        <v>1008</v>
      </c>
      <c r="G654" s="217" t="s">
        <v>981</v>
      </c>
      <c r="H654" s="292">
        <v>42227</v>
      </c>
      <c r="I654" s="164" t="s">
        <v>409</v>
      </c>
      <c r="J654" s="51">
        <f t="shared" si="177"/>
        <v>270</v>
      </c>
      <c r="K654" s="51">
        <v>30</v>
      </c>
      <c r="L654" s="51">
        <v>240</v>
      </c>
      <c r="M654" s="51"/>
      <c r="N654" s="293">
        <v>0.5</v>
      </c>
      <c r="O654" s="293">
        <v>4</v>
      </c>
      <c r="P654" s="294">
        <v>2</v>
      </c>
      <c r="Q654" s="53"/>
      <c r="R654" s="54" t="s">
        <v>158</v>
      </c>
      <c r="S654" s="54" t="s">
        <v>158</v>
      </c>
      <c r="T654" s="54" t="s">
        <v>158</v>
      </c>
      <c r="U654" s="54" t="s">
        <v>158</v>
      </c>
      <c r="V654" s="254" t="s">
        <v>1003</v>
      </c>
      <c r="W654" s="53"/>
      <c r="X654" s="53">
        <f t="shared" si="166"/>
        <v>0</v>
      </c>
      <c r="Y654" s="55"/>
      <c r="Z654" s="55"/>
      <c r="AA654" s="52">
        <f t="shared" si="167"/>
        <v>0</v>
      </c>
      <c r="AB654" s="53">
        <f t="shared" si="168"/>
        <v>0</v>
      </c>
      <c r="AC654" s="53">
        <f t="shared" si="169"/>
        <v>0</v>
      </c>
      <c r="AD654" s="53">
        <f t="shared" si="170"/>
        <v>0</v>
      </c>
      <c r="AE654" s="53">
        <f t="shared" si="171"/>
        <v>0</v>
      </c>
      <c r="AF654" s="53">
        <f t="shared" si="172"/>
        <v>0</v>
      </c>
      <c r="AG654" s="56">
        <f t="shared" si="173"/>
        <v>0</v>
      </c>
      <c r="AH654" s="53">
        <f t="shared" si="174"/>
        <v>0</v>
      </c>
      <c r="AI654" s="55"/>
      <c r="AJ654" s="53">
        <f t="shared" si="175"/>
        <v>0</v>
      </c>
      <c r="AK654" s="53">
        <f t="shared" si="176"/>
        <v>0</v>
      </c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7"/>
      <c r="AW654" s="57"/>
      <c r="AX654" s="57"/>
    </row>
    <row r="655" spans="2:50">
      <c r="B655" s="45">
        <v>633</v>
      </c>
      <c r="C655" s="289" t="s">
        <v>983</v>
      </c>
      <c r="D655" s="290" t="s">
        <v>1000</v>
      </c>
      <c r="E655" s="290" t="s">
        <v>1011</v>
      </c>
      <c r="F655" s="291" t="s">
        <v>1012</v>
      </c>
      <c r="G655" s="217" t="s">
        <v>981</v>
      </c>
      <c r="H655" s="292">
        <v>42230</v>
      </c>
      <c r="I655" s="164" t="s">
        <v>409</v>
      </c>
      <c r="J655" s="51">
        <f t="shared" si="177"/>
        <v>18</v>
      </c>
      <c r="K655" s="51">
        <v>18</v>
      </c>
      <c r="L655" s="51">
        <v>0</v>
      </c>
      <c r="M655" s="51"/>
      <c r="N655" s="293">
        <v>0.3</v>
      </c>
      <c r="O655" s="293">
        <v>0</v>
      </c>
      <c r="P655" s="294">
        <v>2</v>
      </c>
      <c r="Q655" s="53"/>
      <c r="R655" s="54" t="s">
        <v>158</v>
      </c>
      <c r="S655" s="54" t="s">
        <v>158</v>
      </c>
      <c r="T655" s="54" t="s">
        <v>158</v>
      </c>
      <c r="U655" s="54" t="s">
        <v>158</v>
      </c>
      <c r="V655" s="254" t="s">
        <v>1003</v>
      </c>
      <c r="W655" s="53"/>
      <c r="X655" s="53">
        <f t="shared" si="166"/>
        <v>0</v>
      </c>
      <c r="Y655" s="55"/>
      <c r="Z655" s="55"/>
      <c r="AA655" s="52">
        <f t="shared" si="167"/>
        <v>0</v>
      </c>
      <c r="AB655" s="53">
        <f t="shared" si="168"/>
        <v>0</v>
      </c>
      <c r="AC655" s="53">
        <f t="shared" si="169"/>
        <v>0</v>
      </c>
      <c r="AD655" s="53">
        <f t="shared" si="170"/>
        <v>0</v>
      </c>
      <c r="AE655" s="53">
        <f t="shared" si="171"/>
        <v>0</v>
      </c>
      <c r="AF655" s="53">
        <f t="shared" si="172"/>
        <v>0</v>
      </c>
      <c r="AG655" s="56">
        <f t="shared" si="173"/>
        <v>0</v>
      </c>
      <c r="AH655" s="53">
        <f t="shared" si="174"/>
        <v>0</v>
      </c>
      <c r="AI655" s="55"/>
      <c r="AJ655" s="53">
        <f t="shared" si="175"/>
        <v>0</v>
      </c>
      <c r="AK655" s="53">
        <f t="shared" si="176"/>
        <v>0</v>
      </c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7"/>
      <c r="AW655" s="57"/>
      <c r="AX655" s="57"/>
    </row>
    <row r="656" spans="2:50">
      <c r="B656" s="45">
        <v>634</v>
      </c>
      <c r="C656" s="289" t="s">
        <v>983</v>
      </c>
      <c r="D656" s="290" t="s">
        <v>1000</v>
      </c>
      <c r="E656" s="290" t="s">
        <v>1011</v>
      </c>
      <c r="F656" s="291" t="s">
        <v>724</v>
      </c>
      <c r="G656" s="217" t="s">
        <v>981</v>
      </c>
      <c r="H656" s="292">
        <v>43712</v>
      </c>
      <c r="I656" s="164" t="s">
        <v>409</v>
      </c>
      <c r="J656" s="51">
        <f t="shared" si="177"/>
        <v>42</v>
      </c>
      <c r="K656" s="51">
        <v>42</v>
      </c>
      <c r="L656" s="51">
        <v>0</v>
      </c>
      <c r="M656" s="51"/>
      <c r="N656" s="293">
        <v>0.7</v>
      </c>
      <c r="O656" s="293">
        <v>0</v>
      </c>
      <c r="P656" s="294">
        <v>2</v>
      </c>
      <c r="Q656" s="53"/>
      <c r="R656" s="54" t="s">
        <v>158</v>
      </c>
      <c r="S656" s="54" t="s">
        <v>158</v>
      </c>
      <c r="T656" s="54" t="s">
        <v>158</v>
      </c>
      <c r="U656" s="54" t="s">
        <v>158</v>
      </c>
      <c r="V656" s="254" t="s">
        <v>1003</v>
      </c>
      <c r="W656" s="53"/>
      <c r="X656" s="53">
        <f t="shared" si="166"/>
        <v>0</v>
      </c>
      <c r="Y656" s="55"/>
      <c r="Z656" s="55"/>
      <c r="AA656" s="52">
        <f t="shared" si="167"/>
        <v>0</v>
      </c>
      <c r="AB656" s="53">
        <f t="shared" si="168"/>
        <v>0</v>
      </c>
      <c r="AC656" s="53">
        <f t="shared" si="169"/>
        <v>0</v>
      </c>
      <c r="AD656" s="53">
        <f t="shared" si="170"/>
        <v>0</v>
      </c>
      <c r="AE656" s="53">
        <f t="shared" si="171"/>
        <v>0</v>
      </c>
      <c r="AF656" s="53">
        <f t="shared" si="172"/>
        <v>0</v>
      </c>
      <c r="AG656" s="56">
        <f t="shared" si="173"/>
        <v>0</v>
      </c>
      <c r="AH656" s="53">
        <f t="shared" si="174"/>
        <v>0</v>
      </c>
      <c r="AI656" s="55"/>
      <c r="AJ656" s="53">
        <f t="shared" si="175"/>
        <v>0</v>
      </c>
      <c r="AK656" s="53">
        <f t="shared" si="176"/>
        <v>0</v>
      </c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7"/>
      <c r="AW656" s="57"/>
      <c r="AX656" s="57"/>
    </row>
    <row r="657" spans="2:50">
      <c r="B657" s="45">
        <v>635</v>
      </c>
      <c r="C657" s="289" t="s">
        <v>983</v>
      </c>
      <c r="D657" s="290" t="s">
        <v>1000</v>
      </c>
      <c r="E657" s="290" t="s">
        <v>1011</v>
      </c>
      <c r="F657" s="291" t="s">
        <v>1010</v>
      </c>
      <c r="G657" s="217" t="s">
        <v>981</v>
      </c>
      <c r="H657" s="292">
        <v>43795</v>
      </c>
      <c r="I657" s="164" t="s">
        <v>409</v>
      </c>
      <c r="J657" s="51">
        <f t="shared" si="177"/>
        <v>30</v>
      </c>
      <c r="K657" s="51">
        <v>30</v>
      </c>
      <c r="L657" s="51">
        <v>0</v>
      </c>
      <c r="M657" s="51"/>
      <c r="N657" s="293">
        <v>0.5</v>
      </c>
      <c r="O657" s="293">
        <v>0</v>
      </c>
      <c r="P657" s="294">
        <v>2</v>
      </c>
      <c r="Q657" s="53"/>
      <c r="R657" s="54" t="s">
        <v>158</v>
      </c>
      <c r="S657" s="54" t="s">
        <v>158</v>
      </c>
      <c r="T657" s="54" t="s">
        <v>158</v>
      </c>
      <c r="U657" s="54" t="s">
        <v>158</v>
      </c>
      <c r="V657" s="254" t="s">
        <v>1003</v>
      </c>
      <c r="W657" s="53"/>
      <c r="X657" s="53">
        <f t="shared" si="166"/>
        <v>0</v>
      </c>
      <c r="Y657" s="55"/>
      <c r="Z657" s="55"/>
      <c r="AA657" s="52">
        <f t="shared" si="167"/>
        <v>0</v>
      </c>
      <c r="AB657" s="53">
        <f t="shared" si="168"/>
        <v>0</v>
      </c>
      <c r="AC657" s="53">
        <f t="shared" si="169"/>
        <v>0</v>
      </c>
      <c r="AD657" s="53">
        <f t="shared" si="170"/>
        <v>0</v>
      </c>
      <c r="AE657" s="53">
        <f t="shared" si="171"/>
        <v>0</v>
      </c>
      <c r="AF657" s="53">
        <f t="shared" si="172"/>
        <v>0</v>
      </c>
      <c r="AG657" s="56">
        <f t="shared" si="173"/>
        <v>0</v>
      </c>
      <c r="AH657" s="53">
        <f t="shared" si="174"/>
        <v>0</v>
      </c>
      <c r="AI657" s="55"/>
      <c r="AJ657" s="53">
        <f t="shared" si="175"/>
        <v>0</v>
      </c>
      <c r="AK657" s="53">
        <f t="shared" si="176"/>
        <v>0</v>
      </c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7"/>
      <c r="AW657" s="57"/>
      <c r="AX657" s="57"/>
    </row>
    <row r="658" spans="2:50">
      <c r="B658" s="45">
        <v>636</v>
      </c>
      <c r="C658" s="289" t="s">
        <v>983</v>
      </c>
      <c r="D658" s="290" t="s">
        <v>1000</v>
      </c>
      <c r="E658" s="290" t="s">
        <v>1011</v>
      </c>
      <c r="F658" s="291" t="s">
        <v>1013</v>
      </c>
      <c r="G658" s="217" t="s">
        <v>981</v>
      </c>
      <c r="H658" s="292">
        <v>43194</v>
      </c>
      <c r="I658" s="164" t="s">
        <v>409</v>
      </c>
      <c r="J658" s="51">
        <f t="shared" si="177"/>
        <v>60</v>
      </c>
      <c r="K658" s="51">
        <v>60</v>
      </c>
      <c r="L658" s="51">
        <v>0</v>
      </c>
      <c r="M658" s="51"/>
      <c r="N658" s="293">
        <v>1</v>
      </c>
      <c r="O658" s="293">
        <v>0</v>
      </c>
      <c r="P658" s="294">
        <v>2</v>
      </c>
      <c r="Q658" s="53"/>
      <c r="R658" s="54" t="s">
        <v>158</v>
      </c>
      <c r="S658" s="54" t="s">
        <v>158</v>
      </c>
      <c r="T658" s="54" t="s">
        <v>158</v>
      </c>
      <c r="U658" s="54" t="s">
        <v>158</v>
      </c>
      <c r="V658" s="254" t="s">
        <v>1003</v>
      </c>
      <c r="W658" s="53"/>
      <c r="X658" s="53">
        <f t="shared" si="166"/>
        <v>0</v>
      </c>
      <c r="Y658" s="55"/>
      <c r="Z658" s="55"/>
      <c r="AA658" s="52">
        <f t="shared" si="167"/>
        <v>0</v>
      </c>
      <c r="AB658" s="53">
        <f t="shared" si="168"/>
        <v>0</v>
      </c>
      <c r="AC658" s="53">
        <f t="shared" si="169"/>
        <v>0</v>
      </c>
      <c r="AD658" s="53">
        <f t="shared" si="170"/>
        <v>0</v>
      </c>
      <c r="AE658" s="53">
        <f t="shared" si="171"/>
        <v>0</v>
      </c>
      <c r="AF658" s="53">
        <f t="shared" si="172"/>
        <v>0</v>
      </c>
      <c r="AG658" s="56">
        <f t="shared" si="173"/>
        <v>0</v>
      </c>
      <c r="AH658" s="53">
        <f t="shared" si="174"/>
        <v>0</v>
      </c>
      <c r="AI658" s="55"/>
      <c r="AJ658" s="53">
        <f t="shared" si="175"/>
        <v>0</v>
      </c>
      <c r="AK658" s="53">
        <f t="shared" si="176"/>
        <v>0</v>
      </c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7"/>
      <c r="AW658" s="57"/>
      <c r="AX658" s="57"/>
    </row>
    <row r="659" spans="2:50">
      <c r="B659" s="45">
        <v>637</v>
      </c>
      <c r="C659" s="289" t="s">
        <v>983</v>
      </c>
      <c r="D659" s="290" t="s">
        <v>1000</v>
      </c>
      <c r="E659" s="290" t="s">
        <v>1011</v>
      </c>
      <c r="F659" s="291" t="s">
        <v>1014</v>
      </c>
      <c r="G659" s="217" t="s">
        <v>981</v>
      </c>
      <c r="H659" s="292">
        <v>43606</v>
      </c>
      <c r="I659" s="164" t="s">
        <v>409</v>
      </c>
      <c r="J659" s="51">
        <f t="shared" si="177"/>
        <v>1002</v>
      </c>
      <c r="K659" s="51">
        <v>42</v>
      </c>
      <c r="L659" s="51">
        <v>960</v>
      </c>
      <c r="M659" s="51"/>
      <c r="N659" s="293">
        <v>0.7</v>
      </c>
      <c r="O659" s="293">
        <v>16</v>
      </c>
      <c r="P659" s="294">
        <v>2</v>
      </c>
      <c r="Q659" s="53"/>
      <c r="R659" s="54" t="s">
        <v>158</v>
      </c>
      <c r="S659" s="54" t="s">
        <v>158</v>
      </c>
      <c r="T659" s="54" t="s">
        <v>158</v>
      </c>
      <c r="U659" s="54" t="s">
        <v>158</v>
      </c>
      <c r="V659" s="254" t="s">
        <v>1003</v>
      </c>
      <c r="W659" s="53"/>
      <c r="X659" s="53">
        <f t="shared" si="166"/>
        <v>0</v>
      </c>
      <c r="Y659" s="55"/>
      <c r="Z659" s="55"/>
      <c r="AA659" s="52">
        <f t="shared" si="167"/>
        <v>0</v>
      </c>
      <c r="AB659" s="53">
        <f t="shared" si="168"/>
        <v>0</v>
      </c>
      <c r="AC659" s="53">
        <f t="shared" si="169"/>
        <v>0</v>
      </c>
      <c r="AD659" s="53">
        <f t="shared" si="170"/>
        <v>0</v>
      </c>
      <c r="AE659" s="53">
        <f t="shared" si="171"/>
        <v>0</v>
      </c>
      <c r="AF659" s="53">
        <f t="shared" si="172"/>
        <v>0</v>
      </c>
      <c r="AG659" s="56">
        <f t="shared" si="173"/>
        <v>0</v>
      </c>
      <c r="AH659" s="53">
        <f t="shared" si="174"/>
        <v>0</v>
      </c>
      <c r="AI659" s="55"/>
      <c r="AJ659" s="53">
        <f t="shared" si="175"/>
        <v>0</v>
      </c>
      <c r="AK659" s="53">
        <f t="shared" si="176"/>
        <v>0</v>
      </c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7"/>
      <c r="AW659" s="57"/>
      <c r="AX659" s="57"/>
    </row>
    <row r="660" spans="2:50">
      <c r="B660" s="45">
        <v>638</v>
      </c>
      <c r="C660" s="289" t="s">
        <v>983</v>
      </c>
      <c r="D660" s="290" t="s">
        <v>1000</v>
      </c>
      <c r="E660" s="290" t="s">
        <v>1015</v>
      </c>
      <c r="F660" s="291" t="s">
        <v>1013</v>
      </c>
      <c r="G660" s="217" t="s">
        <v>981</v>
      </c>
      <c r="H660" s="292">
        <v>42789</v>
      </c>
      <c r="I660" s="164" t="s">
        <v>409</v>
      </c>
      <c r="J660" s="51">
        <f t="shared" si="177"/>
        <v>330</v>
      </c>
      <c r="K660" s="51">
        <v>270</v>
      </c>
      <c r="L660" s="51">
        <v>60</v>
      </c>
      <c r="M660" s="51"/>
      <c r="N660" s="293">
        <v>4.5</v>
      </c>
      <c r="O660" s="293">
        <v>1</v>
      </c>
      <c r="P660" s="294">
        <v>2</v>
      </c>
      <c r="Q660" s="53"/>
      <c r="R660" s="54" t="s">
        <v>158</v>
      </c>
      <c r="S660" s="54" t="s">
        <v>158</v>
      </c>
      <c r="T660" s="54" t="s">
        <v>158</v>
      </c>
      <c r="U660" s="54" t="s">
        <v>158</v>
      </c>
      <c r="V660" s="254" t="s">
        <v>1003</v>
      </c>
      <c r="W660" s="53"/>
      <c r="X660" s="53">
        <f t="shared" si="166"/>
        <v>0</v>
      </c>
      <c r="Y660" s="55"/>
      <c r="Z660" s="55"/>
      <c r="AA660" s="52">
        <f t="shared" si="167"/>
        <v>0</v>
      </c>
      <c r="AB660" s="53">
        <f t="shared" si="168"/>
        <v>0</v>
      </c>
      <c r="AC660" s="53">
        <f t="shared" si="169"/>
        <v>0</v>
      </c>
      <c r="AD660" s="53">
        <f t="shared" si="170"/>
        <v>0</v>
      </c>
      <c r="AE660" s="53">
        <f t="shared" si="171"/>
        <v>0</v>
      </c>
      <c r="AF660" s="53">
        <f t="shared" si="172"/>
        <v>0</v>
      </c>
      <c r="AG660" s="56">
        <f t="shared" si="173"/>
        <v>0</v>
      </c>
      <c r="AH660" s="53">
        <f t="shared" si="174"/>
        <v>0</v>
      </c>
      <c r="AI660" s="55"/>
      <c r="AJ660" s="53">
        <f t="shared" si="175"/>
        <v>0</v>
      </c>
      <c r="AK660" s="53">
        <f t="shared" si="176"/>
        <v>0</v>
      </c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7"/>
      <c r="AW660" s="57"/>
      <c r="AX660" s="57"/>
    </row>
    <row r="661" spans="2:50">
      <c r="B661" s="45">
        <v>639</v>
      </c>
      <c r="C661" s="289" t="s">
        <v>983</v>
      </c>
      <c r="D661" s="290" t="s">
        <v>1000</v>
      </c>
      <c r="E661" s="290" t="s">
        <v>1015</v>
      </c>
      <c r="F661" s="291" t="s">
        <v>1008</v>
      </c>
      <c r="G661" s="217" t="s">
        <v>981</v>
      </c>
      <c r="H661" s="292">
        <v>42227</v>
      </c>
      <c r="I661" s="164" t="s">
        <v>409</v>
      </c>
      <c r="J661" s="51">
        <f t="shared" si="177"/>
        <v>270</v>
      </c>
      <c r="K661" s="51">
        <v>30</v>
      </c>
      <c r="L661" s="51">
        <v>240</v>
      </c>
      <c r="M661" s="51"/>
      <c r="N661" s="293">
        <v>0.5</v>
      </c>
      <c r="O661" s="293">
        <v>4</v>
      </c>
      <c r="P661" s="294">
        <v>2</v>
      </c>
      <c r="Q661" s="53"/>
      <c r="R661" s="54" t="s">
        <v>158</v>
      </c>
      <c r="S661" s="54" t="s">
        <v>158</v>
      </c>
      <c r="T661" s="54" t="s">
        <v>158</v>
      </c>
      <c r="U661" s="54" t="s">
        <v>158</v>
      </c>
      <c r="V661" s="254" t="s">
        <v>1003</v>
      </c>
      <c r="W661" s="53"/>
      <c r="X661" s="53">
        <f t="shared" si="166"/>
        <v>0</v>
      </c>
      <c r="Y661" s="55"/>
      <c r="Z661" s="55"/>
      <c r="AA661" s="52">
        <f t="shared" si="167"/>
        <v>0</v>
      </c>
      <c r="AB661" s="53">
        <f t="shared" si="168"/>
        <v>0</v>
      </c>
      <c r="AC661" s="53">
        <f t="shared" si="169"/>
        <v>0</v>
      </c>
      <c r="AD661" s="53">
        <f t="shared" si="170"/>
        <v>0</v>
      </c>
      <c r="AE661" s="53">
        <f t="shared" si="171"/>
        <v>0</v>
      </c>
      <c r="AF661" s="53">
        <f t="shared" si="172"/>
        <v>0</v>
      </c>
      <c r="AG661" s="56">
        <f t="shared" si="173"/>
        <v>0</v>
      </c>
      <c r="AH661" s="53">
        <f t="shared" si="174"/>
        <v>0</v>
      </c>
      <c r="AI661" s="55"/>
      <c r="AJ661" s="53">
        <f t="shared" si="175"/>
        <v>0</v>
      </c>
      <c r="AK661" s="53">
        <f t="shared" si="176"/>
        <v>0</v>
      </c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7"/>
      <c r="AW661" s="57"/>
      <c r="AX661" s="57"/>
    </row>
    <row r="662" spans="2:50">
      <c r="B662" s="45">
        <v>640</v>
      </c>
      <c r="C662" s="289" t="s">
        <v>983</v>
      </c>
      <c r="D662" s="290" t="s">
        <v>1000</v>
      </c>
      <c r="E662" s="290" t="s">
        <v>1015</v>
      </c>
      <c r="F662" s="291" t="s">
        <v>1012</v>
      </c>
      <c r="G662" s="217" t="s">
        <v>981</v>
      </c>
      <c r="H662" s="292">
        <v>42230</v>
      </c>
      <c r="I662" s="164" t="s">
        <v>409</v>
      </c>
      <c r="J662" s="51">
        <f t="shared" si="177"/>
        <v>18</v>
      </c>
      <c r="K662" s="51">
        <v>18</v>
      </c>
      <c r="L662" s="51">
        <v>0</v>
      </c>
      <c r="M662" s="51"/>
      <c r="N662" s="293">
        <v>0.3</v>
      </c>
      <c r="O662" s="293">
        <v>0</v>
      </c>
      <c r="P662" s="294">
        <v>2</v>
      </c>
      <c r="Q662" s="53"/>
      <c r="R662" s="54" t="s">
        <v>158</v>
      </c>
      <c r="S662" s="54" t="s">
        <v>158</v>
      </c>
      <c r="T662" s="54" t="s">
        <v>158</v>
      </c>
      <c r="U662" s="54" t="s">
        <v>158</v>
      </c>
      <c r="V662" s="254" t="s">
        <v>1003</v>
      </c>
      <c r="W662" s="53"/>
      <c r="X662" s="53">
        <f t="shared" si="166"/>
        <v>0</v>
      </c>
      <c r="Y662" s="55"/>
      <c r="Z662" s="55"/>
      <c r="AA662" s="52">
        <f t="shared" si="167"/>
        <v>0</v>
      </c>
      <c r="AB662" s="53">
        <f t="shared" si="168"/>
        <v>0</v>
      </c>
      <c r="AC662" s="53">
        <f t="shared" si="169"/>
        <v>0</v>
      </c>
      <c r="AD662" s="53">
        <f t="shared" si="170"/>
        <v>0</v>
      </c>
      <c r="AE662" s="53">
        <f t="shared" si="171"/>
        <v>0</v>
      </c>
      <c r="AF662" s="53">
        <f t="shared" si="172"/>
        <v>0</v>
      </c>
      <c r="AG662" s="56">
        <f t="shared" si="173"/>
        <v>0</v>
      </c>
      <c r="AH662" s="53">
        <f t="shared" si="174"/>
        <v>0</v>
      </c>
      <c r="AI662" s="55"/>
      <c r="AJ662" s="53">
        <f t="shared" si="175"/>
        <v>0</v>
      </c>
      <c r="AK662" s="53">
        <f t="shared" si="176"/>
        <v>0</v>
      </c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7"/>
      <c r="AW662" s="57"/>
      <c r="AX662" s="57"/>
    </row>
    <row r="663" spans="2:50">
      <c r="B663" s="45">
        <v>641</v>
      </c>
      <c r="C663" s="289" t="s">
        <v>983</v>
      </c>
      <c r="D663" s="290" t="s">
        <v>1000</v>
      </c>
      <c r="E663" s="290" t="s">
        <v>1015</v>
      </c>
      <c r="F663" s="291" t="s">
        <v>724</v>
      </c>
      <c r="G663" s="217" t="s">
        <v>981</v>
      </c>
      <c r="H663" s="292">
        <v>43712</v>
      </c>
      <c r="I663" s="164" t="s">
        <v>409</v>
      </c>
      <c r="J663" s="51">
        <f t="shared" si="177"/>
        <v>42</v>
      </c>
      <c r="K663" s="51">
        <v>42</v>
      </c>
      <c r="L663" s="51">
        <v>0</v>
      </c>
      <c r="M663" s="51"/>
      <c r="N663" s="293">
        <v>0.5</v>
      </c>
      <c r="O663" s="293">
        <v>0</v>
      </c>
      <c r="P663" s="294">
        <v>2</v>
      </c>
      <c r="Q663" s="53"/>
      <c r="R663" s="54" t="s">
        <v>158</v>
      </c>
      <c r="S663" s="54" t="s">
        <v>158</v>
      </c>
      <c r="T663" s="54" t="s">
        <v>158</v>
      </c>
      <c r="U663" s="54" t="s">
        <v>158</v>
      </c>
      <c r="V663" s="254" t="s">
        <v>1003</v>
      </c>
      <c r="W663" s="53"/>
      <c r="X663" s="53">
        <f t="shared" si="166"/>
        <v>0</v>
      </c>
      <c r="Y663" s="55"/>
      <c r="Z663" s="55"/>
      <c r="AA663" s="52">
        <f t="shared" si="167"/>
        <v>0</v>
      </c>
      <c r="AB663" s="53">
        <f t="shared" si="168"/>
        <v>0</v>
      </c>
      <c r="AC663" s="53">
        <f t="shared" si="169"/>
        <v>0</v>
      </c>
      <c r="AD663" s="53">
        <f t="shared" si="170"/>
        <v>0</v>
      </c>
      <c r="AE663" s="53">
        <f t="shared" si="171"/>
        <v>0</v>
      </c>
      <c r="AF663" s="53">
        <f t="shared" si="172"/>
        <v>0</v>
      </c>
      <c r="AG663" s="56">
        <f t="shared" si="173"/>
        <v>0</v>
      </c>
      <c r="AH663" s="53">
        <f t="shared" si="174"/>
        <v>0</v>
      </c>
      <c r="AI663" s="55"/>
      <c r="AJ663" s="53">
        <f t="shared" si="175"/>
        <v>0</v>
      </c>
      <c r="AK663" s="53">
        <f t="shared" si="176"/>
        <v>0</v>
      </c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7"/>
      <c r="AW663" s="57"/>
      <c r="AX663" s="57"/>
    </row>
    <row r="664" spans="2:50">
      <c r="B664" s="45">
        <v>642</v>
      </c>
      <c r="C664" s="289" t="s">
        <v>983</v>
      </c>
      <c r="D664" s="290" t="s">
        <v>1000</v>
      </c>
      <c r="E664" s="290" t="s">
        <v>1015</v>
      </c>
      <c r="F664" s="291" t="s">
        <v>1010</v>
      </c>
      <c r="G664" s="217" t="s">
        <v>981</v>
      </c>
      <c r="H664" s="292">
        <v>43795</v>
      </c>
      <c r="I664" s="164" t="s">
        <v>409</v>
      </c>
      <c r="J664" s="51">
        <f t="shared" si="177"/>
        <v>30</v>
      </c>
      <c r="K664" s="51">
        <v>30</v>
      </c>
      <c r="L664" s="51">
        <v>0</v>
      </c>
      <c r="M664" s="51"/>
      <c r="N664" s="293">
        <v>0.5</v>
      </c>
      <c r="O664" s="293">
        <v>0</v>
      </c>
      <c r="P664" s="294">
        <v>2</v>
      </c>
      <c r="Q664" s="53"/>
      <c r="R664" s="54" t="s">
        <v>158</v>
      </c>
      <c r="S664" s="54" t="s">
        <v>158</v>
      </c>
      <c r="T664" s="54" t="s">
        <v>158</v>
      </c>
      <c r="U664" s="54" t="s">
        <v>158</v>
      </c>
      <c r="V664" s="254" t="s">
        <v>1003</v>
      </c>
      <c r="W664" s="53"/>
      <c r="X664" s="53">
        <f t="shared" si="166"/>
        <v>0</v>
      </c>
      <c r="Y664" s="55"/>
      <c r="Z664" s="55"/>
      <c r="AA664" s="52">
        <f t="shared" si="167"/>
        <v>0</v>
      </c>
      <c r="AB664" s="53">
        <f t="shared" si="168"/>
        <v>0</v>
      </c>
      <c r="AC664" s="53">
        <f t="shared" si="169"/>
        <v>0</v>
      </c>
      <c r="AD664" s="53">
        <f t="shared" si="170"/>
        <v>0</v>
      </c>
      <c r="AE664" s="53">
        <f t="shared" si="171"/>
        <v>0</v>
      </c>
      <c r="AF664" s="53">
        <f t="shared" si="172"/>
        <v>0</v>
      </c>
      <c r="AG664" s="56">
        <f t="shared" si="173"/>
        <v>0</v>
      </c>
      <c r="AH664" s="53">
        <f t="shared" si="174"/>
        <v>0</v>
      </c>
      <c r="AI664" s="55"/>
      <c r="AJ664" s="53">
        <f t="shared" si="175"/>
        <v>0</v>
      </c>
      <c r="AK664" s="53">
        <f t="shared" si="176"/>
        <v>0</v>
      </c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7"/>
      <c r="AW664" s="57"/>
      <c r="AX664" s="57"/>
    </row>
    <row r="665" spans="2:50">
      <c r="B665" s="45">
        <v>643</v>
      </c>
      <c r="C665" s="289" t="s">
        <v>983</v>
      </c>
      <c r="D665" s="290" t="s">
        <v>1000</v>
      </c>
      <c r="E665" s="290" t="s">
        <v>1015</v>
      </c>
      <c r="F665" s="291" t="s">
        <v>1016</v>
      </c>
      <c r="G665" s="217" t="s">
        <v>981</v>
      </c>
      <c r="H665" s="292">
        <v>43606</v>
      </c>
      <c r="I665" s="164" t="s">
        <v>409</v>
      </c>
      <c r="J665" s="51">
        <f t="shared" si="177"/>
        <v>486</v>
      </c>
      <c r="K665" s="51">
        <v>6</v>
      </c>
      <c r="L665" s="51">
        <v>480</v>
      </c>
      <c r="M665" s="51"/>
      <c r="N665" s="293">
        <v>0.1</v>
      </c>
      <c r="O665" s="293">
        <v>8</v>
      </c>
      <c r="P665" s="294">
        <v>2</v>
      </c>
      <c r="Q665" s="53"/>
      <c r="R665" s="54" t="s">
        <v>158</v>
      </c>
      <c r="S665" s="54" t="s">
        <v>158</v>
      </c>
      <c r="T665" s="54" t="s">
        <v>158</v>
      </c>
      <c r="U665" s="54" t="s">
        <v>158</v>
      </c>
      <c r="V665" s="254" t="s">
        <v>1003</v>
      </c>
      <c r="W665" s="53"/>
      <c r="X665" s="53">
        <f t="shared" si="166"/>
        <v>0</v>
      </c>
      <c r="Y665" s="55"/>
      <c r="Z665" s="55"/>
      <c r="AA665" s="52">
        <f t="shared" si="167"/>
        <v>0</v>
      </c>
      <c r="AB665" s="53">
        <f t="shared" si="168"/>
        <v>0</v>
      </c>
      <c r="AC665" s="53">
        <f t="shared" si="169"/>
        <v>0</v>
      </c>
      <c r="AD665" s="53">
        <f t="shared" si="170"/>
        <v>0</v>
      </c>
      <c r="AE665" s="53">
        <f t="shared" si="171"/>
        <v>0</v>
      </c>
      <c r="AF665" s="53">
        <f t="shared" si="172"/>
        <v>0</v>
      </c>
      <c r="AG665" s="56">
        <f t="shared" si="173"/>
        <v>0</v>
      </c>
      <c r="AH665" s="53">
        <f t="shared" si="174"/>
        <v>0</v>
      </c>
      <c r="AI665" s="55"/>
      <c r="AJ665" s="53">
        <f t="shared" si="175"/>
        <v>0</v>
      </c>
      <c r="AK665" s="53">
        <f t="shared" si="176"/>
        <v>0</v>
      </c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7"/>
      <c r="AW665" s="57"/>
      <c r="AX665" s="57"/>
    </row>
    <row r="666" spans="2:50">
      <c r="B666" s="45">
        <v>644</v>
      </c>
      <c r="C666" s="289" t="s">
        <v>983</v>
      </c>
      <c r="D666" s="290" t="s">
        <v>1000</v>
      </c>
      <c r="E666" s="290" t="s">
        <v>1015</v>
      </c>
      <c r="F666" s="291" t="s">
        <v>1017</v>
      </c>
      <c r="G666" s="217" t="s">
        <v>981</v>
      </c>
      <c r="H666" s="292">
        <v>43076</v>
      </c>
      <c r="I666" s="164" t="s">
        <v>409</v>
      </c>
      <c r="J666" s="51">
        <f t="shared" si="177"/>
        <v>510</v>
      </c>
      <c r="K666" s="51">
        <v>30</v>
      </c>
      <c r="L666" s="51">
        <v>480</v>
      </c>
      <c r="M666" s="51"/>
      <c r="N666" s="293">
        <v>0.5</v>
      </c>
      <c r="O666" s="293">
        <v>8</v>
      </c>
      <c r="P666" s="294">
        <v>2</v>
      </c>
      <c r="Q666" s="53"/>
      <c r="R666" s="54" t="s">
        <v>158</v>
      </c>
      <c r="S666" s="54" t="s">
        <v>158</v>
      </c>
      <c r="T666" s="54" t="s">
        <v>158</v>
      </c>
      <c r="U666" s="54" t="s">
        <v>158</v>
      </c>
      <c r="V666" s="254" t="s">
        <v>1003</v>
      </c>
      <c r="W666" s="53"/>
      <c r="X666" s="53">
        <f t="shared" si="166"/>
        <v>0</v>
      </c>
      <c r="Y666" s="55"/>
      <c r="Z666" s="55"/>
      <c r="AA666" s="52">
        <f t="shared" si="167"/>
        <v>0</v>
      </c>
      <c r="AB666" s="53">
        <f t="shared" si="168"/>
        <v>0</v>
      </c>
      <c r="AC666" s="53">
        <f t="shared" si="169"/>
        <v>0</v>
      </c>
      <c r="AD666" s="53">
        <f t="shared" si="170"/>
        <v>0</v>
      </c>
      <c r="AE666" s="53">
        <f t="shared" si="171"/>
        <v>0</v>
      </c>
      <c r="AF666" s="53">
        <f t="shared" si="172"/>
        <v>0</v>
      </c>
      <c r="AG666" s="56">
        <f t="shared" si="173"/>
        <v>0</v>
      </c>
      <c r="AH666" s="53">
        <f t="shared" si="174"/>
        <v>0</v>
      </c>
      <c r="AI666" s="55"/>
      <c r="AJ666" s="53">
        <f t="shared" si="175"/>
        <v>0</v>
      </c>
      <c r="AK666" s="53">
        <f t="shared" si="176"/>
        <v>0</v>
      </c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7"/>
      <c r="AW666" s="57"/>
      <c r="AX666" s="57"/>
    </row>
    <row r="667" spans="2:50">
      <c r="B667" s="45">
        <v>645</v>
      </c>
      <c r="C667" s="289" t="s">
        <v>983</v>
      </c>
      <c r="D667" s="290" t="s">
        <v>1000</v>
      </c>
      <c r="E667" s="290" t="s">
        <v>1015</v>
      </c>
      <c r="F667" s="291" t="s">
        <v>1018</v>
      </c>
      <c r="G667" s="217" t="s">
        <v>981</v>
      </c>
      <c r="H667" s="292">
        <v>43643</v>
      </c>
      <c r="I667" s="164" t="s">
        <v>409</v>
      </c>
      <c r="J667" s="51">
        <f t="shared" si="177"/>
        <v>30</v>
      </c>
      <c r="K667" s="51">
        <v>30</v>
      </c>
      <c r="L667" s="51">
        <v>0</v>
      </c>
      <c r="M667" s="51"/>
      <c r="N667" s="296">
        <v>0.5</v>
      </c>
      <c r="O667" s="297">
        <v>0</v>
      </c>
      <c r="P667" s="298">
        <v>2</v>
      </c>
      <c r="Q667" s="53"/>
      <c r="R667" s="54" t="s">
        <v>158</v>
      </c>
      <c r="S667" s="54" t="s">
        <v>158</v>
      </c>
      <c r="T667" s="54" t="s">
        <v>158</v>
      </c>
      <c r="U667" s="54" t="s">
        <v>158</v>
      </c>
      <c r="V667" s="254" t="s">
        <v>1003</v>
      </c>
      <c r="W667" s="53"/>
      <c r="X667" s="53">
        <f t="shared" si="166"/>
        <v>0</v>
      </c>
      <c r="Y667" s="55"/>
      <c r="Z667" s="55"/>
      <c r="AA667" s="52">
        <f t="shared" si="167"/>
        <v>0</v>
      </c>
      <c r="AB667" s="53">
        <f t="shared" si="168"/>
        <v>0</v>
      </c>
      <c r="AC667" s="53">
        <f t="shared" si="169"/>
        <v>0</v>
      </c>
      <c r="AD667" s="53">
        <f t="shared" si="170"/>
        <v>0</v>
      </c>
      <c r="AE667" s="53">
        <f t="shared" si="171"/>
        <v>0</v>
      </c>
      <c r="AF667" s="53">
        <f t="shared" si="172"/>
        <v>0</v>
      </c>
      <c r="AG667" s="56">
        <f t="shared" si="173"/>
        <v>0</v>
      </c>
      <c r="AH667" s="53">
        <f t="shared" si="174"/>
        <v>0</v>
      </c>
      <c r="AI667" s="55"/>
      <c r="AJ667" s="53">
        <f t="shared" si="175"/>
        <v>0</v>
      </c>
      <c r="AK667" s="53">
        <f t="shared" si="176"/>
        <v>0</v>
      </c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7"/>
      <c r="AW667" s="57"/>
      <c r="AX667" s="57"/>
    </row>
    <row r="668" spans="2:50">
      <c r="B668" s="45">
        <v>646</v>
      </c>
      <c r="C668" s="289" t="s">
        <v>983</v>
      </c>
      <c r="D668" s="290" t="s">
        <v>1000</v>
      </c>
      <c r="E668" s="299" t="s">
        <v>1019</v>
      </c>
      <c r="F668" s="295" t="s">
        <v>1013</v>
      </c>
      <c r="G668" s="217" t="s">
        <v>981</v>
      </c>
      <c r="H668" s="292">
        <v>43713</v>
      </c>
      <c r="I668" s="164" t="s">
        <v>409</v>
      </c>
      <c r="J668" s="51">
        <f t="shared" si="177"/>
        <v>60</v>
      </c>
      <c r="K668" s="51">
        <v>60</v>
      </c>
      <c r="L668" s="51">
        <v>0</v>
      </c>
      <c r="M668" s="51"/>
      <c r="N668" s="300">
        <v>1</v>
      </c>
      <c r="O668" s="300">
        <v>0</v>
      </c>
      <c r="P668" s="301">
        <v>2</v>
      </c>
      <c r="Q668" s="53"/>
      <c r="R668" s="54" t="s">
        <v>158</v>
      </c>
      <c r="S668" s="54" t="s">
        <v>158</v>
      </c>
      <c r="T668" s="54" t="s">
        <v>158</v>
      </c>
      <c r="U668" s="54" t="s">
        <v>158</v>
      </c>
      <c r="V668" s="254" t="s">
        <v>1003</v>
      </c>
      <c r="W668" s="53"/>
      <c r="X668" s="53">
        <f t="shared" si="166"/>
        <v>0</v>
      </c>
      <c r="Y668" s="55"/>
      <c r="Z668" s="55"/>
      <c r="AA668" s="52">
        <f t="shared" si="167"/>
        <v>0</v>
      </c>
      <c r="AB668" s="53">
        <f t="shared" si="168"/>
        <v>0</v>
      </c>
      <c r="AC668" s="53">
        <f t="shared" si="169"/>
        <v>0</v>
      </c>
      <c r="AD668" s="53">
        <f t="shared" si="170"/>
        <v>0</v>
      </c>
      <c r="AE668" s="53">
        <f t="shared" si="171"/>
        <v>0</v>
      </c>
      <c r="AF668" s="53">
        <f t="shared" si="172"/>
        <v>0</v>
      </c>
      <c r="AG668" s="56">
        <f t="shared" si="173"/>
        <v>0</v>
      </c>
      <c r="AH668" s="53">
        <f t="shared" si="174"/>
        <v>0</v>
      </c>
      <c r="AI668" s="55"/>
      <c r="AJ668" s="53">
        <f t="shared" si="175"/>
        <v>0</v>
      </c>
      <c r="AK668" s="53">
        <f t="shared" si="176"/>
        <v>0</v>
      </c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7"/>
      <c r="AW668" s="57"/>
      <c r="AX668" s="57"/>
    </row>
    <row r="669" spans="2:50">
      <c r="B669" s="45">
        <v>647</v>
      </c>
      <c r="C669" s="289" t="s">
        <v>983</v>
      </c>
      <c r="D669" s="290" t="s">
        <v>1000</v>
      </c>
      <c r="E669" s="299" t="s">
        <v>1019</v>
      </c>
      <c r="F669" s="295" t="s">
        <v>1008</v>
      </c>
      <c r="G669" s="217" t="s">
        <v>981</v>
      </c>
      <c r="H669" s="292">
        <v>43713</v>
      </c>
      <c r="I669" s="164" t="s">
        <v>409</v>
      </c>
      <c r="J669" s="51">
        <f t="shared" si="177"/>
        <v>492</v>
      </c>
      <c r="K669" s="51">
        <v>12</v>
      </c>
      <c r="L669" s="51">
        <v>480</v>
      </c>
      <c r="M669" s="51"/>
      <c r="N669" s="300">
        <v>0.2</v>
      </c>
      <c r="O669" s="300">
        <v>8</v>
      </c>
      <c r="P669" s="301">
        <v>2</v>
      </c>
      <c r="Q669" s="53"/>
      <c r="R669" s="54" t="s">
        <v>158</v>
      </c>
      <c r="S669" s="54" t="s">
        <v>158</v>
      </c>
      <c r="T669" s="54" t="s">
        <v>158</v>
      </c>
      <c r="U669" s="54" t="s">
        <v>158</v>
      </c>
      <c r="V669" s="254" t="s">
        <v>1003</v>
      </c>
      <c r="W669" s="53"/>
      <c r="X669" s="53">
        <f t="shared" si="166"/>
        <v>0</v>
      </c>
      <c r="Y669" s="55"/>
      <c r="Z669" s="55"/>
      <c r="AA669" s="52">
        <f t="shared" si="167"/>
        <v>0</v>
      </c>
      <c r="AB669" s="53">
        <f t="shared" si="168"/>
        <v>0</v>
      </c>
      <c r="AC669" s="53">
        <f t="shared" si="169"/>
        <v>0</v>
      </c>
      <c r="AD669" s="53">
        <f t="shared" si="170"/>
        <v>0</v>
      </c>
      <c r="AE669" s="53">
        <f t="shared" si="171"/>
        <v>0</v>
      </c>
      <c r="AF669" s="53">
        <f t="shared" si="172"/>
        <v>0</v>
      </c>
      <c r="AG669" s="56">
        <f t="shared" si="173"/>
        <v>0</v>
      </c>
      <c r="AH669" s="53">
        <f t="shared" si="174"/>
        <v>0</v>
      </c>
      <c r="AI669" s="55"/>
      <c r="AJ669" s="53">
        <f t="shared" si="175"/>
        <v>0</v>
      </c>
      <c r="AK669" s="53">
        <f t="shared" si="176"/>
        <v>0</v>
      </c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7"/>
      <c r="AW669" s="57"/>
      <c r="AX669" s="57"/>
    </row>
    <row r="670" spans="2:50">
      <c r="B670" s="45">
        <v>648</v>
      </c>
      <c r="C670" s="289" t="s">
        <v>983</v>
      </c>
      <c r="D670" s="290" t="s">
        <v>1000</v>
      </c>
      <c r="E670" s="302" t="s">
        <v>1019</v>
      </c>
      <c r="F670" s="303" t="s">
        <v>1012</v>
      </c>
      <c r="G670" s="217" t="s">
        <v>981</v>
      </c>
      <c r="H670" s="304">
        <v>43713</v>
      </c>
      <c r="I670" s="169" t="s">
        <v>409</v>
      </c>
      <c r="J670" s="219">
        <f t="shared" si="177"/>
        <v>12</v>
      </c>
      <c r="K670" s="219">
        <v>12</v>
      </c>
      <c r="L670" s="219">
        <v>0</v>
      </c>
      <c r="M670" s="219"/>
      <c r="N670" s="305">
        <v>0.2</v>
      </c>
      <c r="O670" s="305">
        <v>0</v>
      </c>
      <c r="P670" s="306">
        <v>2</v>
      </c>
      <c r="Q670" s="153"/>
      <c r="R670" s="54" t="s">
        <v>158</v>
      </c>
      <c r="S670" s="54" t="s">
        <v>158</v>
      </c>
      <c r="T670" s="54" t="s">
        <v>158</v>
      </c>
      <c r="U670" s="54" t="s">
        <v>158</v>
      </c>
      <c r="V670" s="236" t="s">
        <v>1003</v>
      </c>
      <c r="W670" s="53"/>
      <c r="X670" s="153">
        <f t="shared" si="166"/>
        <v>0</v>
      </c>
      <c r="Y670" s="55"/>
      <c r="Z670" s="55"/>
      <c r="AA670" s="52">
        <f t="shared" si="167"/>
        <v>0</v>
      </c>
      <c r="AB670" s="53">
        <f t="shared" si="168"/>
        <v>0</v>
      </c>
      <c r="AC670" s="53">
        <f t="shared" si="169"/>
        <v>0</v>
      </c>
      <c r="AD670" s="53">
        <f t="shared" si="170"/>
        <v>0</v>
      </c>
      <c r="AE670" s="53">
        <f t="shared" si="171"/>
        <v>0</v>
      </c>
      <c r="AF670" s="53">
        <f t="shared" si="172"/>
        <v>0</v>
      </c>
      <c r="AG670" s="56">
        <f t="shared" si="173"/>
        <v>0</v>
      </c>
      <c r="AH670" s="53">
        <f t="shared" si="174"/>
        <v>0</v>
      </c>
      <c r="AI670" s="55"/>
      <c r="AJ670" s="53">
        <f t="shared" si="175"/>
        <v>0</v>
      </c>
      <c r="AK670" s="53">
        <f t="shared" si="176"/>
        <v>0</v>
      </c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7"/>
      <c r="AW670" s="57"/>
      <c r="AX670" s="57"/>
    </row>
    <row r="671" spans="2:50">
      <c r="B671" s="45">
        <v>649</v>
      </c>
      <c r="C671" s="289" t="s">
        <v>983</v>
      </c>
      <c r="D671" s="290" t="s">
        <v>1000</v>
      </c>
      <c r="E671" s="302" t="s">
        <v>1019</v>
      </c>
      <c r="F671" s="303" t="s">
        <v>724</v>
      </c>
      <c r="G671" s="217" t="s">
        <v>981</v>
      </c>
      <c r="H671" s="304">
        <v>43713</v>
      </c>
      <c r="I671" s="169" t="s">
        <v>409</v>
      </c>
      <c r="J671" s="219">
        <f t="shared" si="177"/>
        <v>30</v>
      </c>
      <c r="K671" s="219">
        <v>30</v>
      </c>
      <c r="L671" s="219">
        <v>0</v>
      </c>
      <c r="M671" s="219"/>
      <c r="N671" s="305">
        <v>0.5</v>
      </c>
      <c r="O671" s="305">
        <v>0</v>
      </c>
      <c r="P671" s="306">
        <v>2</v>
      </c>
      <c r="Q671" s="153"/>
      <c r="R671" s="54" t="s">
        <v>158</v>
      </c>
      <c r="S671" s="54" t="s">
        <v>158</v>
      </c>
      <c r="T671" s="54" t="s">
        <v>158</v>
      </c>
      <c r="U671" s="54" t="s">
        <v>158</v>
      </c>
      <c r="V671" s="236" t="s">
        <v>1003</v>
      </c>
      <c r="W671" s="53"/>
      <c r="X671" s="153">
        <f t="shared" si="166"/>
        <v>0</v>
      </c>
      <c r="Y671" s="55"/>
      <c r="Z671" s="55"/>
      <c r="AA671" s="52">
        <f t="shared" si="167"/>
        <v>0</v>
      </c>
      <c r="AB671" s="53">
        <f t="shared" si="168"/>
        <v>0</v>
      </c>
      <c r="AC671" s="53">
        <f t="shared" si="169"/>
        <v>0</v>
      </c>
      <c r="AD671" s="53">
        <f t="shared" si="170"/>
        <v>0</v>
      </c>
      <c r="AE671" s="53">
        <f t="shared" si="171"/>
        <v>0</v>
      </c>
      <c r="AF671" s="53">
        <f t="shared" si="172"/>
        <v>0</v>
      </c>
      <c r="AG671" s="56">
        <f t="shared" si="173"/>
        <v>0</v>
      </c>
      <c r="AH671" s="53">
        <f t="shared" si="174"/>
        <v>0</v>
      </c>
      <c r="AI671" s="55"/>
      <c r="AJ671" s="53">
        <f t="shared" si="175"/>
        <v>0</v>
      </c>
      <c r="AK671" s="53">
        <f t="shared" si="176"/>
        <v>0</v>
      </c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7"/>
      <c r="AW671" s="57"/>
      <c r="AX671" s="57"/>
    </row>
    <row r="672" spans="2:50">
      <c r="B672" s="45">
        <v>650</v>
      </c>
      <c r="C672" s="289" t="s">
        <v>983</v>
      </c>
      <c r="D672" s="290" t="s">
        <v>1000</v>
      </c>
      <c r="E672" s="302" t="s">
        <v>1019</v>
      </c>
      <c r="F672" s="303" t="s">
        <v>1010</v>
      </c>
      <c r="G672" s="217" t="s">
        <v>981</v>
      </c>
      <c r="H672" s="304">
        <v>43713</v>
      </c>
      <c r="I672" s="169" t="s">
        <v>409</v>
      </c>
      <c r="J672" s="219">
        <f t="shared" si="177"/>
        <v>60</v>
      </c>
      <c r="K672" s="219">
        <v>60</v>
      </c>
      <c r="L672" s="219">
        <v>0</v>
      </c>
      <c r="M672" s="219"/>
      <c r="N672" s="305">
        <v>1</v>
      </c>
      <c r="O672" s="305">
        <v>0</v>
      </c>
      <c r="P672" s="306">
        <v>2</v>
      </c>
      <c r="Q672" s="153"/>
      <c r="R672" s="54" t="s">
        <v>158</v>
      </c>
      <c r="S672" s="54" t="s">
        <v>158</v>
      </c>
      <c r="T672" s="54" t="s">
        <v>158</v>
      </c>
      <c r="U672" s="54" t="s">
        <v>158</v>
      </c>
      <c r="V672" s="236" t="s">
        <v>1003</v>
      </c>
      <c r="W672" s="53"/>
      <c r="X672" s="153">
        <f t="shared" si="166"/>
        <v>0</v>
      </c>
      <c r="Y672" s="55"/>
      <c r="Z672" s="55"/>
      <c r="AA672" s="52">
        <f t="shared" si="167"/>
        <v>0</v>
      </c>
      <c r="AB672" s="53">
        <f t="shared" si="168"/>
        <v>0</v>
      </c>
      <c r="AC672" s="53">
        <f t="shared" si="169"/>
        <v>0</v>
      </c>
      <c r="AD672" s="53">
        <f t="shared" si="170"/>
        <v>0</v>
      </c>
      <c r="AE672" s="53">
        <f t="shared" si="171"/>
        <v>0</v>
      </c>
      <c r="AF672" s="53">
        <f t="shared" si="172"/>
        <v>0</v>
      </c>
      <c r="AG672" s="56">
        <f t="shared" si="173"/>
        <v>0</v>
      </c>
      <c r="AH672" s="53">
        <f t="shared" si="174"/>
        <v>0</v>
      </c>
      <c r="AI672" s="55"/>
      <c r="AJ672" s="53">
        <f t="shared" si="175"/>
        <v>0</v>
      </c>
      <c r="AK672" s="53">
        <f t="shared" si="176"/>
        <v>0</v>
      </c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7"/>
      <c r="AW672" s="57"/>
      <c r="AX672" s="57"/>
    </row>
    <row r="673" spans="2:50">
      <c r="B673" s="45">
        <v>651</v>
      </c>
      <c r="C673" s="289" t="s">
        <v>983</v>
      </c>
      <c r="D673" s="290" t="s">
        <v>1000</v>
      </c>
      <c r="E673" s="302" t="s">
        <v>1019</v>
      </c>
      <c r="F673" s="303" t="s">
        <v>1016</v>
      </c>
      <c r="G673" s="217" t="s">
        <v>981</v>
      </c>
      <c r="H673" s="304">
        <v>43713</v>
      </c>
      <c r="I673" s="169" t="s">
        <v>409</v>
      </c>
      <c r="J673" s="219">
        <f t="shared" si="177"/>
        <v>486</v>
      </c>
      <c r="K673" s="219">
        <v>6</v>
      </c>
      <c r="L673" s="219">
        <v>480</v>
      </c>
      <c r="M673" s="219"/>
      <c r="N673" s="305">
        <v>0.1</v>
      </c>
      <c r="O673" s="305">
        <v>8</v>
      </c>
      <c r="P673" s="306">
        <v>2</v>
      </c>
      <c r="Q673" s="153"/>
      <c r="R673" s="54" t="s">
        <v>158</v>
      </c>
      <c r="S673" s="54" t="s">
        <v>158</v>
      </c>
      <c r="T673" s="54" t="s">
        <v>158</v>
      </c>
      <c r="U673" s="54" t="s">
        <v>158</v>
      </c>
      <c r="V673" s="236" t="s">
        <v>1003</v>
      </c>
      <c r="W673" s="53"/>
      <c r="X673" s="153">
        <f t="shared" si="166"/>
        <v>0</v>
      </c>
      <c r="Y673" s="55"/>
      <c r="Z673" s="55"/>
      <c r="AA673" s="52">
        <f t="shared" si="167"/>
        <v>0</v>
      </c>
      <c r="AB673" s="53">
        <f t="shared" si="168"/>
        <v>0</v>
      </c>
      <c r="AC673" s="53">
        <f t="shared" si="169"/>
        <v>0</v>
      </c>
      <c r="AD673" s="53">
        <f t="shared" si="170"/>
        <v>0</v>
      </c>
      <c r="AE673" s="53">
        <f t="shared" si="171"/>
        <v>0</v>
      </c>
      <c r="AF673" s="53">
        <f t="shared" si="172"/>
        <v>0</v>
      </c>
      <c r="AG673" s="56">
        <f t="shared" si="173"/>
        <v>0</v>
      </c>
      <c r="AH673" s="53">
        <f t="shared" si="174"/>
        <v>0</v>
      </c>
      <c r="AI673" s="55"/>
      <c r="AJ673" s="53">
        <f t="shared" si="175"/>
        <v>0</v>
      </c>
      <c r="AK673" s="53">
        <f t="shared" si="176"/>
        <v>0</v>
      </c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7"/>
      <c r="AW673" s="57"/>
      <c r="AX673" s="57"/>
    </row>
    <row r="674" spans="2:50">
      <c r="B674" s="45">
        <v>652</v>
      </c>
      <c r="C674" s="289" t="s">
        <v>983</v>
      </c>
      <c r="D674" s="290" t="s">
        <v>1000</v>
      </c>
      <c r="E674" s="302" t="s">
        <v>1019</v>
      </c>
      <c r="F674" s="303" t="s">
        <v>1020</v>
      </c>
      <c r="G674" s="217" t="s">
        <v>981</v>
      </c>
      <c r="H674" s="304">
        <v>43713</v>
      </c>
      <c r="I674" s="169" t="s">
        <v>409</v>
      </c>
      <c r="J674" s="219">
        <f t="shared" si="177"/>
        <v>120</v>
      </c>
      <c r="K674" s="219">
        <v>120</v>
      </c>
      <c r="L674" s="219">
        <v>0</v>
      </c>
      <c r="M674" s="219"/>
      <c r="N674" s="305">
        <v>2</v>
      </c>
      <c r="O674" s="305">
        <v>0</v>
      </c>
      <c r="P674" s="306">
        <v>2</v>
      </c>
      <c r="Q674" s="153"/>
      <c r="R674" s="54" t="s">
        <v>158</v>
      </c>
      <c r="S674" s="54" t="s">
        <v>158</v>
      </c>
      <c r="T674" s="54" t="s">
        <v>158</v>
      </c>
      <c r="U674" s="54" t="s">
        <v>158</v>
      </c>
      <c r="V674" s="236" t="s">
        <v>1003</v>
      </c>
      <c r="W674" s="53"/>
      <c r="X674" s="153">
        <f t="shared" si="166"/>
        <v>0</v>
      </c>
      <c r="Y674" s="55"/>
      <c r="Z674" s="55"/>
      <c r="AA674" s="52">
        <f t="shared" si="167"/>
        <v>0</v>
      </c>
      <c r="AB674" s="53">
        <f t="shared" si="168"/>
        <v>0</v>
      </c>
      <c r="AC674" s="53">
        <f t="shared" si="169"/>
        <v>0</v>
      </c>
      <c r="AD674" s="53">
        <f t="shared" si="170"/>
        <v>0</v>
      </c>
      <c r="AE674" s="53">
        <f t="shared" si="171"/>
        <v>0</v>
      </c>
      <c r="AF674" s="53">
        <f t="shared" si="172"/>
        <v>0</v>
      </c>
      <c r="AG674" s="56">
        <f t="shared" si="173"/>
        <v>0</v>
      </c>
      <c r="AH674" s="53">
        <f t="shared" si="174"/>
        <v>0</v>
      </c>
      <c r="AI674" s="55"/>
      <c r="AJ674" s="53">
        <f t="shared" si="175"/>
        <v>0</v>
      </c>
      <c r="AK674" s="53">
        <f t="shared" si="176"/>
        <v>0</v>
      </c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7"/>
      <c r="AW674" s="57"/>
      <c r="AX674" s="57"/>
    </row>
    <row r="675" spans="2:50">
      <c r="B675" s="45">
        <v>653</v>
      </c>
      <c r="C675" s="289" t="s">
        <v>983</v>
      </c>
      <c r="D675" s="290" t="s">
        <v>1000</v>
      </c>
      <c r="E675" s="302" t="s">
        <v>1019</v>
      </c>
      <c r="F675" s="303" t="s">
        <v>1021</v>
      </c>
      <c r="G675" s="217" t="s">
        <v>981</v>
      </c>
      <c r="H675" s="304">
        <v>43714</v>
      </c>
      <c r="I675" s="169" t="s">
        <v>409</v>
      </c>
      <c r="J675" s="219">
        <f t="shared" si="177"/>
        <v>30</v>
      </c>
      <c r="K675" s="219">
        <v>30</v>
      </c>
      <c r="L675" s="219">
        <v>0</v>
      </c>
      <c r="M675" s="219"/>
      <c r="N675" s="270">
        <v>0.5</v>
      </c>
      <c r="O675" s="230">
        <v>0</v>
      </c>
      <c r="P675" s="231">
        <v>2</v>
      </c>
      <c r="Q675" s="153"/>
      <c r="R675" s="54" t="s">
        <v>158</v>
      </c>
      <c r="S675" s="54" t="s">
        <v>158</v>
      </c>
      <c r="T675" s="54" t="s">
        <v>158</v>
      </c>
      <c r="U675" s="54" t="s">
        <v>158</v>
      </c>
      <c r="V675" s="236" t="s">
        <v>1003</v>
      </c>
      <c r="W675" s="53"/>
      <c r="X675" s="153">
        <f t="shared" si="166"/>
        <v>0</v>
      </c>
      <c r="Y675" s="55"/>
      <c r="Z675" s="55"/>
      <c r="AA675" s="52">
        <f t="shared" si="167"/>
        <v>0</v>
      </c>
      <c r="AB675" s="53">
        <f t="shared" si="168"/>
        <v>0</v>
      </c>
      <c r="AC675" s="53">
        <f t="shared" si="169"/>
        <v>0</v>
      </c>
      <c r="AD675" s="53">
        <f t="shared" si="170"/>
        <v>0</v>
      </c>
      <c r="AE675" s="53">
        <f t="shared" si="171"/>
        <v>0</v>
      </c>
      <c r="AF675" s="53">
        <f t="shared" si="172"/>
        <v>0</v>
      </c>
      <c r="AG675" s="56">
        <f t="shared" si="173"/>
        <v>0</v>
      </c>
      <c r="AH675" s="53">
        <f t="shared" si="174"/>
        <v>0</v>
      </c>
      <c r="AI675" s="55"/>
      <c r="AJ675" s="53">
        <f t="shared" si="175"/>
        <v>0</v>
      </c>
      <c r="AK675" s="53">
        <f t="shared" si="176"/>
        <v>0</v>
      </c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7"/>
      <c r="AW675" s="57"/>
      <c r="AX675" s="57"/>
    </row>
    <row r="676" spans="2:50">
      <c r="B676" s="45">
        <v>654</v>
      </c>
      <c r="C676" s="289" t="s">
        <v>983</v>
      </c>
      <c r="D676" s="290" t="s">
        <v>1000</v>
      </c>
      <c r="E676" s="215" t="s">
        <v>1022</v>
      </c>
      <c r="F676" s="303" t="s">
        <v>1023</v>
      </c>
      <c r="G676" s="217" t="s">
        <v>981</v>
      </c>
      <c r="H676" s="304">
        <v>43712</v>
      </c>
      <c r="I676" s="169" t="s">
        <v>409</v>
      </c>
      <c r="J676" s="219">
        <f t="shared" si="177"/>
        <v>732</v>
      </c>
      <c r="K676" s="219">
        <v>12</v>
      </c>
      <c r="L676" s="219">
        <v>720</v>
      </c>
      <c r="M676" s="219"/>
      <c r="N676" s="307">
        <v>0.3</v>
      </c>
      <c r="O676" s="307">
        <v>12</v>
      </c>
      <c r="P676" s="308">
        <v>2</v>
      </c>
      <c r="Q676" s="153"/>
      <c r="R676" s="54" t="s">
        <v>158</v>
      </c>
      <c r="S676" s="54" t="s">
        <v>158</v>
      </c>
      <c r="T676" s="54" t="s">
        <v>158</v>
      </c>
      <c r="U676" s="54" t="s">
        <v>158</v>
      </c>
      <c r="V676" s="236" t="s">
        <v>1003</v>
      </c>
      <c r="W676" s="53"/>
      <c r="X676" s="153">
        <f t="shared" si="166"/>
        <v>0</v>
      </c>
      <c r="Y676" s="55"/>
      <c r="Z676" s="55"/>
      <c r="AA676" s="52">
        <f t="shared" si="167"/>
        <v>0</v>
      </c>
      <c r="AB676" s="53">
        <f t="shared" si="168"/>
        <v>0</v>
      </c>
      <c r="AC676" s="53">
        <f t="shared" si="169"/>
        <v>0</v>
      </c>
      <c r="AD676" s="53">
        <f t="shared" si="170"/>
        <v>0</v>
      </c>
      <c r="AE676" s="53">
        <f t="shared" si="171"/>
        <v>0</v>
      </c>
      <c r="AF676" s="53">
        <f t="shared" si="172"/>
        <v>0</v>
      </c>
      <c r="AG676" s="56">
        <f t="shared" si="173"/>
        <v>0</v>
      </c>
      <c r="AH676" s="53">
        <f t="shared" si="174"/>
        <v>0</v>
      </c>
      <c r="AI676" s="55"/>
      <c r="AJ676" s="53">
        <f t="shared" si="175"/>
        <v>0</v>
      </c>
      <c r="AK676" s="53">
        <f t="shared" si="176"/>
        <v>0</v>
      </c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7"/>
      <c r="AW676" s="57"/>
      <c r="AX676" s="57"/>
    </row>
    <row r="677" spans="2:50">
      <c r="B677" s="45">
        <v>655</v>
      </c>
      <c r="C677" s="289" t="s">
        <v>983</v>
      </c>
      <c r="D677" s="290" t="s">
        <v>1000</v>
      </c>
      <c r="E677" s="215" t="s">
        <v>1022</v>
      </c>
      <c r="F677" s="303" t="s">
        <v>1024</v>
      </c>
      <c r="G677" s="217" t="s">
        <v>981</v>
      </c>
      <c r="H677" s="304">
        <v>43794</v>
      </c>
      <c r="I677" s="169" t="s">
        <v>409</v>
      </c>
      <c r="J677" s="219">
        <f t="shared" si="177"/>
        <v>18</v>
      </c>
      <c r="K677" s="219">
        <v>18</v>
      </c>
      <c r="L677" s="219">
        <v>0</v>
      </c>
      <c r="M677" s="219"/>
      <c r="N677" s="307">
        <v>0.2</v>
      </c>
      <c r="O677" s="307">
        <v>0</v>
      </c>
      <c r="P677" s="308">
        <v>2</v>
      </c>
      <c r="Q677" s="153"/>
      <c r="R677" s="54" t="s">
        <v>158</v>
      </c>
      <c r="S677" s="54" t="s">
        <v>158</v>
      </c>
      <c r="T677" s="54" t="s">
        <v>158</v>
      </c>
      <c r="U677" s="54" t="s">
        <v>158</v>
      </c>
      <c r="V677" s="236" t="s">
        <v>1003</v>
      </c>
      <c r="W677" s="53"/>
      <c r="X677" s="153">
        <f t="shared" si="166"/>
        <v>0</v>
      </c>
      <c r="Y677" s="55"/>
      <c r="Z677" s="55"/>
      <c r="AA677" s="52">
        <f t="shared" si="167"/>
        <v>0</v>
      </c>
      <c r="AB677" s="53">
        <f t="shared" si="168"/>
        <v>0</v>
      </c>
      <c r="AC677" s="53">
        <f t="shared" si="169"/>
        <v>0</v>
      </c>
      <c r="AD677" s="53">
        <f t="shared" si="170"/>
        <v>0</v>
      </c>
      <c r="AE677" s="53">
        <f t="shared" si="171"/>
        <v>0</v>
      </c>
      <c r="AF677" s="53">
        <f t="shared" si="172"/>
        <v>0</v>
      </c>
      <c r="AG677" s="56">
        <f t="shared" si="173"/>
        <v>0</v>
      </c>
      <c r="AH677" s="53">
        <f t="shared" si="174"/>
        <v>0</v>
      </c>
      <c r="AI677" s="55"/>
      <c r="AJ677" s="53">
        <f t="shared" si="175"/>
        <v>0</v>
      </c>
      <c r="AK677" s="53">
        <f t="shared" si="176"/>
        <v>0</v>
      </c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7"/>
      <c r="AW677" s="57"/>
      <c r="AX677" s="57"/>
    </row>
    <row r="678" spans="2:50">
      <c r="B678" s="45">
        <v>656</v>
      </c>
      <c r="C678" s="289" t="s">
        <v>983</v>
      </c>
      <c r="D678" s="290" t="s">
        <v>1000</v>
      </c>
      <c r="E678" s="215" t="s">
        <v>1022</v>
      </c>
      <c r="F678" s="303" t="s">
        <v>1025</v>
      </c>
      <c r="G678" s="217" t="s">
        <v>981</v>
      </c>
      <c r="H678" s="304">
        <v>43020</v>
      </c>
      <c r="I678" s="169" t="s">
        <v>409</v>
      </c>
      <c r="J678" s="219">
        <f t="shared" si="177"/>
        <v>12</v>
      </c>
      <c r="K678" s="219">
        <v>12</v>
      </c>
      <c r="L678" s="219">
        <v>0</v>
      </c>
      <c r="M678" s="219"/>
      <c r="N678" s="307">
        <v>0.2</v>
      </c>
      <c r="O678" s="307">
        <v>0</v>
      </c>
      <c r="P678" s="308">
        <v>2</v>
      </c>
      <c r="Q678" s="153"/>
      <c r="R678" s="54" t="s">
        <v>158</v>
      </c>
      <c r="S678" s="54" t="s">
        <v>158</v>
      </c>
      <c r="T678" s="54" t="s">
        <v>158</v>
      </c>
      <c r="U678" s="54" t="s">
        <v>158</v>
      </c>
      <c r="V678" s="236" t="s">
        <v>1003</v>
      </c>
      <c r="W678" s="53"/>
      <c r="X678" s="153">
        <f t="shared" si="166"/>
        <v>0</v>
      </c>
      <c r="Y678" s="55"/>
      <c r="Z678" s="55"/>
      <c r="AA678" s="52">
        <f t="shared" si="167"/>
        <v>0</v>
      </c>
      <c r="AB678" s="53">
        <f t="shared" si="168"/>
        <v>0</v>
      </c>
      <c r="AC678" s="53">
        <f t="shared" si="169"/>
        <v>0</v>
      </c>
      <c r="AD678" s="53">
        <f t="shared" si="170"/>
        <v>0</v>
      </c>
      <c r="AE678" s="53">
        <f t="shared" si="171"/>
        <v>0</v>
      </c>
      <c r="AF678" s="53">
        <f t="shared" si="172"/>
        <v>0</v>
      </c>
      <c r="AG678" s="56">
        <f t="shared" si="173"/>
        <v>0</v>
      </c>
      <c r="AH678" s="53">
        <f t="shared" si="174"/>
        <v>0</v>
      </c>
      <c r="AI678" s="55"/>
      <c r="AJ678" s="53">
        <f t="shared" si="175"/>
        <v>0</v>
      </c>
      <c r="AK678" s="53">
        <f t="shared" si="176"/>
        <v>0</v>
      </c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7"/>
      <c r="AW678" s="57"/>
      <c r="AX678" s="57"/>
    </row>
    <row r="679" spans="2:50">
      <c r="B679" s="45">
        <v>657</v>
      </c>
      <c r="C679" s="289" t="s">
        <v>983</v>
      </c>
      <c r="D679" s="290" t="s">
        <v>1000</v>
      </c>
      <c r="E679" s="215" t="s">
        <v>1022</v>
      </c>
      <c r="F679" s="303" t="s">
        <v>1026</v>
      </c>
      <c r="G679" s="217" t="s">
        <v>981</v>
      </c>
      <c r="H679" s="304">
        <v>42137</v>
      </c>
      <c r="I679" s="169" t="s">
        <v>409</v>
      </c>
      <c r="J679" s="219">
        <f t="shared" si="177"/>
        <v>216</v>
      </c>
      <c r="K679" s="219">
        <v>216</v>
      </c>
      <c r="L679" s="219">
        <v>0</v>
      </c>
      <c r="M679" s="219"/>
      <c r="N679" s="270">
        <v>2</v>
      </c>
      <c r="O679" s="230">
        <v>0</v>
      </c>
      <c r="P679" s="231">
        <v>2</v>
      </c>
      <c r="Q679" s="153"/>
      <c r="R679" s="54" t="s">
        <v>158</v>
      </c>
      <c r="S679" s="54" t="s">
        <v>158</v>
      </c>
      <c r="T679" s="54" t="s">
        <v>158</v>
      </c>
      <c r="U679" s="54" t="s">
        <v>158</v>
      </c>
      <c r="V679" s="236" t="s">
        <v>1003</v>
      </c>
      <c r="W679" s="53"/>
      <c r="X679" s="153">
        <f t="shared" si="166"/>
        <v>0</v>
      </c>
      <c r="Y679" s="55"/>
      <c r="Z679" s="55"/>
      <c r="AA679" s="52">
        <f t="shared" si="167"/>
        <v>0</v>
      </c>
      <c r="AB679" s="53">
        <f t="shared" si="168"/>
        <v>0</v>
      </c>
      <c r="AC679" s="53">
        <f t="shared" si="169"/>
        <v>0</v>
      </c>
      <c r="AD679" s="53">
        <f t="shared" si="170"/>
        <v>0</v>
      </c>
      <c r="AE679" s="53">
        <f t="shared" si="171"/>
        <v>0</v>
      </c>
      <c r="AF679" s="53">
        <f t="shared" si="172"/>
        <v>0</v>
      </c>
      <c r="AG679" s="56">
        <f t="shared" si="173"/>
        <v>0</v>
      </c>
      <c r="AH679" s="53">
        <f t="shared" si="174"/>
        <v>0</v>
      </c>
      <c r="AI679" s="55"/>
      <c r="AJ679" s="53">
        <f t="shared" si="175"/>
        <v>0</v>
      </c>
      <c r="AK679" s="53">
        <f t="shared" si="176"/>
        <v>0</v>
      </c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7"/>
      <c r="AW679" s="57"/>
      <c r="AX679" s="57"/>
    </row>
    <row r="680" spans="2:50">
      <c r="B680" s="45">
        <v>658</v>
      </c>
      <c r="C680" s="289" t="s">
        <v>983</v>
      </c>
      <c r="D680" s="290" t="s">
        <v>1000</v>
      </c>
      <c r="E680" s="215" t="s">
        <v>1027</v>
      </c>
      <c r="F680" s="303" t="s">
        <v>1028</v>
      </c>
      <c r="G680" s="217" t="s">
        <v>981</v>
      </c>
      <c r="H680" s="304">
        <v>42612</v>
      </c>
      <c r="I680" s="169" t="s">
        <v>409</v>
      </c>
      <c r="J680" s="219">
        <f t="shared" si="177"/>
        <v>90</v>
      </c>
      <c r="K680" s="219">
        <v>60</v>
      </c>
      <c r="L680" s="219">
        <v>30</v>
      </c>
      <c r="M680" s="219"/>
      <c r="N680" s="307">
        <v>1</v>
      </c>
      <c r="O680" s="307">
        <v>0.5</v>
      </c>
      <c r="P680" s="308">
        <v>2</v>
      </c>
      <c r="Q680" s="153"/>
      <c r="R680" s="54" t="s">
        <v>158</v>
      </c>
      <c r="S680" s="54" t="s">
        <v>158</v>
      </c>
      <c r="T680" s="54" t="s">
        <v>158</v>
      </c>
      <c r="U680" s="54" t="s">
        <v>158</v>
      </c>
      <c r="V680" s="236" t="s">
        <v>1003</v>
      </c>
      <c r="W680" s="53"/>
      <c r="X680" s="153">
        <f t="shared" si="166"/>
        <v>0</v>
      </c>
      <c r="Y680" s="55"/>
      <c r="Z680" s="55"/>
      <c r="AA680" s="52">
        <f t="shared" si="167"/>
        <v>0</v>
      </c>
      <c r="AB680" s="53">
        <f t="shared" si="168"/>
        <v>0</v>
      </c>
      <c r="AC680" s="53">
        <f t="shared" si="169"/>
        <v>0</v>
      </c>
      <c r="AD680" s="53">
        <f t="shared" si="170"/>
        <v>0</v>
      </c>
      <c r="AE680" s="53">
        <f t="shared" si="171"/>
        <v>0</v>
      </c>
      <c r="AF680" s="53">
        <f t="shared" si="172"/>
        <v>0</v>
      </c>
      <c r="AG680" s="56">
        <f t="shared" si="173"/>
        <v>0</v>
      </c>
      <c r="AH680" s="53">
        <f t="shared" si="174"/>
        <v>0</v>
      </c>
      <c r="AI680" s="55"/>
      <c r="AJ680" s="53">
        <f t="shared" si="175"/>
        <v>0</v>
      </c>
      <c r="AK680" s="53">
        <f t="shared" si="176"/>
        <v>0</v>
      </c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7"/>
      <c r="AW680" s="57"/>
      <c r="AX680" s="57"/>
    </row>
    <row r="681" spans="2:50">
      <c r="B681" s="45">
        <v>659</v>
      </c>
      <c r="C681" s="289" t="s">
        <v>983</v>
      </c>
      <c r="D681" s="290" t="s">
        <v>1000</v>
      </c>
      <c r="E681" s="215" t="s">
        <v>1027</v>
      </c>
      <c r="F681" s="303" t="s">
        <v>1029</v>
      </c>
      <c r="G681" s="217" t="s">
        <v>981</v>
      </c>
      <c r="H681" s="304">
        <v>42612</v>
      </c>
      <c r="I681" s="169" t="s">
        <v>409</v>
      </c>
      <c r="J681" s="219">
        <f t="shared" si="177"/>
        <v>24</v>
      </c>
      <c r="K681" s="219">
        <v>12</v>
      </c>
      <c r="L681" s="219">
        <v>12</v>
      </c>
      <c r="M681" s="219"/>
      <c r="N681" s="307">
        <v>0.2</v>
      </c>
      <c r="O681" s="307">
        <v>0.2</v>
      </c>
      <c r="P681" s="308">
        <v>2</v>
      </c>
      <c r="Q681" s="153"/>
      <c r="R681" s="54" t="s">
        <v>158</v>
      </c>
      <c r="S681" s="54" t="s">
        <v>158</v>
      </c>
      <c r="T681" s="54" t="s">
        <v>158</v>
      </c>
      <c r="U681" s="54" t="s">
        <v>158</v>
      </c>
      <c r="V681" s="236" t="s">
        <v>1003</v>
      </c>
      <c r="W681" s="53"/>
      <c r="X681" s="153">
        <f t="shared" si="166"/>
        <v>0</v>
      </c>
      <c r="Y681" s="55"/>
      <c r="Z681" s="55"/>
      <c r="AA681" s="52">
        <f t="shared" si="167"/>
        <v>0</v>
      </c>
      <c r="AB681" s="53">
        <f t="shared" si="168"/>
        <v>0</v>
      </c>
      <c r="AC681" s="53">
        <f t="shared" si="169"/>
        <v>0</v>
      </c>
      <c r="AD681" s="53">
        <f t="shared" si="170"/>
        <v>0</v>
      </c>
      <c r="AE681" s="53">
        <f t="shared" si="171"/>
        <v>0</v>
      </c>
      <c r="AF681" s="53">
        <f t="shared" si="172"/>
        <v>0</v>
      </c>
      <c r="AG681" s="56">
        <f t="shared" si="173"/>
        <v>0</v>
      </c>
      <c r="AH681" s="53">
        <f t="shared" si="174"/>
        <v>0</v>
      </c>
      <c r="AI681" s="55"/>
      <c r="AJ681" s="53">
        <f t="shared" si="175"/>
        <v>0</v>
      </c>
      <c r="AK681" s="53">
        <f t="shared" si="176"/>
        <v>0</v>
      </c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7"/>
      <c r="AW681" s="57"/>
      <c r="AX681" s="57"/>
    </row>
    <row r="682" spans="2:50">
      <c r="B682" s="45">
        <v>660</v>
      </c>
      <c r="C682" s="289" t="s">
        <v>983</v>
      </c>
      <c r="D682" s="290" t="s">
        <v>1000</v>
      </c>
      <c r="E682" s="215" t="s">
        <v>1027</v>
      </c>
      <c r="F682" s="303" t="s">
        <v>1030</v>
      </c>
      <c r="G682" s="217" t="s">
        <v>981</v>
      </c>
      <c r="H682" s="304">
        <v>42612</v>
      </c>
      <c r="I682" s="169" t="s">
        <v>409</v>
      </c>
      <c r="J682" s="219">
        <f t="shared" si="177"/>
        <v>810</v>
      </c>
      <c r="K682" s="219">
        <v>90</v>
      </c>
      <c r="L682" s="219">
        <v>720</v>
      </c>
      <c r="M682" s="219"/>
      <c r="N682" s="307">
        <v>1.5</v>
      </c>
      <c r="O682" s="307">
        <v>12</v>
      </c>
      <c r="P682" s="308">
        <v>2</v>
      </c>
      <c r="Q682" s="153"/>
      <c r="R682" s="54" t="s">
        <v>158</v>
      </c>
      <c r="S682" s="54" t="s">
        <v>158</v>
      </c>
      <c r="T682" s="54" t="s">
        <v>158</v>
      </c>
      <c r="U682" s="54" t="s">
        <v>158</v>
      </c>
      <c r="V682" s="236" t="s">
        <v>1003</v>
      </c>
      <c r="W682" s="53"/>
      <c r="X682" s="153">
        <f t="shared" si="166"/>
        <v>0</v>
      </c>
      <c r="Y682" s="55"/>
      <c r="Z682" s="55"/>
      <c r="AA682" s="52">
        <f t="shared" si="167"/>
        <v>0</v>
      </c>
      <c r="AB682" s="53">
        <f t="shared" si="168"/>
        <v>0</v>
      </c>
      <c r="AC682" s="53">
        <f t="shared" si="169"/>
        <v>0</v>
      </c>
      <c r="AD682" s="53">
        <f t="shared" si="170"/>
        <v>0</v>
      </c>
      <c r="AE682" s="53">
        <f t="shared" si="171"/>
        <v>0</v>
      </c>
      <c r="AF682" s="53">
        <f t="shared" si="172"/>
        <v>0</v>
      </c>
      <c r="AG682" s="56">
        <f t="shared" si="173"/>
        <v>0</v>
      </c>
      <c r="AH682" s="53">
        <f t="shared" si="174"/>
        <v>0</v>
      </c>
      <c r="AI682" s="55"/>
      <c r="AJ682" s="53">
        <f t="shared" si="175"/>
        <v>0</v>
      </c>
      <c r="AK682" s="53">
        <f t="shared" si="176"/>
        <v>0</v>
      </c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7"/>
      <c r="AW682" s="57"/>
      <c r="AX682" s="57"/>
    </row>
    <row r="683" spans="2:50">
      <c r="B683" s="45">
        <v>661</v>
      </c>
      <c r="C683" s="289" t="s">
        <v>983</v>
      </c>
      <c r="D683" s="290" t="s">
        <v>1000</v>
      </c>
      <c r="E683" s="215" t="s">
        <v>1027</v>
      </c>
      <c r="F683" s="303" t="s">
        <v>198</v>
      </c>
      <c r="G683" s="217" t="s">
        <v>981</v>
      </c>
      <c r="H683" s="304">
        <v>43712</v>
      </c>
      <c r="I683" s="169" t="s">
        <v>409</v>
      </c>
      <c r="J683" s="219">
        <f t="shared" si="177"/>
        <v>2904</v>
      </c>
      <c r="K683" s="219">
        <v>24</v>
      </c>
      <c r="L683" s="219">
        <v>2880</v>
      </c>
      <c r="M683" s="219"/>
      <c r="N683" s="307">
        <v>0.4</v>
      </c>
      <c r="O683" s="307">
        <v>48</v>
      </c>
      <c r="P683" s="308">
        <v>2</v>
      </c>
      <c r="Q683" s="153"/>
      <c r="R683" s="54" t="s">
        <v>158</v>
      </c>
      <c r="S683" s="54" t="s">
        <v>158</v>
      </c>
      <c r="T683" s="54" t="s">
        <v>158</v>
      </c>
      <c r="U683" s="54" t="s">
        <v>158</v>
      </c>
      <c r="V683" s="236" t="s">
        <v>1003</v>
      </c>
      <c r="W683" s="53"/>
      <c r="X683" s="153">
        <f t="shared" si="166"/>
        <v>0</v>
      </c>
      <c r="Y683" s="55"/>
      <c r="Z683" s="55"/>
      <c r="AA683" s="52">
        <f t="shared" si="167"/>
        <v>0</v>
      </c>
      <c r="AB683" s="53">
        <f t="shared" si="168"/>
        <v>0</v>
      </c>
      <c r="AC683" s="53">
        <f t="shared" si="169"/>
        <v>0</v>
      </c>
      <c r="AD683" s="53">
        <f t="shared" si="170"/>
        <v>0</v>
      </c>
      <c r="AE683" s="53">
        <f t="shared" si="171"/>
        <v>0</v>
      </c>
      <c r="AF683" s="53">
        <f t="shared" si="172"/>
        <v>0</v>
      </c>
      <c r="AG683" s="56">
        <f t="shared" si="173"/>
        <v>0</v>
      </c>
      <c r="AH683" s="53">
        <f t="shared" si="174"/>
        <v>0</v>
      </c>
      <c r="AI683" s="55"/>
      <c r="AJ683" s="53">
        <f t="shared" si="175"/>
        <v>0</v>
      </c>
      <c r="AK683" s="53">
        <f t="shared" si="176"/>
        <v>0</v>
      </c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7"/>
      <c r="AW683" s="57"/>
      <c r="AX683" s="57"/>
    </row>
    <row r="684" spans="2:50">
      <c r="B684" s="45">
        <v>662</v>
      </c>
      <c r="C684" s="289" t="s">
        <v>983</v>
      </c>
      <c r="D684" s="290" t="s">
        <v>1000</v>
      </c>
      <c r="E684" s="215" t="s">
        <v>1027</v>
      </c>
      <c r="F684" s="216" t="s">
        <v>1031</v>
      </c>
      <c r="G684" s="217" t="s">
        <v>981</v>
      </c>
      <c r="H684" s="304">
        <v>43202</v>
      </c>
      <c r="I684" s="169" t="s">
        <v>409</v>
      </c>
      <c r="J684" s="219">
        <f t="shared" si="177"/>
        <v>72</v>
      </c>
      <c r="K684" s="219">
        <v>66</v>
      </c>
      <c r="L684" s="219">
        <v>6</v>
      </c>
      <c r="M684" s="219"/>
      <c r="N684" s="307">
        <v>1.1000000000000001</v>
      </c>
      <c r="O684" s="307">
        <v>0.1</v>
      </c>
      <c r="P684" s="308">
        <v>2</v>
      </c>
      <c r="Q684" s="153"/>
      <c r="R684" s="54" t="s">
        <v>158</v>
      </c>
      <c r="S684" s="54" t="s">
        <v>158</v>
      </c>
      <c r="T684" s="54" t="s">
        <v>158</v>
      </c>
      <c r="U684" s="54" t="s">
        <v>158</v>
      </c>
      <c r="V684" s="236" t="s">
        <v>1003</v>
      </c>
      <c r="W684" s="53"/>
      <c r="X684" s="153">
        <f t="shared" si="166"/>
        <v>0</v>
      </c>
      <c r="Y684" s="55"/>
      <c r="Z684" s="55"/>
      <c r="AA684" s="52">
        <f t="shared" si="167"/>
        <v>0</v>
      </c>
      <c r="AB684" s="53">
        <f t="shared" si="168"/>
        <v>0</v>
      </c>
      <c r="AC684" s="53">
        <f t="shared" si="169"/>
        <v>0</v>
      </c>
      <c r="AD684" s="53">
        <f t="shared" si="170"/>
        <v>0</v>
      </c>
      <c r="AE684" s="53">
        <f t="shared" si="171"/>
        <v>0</v>
      </c>
      <c r="AF684" s="53">
        <f t="shared" si="172"/>
        <v>0</v>
      </c>
      <c r="AG684" s="56">
        <f t="shared" si="173"/>
        <v>0</v>
      </c>
      <c r="AH684" s="53">
        <f t="shared" si="174"/>
        <v>0</v>
      </c>
      <c r="AI684" s="55"/>
      <c r="AJ684" s="53">
        <f t="shared" si="175"/>
        <v>0</v>
      </c>
      <c r="AK684" s="53">
        <f t="shared" si="176"/>
        <v>0</v>
      </c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7"/>
      <c r="AW684" s="57"/>
      <c r="AX684" s="57"/>
    </row>
    <row r="685" spans="2:50">
      <c r="B685" s="45">
        <v>663</v>
      </c>
      <c r="C685" s="289" t="s">
        <v>983</v>
      </c>
      <c r="D685" s="290" t="s">
        <v>1032</v>
      </c>
      <c r="E685" s="215" t="s">
        <v>1033</v>
      </c>
      <c r="F685" s="303" t="s">
        <v>1034</v>
      </c>
      <c r="G685" s="217" t="s">
        <v>981</v>
      </c>
      <c r="H685" s="309">
        <v>41995</v>
      </c>
      <c r="I685" s="169" t="s">
        <v>409</v>
      </c>
      <c r="J685" s="219">
        <f t="shared" si="177"/>
        <v>12</v>
      </c>
      <c r="K685" s="219">
        <v>12</v>
      </c>
      <c r="L685" s="219">
        <v>0</v>
      </c>
      <c r="M685" s="219"/>
      <c r="N685" s="307">
        <v>0.2</v>
      </c>
      <c r="O685" s="307">
        <v>0</v>
      </c>
      <c r="P685" s="308">
        <v>1</v>
      </c>
      <c r="Q685" s="153"/>
      <c r="R685" s="54" t="s">
        <v>158</v>
      </c>
      <c r="S685" s="54" t="s">
        <v>158</v>
      </c>
      <c r="T685" s="54" t="s">
        <v>158</v>
      </c>
      <c r="U685" s="54" t="s">
        <v>158</v>
      </c>
      <c r="V685" s="236" t="s">
        <v>1003</v>
      </c>
      <c r="W685" s="53"/>
      <c r="X685" s="153">
        <f t="shared" si="166"/>
        <v>0</v>
      </c>
      <c r="Y685" s="55"/>
      <c r="Z685" s="55"/>
      <c r="AA685" s="52">
        <f t="shared" si="167"/>
        <v>0</v>
      </c>
      <c r="AB685" s="53">
        <f t="shared" si="168"/>
        <v>0</v>
      </c>
      <c r="AC685" s="53">
        <f t="shared" si="169"/>
        <v>0</v>
      </c>
      <c r="AD685" s="53">
        <f t="shared" si="170"/>
        <v>0</v>
      </c>
      <c r="AE685" s="53">
        <f t="shared" si="171"/>
        <v>0</v>
      </c>
      <c r="AF685" s="53">
        <f t="shared" si="172"/>
        <v>0</v>
      </c>
      <c r="AG685" s="56">
        <f t="shared" si="173"/>
        <v>0</v>
      </c>
      <c r="AH685" s="53">
        <f t="shared" si="174"/>
        <v>0</v>
      </c>
      <c r="AI685" s="55"/>
      <c r="AJ685" s="53">
        <f t="shared" si="175"/>
        <v>0</v>
      </c>
      <c r="AK685" s="53">
        <f t="shared" si="176"/>
        <v>0</v>
      </c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7"/>
      <c r="AW685" s="57"/>
      <c r="AX685" s="57"/>
    </row>
    <row r="686" spans="2:50">
      <c r="B686" s="45">
        <v>664</v>
      </c>
      <c r="C686" s="289" t="s">
        <v>983</v>
      </c>
      <c r="D686" s="290" t="s">
        <v>1032</v>
      </c>
      <c r="E686" s="215" t="s">
        <v>1033</v>
      </c>
      <c r="F686" s="303" t="s">
        <v>1035</v>
      </c>
      <c r="G686" s="217" t="s">
        <v>981</v>
      </c>
      <c r="H686" s="309">
        <v>41995</v>
      </c>
      <c r="I686" s="169" t="s">
        <v>409</v>
      </c>
      <c r="J686" s="219">
        <f t="shared" si="177"/>
        <v>30</v>
      </c>
      <c r="K686" s="219">
        <v>30</v>
      </c>
      <c r="L686" s="219">
        <v>0</v>
      </c>
      <c r="M686" s="219"/>
      <c r="N686" s="307">
        <v>0.5</v>
      </c>
      <c r="O686" s="307">
        <v>0</v>
      </c>
      <c r="P686" s="308">
        <v>1</v>
      </c>
      <c r="Q686" s="153"/>
      <c r="R686" s="54" t="s">
        <v>158</v>
      </c>
      <c r="S686" s="54" t="s">
        <v>158</v>
      </c>
      <c r="T686" s="54" t="s">
        <v>158</v>
      </c>
      <c r="U686" s="54" t="s">
        <v>158</v>
      </c>
      <c r="V686" s="236" t="s">
        <v>1003</v>
      </c>
      <c r="W686" s="53"/>
      <c r="X686" s="153">
        <f t="shared" si="166"/>
        <v>0</v>
      </c>
      <c r="Y686" s="55"/>
      <c r="Z686" s="55"/>
      <c r="AA686" s="52">
        <f t="shared" si="167"/>
        <v>0</v>
      </c>
      <c r="AB686" s="53">
        <f t="shared" si="168"/>
        <v>0</v>
      </c>
      <c r="AC686" s="53">
        <f t="shared" si="169"/>
        <v>0</v>
      </c>
      <c r="AD686" s="53">
        <f t="shared" si="170"/>
        <v>0</v>
      </c>
      <c r="AE686" s="53">
        <f t="shared" si="171"/>
        <v>0</v>
      </c>
      <c r="AF686" s="53">
        <f t="shared" si="172"/>
        <v>0</v>
      </c>
      <c r="AG686" s="56">
        <f t="shared" si="173"/>
        <v>0</v>
      </c>
      <c r="AH686" s="53">
        <f t="shared" si="174"/>
        <v>0</v>
      </c>
      <c r="AI686" s="55"/>
      <c r="AJ686" s="53">
        <f t="shared" si="175"/>
        <v>0</v>
      </c>
      <c r="AK686" s="53">
        <f t="shared" si="176"/>
        <v>0</v>
      </c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7"/>
      <c r="AW686" s="57"/>
      <c r="AX686" s="57"/>
    </row>
    <row r="687" spans="2:50">
      <c r="B687" s="45">
        <v>665</v>
      </c>
      <c r="C687" s="289" t="s">
        <v>983</v>
      </c>
      <c r="D687" s="290" t="s">
        <v>1032</v>
      </c>
      <c r="E687" s="215" t="s">
        <v>1033</v>
      </c>
      <c r="F687" s="303" t="s">
        <v>1036</v>
      </c>
      <c r="G687" s="217" t="s">
        <v>981</v>
      </c>
      <c r="H687" s="309">
        <v>41995</v>
      </c>
      <c r="I687" s="169" t="s">
        <v>409</v>
      </c>
      <c r="J687" s="219">
        <f t="shared" si="177"/>
        <v>360</v>
      </c>
      <c r="K687" s="219">
        <v>360</v>
      </c>
      <c r="L687" s="219">
        <v>0</v>
      </c>
      <c r="M687" s="219"/>
      <c r="N687" s="307">
        <v>6</v>
      </c>
      <c r="O687" s="307">
        <v>0</v>
      </c>
      <c r="P687" s="308">
        <v>1</v>
      </c>
      <c r="Q687" s="153"/>
      <c r="R687" s="54" t="s">
        <v>158</v>
      </c>
      <c r="S687" s="54" t="s">
        <v>158</v>
      </c>
      <c r="T687" s="54" t="s">
        <v>158</v>
      </c>
      <c r="U687" s="54" t="s">
        <v>158</v>
      </c>
      <c r="V687" s="236" t="s">
        <v>1003</v>
      </c>
      <c r="W687" s="53"/>
      <c r="X687" s="153">
        <f t="shared" si="166"/>
        <v>0</v>
      </c>
      <c r="Y687" s="55"/>
      <c r="Z687" s="55"/>
      <c r="AA687" s="52">
        <f t="shared" si="167"/>
        <v>0</v>
      </c>
      <c r="AB687" s="53">
        <f t="shared" si="168"/>
        <v>0</v>
      </c>
      <c r="AC687" s="53">
        <f t="shared" si="169"/>
        <v>0</v>
      </c>
      <c r="AD687" s="53">
        <f t="shared" si="170"/>
        <v>0</v>
      </c>
      <c r="AE687" s="53">
        <f t="shared" si="171"/>
        <v>0</v>
      </c>
      <c r="AF687" s="53">
        <f t="shared" si="172"/>
        <v>0</v>
      </c>
      <c r="AG687" s="56">
        <f t="shared" si="173"/>
        <v>0</v>
      </c>
      <c r="AH687" s="53">
        <f t="shared" si="174"/>
        <v>0</v>
      </c>
      <c r="AI687" s="55"/>
      <c r="AJ687" s="53">
        <f t="shared" si="175"/>
        <v>0</v>
      </c>
      <c r="AK687" s="53">
        <f t="shared" si="176"/>
        <v>0</v>
      </c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7"/>
      <c r="AW687" s="57"/>
      <c r="AX687" s="57"/>
    </row>
    <row r="688" spans="2:50">
      <c r="B688" s="45">
        <v>666</v>
      </c>
      <c r="C688" s="289" t="s">
        <v>983</v>
      </c>
      <c r="D688" s="290" t="s">
        <v>1032</v>
      </c>
      <c r="E688" s="215" t="s">
        <v>1033</v>
      </c>
      <c r="F688" s="303" t="s">
        <v>1037</v>
      </c>
      <c r="G688" s="217" t="s">
        <v>981</v>
      </c>
      <c r="H688" s="309">
        <v>41995</v>
      </c>
      <c r="I688" s="169" t="s">
        <v>409</v>
      </c>
      <c r="J688" s="219">
        <f t="shared" si="177"/>
        <v>30</v>
      </c>
      <c r="K688" s="219">
        <v>30</v>
      </c>
      <c r="L688" s="219">
        <v>0</v>
      </c>
      <c r="M688" s="219"/>
      <c r="N688" s="307">
        <v>0.5</v>
      </c>
      <c r="O688" s="307">
        <v>0</v>
      </c>
      <c r="P688" s="308">
        <v>1</v>
      </c>
      <c r="Q688" s="153"/>
      <c r="R688" s="54" t="s">
        <v>158</v>
      </c>
      <c r="S688" s="54" t="s">
        <v>158</v>
      </c>
      <c r="T688" s="54" t="s">
        <v>158</v>
      </c>
      <c r="U688" s="54" t="s">
        <v>158</v>
      </c>
      <c r="V688" s="236" t="s">
        <v>1003</v>
      </c>
      <c r="W688" s="53"/>
      <c r="X688" s="153">
        <f t="shared" si="166"/>
        <v>0</v>
      </c>
      <c r="Y688" s="55"/>
      <c r="Z688" s="55"/>
      <c r="AA688" s="52">
        <f t="shared" si="167"/>
        <v>0</v>
      </c>
      <c r="AB688" s="53">
        <f t="shared" si="168"/>
        <v>0</v>
      </c>
      <c r="AC688" s="53">
        <f t="shared" si="169"/>
        <v>0</v>
      </c>
      <c r="AD688" s="53">
        <f t="shared" si="170"/>
        <v>0</v>
      </c>
      <c r="AE688" s="53">
        <f t="shared" si="171"/>
        <v>0</v>
      </c>
      <c r="AF688" s="53">
        <f t="shared" si="172"/>
        <v>0</v>
      </c>
      <c r="AG688" s="56">
        <f t="shared" si="173"/>
        <v>0</v>
      </c>
      <c r="AH688" s="53">
        <f t="shared" si="174"/>
        <v>0</v>
      </c>
      <c r="AI688" s="55"/>
      <c r="AJ688" s="53">
        <f t="shared" si="175"/>
        <v>0</v>
      </c>
      <c r="AK688" s="53">
        <f t="shared" si="176"/>
        <v>0</v>
      </c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7"/>
      <c r="AW688" s="57"/>
      <c r="AX688" s="57"/>
    </row>
    <row r="689" spans="2:50">
      <c r="B689" s="45">
        <v>667</v>
      </c>
      <c r="C689" s="289" t="s">
        <v>983</v>
      </c>
      <c r="D689" s="290" t="s">
        <v>1032</v>
      </c>
      <c r="E689" s="215" t="s">
        <v>1033</v>
      </c>
      <c r="F689" s="303" t="s">
        <v>1038</v>
      </c>
      <c r="G689" s="217" t="s">
        <v>981</v>
      </c>
      <c r="H689" s="309">
        <v>41995</v>
      </c>
      <c r="I689" s="169" t="s">
        <v>409</v>
      </c>
      <c r="J689" s="219">
        <f t="shared" si="177"/>
        <v>30</v>
      </c>
      <c r="K689" s="219">
        <v>30</v>
      </c>
      <c r="L689" s="219">
        <v>0</v>
      </c>
      <c r="M689" s="219"/>
      <c r="N689" s="307">
        <v>0.5</v>
      </c>
      <c r="O689" s="307">
        <v>0</v>
      </c>
      <c r="P689" s="308">
        <v>1</v>
      </c>
      <c r="Q689" s="153"/>
      <c r="R689" s="54" t="s">
        <v>158</v>
      </c>
      <c r="S689" s="54" t="s">
        <v>158</v>
      </c>
      <c r="T689" s="54" t="s">
        <v>158</v>
      </c>
      <c r="U689" s="54" t="s">
        <v>158</v>
      </c>
      <c r="V689" s="236" t="s">
        <v>1003</v>
      </c>
      <c r="W689" s="53"/>
      <c r="X689" s="153">
        <f t="shared" si="166"/>
        <v>0</v>
      </c>
      <c r="Y689" s="55"/>
      <c r="Z689" s="55"/>
      <c r="AA689" s="52">
        <f t="shared" si="167"/>
        <v>0</v>
      </c>
      <c r="AB689" s="53">
        <f t="shared" si="168"/>
        <v>0</v>
      </c>
      <c r="AC689" s="53">
        <f t="shared" si="169"/>
        <v>0</v>
      </c>
      <c r="AD689" s="53">
        <f t="shared" si="170"/>
        <v>0</v>
      </c>
      <c r="AE689" s="53">
        <f t="shared" si="171"/>
        <v>0</v>
      </c>
      <c r="AF689" s="53">
        <f t="shared" si="172"/>
        <v>0</v>
      </c>
      <c r="AG689" s="56">
        <f t="shared" si="173"/>
        <v>0</v>
      </c>
      <c r="AH689" s="53">
        <f t="shared" si="174"/>
        <v>0</v>
      </c>
      <c r="AI689" s="55"/>
      <c r="AJ689" s="53">
        <f t="shared" si="175"/>
        <v>0</v>
      </c>
      <c r="AK689" s="53">
        <f t="shared" si="176"/>
        <v>0</v>
      </c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7"/>
      <c r="AW689" s="57"/>
      <c r="AX689" s="57"/>
    </row>
    <row r="690" spans="2:50">
      <c r="B690" s="45">
        <v>668</v>
      </c>
      <c r="C690" s="289" t="s">
        <v>983</v>
      </c>
      <c r="D690" s="290" t="s">
        <v>1032</v>
      </c>
      <c r="E690" s="215" t="s">
        <v>1033</v>
      </c>
      <c r="F690" s="303" t="s">
        <v>1039</v>
      </c>
      <c r="G690" s="217" t="s">
        <v>981</v>
      </c>
      <c r="H690" s="309">
        <v>41995</v>
      </c>
      <c r="I690" s="169" t="s">
        <v>409</v>
      </c>
      <c r="J690" s="219">
        <f t="shared" si="177"/>
        <v>4332</v>
      </c>
      <c r="K690" s="219">
        <v>12</v>
      </c>
      <c r="L690" s="219">
        <v>4320</v>
      </c>
      <c r="M690" s="219"/>
      <c r="N690" s="307">
        <v>0.2</v>
      </c>
      <c r="O690" s="307">
        <v>72</v>
      </c>
      <c r="P690" s="308">
        <v>1</v>
      </c>
      <c r="Q690" s="153"/>
      <c r="R690" s="54" t="s">
        <v>158</v>
      </c>
      <c r="S690" s="54" t="s">
        <v>158</v>
      </c>
      <c r="T690" s="54" t="s">
        <v>158</v>
      </c>
      <c r="U690" s="54" t="s">
        <v>158</v>
      </c>
      <c r="V690" s="236" t="s">
        <v>1003</v>
      </c>
      <c r="W690" s="53"/>
      <c r="X690" s="153">
        <f t="shared" si="166"/>
        <v>0</v>
      </c>
      <c r="Y690" s="55"/>
      <c r="Z690" s="55"/>
      <c r="AA690" s="52">
        <f t="shared" si="167"/>
        <v>0</v>
      </c>
      <c r="AB690" s="53">
        <f t="shared" si="168"/>
        <v>0</v>
      </c>
      <c r="AC690" s="53">
        <f t="shared" si="169"/>
        <v>0</v>
      </c>
      <c r="AD690" s="53">
        <f t="shared" si="170"/>
        <v>0</v>
      </c>
      <c r="AE690" s="53">
        <f t="shared" si="171"/>
        <v>0</v>
      </c>
      <c r="AF690" s="53">
        <f t="shared" si="172"/>
        <v>0</v>
      </c>
      <c r="AG690" s="56">
        <f t="shared" si="173"/>
        <v>0</v>
      </c>
      <c r="AH690" s="53">
        <f t="shared" si="174"/>
        <v>0</v>
      </c>
      <c r="AI690" s="55"/>
      <c r="AJ690" s="53">
        <f t="shared" si="175"/>
        <v>0</v>
      </c>
      <c r="AK690" s="53">
        <f t="shared" si="176"/>
        <v>0</v>
      </c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7"/>
      <c r="AW690" s="57"/>
      <c r="AX690" s="57"/>
    </row>
    <row r="691" spans="2:50">
      <c r="B691" s="45">
        <v>669</v>
      </c>
      <c r="C691" s="289" t="s">
        <v>983</v>
      </c>
      <c r="D691" s="290" t="s">
        <v>1040</v>
      </c>
      <c r="E691" s="215" t="s">
        <v>1041</v>
      </c>
      <c r="F691" s="215" t="s">
        <v>531</v>
      </c>
      <c r="G691" s="217" t="s">
        <v>795</v>
      </c>
      <c r="H691" s="309">
        <v>43216</v>
      </c>
      <c r="I691" s="169" t="s">
        <v>409</v>
      </c>
      <c r="J691" s="219">
        <f t="shared" si="177"/>
        <v>42</v>
      </c>
      <c r="K691" s="219">
        <v>42</v>
      </c>
      <c r="L691" s="219">
        <v>0</v>
      </c>
      <c r="M691" s="219"/>
      <c r="N691" s="307">
        <v>0.7</v>
      </c>
      <c r="O691" s="307">
        <v>0</v>
      </c>
      <c r="P691" s="308">
        <v>1</v>
      </c>
      <c r="Q691" s="153"/>
      <c r="R691" s="54" t="s">
        <v>158</v>
      </c>
      <c r="S691" s="54" t="s">
        <v>158</v>
      </c>
      <c r="T691" s="54" t="s">
        <v>158</v>
      </c>
      <c r="U691" s="54" t="s">
        <v>158</v>
      </c>
      <c r="V691" s="236" t="s">
        <v>1003</v>
      </c>
      <c r="W691" s="53"/>
      <c r="X691" s="153">
        <f t="shared" si="166"/>
        <v>0</v>
      </c>
      <c r="Y691" s="55"/>
      <c r="Z691" s="55"/>
      <c r="AA691" s="52">
        <f t="shared" si="167"/>
        <v>0</v>
      </c>
      <c r="AB691" s="53">
        <f t="shared" si="168"/>
        <v>0</v>
      </c>
      <c r="AC691" s="53">
        <f t="shared" si="169"/>
        <v>0</v>
      </c>
      <c r="AD691" s="53">
        <f t="shared" si="170"/>
        <v>0</v>
      </c>
      <c r="AE691" s="53">
        <f t="shared" si="171"/>
        <v>0</v>
      </c>
      <c r="AF691" s="53">
        <f t="shared" si="172"/>
        <v>0</v>
      </c>
      <c r="AG691" s="56">
        <f t="shared" si="173"/>
        <v>0</v>
      </c>
      <c r="AH691" s="53">
        <f t="shared" si="174"/>
        <v>0</v>
      </c>
      <c r="AI691" s="55"/>
      <c r="AJ691" s="53">
        <f t="shared" si="175"/>
        <v>0</v>
      </c>
      <c r="AK691" s="53">
        <f t="shared" si="176"/>
        <v>0</v>
      </c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7"/>
      <c r="AW691" s="57"/>
      <c r="AX691" s="57"/>
    </row>
    <row r="692" spans="2:50">
      <c r="B692" s="45">
        <v>670</v>
      </c>
      <c r="C692" s="289" t="s">
        <v>983</v>
      </c>
      <c r="D692" s="290" t="s">
        <v>1040</v>
      </c>
      <c r="E692" s="215" t="s">
        <v>1041</v>
      </c>
      <c r="F692" s="215" t="s">
        <v>1042</v>
      </c>
      <c r="G692" s="217" t="s">
        <v>795</v>
      </c>
      <c r="H692" s="309">
        <v>43712</v>
      </c>
      <c r="I692" s="169" t="s">
        <v>409</v>
      </c>
      <c r="J692" s="219">
        <f t="shared" si="177"/>
        <v>30</v>
      </c>
      <c r="K692" s="219">
        <v>30</v>
      </c>
      <c r="L692" s="219">
        <v>0</v>
      </c>
      <c r="M692" s="219"/>
      <c r="N692" s="307">
        <v>0.5</v>
      </c>
      <c r="O692" s="307">
        <v>0</v>
      </c>
      <c r="P692" s="308">
        <v>1</v>
      </c>
      <c r="Q692" s="153"/>
      <c r="R692" s="54" t="s">
        <v>158</v>
      </c>
      <c r="S692" s="54" t="s">
        <v>158</v>
      </c>
      <c r="T692" s="54" t="s">
        <v>158</v>
      </c>
      <c r="U692" s="54" t="s">
        <v>158</v>
      </c>
      <c r="V692" s="236" t="s">
        <v>1003</v>
      </c>
      <c r="W692" s="53"/>
      <c r="X692" s="153">
        <f t="shared" si="166"/>
        <v>0</v>
      </c>
      <c r="Y692" s="55"/>
      <c r="Z692" s="55"/>
      <c r="AA692" s="52">
        <f t="shared" si="167"/>
        <v>0</v>
      </c>
      <c r="AB692" s="53">
        <f t="shared" si="168"/>
        <v>0</v>
      </c>
      <c r="AC692" s="53">
        <f t="shared" si="169"/>
        <v>0</v>
      </c>
      <c r="AD692" s="53">
        <f t="shared" si="170"/>
        <v>0</v>
      </c>
      <c r="AE692" s="53">
        <f t="shared" si="171"/>
        <v>0</v>
      </c>
      <c r="AF692" s="53">
        <f t="shared" si="172"/>
        <v>0</v>
      </c>
      <c r="AG692" s="56">
        <f t="shared" si="173"/>
        <v>0</v>
      </c>
      <c r="AH692" s="53">
        <f t="shared" si="174"/>
        <v>0</v>
      </c>
      <c r="AI692" s="55"/>
      <c r="AJ692" s="53">
        <f t="shared" si="175"/>
        <v>0</v>
      </c>
      <c r="AK692" s="53">
        <f t="shared" si="176"/>
        <v>0</v>
      </c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7"/>
      <c r="AW692" s="57"/>
      <c r="AX692" s="57"/>
    </row>
    <row r="693" spans="2:50">
      <c r="B693" s="45">
        <v>671</v>
      </c>
      <c r="C693" s="289" t="s">
        <v>983</v>
      </c>
      <c r="D693" s="290" t="s">
        <v>1040</v>
      </c>
      <c r="E693" s="215" t="s">
        <v>1041</v>
      </c>
      <c r="F693" s="215" t="s">
        <v>1043</v>
      </c>
      <c r="G693" s="217" t="s">
        <v>795</v>
      </c>
      <c r="H693" s="309">
        <v>43049</v>
      </c>
      <c r="I693" s="169" t="s">
        <v>409</v>
      </c>
      <c r="J693" s="219">
        <f t="shared" si="177"/>
        <v>30</v>
      </c>
      <c r="K693" s="219">
        <v>30</v>
      </c>
      <c r="L693" s="219">
        <v>0</v>
      </c>
      <c r="M693" s="219"/>
      <c r="N693" s="307">
        <v>0.5</v>
      </c>
      <c r="O693" s="307">
        <v>0</v>
      </c>
      <c r="P693" s="308">
        <v>1</v>
      </c>
      <c r="Q693" s="153"/>
      <c r="R693" s="54" t="s">
        <v>158</v>
      </c>
      <c r="S693" s="54" t="s">
        <v>158</v>
      </c>
      <c r="T693" s="54" t="s">
        <v>158</v>
      </c>
      <c r="U693" s="54" t="s">
        <v>158</v>
      </c>
      <c r="V693" s="236" t="s">
        <v>1003</v>
      </c>
      <c r="W693" s="53"/>
      <c r="X693" s="153">
        <f t="shared" si="166"/>
        <v>0</v>
      </c>
      <c r="Y693" s="55"/>
      <c r="Z693" s="55"/>
      <c r="AA693" s="52">
        <f t="shared" si="167"/>
        <v>0</v>
      </c>
      <c r="AB693" s="53">
        <f t="shared" si="168"/>
        <v>0</v>
      </c>
      <c r="AC693" s="53">
        <f t="shared" si="169"/>
        <v>0</v>
      </c>
      <c r="AD693" s="53">
        <f t="shared" si="170"/>
        <v>0</v>
      </c>
      <c r="AE693" s="53">
        <f t="shared" si="171"/>
        <v>0</v>
      </c>
      <c r="AF693" s="53">
        <f t="shared" si="172"/>
        <v>0</v>
      </c>
      <c r="AG693" s="56">
        <f t="shared" si="173"/>
        <v>0</v>
      </c>
      <c r="AH693" s="53">
        <f t="shared" si="174"/>
        <v>0</v>
      </c>
      <c r="AI693" s="55"/>
      <c r="AJ693" s="53">
        <f t="shared" si="175"/>
        <v>0</v>
      </c>
      <c r="AK693" s="53">
        <f t="shared" si="176"/>
        <v>0</v>
      </c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7"/>
      <c r="AW693" s="57"/>
      <c r="AX693" s="57"/>
    </row>
    <row r="694" spans="2:50">
      <c r="B694" s="45">
        <v>672</v>
      </c>
      <c r="C694" s="289" t="s">
        <v>983</v>
      </c>
      <c r="D694" s="290" t="s">
        <v>1040</v>
      </c>
      <c r="E694" s="215" t="s">
        <v>1041</v>
      </c>
      <c r="F694" s="215" t="s">
        <v>1044</v>
      </c>
      <c r="G694" s="217" t="s">
        <v>795</v>
      </c>
      <c r="H694" s="309">
        <v>43087</v>
      </c>
      <c r="I694" s="169" t="s">
        <v>409</v>
      </c>
      <c r="J694" s="219">
        <f t="shared" si="177"/>
        <v>222</v>
      </c>
      <c r="K694" s="219">
        <v>42</v>
      </c>
      <c r="L694" s="219">
        <v>180</v>
      </c>
      <c r="M694" s="219"/>
      <c r="N694" s="307">
        <v>0.70000000000000007</v>
      </c>
      <c r="O694" s="307">
        <v>3</v>
      </c>
      <c r="P694" s="308">
        <v>1</v>
      </c>
      <c r="Q694" s="153"/>
      <c r="R694" s="54" t="s">
        <v>158</v>
      </c>
      <c r="S694" s="54" t="s">
        <v>158</v>
      </c>
      <c r="T694" s="54" t="s">
        <v>158</v>
      </c>
      <c r="U694" s="54" t="s">
        <v>158</v>
      </c>
      <c r="V694" s="236" t="s">
        <v>1003</v>
      </c>
      <c r="W694" s="53"/>
      <c r="X694" s="153">
        <f t="shared" si="166"/>
        <v>0</v>
      </c>
      <c r="Y694" s="55"/>
      <c r="Z694" s="55"/>
      <c r="AA694" s="52">
        <f t="shared" si="167"/>
        <v>0</v>
      </c>
      <c r="AB694" s="53">
        <f t="shared" si="168"/>
        <v>0</v>
      </c>
      <c r="AC694" s="53">
        <f t="shared" si="169"/>
        <v>0</v>
      </c>
      <c r="AD694" s="53">
        <f t="shared" si="170"/>
        <v>0</v>
      </c>
      <c r="AE694" s="53">
        <f t="shared" si="171"/>
        <v>0</v>
      </c>
      <c r="AF694" s="53">
        <f t="shared" si="172"/>
        <v>0</v>
      </c>
      <c r="AG694" s="56">
        <f t="shared" si="173"/>
        <v>0</v>
      </c>
      <c r="AH694" s="53">
        <f t="shared" si="174"/>
        <v>0</v>
      </c>
      <c r="AI694" s="55"/>
      <c r="AJ694" s="53">
        <f t="shared" si="175"/>
        <v>0</v>
      </c>
      <c r="AK694" s="53">
        <f t="shared" si="176"/>
        <v>0</v>
      </c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7"/>
      <c r="AW694" s="57"/>
      <c r="AX694" s="57"/>
    </row>
    <row r="695" spans="2:50">
      <c r="B695" s="45">
        <v>673</v>
      </c>
      <c r="C695" s="289" t="s">
        <v>983</v>
      </c>
      <c r="D695" s="290" t="s">
        <v>1040</v>
      </c>
      <c r="E695" s="215" t="s">
        <v>1045</v>
      </c>
      <c r="F695" s="215" t="s">
        <v>1046</v>
      </c>
      <c r="G695" s="217" t="s">
        <v>795</v>
      </c>
      <c r="H695" s="309">
        <v>43731</v>
      </c>
      <c r="I695" s="169" t="s">
        <v>409</v>
      </c>
      <c r="J695" s="219">
        <f t="shared" si="177"/>
        <v>0.6</v>
      </c>
      <c r="K695" s="219">
        <v>0.6</v>
      </c>
      <c r="L695" s="219">
        <v>0</v>
      </c>
      <c r="M695" s="219"/>
      <c r="N695" s="270">
        <v>0.01</v>
      </c>
      <c r="O695" s="230">
        <v>0</v>
      </c>
      <c r="P695" s="231">
        <v>1</v>
      </c>
      <c r="Q695" s="153"/>
      <c r="R695" s="54" t="s">
        <v>158</v>
      </c>
      <c r="S695" s="54" t="s">
        <v>158</v>
      </c>
      <c r="T695" s="54" t="s">
        <v>158</v>
      </c>
      <c r="U695" s="54" t="s">
        <v>158</v>
      </c>
      <c r="V695" s="236" t="s">
        <v>1003</v>
      </c>
      <c r="W695" s="53"/>
      <c r="X695" s="153">
        <f t="shared" ref="X695:X758" si="178">SUMIF(W695,"Y",K695)</f>
        <v>0</v>
      </c>
      <c r="Y695" s="55"/>
      <c r="Z695" s="55"/>
      <c r="AA695" s="52">
        <f t="shared" ref="AA695:AA758" si="179">(COUNTA(AL695:AU695)-COUNTIF(AL695:AU695, "X"))</f>
        <v>0</v>
      </c>
      <c r="AB695" s="53">
        <f t="shared" ref="AB695:AB758" si="180">(COUNTA(AL695:AU695)-COUNTIF(AL695:AU695, "X"))*P695*K695</f>
        <v>0</v>
      </c>
      <c r="AC695" s="53">
        <f t="shared" ref="AC695:AC758" si="181">COUNTIF(AL695:AU695,"A")</f>
        <v>0</v>
      </c>
      <c r="AD695" s="53">
        <f t="shared" ref="AD695:AD758" si="182">COUNTIF(AL695:AU695,"V")*P695*M695</f>
        <v>0</v>
      </c>
      <c r="AE695" s="53">
        <f t="shared" ref="AE695:AE758" si="183">COUNTIF(AL695:AU695,"L")</f>
        <v>0</v>
      </c>
      <c r="AF695" s="53">
        <f t="shared" ref="AF695:AF758" si="184">COUNTIF(AL695:AU695,"L")*K695*P695</f>
        <v>0</v>
      </c>
      <c r="AG695" s="56">
        <f t="shared" ref="AG695:AG758" si="185">IF(Q695="Y",1,0)</f>
        <v>0</v>
      </c>
      <c r="AH695" s="53">
        <f t="shared" ref="AH695:AH758" si="186">IF(Q695="Y", AA695, 0)*K695*P695/2</f>
        <v>0</v>
      </c>
      <c r="AI695" s="55"/>
      <c r="AJ695" s="53">
        <f t="shared" ref="AJ695:AJ758" si="187">COUNTIF(AL695:AU695, "V")</f>
        <v>0</v>
      </c>
      <c r="AK695" s="53">
        <f t="shared" ref="AK695:AK758" si="188">AB695-AD695-AF695-AH695</f>
        <v>0</v>
      </c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7"/>
      <c r="AW695" s="57"/>
      <c r="AX695" s="57"/>
    </row>
    <row r="696" spans="2:50">
      <c r="B696" s="45">
        <v>674</v>
      </c>
      <c r="C696" s="289" t="s">
        <v>983</v>
      </c>
      <c r="D696" s="290" t="s">
        <v>1040</v>
      </c>
      <c r="E696" s="215" t="s">
        <v>1045</v>
      </c>
      <c r="F696" s="215" t="s">
        <v>1047</v>
      </c>
      <c r="G696" s="217" t="s">
        <v>795</v>
      </c>
      <c r="H696" s="309">
        <v>43216</v>
      </c>
      <c r="I696" s="169" t="s">
        <v>409</v>
      </c>
      <c r="J696" s="219">
        <f t="shared" si="177"/>
        <v>18</v>
      </c>
      <c r="K696" s="219">
        <v>18</v>
      </c>
      <c r="L696" s="219">
        <v>0</v>
      </c>
      <c r="M696" s="219"/>
      <c r="N696" s="307">
        <v>0.3</v>
      </c>
      <c r="O696" s="307">
        <v>0</v>
      </c>
      <c r="P696" s="308">
        <v>1</v>
      </c>
      <c r="Q696" s="153"/>
      <c r="R696" s="54" t="s">
        <v>158</v>
      </c>
      <c r="S696" s="54" t="s">
        <v>158</v>
      </c>
      <c r="T696" s="54" t="s">
        <v>158</v>
      </c>
      <c r="U696" s="54" t="s">
        <v>158</v>
      </c>
      <c r="V696" s="236" t="s">
        <v>1003</v>
      </c>
      <c r="W696" s="53"/>
      <c r="X696" s="153">
        <f t="shared" si="178"/>
        <v>0</v>
      </c>
      <c r="Y696" s="55"/>
      <c r="Z696" s="55"/>
      <c r="AA696" s="52">
        <f t="shared" si="179"/>
        <v>0</v>
      </c>
      <c r="AB696" s="53">
        <f t="shared" si="180"/>
        <v>0</v>
      </c>
      <c r="AC696" s="53">
        <f t="shared" si="181"/>
        <v>0</v>
      </c>
      <c r="AD696" s="53">
        <f t="shared" si="182"/>
        <v>0</v>
      </c>
      <c r="AE696" s="53">
        <f t="shared" si="183"/>
        <v>0</v>
      </c>
      <c r="AF696" s="53">
        <f t="shared" si="184"/>
        <v>0</v>
      </c>
      <c r="AG696" s="56">
        <f t="shared" si="185"/>
        <v>0</v>
      </c>
      <c r="AH696" s="53">
        <f t="shared" si="186"/>
        <v>0</v>
      </c>
      <c r="AI696" s="55"/>
      <c r="AJ696" s="53">
        <f t="shared" si="187"/>
        <v>0</v>
      </c>
      <c r="AK696" s="53">
        <f t="shared" si="188"/>
        <v>0</v>
      </c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7"/>
      <c r="AW696" s="57"/>
      <c r="AX696" s="57"/>
    </row>
    <row r="697" spans="2:50">
      <c r="B697" s="45">
        <v>675</v>
      </c>
      <c r="C697" s="289" t="s">
        <v>983</v>
      </c>
      <c r="D697" s="290" t="s">
        <v>1040</v>
      </c>
      <c r="E697" s="215" t="s">
        <v>1045</v>
      </c>
      <c r="F697" s="215" t="s">
        <v>1048</v>
      </c>
      <c r="G697" s="217" t="s">
        <v>795</v>
      </c>
      <c r="H697" s="309">
        <v>43020</v>
      </c>
      <c r="I697" s="169" t="s">
        <v>409</v>
      </c>
      <c r="J697" s="219">
        <f t="shared" si="177"/>
        <v>30</v>
      </c>
      <c r="K697" s="219">
        <v>30</v>
      </c>
      <c r="L697" s="219">
        <v>0</v>
      </c>
      <c r="M697" s="219"/>
      <c r="N697" s="307">
        <v>0.5</v>
      </c>
      <c r="O697" s="307">
        <v>0</v>
      </c>
      <c r="P697" s="308">
        <v>1</v>
      </c>
      <c r="Q697" s="153"/>
      <c r="R697" s="54" t="s">
        <v>158</v>
      </c>
      <c r="S697" s="54" t="s">
        <v>158</v>
      </c>
      <c r="T697" s="54" t="s">
        <v>158</v>
      </c>
      <c r="U697" s="54" t="s">
        <v>158</v>
      </c>
      <c r="V697" s="236" t="s">
        <v>1003</v>
      </c>
      <c r="W697" s="53"/>
      <c r="X697" s="153">
        <f t="shared" si="178"/>
        <v>0</v>
      </c>
      <c r="Y697" s="55"/>
      <c r="Z697" s="55"/>
      <c r="AA697" s="52">
        <f t="shared" si="179"/>
        <v>0</v>
      </c>
      <c r="AB697" s="53">
        <f t="shared" si="180"/>
        <v>0</v>
      </c>
      <c r="AC697" s="53">
        <f t="shared" si="181"/>
        <v>0</v>
      </c>
      <c r="AD697" s="53">
        <f t="shared" si="182"/>
        <v>0</v>
      </c>
      <c r="AE697" s="53">
        <f t="shared" si="183"/>
        <v>0</v>
      </c>
      <c r="AF697" s="53">
        <f t="shared" si="184"/>
        <v>0</v>
      </c>
      <c r="AG697" s="56">
        <f t="shared" si="185"/>
        <v>0</v>
      </c>
      <c r="AH697" s="53">
        <f t="shared" si="186"/>
        <v>0</v>
      </c>
      <c r="AI697" s="55"/>
      <c r="AJ697" s="53">
        <f t="shared" si="187"/>
        <v>0</v>
      </c>
      <c r="AK697" s="53">
        <f t="shared" si="188"/>
        <v>0</v>
      </c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7"/>
      <c r="AW697" s="57"/>
      <c r="AX697" s="57"/>
    </row>
    <row r="698" spans="2:50">
      <c r="B698" s="45">
        <v>676</v>
      </c>
      <c r="C698" s="289" t="s">
        <v>983</v>
      </c>
      <c r="D698" s="290" t="s">
        <v>1040</v>
      </c>
      <c r="E698" s="215" t="s">
        <v>1045</v>
      </c>
      <c r="F698" s="215" t="s">
        <v>1049</v>
      </c>
      <c r="G698" s="217" t="s">
        <v>795</v>
      </c>
      <c r="H698" s="309">
        <v>43712</v>
      </c>
      <c r="I698" s="169" t="s">
        <v>409</v>
      </c>
      <c r="J698" s="219">
        <f t="shared" si="177"/>
        <v>120</v>
      </c>
      <c r="K698" s="219">
        <v>120</v>
      </c>
      <c r="L698" s="219">
        <v>0</v>
      </c>
      <c r="M698" s="219"/>
      <c r="N698" s="307">
        <v>2</v>
      </c>
      <c r="O698" s="307">
        <v>0</v>
      </c>
      <c r="P698" s="308">
        <v>1</v>
      </c>
      <c r="Q698" s="153"/>
      <c r="R698" s="54" t="s">
        <v>158</v>
      </c>
      <c r="S698" s="54" t="s">
        <v>158</v>
      </c>
      <c r="T698" s="54" t="s">
        <v>158</v>
      </c>
      <c r="U698" s="54" t="s">
        <v>158</v>
      </c>
      <c r="V698" s="236" t="s">
        <v>1003</v>
      </c>
      <c r="W698" s="53"/>
      <c r="X698" s="153">
        <f t="shared" si="178"/>
        <v>0</v>
      </c>
      <c r="Y698" s="55"/>
      <c r="Z698" s="55"/>
      <c r="AA698" s="52">
        <f t="shared" si="179"/>
        <v>0</v>
      </c>
      <c r="AB698" s="53">
        <f t="shared" si="180"/>
        <v>0</v>
      </c>
      <c r="AC698" s="53">
        <f t="shared" si="181"/>
        <v>0</v>
      </c>
      <c r="AD698" s="53">
        <f t="shared" si="182"/>
        <v>0</v>
      </c>
      <c r="AE698" s="53">
        <f t="shared" si="183"/>
        <v>0</v>
      </c>
      <c r="AF698" s="53">
        <f t="shared" si="184"/>
        <v>0</v>
      </c>
      <c r="AG698" s="56">
        <f t="shared" si="185"/>
        <v>0</v>
      </c>
      <c r="AH698" s="53">
        <f t="shared" si="186"/>
        <v>0</v>
      </c>
      <c r="AI698" s="55"/>
      <c r="AJ698" s="53">
        <f t="shared" si="187"/>
        <v>0</v>
      </c>
      <c r="AK698" s="53">
        <f t="shared" si="188"/>
        <v>0</v>
      </c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7"/>
      <c r="AW698" s="57"/>
      <c r="AX698" s="57"/>
    </row>
    <row r="699" spans="2:50">
      <c r="B699" s="45">
        <v>677</v>
      </c>
      <c r="C699" s="289" t="s">
        <v>983</v>
      </c>
      <c r="D699" s="290" t="s">
        <v>1040</v>
      </c>
      <c r="E699" s="215" t="s">
        <v>1045</v>
      </c>
      <c r="F699" s="215" t="s">
        <v>1050</v>
      </c>
      <c r="G699" s="217" t="s">
        <v>795</v>
      </c>
      <c r="H699" s="309">
        <v>43017</v>
      </c>
      <c r="I699" s="169" t="s">
        <v>409</v>
      </c>
      <c r="J699" s="219">
        <f t="shared" si="177"/>
        <v>18</v>
      </c>
      <c r="K699" s="219">
        <v>18</v>
      </c>
      <c r="L699" s="219">
        <v>0</v>
      </c>
      <c r="M699" s="219"/>
      <c r="N699" s="307">
        <v>0.3</v>
      </c>
      <c r="O699" s="307">
        <v>0</v>
      </c>
      <c r="P699" s="308">
        <v>1</v>
      </c>
      <c r="Q699" s="153"/>
      <c r="R699" s="54" t="s">
        <v>158</v>
      </c>
      <c r="S699" s="54" t="s">
        <v>158</v>
      </c>
      <c r="T699" s="54" t="s">
        <v>158</v>
      </c>
      <c r="U699" s="54" t="s">
        <v>158</v>
      </c>
      <c r="V699" s="236" t="s">
        <v>1003</v>
      </c>
      <c r="W699" s="53"/>
      <c r="X699" s="153">
        <f t="shared" si="178"/>
        <v>0</v>
      </c>
      <c r="Y699" s="55"/>
      <c r="Z699" s="55"/>
      <c r="AA699" s="52">
        <f t="shared" si="179"/>
        <v>0</v>
      </c>
      <c r="AB699" s="53">
        <f t="shared" si="180"/>
        <v>0</v>
      </c>
      <c r="AC699" s="53">
        <f t="shared" si="181"/>
        <v>0</v>
      </c>
      <c r="AD699" s="53">
        <f t="shared" si="182"/>
        <v>0</v>
      </c>
      <c r="AE699" s="53">
        <f t="shared" si="183"/>
        <v>0</v>
      </c>
      <c r="AF699" s="53">
        <f t="shared" si="184"/>
        <v>0</v>
      </c>
      <c r="AG699" s="56">
        <f t="shared" si="185"/>
        <v>0</v>
      </c>
      <c r="AH699" s="53">
        <f t="shared" si="186"/>
        <v>0</v>
      </c>
      <c r="AI699" s="55"/>
      <c r="AJ699" s="53">
        <f t="shared" si="187"/>
        <v>0</v>
      </c>
      <c r="AK699" s="53">
        <f t="shared" si="188"/>
        <v>0</v>
      </c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7"/>
      <c r="AW699" s="57"/>
      <c r="AX699" s="57"/>
    </row>
    <row r="700" spans="2:50">
      <c r="B700" s="45">
        <v>678</v>
      </c>
      <c r="C700" s="289" t="s">
        <v>983</v>
      </c>
      <c r="D700" s="290" t="s">
        <v>1040</v>
      </c>
      <c r="E700" s="215" t="s">
        <v>1045</v>
      </c>
      <c r="F700" s="215" t="s">
        <v>1051</v>
      </c>
      <c r="G700" s="217" t="s">
        <v>795</v>
      </c>
      <c r="H700" s="309">
        <v>43020</v>
      </c>
      <c r="I700" s="169" t="s">
        <v>409</v>
      </c>
      <c r="J700" s="219">
        <f t="shared" si="177"/>
        <v>24</v>
      </c>
      <c r="K700" s="219">
        <v>24</v>
      </c>
      <c r="L700" s="219">
        <v>0</v>
      </c>
      <c r="M700" s="219"/>
      <c r="N700" s="307">
        <v>0.4</v>
      </c>
      <c r="O700" s="307">
        <v>0</v>
      </c>
      <c r="P700" s="308">
        <v>1</v>
      </c>
      <c r="Q700" s="153"/>
      <c r="R700" s="54" t="s">
        <v>158</v>
      </c>
      <c r="S700" s="54" t="s">
        <v>158</v>
      </c>
      <c r="T700" s="54" t="s">
        <v>158</v>
      </c>
      <c r="U700" s="54" t="s">
        <v>158</v>
      </c>
      <c r="V700" s="236" t="s">
        <v>1003</v>
      </c>
      <c r="W700" s="53"/>
      <c r="X700" s="153">
        <f t="shared" si="178"/>
        <v>0</v>
      </c>
      <c r="Y700" s="55"/>
      <c r="Z700" s="55"/>
      <c r="AA700" s="52">
        <f t="shared" si="179"/>
        <v>0</v>
      </c>
      <c r="AB700" s="53">
        <f t="shared" si="180"/>
        <v>0</v>
      </c>
      <c r="AC700" s="53">
        <f t="shared" si="181"/>
        <v>0</v>
      </c>
      <c r="AD700" s="53">
        <f t="shared" si="182"/>
        <v>0</v>
      </c>
      <c r="AE700" s="53">
        <f t="shared" si="183"/>
        <v>0</v>
      </c>
      <c r="AF700" s="53">
        <f t="shared" si="184"/>
        <v>0</v>
      </c>
      <c r="AG700" s="56">
        <f t="shared" si="185"/>
        <v>0</v>
      </c>
      <c r="AH700" s="53">
        <f t="shared" si="186"/>
        <v>0</v>
      </c>
      <c r="AI700" s="55"/>
      <c r="AJ700" s="53">
        <f t="shared" si="187"/>
        <v>0</v>
      </c>
      <c r="AK700" s="53">
        <f t="shared" si="188"/>
        <v>0</v>
      </c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7"/>
      <c r="AW700" s="57"/>
      <c r="AX700" s="57"/>
    </row>
    <row r="701" spans="2:50">
      <c r="B701" s="45">
        <v>679</v>
      </c>
      <c r="C701" s="289" t="s">
        <v>983</v>
      </c>
      <c r="D701" s="290" t="s">
        <v>1040</v>
      </c>
      <c r="E701" s="215" t="s">
        <v>1045</v>
      </c>
      <c r="F701" s="215" t="s">
        <v>928</v>
      </c>
      <c r="G701" s="217" t="s">
        <v>795</v>
      </c>
      <c r="H701" s="309">
        <v>43017</v>
      </c>
      <c r="I701" s="169" t="s">
        <v>409</v>
      </c>
      <c r="J701" s="219">
        <f t="shared" si="177"/>
        <v>276</v>
      </c>
      <c r="K701" s="219">
        <v>36</v>
      </c>
      <c r="L701" s="219">
        <v>240</v>
      </c>
      <c r="M701" s="219"/>
      <c r="N701" s="270">
        <v>0.6</v>
      </c>
      <c r="O701" s="230">
        <v>4</v>
      </c>
      <c r="P701" s="231">
        <v>1</v>
      </c>
      <c r="Q701" s="153"/>
      <c r="R701" s="54" t="s">
        <v>158</v>
      </c>
      <c r="S701" s="54" t="s">
        <v>158</v>
      </c>
      <c r="T701" s="54" t="s">
        <v>158</v>
      </c>
      <c r="U701" s="54" t="s">
        <v>158</v>
      </c>
      <c r="V701" s="236" t="s">
        <v>1003</v>
      </c>
      <c r="W701" s="53"/>
      <c r="X701" s="153">
        <f t="shared" si="178"/>
        <v>0</v>
      </c>
      <c r="Y701" s="55"/>
      <c r="Z701" s="55"/>
      <c r="AA701" s="52">
        <f t="shared" si="179"/>
        <v>0</v>
      </c>
      <c r="AB701" s="53">
        <f t="shared" si="180"/>
        <v>0</v>
      </c>
      <c r="AC701" s="53">
        <f t="shared" si="181"/>
        <v>0</v>
      </c>
      <c r="AD701" s="53">
        <f t="shared" si="182"/>
        <v>0</v>
      </c>
      <c r="AE701" s="53">
        <f t="shared" si="183"/>
        <v>0</v>
      </c>
      <c r="AF701" s="53">
        <f t="shared" si="184"/>
        <v>0</v>
      </c>
      <c r="AG701" s="56">
        <f t="shared" si="185"/>
        <v>0</v>
      </c>
      <c r="AH701" s="53">
        <f t="shared" si="186"/>
        <v>0</v>
      </c>
      <c r="AI701" s="55"/>
      <c r="AJ701" s="53">
        <f t="shared" si="187"/>
        <v>0</v>
      </c>
      <c r="AK701" s="53">
        <f t="shared" si="188"/>
        <v>0</v>
      </c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7"/>
      <c r="AW701" s="57"/>
      <c r="AX701" s="57"/>
    </row>
    <row r="702" spans="2:50">
      <c r="B702" s="45">
        <v>680</v>
      </c>
      <c r="C702" s="289" t="s">
        <v>983</v>
      </c>
      <c r="D702" s="289" t="s">
        <v>1040</v>
      </c>
      <c r="E702" s="214" t="s">
        <v>1052</v>
      </c>
      <c r="F702" s="303" t="s">
        <v>1053</v>
      </c>
      <c r="G702" s="217" t="s">
        <v>795</v>
      </c>
      <c r="H702" s="309">
        <v>42375</v>
      </c>
      <c r="I702" s="169" t="s">
        <v>409</v>
      </c>
      <c r="J702" s="219">
        <f t="shared" si="177"/>
        <v>9</v>
      </c>
      <c r="K702" s="219">
        <v>9</v>
      </c>
      <c r="L702" s="219">
        <v>0</v>
      </c>
      <c r="M702" s="219"/>
      <c r="N702" s="307">
        <v>0.15</v>
      </c>
      <c r="O702" s="307">
        <v>0</v>
      </c>
      <c r="P702" s="308">
        <v>1</v>
      </c>
      <c r="Q702" s="153"/>
      <c r="R702" s="54" t="s">
        <v>158</v>
      </c>
      <c r="S702" s="54" t="s">
        <v>158</v>
      </c>
      <c r="T702" s="54" t="s">
        <v>158</v>
      </c>
      <c r="U702" s="54" t="s">
        <v>158</v>
      </c>
      <c r="V702" s="236" t="s">
        <v>1003</v>
      </c>
      <c r="W702" s="53"/>
      <c r="X702" s="153">
        <f t="shared" si="178"/>
        <v>0</v>
      </c>
      <c r="Y702" s="55"/>
      <c r="Z702" s="55"/>
      <c r="AA702" s="52">
        <f t="shared" si="179"/>
        <v>0</v>
      </c>
      <c r="AB702" s="53">
        <f t="shared" si="180"/>
        <v>0</v>
      </c>
      <c r="AC702" s="53">
        <f t="shared" si="181"/>
        <v>0</v>
      </c>
      <c r="AD702" s="53">
        <f t="shared" si="182"/>
        <v>0</v>
      </c>
      <c r="AE702" s="53">
        <f t="shared" si="183"/>
        <v>0</v>
      </c>
      <c r="AF702" s="53">
        <f t="shared" si="184"/>
        <v>0</v>
      </c>
      <c r="AG702" s="56">
        <f t="shared" si="185"/>
        <v>0</v>
      </c>
      <c r="AH702" s="53">
        <f t="shared" si="186"/>
        <v>0</v>
      </c>
      <c r="AI702" s="55"/>
      <c r="AJ702" s="53">
        <f t="shared" si="187"/>
        <v>0</v>
      </c>
      <c r="AK702" s="53">
        <f t="shared" si="188"/>
        <v>0</v>
      </c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7"/>
      <c r="AW702" s="57"/>
      <c r="AX702" s="57"/>
    </row>
    <row r="703" spans="2:50">
      <c r="B703" s="45">
        <v>681</v>
      </c>
      <c r="C703" s="289" t="s">
        <v>983</v>
      </c>
      <c r="D703" s="289" t="s">
        <v>1040</v>
      </c>
      <c r="E703" s="214" t="s">
        <v>1052</v>
      </c>
      <c r="F703" s="303" t="s">
        <v>1054</v>
      </c>
      <c r="G703" s="217" t="s">
        <v>795</v>
      </c>
      <c r="H703" s="309">
        <v>42347</v>
      </c>
      <c r="I703" s="169" t="s">
        <v>409</v>
      </c>
      <c r="J703" s="219">
        <f t="shared" si="177"/>
        <v>9</v>
      </c>
      <c r="K703" s="219">
        <v>9</v>
      </c>
      <c r="L703" s="219">
        <v>0</v>
      </c>
      <c r="M703" s="219"/>
      <c r="N703" s="307">
        <v>0.15</v>
      </c>
      <c r="O703" s="307">
        <v>0</v>
      </c>
      <c r="P703" s="308">
        <v>1</v>
      </c>
      <c r="Q703" s="153"/>
      <c r="R703" s="54" t="s">
        <v>158</v>
      </c>
      <c r="S703" s="54" t="s">
        <v>158</v>
      </c>
      <c r="T703" s="54" t="s">
        <v>158</v>
      </c>
      <c r="U703" s="54" t="s">
        <v>158</v>
      </c>
      <c r="V703" s="236" t="s">
        <v>1003</v>
      </c>
      <c r="W703" s="53"/>
      <c r="X703" s="153">
        <f t="shared" si="178"/>
        <v>0</v>
      </c>
      <c r="Y703" s="55"/>
      <c r="Z703" s="55"/>
      <c r="AA703" s="52">
        <f t="shared" si="179"/>
        <v>0</v>
      </c>
      <c r="AB703" s="53">
        <f t="shared" si="180"/>
        <v>0</v>
      </c>
      <c r="AC703" s="53">
        <f t="shared" si="181"/>
        <v>0</v>
      </c>
      <c r="AD703" s="53">
        <f t="shared" si="182"/>
        <v>0</v>
      </c>
      <c r="AE703" s="53">
        <f t="shared" si="183"/>
        <v>0</v>
      </c>
      <c r="AF703" s="53">
        <f t="shared" si="184"/>
        <v>0</v>
      </c>
      <c r="AG703" s="56">
        <f t="shared" si="185"/>
        <v>0</v>
      </c>
      <c r="AH703" s="53">
        <f t="shared" si="186"/>
        <v>0</v>
      </c>
      <c r="AI703" s="55"/>
      <c r="AJ703" s="53">
        <f t="shared" si="187"/>
        <v>0</v>
      </c>
      <c r="AK703" s="53">
        <f t="shared" si="188"/>
        <v>0</v>
      </c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7"/>
      <c r="AW703" s="57"/>
      <c r="AX703" s="57"/>
    </row>
    <row r="704" spans="2:50">
      <c r="B704" s="45">
        <v>682</v>
      </c>
      <c r="C704" s="289" t="s">
        <v>983</v>
      </c>
      <c r="D704" s="289" t="s">
        <v>1040</v>
      </c>
      <c r="E704" s="289" t="s">
        <v>1052</v>
      </c>
      <c r="F704" s="291" t="s">
        <v>1055</v>
      </c>
      <c r="G704" s="217" t="s">
        <v>795</v>
      </c>
      <c r="H704" s="310">
        <v>42347</v>
      </c>
      <c r="I704" s="164" t="s">
        <v>409</v>
      </c>
      <c r="J704" s="51">
        <f t="shared" si="177"/>
        <v>12</v>
      </c>
      <c r="K704" s="51">
        <v>12</v>
      </c>
      <c r="L704" s="51">
        <v>0</v>
      </c>
      <c r="M704" s="51"/>
      <c r="N704" s="293">
        <v>0.2</v>
      </c>
      <c r="O704" s="293">
        <v>0</v>
      </c>
      <c r="P704" s="294">
        <v>1</v>
      </c>
      <c r="Q704" s="53"/>
      <c r="R704" s="54" t="s">
        <v>158</v>
      </c>
      <c r="S704" s="54" t="s">
        <v>158</v>
      </c>
      <c r="T704" s="54" t="s">
        <v>158</v>
      </c>
      <c r="U704" s="54" t="s">
        <v>158</v>
      </c>
      <c r="V704" s="254" t="s">
        <v>1003</v>
      </c>
      <c r="W704" s="53"/>
      <c r="X704" s="53">
        <f t="shared" si="178"/>
        <v>0</v>
      </c>
      <c r="Y704" s="55"/>
      <c r="Z704" s="55"/>
      <c r="AA704" s="52">
        <f t="shared" si="179"/>
        <v>0</v>
      </c>
      <c r="AB704" s="53">
        <f t="shared" si="180"/>
        <v>0</v>
      </c>
      <c r="AC704" s="53">
        <f t="shared" si="181"/>
        <v>0</v>
      </c>
      <c r="AD704" s="53">
        <f t="shared" si="182"/>
        <v>0</v>
      </c>
      <c r="AE704" s="53">
        <f t="shared" si="183"/>
        <v>0</v>
      </c>
      <c r="AF704" s="53">
        <f t="shared" si="184"/>
        <v>0</v>
      </c>
      <c r="AG704" s="56">
        <f t="shared" si="185"/>
        <v>0</v>
      </c>
      <c r="AH704" s="53">
        <f t="shared" si="186"/>
        <v>0</v>
      </c>
      <c r="AI704" s="55"/>
      <c r="AJ704" s="53">
        <f t="shared" si="187"/>
        <v>0</v>
      </c>
      <c r="AK704" s="53">
        <f t="shared" si="188"/>
        <v>0</v>
      </c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7"/>
      <c r="AW704" s="57"/>
      <c r="AX704" s="57"/>
    </row>
    <row r="705" spans="2:50">
      <c r="B705" s="45">
        <v>683</v>
      </c>
      <c r="C705" s="289" t="s">
        <v>983</v>
      </c>
      <c r="D705" s="289" t="s">
        <v>1040</v>
      </c>
      <c r="E705" s="289" t="s">
        <v>1052</v>
      </c>
      <c r="F705" s="291" t="s">
        <v>1056</v>
      </c>
      <c r="G705" s="217" t="s">
        <v>795</v>
      </c>
      <c r="H705" s="310">
        <v>42345</v>
      </c>
      <c r="I705" s="164" t="s">
        <v>409</v>
      </c>
      <c r="J705" s="51">
        <f t="shared" si="177"/>
        <v>21</v>
      </c>
      <c r="K705" s="51">
        <v>21</v>
      </c>
      <c r="L705" s="51">
        <v>0</v>
      </c>
      <c r="M705" s="51"/>
      <c r="N705" s="293">
        <v>0.35</v>
      </c>
      <c r="O705" s="293">
        <v>0</v>
      </c>
      <c r="P705" s="294">
        <v>1</v>
      </c>
      <c r="Q705" s="53"/>
      <c r="R705" s="54" t="s">
        <v>158</v>
      </c>
      <c r="S705" s="54" t="s">
        <v>158</v>
      </c>
      <c r="T705" s="54" t="s">
        <v>158</v>
      </c>
      <c r="U705" s="54" t="s">
        <v>158</v>
      </c>
      <c r="V705" s="254" t="s">
        <v>1003</v>
      </c>
      <c r="W705" s="53"/>
      <c r="X705" s="53">
        <f t="shared" si="178"/>
        <v>0</v>
      </c>
      <c r="Y705" s="55"/>
      <c r="Z705" s="55"/>
      <c r="AA705" s="52">
        <f t="shared" si="179"/>
        <v>0</v>
      </c>
      <c r="AB705" s="53">
        <f t="shared" si="180"/>
        <v>0</v>
      </c>
      <c r="AC705" s="53">
        <f t="shared" si="181"/>
        <v>0</v>
      </c>
      <c r="AD705" s="53">
        <f t="shared" si="182"/>
        <v>0</v>
      </c>
      <c r="AE705" s="53">
        <f t="shared" si="183"/>
        <v>0</v>
      </c>
      <c r="AF705" s="53">
        <f t="shared" si="184"/>
        <v>0</v>
      </c>
      <c r="AG705" s="56">
        <f t="shared" si="185"/>
        <v>0</v>
      </c>
      <c r="AH705" s="53">
        <f t="shared" si="186"/>
        <v>0</v>
      </c>
      <c r="AI705" s="55"/>
      <c r="AJ705" s="53">
        <f t="shared" si="187"/>
        <v>0</v>
      </c>
      <c r="AK705" s="53">
        <f t="shared" si="188"/>
        <v>0</v>
      </c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7"/>
      <c r="AW705" s="57"/>
      <c r="AX705" s="57"/>
    </row>
    <row r="706" spans="2:50">
      <c r="B706" s="45">
        <v>684</v>
      </c>
      <c r="C706" s="289" t="s">
        <v>983</v>
      </c>
      <c r="D706" s="289" t="s">
        <v>1040</v>
      </c>
      <c r="E706" s="289" t="s">
        <v>1052</v>
      </c>
      <c r="F706" s="291" t="s">
        <v>1057</v>
      </c>
      <c r="G706" s="217" t="s">
        <v>795</v>
      </c>
      <c r="H706" s="310">
        <v>42345</v>
      </c>
      <c r="I706" s="164" t="s">
        <v>409</v>
      </c>
      <c r="J706" s="51">
        <f t="shared" si="177"/>
        <v>30</v>
      </c>
      <c r="K706" s="51">
        <v>30</v>
      </c>
      <c r="L706" s="51">
        <v>0</v>
      </c>
      <c r="M706" s="51"/>
      <c r="N706" s="293">
        <v>0.5</v>
      </c>
      <c r="O706" s="293">
        <v>0</v>
      </c>
      <c r="P706" s="294">
        <v>1</v>
      </c>
      <c r="Q706" s="53"/>
      <c r="R706" s="54" t="s">
        <v>158</v>
      </c>
      <c r="S706" s="54" t="s">
        <v>158</v>
      </c>
      <c r="T706" s="54" t="s">
        <v>158</v>
      </c>
      <c r="U706" s="54" t="s">
        <v>158</v>
      </c>
      <c r="V706" s="254" t="s">
        <v>1003</v>
      </c>
      <c r="W706" s="53"/>
      <c r="X706" s="53">
        <f t="shared" si="178"/>
        <v>0</v>
      </c>
      <c r="Y706" s="55"/>
      <c r="Z706" s="55"/>
      <c r="AA706" s="52">
        <f t="shared" si="179"/>
        <v>0</v>
      </c>
      <c r="AB706" s="53">
        <f t="shared" si="180"/>
        <v>0</v>
      </c>
      <c r="AC706" s="53">
        <f t="shared" si="181"/>
        <v>0</v>
      </c>
      <c r="AD706" s="53">
        <f t="shared" si="182"/>
        <v>0</v>
      </c>
      <c r="AE706" s="53">
        <f t="shared" si="183"/>
        <v>0</v>
      </c>
      <c r="AF706" s="53">
        <f t="shared" si="184"/>
        <v>0</v>
      </c>
      <c r="AG706" s="56">
        <f t="shared" si="185"/>
        <v>0</v>
      </c>
      <c r="AH706" s="53">
        <f t="shared" si="186"/>
        <v>0</v>
      </c>
      <c r="AI706" s="55"/>
      <c r="AJ706" s="53">
        <f t="shared" si="187"/>
        <v>0</v>
      </c>
      <c r="AK706" s="53">
        <f t="shared" si="188"/>
        <v>0</v>
      </c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7"/>
      <c r="AW706" s="57"/>
      <c r="AX706" s="57"/>
    </row>
    <row r="707" spans="2:50">
      <c r="B707" s="45">
        <v>685</v>
      </c>
      <c r="C707" s="289" t="s">
        <v>983</v>
      </c>
      <c r="D707" s="289" t="s">
        <v>1040</v>
      </c>
      <c r="E707" s="289" t="s">
        <v>1052</v>
      </c>
      <c r="F707" s="291" t="s">
        <v>1058</v>
      </c>
      <c r="G707" s="217" t="s">
        <v>795</v>
      </c>
      <c r="H707" s="310">
        <v>42345</v>
      </c>
      <c r="I707" s="164" t="s">
        <v>409</v>
      </c>
      <c r="J707" s="51">
        <f t="shared" si="177"/>
        <v>24</v>
      </c>
      <c r="K707" s="51">
        <v>24</v>
      </c>
      <c r="L707" s="51">
        <v>0</v>
      </c>
      <c r="M707" s="51"/>
      <c r="N707" s="293">
        <v>0.4</v>
      </c>
      <c r="O707" s="293">
        <v>0</v>
      </c>
      <c r="P707" s="294">
        <v>1</v>
      </c>
      <c r="Q707" s="53"/>
      <c r="R707" s="54" t="s">
        <v>158</v>
      </c>
      <c r="S707" s="54" t="s">
        <v>158</v>
      </c>
      <c r="T707" s="54" t="s">
        <v>158</v>
      </c>
      <c r="U707" s="54" t="s">
        <v>158</v>
      </c>
      <c r="V707" s="254" t="s">
        <v>1003</v>
      </c>
      <c r="W707" s="53"/>
      <c r="X707" s="53">
        <f t="shared" si="178"/>
        <v>0</v>
      </c>
      <c r="Y707" s="55"/>
      <c r="Z707" s="55"/>
      <c r="AA707" s="52">
        <f t="shared" si="179"/>
        <v>0</v>
      </c>
      <c r="AB707" s="53">
        <f t="shared" si="180"/>
        <v>0</v>
      </c>
      <c r="AC707" s="53">
        <f t="shared" si="181"/>
        <v>0</v>
      </c>
      <c r="AD707" s="53">
        <f t="shared" si="182"/>
        <v>0</v>
      </c>
      <c r="AE707" s="53">
        <f t="shared" si="183"/>
        <v>0</v>
      </c>
      <c r="AF707" s="53">
        <f t="shared" si="184"/>
        <v>0</v>
      </c>
      <c r="AG707" s="56">
        <f t="shared" si="185"/>
        <v>0</v>
      </c>
      <c r="AH707" s="53">
        <f t="shared" si="186"/>
        <v>0</v>
      </c>
      <c r="AI707" s="55"/>
      <c r="AJ707" s="53">
        <f t="shared" si="187"/>
        <v>0</v>
      </c>
      <c r="AK707" s="53">
        <f t="shared" si="188"/>
        <v>0</v>
      </c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7"/>
      <c r="AW707" s="57"/>
      <c r="AX707" s="57"/>
    </row>
    <row r="708" spans="2:50">
      <c r="B708" s="45">
        <v>686</v>
      </c>
      <c r="C708" s="289" t="s">
        <v>983</v>
      </c>
      <c r="D708" s="289" t="s">
        <v>1040</v>
      </c>
      <c r="E708" s="289" t="s">
        <v>1052</v>
      </c>
      <c r="F708" s="291" t="s">
        <v>1059</v>
      </c>
      <c r="G708" s="217" t="s">
        <v>795</v>
      </c>
      <c r="H708" s="310">
        <v>42345</v>
      </c>
      <c r="I708" s="164" t="s">
        <v>409</v>
      </c>
      <c r="J708" s="51">
        <f t="shared" si="177"/>
        <v>486</v>
      </c>
      <c r="K708" s="51">
        <v>6</v>
      </c>
      <c r="L708" s="51">
        <v>480</v>
      </c>
      <c r="M708" s="51"/>
      <c r="N708" s="293">
        <v>0.05</v>
      </c>
      <c r="O708" s="293">
        <v>8</v>
      </c>
      <c r="P708" s="294">
        <v>1</v>
      </c>
      <c r="Q708" s="53"/>
      <c r="R708" s="54" t="s">
        <v>158</v>
      </c>
      <c r="S708" s="54" t="s">
        <v>158</v>
      </c>
      <c r="T708" s="54" t="s">
        <v>158</v>
      </c>
      <c r="U708" s="54" t="s">
        <v>158</v>
      </c>
      <c r="V708" s="254" t="s">
        <v>1003</v>
      </c>
      <c r="W708" s="53"/>
      <c r="X708" s="53">
        <f t="shared" si="178"/>
        <v>0</v>
      </c>
      <c r="Y708" s="55"/>
      <c r="Z708" s="55"/>
      <c r="AA708" s="52">
        <f t="shared" si="179"/>
        <v>0</v>
      </c>
      <c r="AB708" s="53">
        <f t="shared" si="180"/>
        <v>0</v>
      </c>
      <c r="AC708" s="53">
        <f t="shared" si="181"/>
        <v>0</v>
      </c>
      <c r="AD708" s="53">
        <f t="shared" si="182"/>
        <v>0</v>
      </c>
      <c r="AE708" s="53">
        <f t="shared" si="183"/>
        <v>0</v>
      </c>
      <c r="AF708" s="53">
        <f t="shared" si="184"/>
        <v>0</v>
      </c>
      <c r="AG708" s="56">
        <f t="shared" si="185"/>
        <v>0</v>
      </c>
      <c r="AH708" s="53">
        <f t="shared" si="186"/>
        <v>0</v>
      </c>
      <c r="AI708" s="55"/>
      <c r="AJ708" s="53">
        <f t="shared" si="187"/>
        <v>0</v>
      </c>
      <c r="AK708" s="53">
        <f t="shared" si="188"/>
        <v>0</v>
      </c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7"/>
      <c r="AW708" s="57"/>
      <c r="AX708" s="57"/>
    </row>
    <row r="709" spans="2:50">
      <c r="B709" s="45">
        <v>687</v>
      </c>
      <c r="C709" s="289" t="s">
        <v>983</v>
      </c>
      <c r="D709" s="289" t="s">
        <v>1040</v>
      </c>
      <c r="E709" s="289" t="s">
        <v>1052</v>
      </c>
      <c r="F709" s="291" t="s">
        <v>1060</v>
      </c>
      <c r="G709" s="217" t="s">
        <v>795</v>
      </c>
      <c r="H709" s="310">
        <v>42345</v>
      </c>
      <c r="I709" s="164" t="s">
        <v>409</v>
      </c>
      <c r="J709" s="51">
        <f t="shared" si="177"/>
        <v>27</v>
      </c>
      <c r="K709" s="51">
        <v>27</v>
      </c>
      <c r="L709" s="51">
        <v>0</v>
      </c>
      <c r="M709" s="51"/>
      <c r="N709" s="293">
        <v>0.45</v>
      </c>
      <c r="O709" s="293">
        <v>0</v>
      </c>
      <c r="P709" s="294">
        <v>1</v>
      </c>
      <c r="Q709" s="53"/>
      <c r="R709" s="54" t="s">
        <v>158</v>
      </c>
      <c r="S709" s="54" t="s">
        <v>158</v>
      </c>
      <c r="T709" s="54" t="s">
        <v>158</v>
      </c>
      <c r="U709" s="54" t="s">
        <v>158</v>
      </c>
      <c r="V709" s="254" t="s">
        <v>1003</v>
      </c>
      <c r="W709" s="53"/>
      <c r="X709" s="53">
        <f t="shared" si="178"/>
        <v>0</v>
      </c>
      <c r="Y709" s="55"/>
      <c r="Z709" s="55"/>
      <c r="AA709" s="52">
        <f t="shared" si="179"/>
        <v>0</v>
      </c>
      <c r="AB709" s="53">
        <f t="shared" si="180"/>
        <v>0</v>
      </c>
      <c r="AC709" s="53">
        <f t="shared" si="181"/>
        <v>0</v>
      </c>
      <c r="AD709" s="53">
        <f t="shared" si="182"/>
        <v>0</v>
      </c>
      <c r="AE709" s="53">
        <f t="shared" si="183"/>
        <v>0</v>
      </c>
      <c r="AF709" s="53">
        <f t="shared" si="184"/>
        <v>0</v>
      </c>
      <c r="AG709" s="56">
        <f t="shared" si="185"/>
        <v>0</v>
      </c>
      <c r="AH709" s="53">
        <f t="shared" si="186"/>
        <v>0</v>
      </c>
      <c r="AI709" s="55"/>
      <c r="AJ709" s="53">
        <f t="shared" si="187"/>
        <v>0</v>
      </c>
      <c r="AK709" s="53">
        <f t="shared" si="188"/>
        <v>0</v>
      </c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7"/>
      <c r="AW709" s="57"/>
      <c r="AX709" s="57"/>
    </row>
    <row r="710" spans="2:50">
      <c r="B710" s="45">
        <v>688</v>
      </c>
      <c r="C710" s="289" t="s">
        <v>983</v>
      </c>
      <c r="D710" s="289" t="s">
        <v>1040</v>
      </c>
      <c r="E710" s="289" t="s">
        <v>1052</v>
      </c>
      <c r="F710" s="291" t="s">
        <v>687</v>
      </c>
      <c r="G710" s="217" t="s">
        <v>795</v>
      </c>
      <c r="H710" s="310">
        <v>42369</v>
      </c>
      <c r="I710" s="164" t="s">
        <v>409</v>
      </c>
      <c r="J710" s="51">
        <f t="shared" si="177"/>
        <v>25.8</v>
      </c>
      <c r="K710" s="51">
        <v>25.8</v>
      </c>
      <c r="L710" s="51">
        <v>0</v>
      </c>
      <c r="M710" s="51"/>
      <c r="N710" s="293">
        <v>0.43</v>
      </c>
      <c r="O710" s="293">
        <v>0</v>
      </c>
      <c r="P710" s="294">
        <v>1</v>
      </c>
      <c r="Q710" s="53"/>
      <c r="R710" s="54" t="s">
        <v>158</v>
      </c>
      <c r="S710" s="54" t="s">
        <v>158</v>
      </c>
      <c r="T710" s="54" t="s">
        <v>158</v>
      </c>
      <c r="U710" s="54" t="s">
        <v>158</v>
      </c>
      <c r="V710" s="254" t="s">
        <v>1003</v>
      </c>
      <c r="W710" s="53"/>
      <c r="X710" s="53">
        <f t="shared" si="178"/>
        <v>0</v>
      </c>
      <c r="Y710" s="55"/>
      <c r="Z710" s="55"/>
      <c r="AA710" s="52">
        <f t="shared" si="179"/>
        <v>0</v>
      </c>
      <c r="AB710" s="53">
        <f t="shared" si="180"/>
        <v>0</v>
      </c>
      <c r="AC710" s="53">
        <f t="shared" si="181"/>
        <v>0</v>
      </c>
      <c r="AD710" s="53">
        <f t="shared" si="182"/>
        <v>0</v>
      </c>
      <c r="AE710" s="53">
        <f t="shared" si="183"/>
        <v>0</v>
      </c>
      <c r="AF710" s="53">
        <f t="shared" si="184"/>
        <v>0</v>
      </c>
      <c r="AG710" s="56">
        <f t="shared" si="185"/>
        <v>0</v>
      </c>
      <c r="AH710" s="53">
        <f t="shared" si="186"/>
        <v>0</v>
      </c>
      <c r="AI710" s="55"/>
      <c r="AJ710" s="53">
        <f t="shared" si="187"/>
        <v>0</v>
      </c>
      <c r="AK710" s="53">
        <f t="shared" si="188"/>
        <v>0</v>
      </c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7"/>
      <c r="AW710" s="57"/>
      <c r="AX710" s="57"/>
    </row>
    <row r="711" spans="2:50">
      <c r="B711" s="45">
        <v>689</v>
      </c>
      <c r="C711" s="289" t="s">
        <v>983</v>
      </c>
      <c r="D711" s="290" t="s">
        <v>1061</v>
      </c>
      <c r="E711" s="290" t="s">
        <v>1062</v>
      </c>
      <c r="F711" s="291" t="s">
        <v>1063</v>
      </c>
      <c r="G711" s="217" t="s">
        <v>780</v>
      </c>
      <c r="H711" s="310">
        <v>42583</v>
      </c>
      <c r="I711" s="164" t="s">
        <v>409</v>
      </c>
      <c r="J711" s="51">
        <f t="shared" si="177"/>
        <v>78</v>
      </c>
      <c r="K711" s="51">
        <v>78</v>
      </c>
      <c r="L711" s="51">
        <v>0</v>
      </c>
      <c r="M711" s="51"/>
      <c r="N711" s="293">
        <v>1.3</v>
      </c>
      <c r="O711" s="293">
        <v>0</v>
      </c>
      <c r="P711" s="294">
        <v>1</v>
      </c>
      <c r="Q711" s="53" t="s">
        <v>257</v>
      </c>
      <c r="R711" s="54" t="s">
        <v>158</v>
      </c>
      <c r="S711" s="54" t="s">
        <v>158</v>
      </c>
      <c r="T711" s="54" t="s">
        <v>158</v>
      </c>
      <c r="U711" s="54" t="s">
        <v>158</v>
      </c>
      <c r="V711" s="254" t="s">
        <v>1003</v>
      </c>
      <c r="W711" s="53"/>
      <c r="X711" s="53">
        <f t="shared" si="178"/>
        <v>0</v>
      </c>
      <c r="Y711" s="55"/>
      <c r="Z711" s="55"/>
      <c r="AA711" s="52">
        <f t="shared" si="179"/>
        <v>0</v>
      </c>
      <c r="AB711" s="53">
        <f t="shared" si="180"/>
        <v>0</v>
      </c>
      <c r="AC711" s="53">
        <f t="shared" si="181"/>
        <v>0</v>
      </c>
      <c r="AD711" s="53">
        <f t="shared" si="182"/>
        <v>0</v>
      </c>
      <c r="AE711" s="53">
        <f t="shared" si="183"/>
        <v>0</v>
      </c>
      <c r="AF711" s="53">
        <f t="shared" si="184"/>
        <v>0</v>
      </c>
      <c r="AG711" s="56">
        <f t="shared" si="185"/>
        <v>1</v>
      </c>
      <c r="AH711" s="53">
        <f t="shared" si="186"/>
        <v>0</v>
      </c>
      <c r="AI711" s="55"/>
      <c r="AJ711" s="53">
        <f t="shared" si="187"/>
        <v>0</v>
      </c>
      <c r="AK711" s="53">
        <f t="shared" si="188"/>
        <v>0</v>
      </c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7"/>
      <c r="AW711" s="57"/>
      <c r="AX711" s="57"/>
    </row>
    <row r="712" spans="2:50">
      <c r="B712" s="45">
        <v>690</v>
      </c>
      <c r="C712" s="289" t="s">
        <v>983</v>
      </c>
      <c r="D712" s="290" t="s">
        <v>1061</v>
      </c>
      <c r="E712" s="290" t="s">
        <v>1062</v>
      </c>
      <c r="F712" s="291" t="s">
        <v>1064</v>
      </c>
      <c r="G712" s="217" t="s">
        <v>780</v>
      </c>
      <c r="H712" s="310">
        <v>43202</v>
      </c>
      <c r="I712" s="164" t="s">
        <v>409</v>
      </c>
      <c r="J712" s="51">
        <f t="shared" si="177"/>
        <v>30</v>
      </c>
      <c r="K712" s="51">
        <v>30</v>
      </c>
      <c r="L712" s="51">
        <v>0</v>
      </c>
      <c r="M712" s="51"/>
      <c r="N712" s="293">
        <v>0.5</v>
      </c>
      <c r="O712" s="293">
        <v>0</v>
      </c>
      <c r="P712" s="294">
        <v>1</v>
      </c>
      <c r="Q712" s="53"/>
      <c r="R712" s="54" t="s">
        <v>158</v>
      </c>
      <c r="S712" s="54" t="s">
        <v>158</v>
      </c>
      <c r="T712" s="54" t="s">
        <v>158</v>
      </c>
      <c r="U712" s="54" t="s">
        <v>158</v>
      </c>
      <c r="V712" s="254" t="s">
        <v>1003</v>
      </c>
      <c r="W712" s="53"/>
      <c r="X712" s="53">
        <f t="shared" si="178"/>
        <v>0</v>
      </c>
      <c r="Y712" s="55"/>
      <c r="Z712" s="55"/>
      <c r="AA712" s="52">
        <f t="shared" si="179"/>
        <v>0</v>
      </c>
      <c r="AB712" s="53">
        <f t="shared" si="180"/>
        <v>0</v>
      </c>
      <c r="AC712" s="53">
        <f t="shared" si="181"/>
        <v>0</v>
      </c>
      <c r="AD712" s="53">
        <f t="shared" si="182"/>
        <v>0</v>
      </c>
      <c r="AE712" s="53">
        <f t="shared" si="183"/>
        <v>0</v>
      </c>
      <c r="AF712" s="53">
        <f t="shared" si="184"/>
        <v>0</v>
      </c>
      <c r="AG712" s="56">
        <f t="shared" si="185"/>
        <v>0</v>
      </c>
      <c r="AH712" s="53">
        <f t="shared" si="186"/>
        <v>0</v>
      </c>
      <c r="AI712" s="55"/>
      <c r="AJ712" s="53">
        <f t="shared" si="187"/>
        <v>0</v>
      </c>
      <c r="AK712" s="53">
        <f t="shared" si="188"/>
        <v>0</v>
      </c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7"/>
      <c r="AW712" s="57"/>
      <c r="AX712" s="57"/>
    </row>
    <row r="713" spans="2:50">
      <c r="B713" s="45">
        <v>691</v>
      </c>
      <c r="C713" s="289" t="s">
        <v>983</v>
      </c>
      <c r="D713" s="290" t="s">
        <v>1061</v>
      </c>
      <c r="E713" s="290" t="s">
        <v>1062</v>
      </c>
      <c r="F713" s="291" t="s">
        <v>1065</v>
      </c>
      <c r="G713" s="217" t="s">
        <v>780</v>
      </c>
      <c r="H713" s="310">
        <v>42319</v>
      </c>
      <c r="I713" s="164" t="s">
        <v>409</v>
      </c>
      <c r="J713" s="51">
        <f t="shared" si="177"/>
        <v>66</v>
      </c>
      <c r="K713" s="51">
        <v>66</v>
      </c>
      <c r="L713" s="51">
        <v>0</v>
      </c>
      <c r="M713" s="51"/>
      <c r="N713" s="293">
        <v>1.1000000000000001</v>
      </c>
      <c r="O713" s="293">
        <v>0</v>
      </c>
      <c r="P713" s="294">
        <v>1</v>
      </c>
      <c r="Q713" s="53"/>
      <c r="R713" s="54" t="s">
        <v>158</v>
      </c>
      <c r="S713" s="54" t="s">
        <v>158</v>
      </c>
      <c r="T713" s="54" t="s">
        <v>158</v>
      </c>
      <c r="U713" s="54" t="s">
        <v>158</v>
      </c>
      <c r="V713" s="254" t="s">
        <v>1003</v>
      </c>
      <c r="W713" s="53"/>
      <c r="X713" s="53">
        <f t="shared" si="178"/>
        <v>0</v>
      </c>
      <c r="Y713" s="55"/>
      <c r="Z713" s="55"/>
      <c r="AA713" s="52">
        <f t="shared" si="179"/>
        <v>0</v>
      </c>
      <c r="AB713" s="53">
        <f t="shared" si="180"/>
        <v>0</v>
      </c>
      <c r="AC713" s="53">
        <f t="shared" si="181"/>
        <v>0</v>
      </c>
      <c r="AD713" s="53">
        <f t="shared" si="182"/>
        <v>0</v>
      </c>
      <c r="AE713" s="53">
        <f t="shared" si="183"/>
        <v>0</v>
      </c>
      <c r="AF713" s="53">
        <f t="shared" si="184"/>
        <v>0</v>
      </c>
      <c r="AG713" s="56">
        <f t="shared" si="185"/>
        <v>0</v>
      </c>
      <c r="AH713" s="53">
        <f t="shared" si="186"/>
        <v>0</v>
      </c>
      <c r="AI713" s="55"/>
      <c r="AJ713" s="53">
        <f t="shared" si="187"/>
        <v>0</v>
      </c>
      <c r="AK713" s="53">
        <f t="shared" si="188"/>
        <v>0</v>
      </c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7"/>
      <c r="AW713" s="57"/>
      <c r="AX713" s="57"/>
    </row>
    <row r="714" spans="2:50">
      <c r="B714" s="45">
        <v>692</v>
      </c>
      <c r="C714" s="289" t="s">
        <v>983</v>
      </c>
      <c r="D714" s="290" t="s">
        <v>1061</v>
      </c>
      <c r="E714" s="290" t="s">
        <v>1062</v>
      </c>
      <c r="F714" s="291" t="s">
        <v>1066</v>
      </c>
      <c r="G714" s="217" t="s">
        <v>780</v>
      </c>
      <c r="H714" s="310">
        <v>42996</v>
      </c>
      <c r="I714" s="164" t="s">
        <v>409</v>
      </c>
      <c r="J714" s="51">
        <f t="shared" si="177"/>
        <v>144</v>
      </c>
      <c r="K714" s="51">
        <v>24</v>
      </c>
      <c r="L714" s="51">
        <v>120</v>
      </c>
      <c r="M714" s="51"/>
      <c r="N714" s="293">
        <v>0.4</v>
      </c>
      <c r="O714" s="293">
        <v>2</v>
      </c>
      <c r="P714" s="294">
        <v>1</v>
      </c>
      <c r="Q714" s="53"/>
      <c r="R714" s="54" t="s">
        <v>158</v>
      </c>
      <c r="S714" s="54" t="s">
        <v>158</v>
      </c>
      <c r="T714" s="54" t="s">
        <v>158</v>
      </c>
      <c r="U714" s="54" t="s">
        <v>158</v>
      </c>
      <c r="V714" s="254" t="s">
        <v>1003</v>
      </c>
      <c r="W714" s="53"/>
      <c r="X714" s="53">
        <f t="shared" si="178"/>
        <v>0</v>
      </c>
      <c r="Y714" s="55"/>
      <c r="Z714" s="55"/>
      <c r="AA714" s="52">
        <f t="shared" si="179"/>
        <v>0</v>
      </c>
      <c r="AB714" s="53">
        <f t="shared" si="180"/>
        <v>0</v>
      </c>
      <c r="AC714" s="53">
        <f t="shared" si="181"/>
        <v>0</v>
      </c>
      <c r="AD714" s="53">
        <f t="shared" si="182"/>
        <v>0</v>
      </c>
      <c r="AE714" s="53">
        <f t="shared" si="183"/>
        <v>0</v>
      </c>
      <c r="AF714" s="53">
        <f t="shared" si="184"/>
        <v>0</v>
      </c>
      <c r="AG714" s="56">
        <f t="shared" si="185"/>
        <v>0</v>
      </c>
      <c r="AH714" s="53">
        <f t="shared" si="186"/>
        <v>0</v>
      </c>
      <c r="AI714" s="55"/>
      <c r="AJ714" s="53">
        <f t="shared" si="187"/>
        <v>0</v>
      </c>
      <c r="AK714" s="53">
        <f t="shared" si="188"/>
        <v>0</v>
      </c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7"/>
      <c r="AW714" s="57"/>
      <c r="AX714" s="57"/>
    </row>
    <row r="715" spans="2:50">
      <c r="B715" s="45">
        <v>693</v>
      </c>
      <c r="C715" s="289" t="s">
        <v>983</v>
      </c>
      <c r="D715" s="290" t="s">
        <v>1061</v>
      </c>
      <c r="E715" s="311" t="s">
        <v>1067</v>
      </c>
      <c r="F715" s="312" t="s">
        <v>1068</v>
      </c>
      <c r="G715" s="217" t="s">
        <v>780</v>
      </c>
      <c r="H715" s="310">
        <v>43712</v>
      </c>
      <c r="I715" s="164" t="s">
        <v>409</v>
      </c>
      <c r="J715" s="51">
        <f t="shared" ref="J715:J778" si="189">SUM(K715:L715)</f>
        <v>60</v>
      </c>
      <c r="K715" s="51">
        <v>60</v>
      </c>
      <c r="L715" s="51">
        <v>0</v>
      </c>
      <c r="M715" s="51"/>
      <c r="N715" s="262">
        <v>0.7</v>
      </c>
      <c r="O715" s="223">
        <v>0</v>
      </c>
      <c r="P715" s="224">
        <v>1</v>
      </c>
      <c r="Q715" s="53"/>
      <c r="R715" s="54" t="s">
        <v>158</v>
      </c>
      <c r="S715" s="54" t="s">
        <v>158</v>
      </c>
      <c r="T715" s="54" t="s">
        <v>158</v>
      </c>
      <c r="U715" s="54" t="s">
        <v>158</v>
      </c>
      <c r="V715" s="254" t="s">
        <v>1003</v>
      </c>
      <c r="W715" s="53"/>
      <c r="X715" s="53">
        <f t="shared" si="178"/>
        <v>0</v>
      </c>
      <c r="Y715" s="55"/>
      <c r="Z715" s="55"/>
      <c r="AA715" s="52">
        <f t="shared" si="179"/>
        <v>0</v>
      </c>
      <c r="AB715" s="53">
        <f t="shared" si="180"/>
        <v>0</v>
      </c>
      <c r="AC715" s="53">
        <f t="shared" si="181"/>
        <v>0</v>
      </c>
      <c r="AD715" s="53">
        <f t="shared" si="182"/>
        <v>0</v>
      </c>
      <c r="AE715" s="53">
        <f t="shared" si="183"/>
        <v>0</v>
      </c>
      <c r="AF715" s="53">
        <f t="shared" si="184"/>
        <v>0</v>
      </c>
      <c r="AG715" s="56">
        <f t="shared" si="185"/>
        <v>0</v>
      </c>
      <c r="AH715" s="53">
        <f t="shared" si="186"/>
        <v>0</v>
      </c>
      <c r="AI715" s="55"/>
      <c r="AJ715" s="53">
        <f t="shared" si="187"/>
        <v>0</v>
      </c>
      <c r="AK715" s="53">
        <f t="shared" si="188"/>
        <v>0</v>
      </c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7"/>
      <c r="AW715" s="57"/>
      <c r="AX715" s="57"/>
    </row>
    <row r="716" spans="2:50">
      <c r="B716" s="45">
        <v>694</v>
      </c>
      <c r="C716" s="289" t="s">
        <v>983</v>
      </c>
      <c r="D716" s="290" t="s">
        <v>1061</v>
      </c>
      <c r="E716" s="311" t="s">
        <v>1067</v>
      </c>
      <c r="F716" s="312" t="s">
        <v>1069</v>
      </c>
      <c r="G716" s="217" t="s">
        <v>780</v>
      </c>
      <c r="H716" s="310">
        <v>43712</v>
      </c>
      <c r="I716" s="164" t="s">
        <v>409</v>
      </c>
      <c r="J716" s="51">
        <f t="shared" si="189"/>
        <v>90</v>
      </c>
      <c r="K716" s="51">
        <v>90</v>
      </c>
      <c r="L716" s="51">
        <v>0</v>
      </c>
      <c r="M716" s="51"/>
      <c r="N716" s="262">
        <v>1.5</v>
      </c>
      <c r="O716" s="223">
        <v>0</v>
      </c>
      <c r="P716" s="224">
        <v>1</v>
      </c>
      <c r="Q716" s="53"/>
      <c r="R716" s="54" t="s">
        <v>158</v>
      </c>
      <c r="S716" s="54" t="s">
        <v>158</v>
      </c>
      <c r="T716" s="54" t="s">
        <v>158</v>
      </c>
      <c r="U716" s="54" t="s">
        <v>158</v>
      </c>
      <c r="V716" s="254" t="s">
        <v>1003</v>
      </c>
      <c r="W716" s="53"/>
      <c r="X716" s="53">
        <f t="shared" si="178"/>
        <v>0</v>
      </c>
      <c r="Y716" s="55"/>
      <c r="Z716" s="55"/>
      <c r="AA716" s="52">
        <f t="shared" si="179"/>
        <v>0</v>
      </c>
      <c r="AB716" s="53">
        <f t="shared" si="180"/>
        <v>0</v>
      </c>
      <c r="AC716" s="53">
        <f t="shared" si="181"/>
        <v>0</v>
      </c>
      <c r="AD716" s="53">
        <f t="shared" si="182"/>
        <v>0</v>
      </c>
      <c r="AE716" s="53">
        <f t="shared" si="183"/>
        <v>0</v>
      </c>
      <c r="AF716" s="53">
        <f t="shared" si="184"/>
        <v>0</v>
      </c>
      <c r="AG716" s="56">
        <f t="shared" si="185"/>
        <v>0</v>
      </c>
      <c r="AH716" s="53">
        <f t="shared" si="186"/>
        <v>0</v>
      </c>
      <c r="AI716" s="55"/>
      <c r="AJ716" s="53">
        <f t="shared" si="187"/>
        <v>0</v>
      </c>
      <c r="AK716" s="53">
        <f t="shared" si="188"/>
        <v>0</v>
      </c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7"/>
      <c r="AW716" s="57"/>
      <c r="AX716" s="57"/>
    </row>
    <row r="717" spans="2:50">
      <c r="B717" s="45">
        <v>695</v>
      </c>
      <c r="C717" s="289" t="s">
        <v>983</v>
      </c>
      <c r="D717" s="290" t="s">
        <v>1061</v>
      </c>
      <c r="E717" s="313" t="s">
        <v>1070</v>
      </c>
      <c r="F717" s="291" t="s">
        <v>1071</v>
      </c>
      <c r="G717" s="217" t="s">
        <v>780</v>
      </c>
      <c r="H717" s="310">
        <v>42825</v>
      </c>
      <c r="I717" s="164" t="s">
        <v>409</v>
      </c>
      <c r="J717" s="51">
        <f t="shared" si="189"/>
        <v>66</v>
      </c>
      <c r="K717" s="51">
        <v>36</v>
      </c>
      <c r="L717" s="51">
        <v>30</v>
      </c>
      <c r="M717" s="51"/>
      <c r="N717" s="293">
        <v>0.6</v>
      </c>
      <c r="O717" s="293">
        <v>0.5</v>
      </c>
      <c r="P717" s="294">
        <v>1</v>
      </c>
      <c r="Q717" s="53"/>
      <c r="R717" s="54" t="s">
        <v>158</v>
      </c>
      <c r="S717" s="54" t="s">
        <v>158</v>
      </c>
      <c r="T717" s="54" t="s">
        <v>158</v>
      </c>
      <c r="U717" s="54" t="s">
        <v>158</v>
      </c>
      <c r="V717" s="254" t="s">
        <v>1003</v>
      </c>
      <c r="W717" s="53"/>
      <c r="X717" s="53">
        <f t="shared" si="178"/>
        <v>0</v>
      </c>
      <c r="Y717" s="55"/>
      <c r="Z717" s="55"/>
      <c r="AA717" s="52">
        <f t="shared" si="179"/>
        <v>0</v>
      </c>
      <c r="AB717" s="53">
        <f t="shared" si="180"/>
        <v>0</v>
      </c>
      <c r="AC717" s="53">
        <f t="shared" si="181"/>
        <v>0</v>
      </c>
      <c r="AD717" s="53">
        <f t="shared" si="182"/>
        <v>0</v>
      </c>
      <c r="AE717" s="53">
        <f t="shared" si="183"/>
        <v>0</v>
      </c>
      <c r="AF717" s="53">
        <f t="shared" si="184"/>
        <v>0</v>
      </c>
      <c r="AG717" s="56">
        <f t="shared" si="185"/>
        <v>0</v>
      </c>
      <c r="AH717" s="53">
        <f t="shared" si="186"/>
        <v>0</v>
      </c>
      <c r="AI717" s="55"/>
      <c r="AJ717" s="53">
        <f t="shared" si="187"/>
        <v>0</v>
      </c>
      <c r="AK717" s="53">
        <f t="shared" si="188"/>
        <v>0</v>
      </c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7"/>
      <c r="AW717" s="57"/>
      <c r="AX717" s="57"/>
    </row>
    <row r="718" spans="2:50">
      <c r="B718" s="45">
        <v>696</v>
      </c>
      <c r="C718" s="289" t="s">
        <v>983</v>
      </c>
      <c r="D718" s="290" t="s">
        <v>1061</v>
      </c>
      <c r="E718" s="313" t="s">
        <v>1072</v>
      </c>
      <c r="F718" s="291" t="s">
        <v>1073</v>
      </c>
      <c r="G718" s="217" t="s">
        <v>780</v>
      </c>
      <c r="H718" s="310">
        <v>43202</v>
      </c>
      <c r="I718" s="164" t="s">
        <v>409</v>
      </c>
      <c r="J718" s="51">
        <f t="shared" si="189"/>
        <v>18</v>
      </c>
      <c r="K718" s="51">
        <v>18</v>
      </c>
      <c r="L718" s="51">
        <v>0</v>
      </c>
      <c r="M718" s="51"/>
      <c r="N718" s="293">
        <v>0.3</v>
      </c>
      <c r="O718" s="293">
        <v>0</v>
      </c>
      <c r="P718" s="294">
        <v>1</v>
      </c>
      <c r="Q718" s="53"/>
      <c r="R718" s="54" t="s">
        <v>158</v>
      </c>
      <c r="S718" s="54" t="s">
        <v>158</v>
      </c>
      <c r="T718" s="54" t="s">
        <v>158</v>
      </c>
      <c r="U718" s="54" t="s">
        <v>158</v>
      </c>
      <c r="V718" s="254" t="s">
        <v>1003</v>
      </c>
      <c r="W718" s="53"/>
      <c r="X718" s="53">
        <f t="shared" si="178"/>
        <v>0</v>
      </c>
      <c r="Y718" s="55"/>
      <c r="Z718" s="55"/>
      <c r="AA718" s="52">
        <f t="shared" si="179"/>
        <v>0</v>
      </c>
      <c r="AB718" s="53">
        <f t="shared" si="180"/>
        <v>0</v>
      </c>
      <c r="AC718" s="53">
        <f t="shared" si="181"/>
        <v>0</v>
      </c>
      <c r="AD718" s="53">
        <f t="shared" si="182"/>
        <v>0</v>
      </c>
      <c r="AE718" s="53">
        <f t="shared" si="183"/>
        <v>0</v>
      </c>
      <c r="AF718" s="53">
        <f t="shared" si="184"/>
        <v>0</v>
      </c>
      <c r="AG718" s="56">
        <f t="shared" si="185"/>
        <v>0</v>
      </c>
      <c r="AH718" s="53">
        <f t="shared" si="186"/>
        <v>0</v>
      </c>
      <c r="AI718" s="55"/>
      <c r="AJ718" s="53">
        <f t="shared" si="187"/>
        <v>0</v>
      </c>
      <c r="AK718" s="53">
        <f t="shared" si="188"/>
        <v>0</v>
      </c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7"/>
      <c r="AW718" s="57"/>
      <c r="AX718" s="57"/>
    </row>
    <row r="719" spans="2:50">
      <c r="B719" s="45">
        <v>697</v>
      </c>
      <c r="C719" s="289" t="s">
        <v>983</v>
      </c>
      <c r="D719" s="314" t="s">
        <v>1074</v>
      </c>
      <c r="E719" s="314" t="s">
        <v>1075</v>
      </c>
      <c r="F719" s="314" t="s">
        <v>896</v>
      </c>
      <c r="G719" s="217" t="s">
        <v>780</v>
      </c>
      <c r="H719" s="310">
        <v>43636</v>
      </c>
      <c r="I719" s="164" t="s">
        <v>409</v>
      </c>
      <c r="J719" s="51">
        <f t="shared" si="189"/>
        <v>66</v>
      </c>
      <c r="K719" s="51">
        <v>66</v>
      </c>
      <c r="L719" s="51">
        <v>0</v>
      </c>
      <c r="M719" s="51"/>
      <c r="N719" s="262">
        <v>1.1000000000000001</v>
      </c>
      <c r="O719" s="223">
        <v>0</v>
      </c>
      <c r="P719" s="224">
        <v>1</v>
      </c>
      <c r="Q719" s="53"/>
      <c r="R719" s="54" t="s">
        <v>158</v>
      </c>
      <c r="S719" s="54" t="s">
        <v>158</v>
      </c>
      <c r="T719" s="54" t="s">
        <v>158</v>
      </c>
      <c r="U719" s="54" t="s">
        <v>158</v>
      </c>
      <c r="V719" s="254" t="s">
        <v>1003</v>
      </c>
      <c r="W719" s="53"/>
      <c r="X719" s="53">
        <f t="shared" si="178"/>
        <v>0</v>
      </c>
      <c r="Y719" s="55"/>
      <c r="Z719" s="55"/>
      <c r="AA719" s="52">
        <f t="shared" si="179"/>
        <v>0</v>
      </c>
      <c r="AB719" s="53">
        <f t="shared" si="180"/>
        <v>0</v>
      </c>
      <c r="AC719" s="53">
        <f t="shared" si="181"/>
        <v>0</v>
      </c>
      <c r="AD719" s="53">
        <f t="shared" si="182"/>
        <v>0</v>
      </c>
      <c r="AE719" s="53">
        <f t="shared" si="183"/>
        <v>0</v>
      </c>
      <c r="AF719" s="53">
        <f t="shared" si="184"/>
        <v>0</v>
      </c>
      <c r="AG719" s="56">
        <f t="shared" si="185"/>
        <v>0</v>
      </c>
      <c r="AH719" s="53">
        <f t="shared" si="186"/>
        <v>0</v>
      </c>
      <c r="AI719" s="55"/>
      <c r="AJ719" s="53">
        <f t="shared" si="187"/>
        <v>0</v>
      </c>
      <c r="AK719" s="53">
        <f t="shared" si="188"/>
        <v>0</v>
      </c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7"/>
      <c r="AW719" s="57"/>
      <c r="AX719" s="57"/>
    </row>
    <row r="720" spans="2:50">
      <c r="B720" s="45">
        <v>698</v>
      </c>
      <c r="C720" s="289" t="s">
        <v>983</v>
      </c>
      <c r="D720" s="314" t="s">
        <v>1074</v>
      </c>
      <c r="E720" s="314" t="s">
        <v>1075</v>
      </c>
      <c r="F720" s="314" t="s">
        <v>1076</v>
      </c>
      <c r="G720" s="217" t="s">
        <v>780</v>
      </c>
      <c r="H720" s="310">
        <v>43636</v>
      </c>
      <c r="I720" s="164" t="s">
        <v>409</v>
      </c>
      <c r="J720" s="51">
        <f t="shared" si="189"/>
        <v>48</v>
      </c>
      <c r="K720" s="51">
        <v>48</v>
      </c>
      <c r="L720" s="51">
        <v>0</v>
      </c>
      <c r="M720" s="51"/>
      <c r="N720" s="262">
        <v>0.8</v>
      </c>
      <c r="O720" s="223">
        <v>0</v>
      </c>
      <c r="P720" s="224">
        <v>1</v>
      </c>
      <c r="Q720" s="53"/>
      <c r="R720" s="54" t="s">
        <v>158</v>
      </c>
      <c r="S720" s="54" t="s">
        <v>158</v>
      </c>
      <c r="T720" s="54" t="s">
        <v>158</v>
      </c>
      <c r="U720" s="54" t="s">
        <v>158</v>
      </c>
      <c r="V720" s="254" t="s">
        <v>1003</v>
      </c>
      <c r="W720" s="53"/>
      <c r="X720" s="53">
        <f t="shared" si="178"/>
        <v>0</v>
      </c>
      <c r="Y720" s="55"/>
      <c r="Z720" s="55"/>
      <c r="AA720" s="52">
        <f t="shared" si="179"/>
        <v>0</v>
      </c>
      <c r="AB720" s="53">
        <f t="shared" si="180"/>
        <v>0</v>
      </c>
      <c r="AC720" s="53">
        <f t="shared" si="181"/>
        <v>0</v>
      </c>
      <c r="AD720" s="53">
        <f t="shared" si="182"/>
        <v>0</v>
      </c>
      <c r="AE720" s="53">
        <f t="shared" si="183"/>
        <v>0</v>
      </c>
      <c r="AF720" s="53">
        <f t="shared" si="184"/>
        <v>0</v>
      </c>
      <c r="AG720" s="56">
        <f t="shared" si="185"/>
        <v>0</v>
      </c>
      <c r="AH720" s="53">
        <f t="shared" si="186"/>
        <v>0</v>
      </c>
      <c r="AI720" s="55"/>
      <c r="AJ720" s="53">
        <f t="shared" si="187"/>
        <v>0</v>
      </c>
      <c r="AK720" s="53">
        <f t="shared" si="188"/>
        <v>0</v>
      </c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7"/>
      <c r="AW720" s="57"/>
      <c r="AX720" s="57"/>
    </row>
    <row r="721" spans="2:50">
      <c r="B721" s="45">
        <v>699</v>
      </c>
      <c r="C721" s="289" t="s">
        <v>983</v>
      </c>
      <c r="D721" s="314" t="s">
        <v>1074</v>
      </c>
      <c r="E721" s="314" t="s">
        <v>1075</v>
      </c>
      <c r="F721" s="314" t="s">
        <v>1077</v>
      </c>
      <c r="G721" s="217" t="s">
        <v>780</v>
      </c>
      <c r="H721" s="310">
        <v>43636</v>
      </c>
      <c r="I721" s="164" t="s">
        <v>409</v>
      </c>
      <c r="J721" s="51">
        <f t="shared" si="189"/>
        <v>138</v>
      </c>
      <c r="K721" s="51">
        <v>138</v>
      </c>
      <c r="L721" s="51">
        <v>0</v>
      </c>
      <c r="M721" s="51"/>
      <c r="N721" s="262">
        <v>2.3000000000000003</v>
      </c>
      <c r="O721" s="223">
        <v>0</v>
      </c>
      <c r="P721" s="224">
        <v>1</v>
      </c>
      <c r="Q721" s="53"/>
      <c r="R721" s="54" t="s">
        <v>158</v>
      </c>
      <c r="S721" s="54" t="s">
        <v>158</v>
      </c>
      <c r="T721" s="54" t="s">
        <v>158</v>
      </c>
      <c r="U721" s="54" t="s">
        <v>158</v>
      </c>
      <c r="V721" s="254" t="s">
        <v>1003</v>
      </c>
      <c r="W721" s="53"/>
      <c r="X721" s="53">
        <f t="shared" si="178"/>
        <v>0</v>
      </c>
      <c r="Y721" s="55"/>
      <c r="Z721" s="55"/>
      <c r="AA721" s="52">
        <f t="shared" si="179"/>
        <v>0</v>
      </c>
      <c r="AB721" s="53">
        <f t="shared" si="180"/>
        <v>0</v>
      </c>
      <c r="AC721" s="53">
        <f t="shared" si="181"/>
        <v>0</v>
      </c>
      <c r="AD721" s="53">
        <f t="shared" si="182"/>
        <v>0</v>
      </c>
      <c r="AE721" s="53">
        <f t="shared" si="183"/>
        <v>0</v>
      </c>
      <c r="AF721" s="53">
        <f t="shared" si="184"/>
        <v>0</v>
      </c>
      <c r="AG721" s="56">
        <f t="shared" si="185"/>
        <v>0</v>
      </c>
      <c r="AH721" s="53">
        <f t="shared" si="186"/>
        <v>0</v>
      </c>
      <c r="AI721" s="55"/>
      <c r="AJ721" s="53">
        <f t="shared" si="187"/>
        <v>0</v>
      </c>
      <c r="AK721" s="53">
        <f t="shared" si="188"/>
        <v>0</v>
      </c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7"/>
      <c r="AW721" s="57"/>
      <c r="AX721" s="57"/>
    </row>
    <row r="722" spans="2:50">
      <c r="B722" s="45">
        <v>700</v>
      </c>
      <c r="C722" s="289" t="s">
        <v>983</v>
      </c>
      <c r="D722" s="314" t="s">
        <v>1074</v>
      </c>
      <c r="E722" s="314" t="s">
        <v>1078</v>
      </c>
      <c r="F722" s="314" t="s">
        <v>1079</v>
      </c>
      <c r="G722" s="217" t="s">
        <v>780</v>
      </c>
      <c r="H722" s="310">
        <v>43636</v>
      </c>
      <c r="I722" s="164" t="s">
        <v>409</v>
      </c>
      <c r="J722" s="51">
        <f t="shared" si="189"/>
        <v>24</v>
      </c>
      <c r="K722" s="51">
        <v>24</v>
      </c>
      <c r="L722" s="51">
        <v>0</v>
      </c>
      <c r="M722" s="51"/>
      <c r="N722" s="262">
        <v>0.4</v>
      </c>
      <c r="O722" s="223">
        <v>0</v>
      </c>
      <c r="P722" s="224">
        <v>1</v>
      </c>
      <c r="Q722" s="53"/>
      <c r="R722" s="54" t="s">
        <v>158</v>
      </c>
      <c r="S722" s="54" t="s">
        <v>158</v>
      </c>
      <c r="T722" s="54" t="s">
        <v>158</v>
      </c>
      <c r="U722" s="54" t="s">
        <v>158</v>
      </c>
      <c r="V722" s="254" t="s">
        <v>1003</v>
      </c>
      <c r="W722" s="53"/>
      <c r="X722" s="53">
        <f t="shared" si="178"/>
        <v>0</v>
      </c>
      <c r="Y722" s="55"/>
      <c r="Z722" s="55"/>
      <c r="AA722" s="52">
        <f t="shared" si="179"/>
        <v>0</v>
      </c>
      <c r="AB722" s="53">
        <f t="shared" si="180"/>
        <v>0</v>
      </c>
      <c r="AC722" s="53">
        <f t="shared" si="181"/>
        <v>0</v>
      </c>
      <c r="AD722" s="53">
        <f t="shared" si="182"/>
        <v>0</v>
      </c>
      <c r="AE722" s="53">
        <f t="shared" si="183"/>
        <v>0</v>
      </c>
      <c r="AF722" s="53">
        <f t="shared" si="184"/>
        <v>0</v>
      </c>
      <c r="AG722" s="56">
        <f t="shared" si="185"/>
        <v>0</v>
      </c>
      <c r="AH722" s="53">
        <f t="shared" si="186"/>
        <v>0</v>
      </c>
      <c r="AI722" s="55"/>
      <c r="AJ722" s="53">
        <f t="shared" si="187"/>
        <v>0</v>
      </c>
      <c r="AK722" s="53">
        <f t="shared" si="188"/>
        <v>0</v>
      </c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7"/>
      <c r="AW722" s="57"/>
      <c r="AX722" s="57"/>
    </row>
    <row r="723" spans="2:50">
      <c r="B723" s="45">
        <v>701</v>
      </c>
      <c r="C723" s="289" t="s">
        <v>983</v>
      </c>
      <c r="D723" s="314" t="s">
        <v>1074</v>
      </c>
      <c r="E723" s="314" t="s">
        <v>1080</v>
      </c>
      <c r="F723" s="314" t="s">
        <v>1081</v>
      </c>
      <c r="G723" s="217" t="s">
        <v>780</v>
      </c>
      <c r="H723" s="310">
        <v>43636</v>
      </c>
      <c r="I723" s="164" t="s">
        <v>409</v>
      </c>
      <c r="J723" s="51">
        <f t="shared" si="189"/>
        <v>48</v>
      </c>
      <c r="K723" s="51">
        <v>48</v>
      </c>
      <c r="L723" s="51">
        <v>0</v>
      </c>
      <c r="M723" s="51"/>
      <c r="N723" s="262">
        <v>0.8</v>
      </c>
      <c r="O723" s="223">
        <v>0</v>
      </c>
      <c r="P723" s="224">
        <v>1</v>
      </c>
      <c r="Q723" s="53"/>
      <c r="R723" s="54" t="s">
        <v>158</v>
      </c>
      <c r="S723" s="54" t="s">
        <v>158</v>
      </c>
      <c r="T723" s="54" t="s">
        <v>158</v>
      </c>
      <c r="U723" s="54" t="s">
        <v>158</v>
      </c>
      <c r="V723" s="254" t="s">
        <v>1003</v>
      </c>
      <c r="W723" s="53"/>
      <c r="X723" s="53">
        <f t="shared" si="178"/>
        <v>0</v>
      </c>
      <c r="Y723" s="55"/>
      <c r="Z723" s="55"/>
      <c r="AA723" s="52">
        <f t="shared" si="179"/>
        <v>0</v>
      </c>
      <c r="AB723" s="53">
        <f t="shared" si="180"/>
        <v>0</v>
      </c>
      <c r="AC723" s="53">
        <f t="shared" si="181"/>
        <v>0</v>
      </c>
      <c r="AD723" s="53">
        <f t="shared" si="182"/>
        <v>0</v>
      </c>
      <c r="AE723" s="53">
        <f t="shared" si="183"/>
        <v>0</v>
      </c>
      <c r="AF723" s="53">
        <f t="shared" si="184"/>
        <v>0</v>
      </c>
      <c r="AG723" s="56">
        <f t="shared" si="185"/>
        <v>0</v>
      </c>
      <c r="AH723" s="53">
        <f t="shared" si="186"/>
        <v>0</v>
      </c>
      <c r="AI723" s="55"/>
      <c r="AJ723" s="53">
        <f t="shared" si="187"/>
        <v>0</v>
      </c>
      <c r="AK723" s="53">
        <f t="shared" si="188"/>
        <v>0</v>
      </c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7"/>
      <c r="AW723" s="57"/>
      <c r="AX723" s="57"/>
    </row>
    <row r="724" spans="2:50">
      <c r="B724" s="45">
        <v>702</v>
      </c>
      <c r="C724" s="289" t="s">
        <v>983</v>
      </c>
      <c r="D724" s="314" t="s">
        <v>1074</v>
      </c>
      <c r="E724" s="173" t="s">
        <v>1082</v>
      </c>
      <c r="F724" s="174" t="s">
        <v>1083</v>
      </c>
      <c r="G724" s="217" t="s">
        <v>780</v>
      </c>
      <c r="H724" s="310">
        <v>43636</v>
      </c>
      <c r="I724" s="164" t="s">
        <v>409</v>
      </c>
      <c r="J724" s="51">
        <f t="shared" si="189"/>
        <v>90</v>
      </c>
      <c r="K724" s="51">
        <v>90</v>
      </c>
      <c r="L724" s="51">
        <v>0</v>
      </c>
      <c r="M724" s="51"/>
      <c r="N724" s="262">
        <v>1.5</v>
      </c>
      <c r="O724" s="223">
        <v>0</v>
      </c>
      <c r="P724" s="224">
        <v>1</v>
      </c>
      <c r="Q724" s="53"/>
      <c r="R724" s="54" t="s">
        <v>158</v>
      </c>
      <c r="S724" s="54" t="s">
        <v>158</v>
      </c>
      <c r="T724" s="54" t="s">
        <v>158</v>
      </c>
      <c r="U724" s="54" t="s">
        <v>158</v>
      </c>
      <c r="V724" s="254" t="s">
        <v>1003</v>
      </c>
      <c r="W724" s="53"/>
      <c r="X724" s="53">
        <f t="shared" si="178"/>
        <v>0</v>
      </c>
      <c r="Y724" s="55"/>
      <c r="Z724" s="55"/>
      <c r="AA724" s="52">
        <f t="shared" si="179"/>
        <v>0</v>
      </c>
      <c r="AB724" s="53">
        <f t="shared" si="180"/>
        <v>0</v>
      </c>
      <c r="AC724" s="53">
        <f t="shared" si="181"/>
        <v>0</v>
      </c>
      <c r="AD724" s="53">
        <f t="shared" si="182"/>
        <v>0</v>
      </c>
      <c r="AE724" s="53">
        <f t="shared" si="183"/>
        <v>0</v>
      </c>
      <c r="AF724" s="53">
        <f t="shared" si="184"/>
        <v>0</v>
      </c>
      <c r="AG724" s="56">
        <f t="shared" si="185"/>
        <v>0</v>
      </c>
      <c r="AH724" s="53">
        <f t="shared" si="186"/>
        <v>0</v>
      </c>
      <c r="AI724" s="55"/>
      <c r="AJ724" s="53">
        <f t="shared" si="187"/>
        <v>0</v>
      </c>
      <c r="AK724" s="53">
        <f t="shared" si="188"/>
        <v>0</v>
      </c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7"/>
      <c r="AW724" s="57"/>
      <c r="AX724" s="57"/>
    </row>
    <row r="725" spans="2:50">
      <c r="B725" s="45">
        <v>703</v>
      </c>
      <c r="C725" s="289" t="s">
        <v>983</v>
      </c>
      <c r="D725" s="314" t="s">
        <v>1074</v>
      </c>
      <c r="E725" s="314" t="s">
        <v>1084</v>
      </c>
      <c r="F725" s="314" t="s">
        <v>1085</v>
      </c>
      <c r="G725" s="217" t="s">
        <v>780</v>
      </c>
      <c r="H725" s="310">
        <v>43636</v>
      </c>
      <c r="I725" s="164" t="s">
        <v>409</v>
      </c>
      <c r="J725" s="51">
        <f t="shared" si="189"/>
        <v>540</v>
      </c>
      <c r="K725" s="51">
        <v>60</v>
      </c>
      <c r="L725" s="51">
        <v>480</v>
      </c>
      <c r="M725" s="51"/>
      <c r="N725" s="262">
        <v>1</v>
      </c>
      <c r="O725" s="223">
        <v>8</v>
      </c>
      <c r="P725" s="224">
        <v>1</v>
      </c>
      <c r="Q725" s="53"/>
      <c r="R725" s="54" t="s">
        <v>158</v>
      </c>
      <c r="S725" s="54" t="s">
        <v>158</v>
      </c>
      <c r="T725" s="54" t="s">
        <v>158</v>
      </c>
      <c r="U725" s="54" t="s">
        <v>158</v>
      </c>
      <c r="V725" s="254" t="s">
        <v>1003</v>
      </c>
      <c r="W725" s="53"/>
      <c r="X725" s="53">
        <f t="shared" si="178"/>
        <v>0</v>
      </c>
      <c r="Y725" s="55"/>
      <c r="Z725" s="55"/>
      <c r="AA725" s="52">
        <f t="shared" si="179"/>
        <v>0</v>
      </c>
      <c r="AB725" s="53">
        <f t="shared" si="180"/>
        <v>0</v>
      </c>
      <c r="AC725" s="53">
        <f t="shared" si="181"/>
        <v>0</v>
      </c>
      <c r="AD725" s="53">
        <f t="shared" si="182"/>
        <v>0</v>
      </c>
      <c r="AE725" s="53">
        <f t="shared" si="183"/>
        <v>0</v>
      </c>
      <c r="AF725" s="53">
        <f t="shared" si="184"/>
        <v>0</v>
      </c>
      <c r="AG725" s="56">
        <f t="shared" si="185"/>
        <v>0</v>
      </c>
      <c r="AH725" s="53">
        <f t="shared" si="186"/>
        <v>0</v>
      </c>
      <c r="AI725" s="55"/>
      <c r="AJ725" s="53">
        <f t="shared" si="187"/>
        <v>0</v>
      </c>
      <c r="AK725" s="53">
        <f t="shared" si="188"/>
        <v>0</v>
      </c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7"/>
      <c r="AW725" s="57"/>
      <c r="AX725" s="57"/>
    </row>
    <row r="726" spans="2:50">
      <c r="B726" s="45">
        <v>704</v>
      </c>
      <c r="C726" s="289" t="s">
        <v>983</v>
      </c>
      <c r="D726" s="314" t="s">
        <v>1074</v>
      </c>
      <c r="E726" s="314" t="s">
        <v>1086</v>
      </c>
      <c r="F726" s="314" t="s">
        <v>1087</v>
      </c>
      <c r="G726" s="217" t="s">
        <v>780</v>
      </c>
      <c r="H726" s="310">
        <v>43636</v>
      </c>
      <c r="I726" s="164" t="s">
        <v>409</v>
      </c>
      <c r="J726" s="51">
        <f t="shared" si="189"/>
        <v>2904</v>
      </c>
      <c r="K726" s="51">
        <v>24</v>
      </c>
      <c r="L726" s="51">
        <v>2880</v>
      </c>
      <c r="M726" s="51"/>
      <c r="N726" s="262">
        <v>0.4</v>
      </c>
      <c r="O726" s="223">
        <v>48</v>
      </c>
      <c r="P726" s="224">
        <v>1</v>
      </c>
      <c r="Q726" s="53"/>
      <c r="R726" s="54" t="s">
        <v>158</v>
      </c>
      <c r="S726" s="54" t="s">
        <v>158</v>
      </c>
      <c r="T726" s="54" t="s">
        <v>158</v>
      </c>
      <c r="U726" s="54" t="s">
        <v>158</v>
      </c>
      <c r="V726" s="254" t="s">
        <v>1003</v>
      </c>
      <c r="W726" s="53"/>
      <c r="X726" s="53">
        <f t="shared" si="178"/>
        <v>0</v>
      </c>
      <c r="Y726" s="55"/>
      <c r="Z726" s="55"/>
      <c r="AA726" s="52">
        <f t="shared" si="179"/>
        <v>0</v>
      </c>
      <c r="AB726" s="53">
        <f t="shared" si="180"/>
        <v>0</v>
      </c>
      <c r="AC726" s="53">
        <f t="shared" si="181"/>
        <v>0</v>
      </c>
      <c r="AD726" s="53">
        <f t="shared" si="182"/>
        <v>0</v>
      </c>
      <c r="AE726" s="53">
        <f t="shared" si="183"/>
        <v>0</v>
      </c>
      <c r="AF726" s="53">
        <f t="shared" si="184"/>
        <v>0</v>
      </c>
      <c r="AG726" s="56">
        <f t="shared" si="185"/>
        <v>0</v>
      </c>
      <c r="AH726" s="53">
        <f t="shared" si="186"/>
        <v>0</v>
      </c>
      <c r="AI726" s="55"/>
      <c r="AJ726" s="53">
        <f t="shared" si="187"/>
        <v>0</v>
      </c>
      <c r="AK726" s="53">
        <f t="shared" si="188"/>
        <v>0</v>
      </c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7"/>
      <c r="AW726" s="57"/>
      <c r="AX726" s="57"/>
    </row>
    <row r="727" spans="2:50">
      <c r="B727" s="45">
        <v>705</v>
      </c>
      <c r="C727" s="289" t="s">
        <v>983</v>
      </c>
      <c r="D727" s="290" t="s">
        <v>1088</v>
      </c>
      <c r="E727" s="290" t="s">
        <v>1089</v>
      </c>
      <c r="F727" s="315" t="s">
        <v>1090</v>
      </c>
      <c r="G727" s="217" t="s">
        <v>795</v>
      </c>
      <c r="H727" s="316">
        <v>42375</v>
      </c>
      <c r="I727" s="164" t="s">
        <v>409</v>
      </c>
      <c r="J727" s="51">
        <f t="shared" si="189"/>
        <v>18</v>
      </c>
      <c r="K727" s="51">
        <v>18</v>
      </c>
      <c r="L727" s="51">
        <v>0</v>
      </c>
      <c r="M727" s="51"/>
      <c r="N727" s="317">
        <v>0.3</v>
      </c>
      <c r="O727" s="317">
        <v>0</v>
      </c>
      <c r="P727" s="318">
        <v>2</v>
      </c>
      <c r="Q727" s="53"/>
      <c r="R727" s="54" t="s">
        <v>158</v>
      </c>
      <c r="S727" s="54" t="s">
        <v>158</v>
      </c>
      <c r="T727" s="54" t="s">
        <v>158</v>
      </c>
      <c r="U727" s="54" t="s">
        <v>158</v>
      </c>
      <c r="V727" s="319" t="s">
        <v>1091</v>
      </c>
      <c r="W727" s="53"/>
      <c r="X727" s="53">
        <f t="shared" si="178"/>
        <v>0</v>
      </c>
      <c r="Y727" s="55"/>
      <c r="Z727" s="55"/>
      <c r="AA727" s="52">
        <f t="shared" si="179"/>
        <v>0</v>
      </c>
      <c r="AB727" s="53">
        <f t="shared" si="180"/>
        <v>0</v>
      </c>
      <c r="AC727" s="53">
        <f t="shared" si="181"/>
        <v>0</v>
      </c>
      <c r="AD727" s="53">
        <f t="shared" si="182"/>
        <v>0</v>
      </c>
      <c r="AE727" s="53">
        <f t="shared" si="183"/>
        <v>0</v>
      </c>
      <c r="AF727" s="53">
        <f t="shared" si="184"/>
        <v>0</v>
      </c>
      <c r="AG727" s="56">
        <f t="shared" si="185"/>
        <v>0</v>
      </c>
      <c r="AH727" s="53">
        <f t="shared" si="186"/>
        <v>0</v>
      </c>
      <c r="AI727" s="55"/>
      <c r="AJ727" s="53">
        <f t="shared" si="187"/>
        <v>0</v>
      </c>
      <c r="AK727" s="53">
        <f t="shared" si="188"/>
        <v>0</v>
      </c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7"/>
      <c r="AW727" s="57"/>
      <c r="AX727" s="57"/>
    </row>
    <row r="728" spans="2:50">
      <c r="B728" s="45">
        <v>706</v>
      </c>
      <c r="C728" s="289" t="s">
        <v>983</v>
      </c>
      <c r="D728" s="290" t="s">
        <v>1088</v>
      </c>
      <c r="E728" s="290" t="s">
        <v>1089</v>
      </c>
      <c r="F728" s="315" t="s">
        <v>1092</v>
      </c>
      <c r="G728" s="217" t="s">
        <v>795</v>
      </c>
      <c r="H728" s="316">
        <v>42375</v>
      </c>
      <c r="I728" s="164" t="s">
        <v>409</v>
      </c>
      <c r="J728" s="51">
        <f t="shared" si="189"/>
        <v>18</v>
      </c>
      <c r="K728" s="51">
        <v>18</v>
      </c>
      <c r="L728" s="51">
        <v>0</v>
      </c>
      <c r="M728" s="51"/>
      <c r="N728" s="317">
        <v>0.3</v>
      </c>
      <c r="O728" s="317">
        <v>0</v>
      </c>
      <c r="P728" s="318">
        <v>2</v>
      </c>
      <c r="Q728" s="53"/>
      <c r="R728" s="54" t="s">
        <v>158</v>
      </c>
      <c r="S728" s="54" t="s">
        <v>158</v>
      </c>
      <c r="T728" s="54" t="s">
        <v>158</v>
      </c>
      <c r="U728" s="54" t="s">
        <v>158</v>
      </c>
      <c r="V728" s="319" t="s">
        <v>1091</v>
      </c>
      <c r="W728" s="53"/>
      <c r="X728" s="53">
        <f t="shared" si="178"/>
        <v>0</v>
      </c>
      <c r="Y728" s="55"/>
      <c r="Z728" s="55"/>
      <c r="AA728" s="52">
        <f t="shared" si="179"/>
        <v>0</v>
      </c>
      <c r="AB728" s="53">
        <f t="shared" si="180"/>
        <v>0</v>
      </c>
      <c r="AC728" s="53">
        <f t="shared" si="181"/>
        <v>0</v>
      </c>
      <c r="AD728" s="53">
        <f t="shared" si="182"/>
        <v>0</v>
      </c>
      <c r="AE728" s="53">
        <f t="shared" si="183"/>
        <v>0</v>
      </c>
      <c r="AF728" s="53">
        <f t="shared" si="184"/>
        <v>0</v>
      </c>
      <c r="AG728" s="56">
        <f t="shared" si="185"/>
        <v>0</v>
      </c>
      <c r="AH728" s="53">
        <f t="shared" si="186"/>
        <v>0</v>
      </c>
      <c r="AI728" s="55"/>
      <c r="AJ728" s="53">
        <f t="shared" si="187"/>
        <v>0</v>
      </c>
      <c r="AK728" s="53">
        <f t="shared" si="188"/>
        <v>0</v>
      </c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7"/>
      <c r="AW728" s="57"/>
      <c r="AX728" s="57"/>
    </row>
    <row r="729" spans="2:50">
      <c r="B729" s="45">
        <v>707</v>
      </c>
      <c r="C729" s="289" t="s">
        <v>983</v>
      </c>
      <c r="D729" s="290" t="s">
        <v>1088</v>
      </c>
      <c r="E729" s="290" t="s">
        <v>1089</v>
      </c>
      <c r="F729" s="315" t="s">
        <v>1093</v>
      </c>
      <c r="G729" s="217" t="s">
        <v>795</v>
      </c>
      <c r="H729" s="316">
        <v>42375</v>
      </c>
      <c r="I729" s="164" t="s">
        <v>409</v>
      </c>
      <c r="J729" s="51">
        <f t="shared" si="189"/>
        <v>12</v>
      </c>
      <c r="K729" s="51">
        <v>12</v>
      </c>
      <c r="L729" s="51">
        <v>0</v>
      </c>
      <c r="M729" s="51"/>
      <c r="N729" s="317">
        <v>0.2</v>
      </c>
      <c r="O729" s="317">
        <v>0</v>
      </c>
      <c r="P729" s="318">
        <v>2</v>
      </c>
      <c r="Q729" s="53"/>
      <c r="R729" s="54" t="s">
        <v>158</v>
      </c>
      <c r="S729" s="54" t="s">
        <v>158</v>
      </c>
      <c r="T729" s="54" t="s">
        <v>158</v>
      </c>
      <c r="U729" s="54" t="s">
        <v>158</v>
      </c>
      <c r="V729" s="319" t="s">
        <v>1091</v>
      </c>
      <c r="W729" s="53"/>
      <c r="X729" s="53">
        <f t="shared" si="178"/>
        <v>0</v>
      </c>
      <c r="Y729" s="55"/>
      <c r="Z729" s="55"/>
      <c r="AA729" s="52">
        <f t="shared" si="179"/>
        <v>0</v>
      </c>
      <c r="AB729" s="53">
        <f t="shared" si="180"/>
        <v>0</v>
      </c>
      <c r="AC729" s="53">
        <f t="shared" si="181"/>
        <v>0</v>
      </c>
      <c r="AD729" s="53">
        <f t="shared" si="182"/>
        <v>0</v>
      </c>
      <c r="AE729" s="53">
        <f t="shared" si="183"/>
        <v>0</v>
      </c>
      <c r="AF729" s="53">
        <f t="shared" si="184"/>
        <v>0</v>
      </c>
      <c r="AG729" s="56">
        <f t="shared" si="185"/>
        <v>0</v>
      </c>
      <c r="AH729" s="53">
        <f t="shared" si="186"/>
        <v>0</v>
      </c>
      <c r="AI729" s="55"/>
      <c r="AJ729" s="53">
        <f t="shared" si="187"/>
        <v>0</v>
      </c>
      <c r="AK729" s="53">
        <f t="shared" si="188"/>
        <v>0</v>
      </c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7"/>
      <c r="AW729" s="57"/>
      <c r="AX729" s="57"/>
    </row>
    <row r="730" spans="2:50">
      <c r="B730" s="45">
        <v>708</v>
      </c>
      <c r="C730" s="289" t="s">
        <v>983</v>
      </c>
      <c r="D730" s="290" t="s">
        <v>1088</v>
      </c>
      <c r="E730" s="290" t="s">
        <v>1089</v>
      </c>
      <c r="F730" s="315" t="s">
        <v>1094</v>
      </c>
      <c r="G730" s="217" t="s">
        <v>795</v>
      </c>
      <c r="H730" s="316">
        <v>43249</v>
      </c>
      <c r="I730" s="164" t="s">
        <v>409</v>
      </c>
      <c r="J730" s="51">
        <f t="shared" si="189"/>
        <v>15</v>
      </c>
      <c r="K730" s="51">
        <v>15</v>
      </c>
      <c r="L730" s="51">
        <v>0</v>
      </c>
      <c r="M730" s="51"/>
      <c r="N730" s="317">
        <v>0.25</v>
      </c>
      <c r="O730" s="317">
        <v>0</v>
      </c>
      <c r="P730" s="318">
        <v>2</v>
      </c>
      <c r="Q730" s="53"/>
      <c r="R730" s="54" t="s">
        <v>158</v>
      </c>
      <c r="S730" s="54" t="s">
        <v>158</v>
      </c>
      <c r="T730" s="54" t="s">
        <v>158</v>
      </c>
      <c r="U730" s="54" t="s">
        <v>158</v>
      </c>
      <c r="V730" s="319" t="s">
        <v>1091</v>
      </c>
      <c r="W730" s="53"/>
      <c r="X730" s="53">
        <f t="shared" si="178"/>
        <v>0</v>
      </c>
      <c r="Y730" s="55"/>
      <c r="Z730" s="55"/>
      <c r="AA730" s="52">
        <f t="shared" si="179"/>
        <v>0</v>
      </c>
      <c r="AB730" s="53">
        <f t="shared" si="180"/>
        <v>0</v>
      </c>
      <c r="AC730" s="53">
        <f t="shared" si="181"/>
        <v>0</v>
      </c>
      <c r="AD730" s="53">
        <f t="shared" si="182"/>
        <v>0</v>
      </c>
      <c r="AE730" s="53">
        <f t="shared" si="183"/>
        <v>0</v>
      </c>
      <c r="AF730" s="53">
        <f t="shared" si="184"/>
        <v>0</v>
      </c>
      <c r="AG730" s="56">
        <f t="shared" si="185"/>
        <v>0</v>
      </c>
      <c r="AH730" s="53">
        <f t="shared" si="186"/>
        <v>0</v>
      </c>
      <c r="AI730" s="55"/>
      <c r="AJ730" s="53">
        <f t="shared" si="187"/>
        <v>0</v>
      </c>
      <c r="AK730" s="53">
        <f t="shared" si="188"/>
        <v>0</v>
      </c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7"/>
      <c r="AW730" s="57"/>
      <c r="AX730" s="57"/>
    </row>
    <row r="731" spans="2:50">
      <c r="B731" s="45">
        <v>709</v>
      </c>
      <c r="C731" s="289" t="s">
        <v>983</v>
      </c>
      <c r="D731" s="290" t="s">
        <v>1088</v>
      </c>
      <c r="E731" s="290" t="s">
        <v>1089</v>
      </c>
      <c r="F731" s="315" t="s">
        <v>1095</v>
      </c>
      <c r="G731" s="217" t="s">
        <v>795</v>
      </c>
      <c r="H731" s="316">
        <v>43249</v>
      </c>
      <c r="I731" s="164" t="s">
        <v>409</v>
      </c>
      <c r="J731" s="51">
        <f t="shared" si="189"/>
        <v>12</v>
      </c>
      <c r="K731" s="51">
        <v>12</v>
      </c>
      <c r="L731" s="51">
        <v>0</v>
      </c>
      <c r="M731" s="51"/>
      <c r="N731" s="317">
        <v>0.23</v>
      </c>
      <c r="O731" s="317">
        <v>0</v>
      </c>
      <c r="P731" s="318">
        <v>2</v>
      </c>
      <c r="Q731" s="53"/>
      <c r="R731" s="54" t="s">
        <v>158</v>
      </c>
      <c r="S731" s="54" t="s">
        <v>158</v>
      </c>
      <c r="T731" s="54" t="s">
        <v>158</v>
      </c>
      <c r="U731" s="54" t="s">
        <v>158</v>
      </c>
      <c r="V731" s="319" t="s">
        <v>1091</v>
      </c>
      <c r="W731" s="53"/>
      <c r="X731" s="53">
        <f t="shared" si="178"/>
        <v>0</v>
      </c>
      <c r="Y731" s="55"/>
      <c r="Z731" s="55"/>
      <c r="AA731" s="52">
        <f t="shared" si="179"/>
        <v>0</v>
      </c>
      <c r="AB731" s="53">
        <f t="shared" si="180"/>
        <v>0</v>
      </c>
      <c r="AC731" s="53">
        <f t="shared" si="181"/>
        <v>0</v>
      </c>
      <c r="AD731" s="53">
        <f t="shared" si="182"/>
        <v>0</v>
      </c>
      <c r="AE731" s="53">
        <f t="shared" si="183"/>
        <v>0</v>
      </c>
      <c r="AF731" s="53">
        <f t="shared" si="184"/>
        <v>0</v>
      </c>
      <c r="AG731" s="56">
        <f t="shared" si="185"/>
        <v>0</v>
      </c>
      <c r="AH731" s="53">
        <f t="shared" si="186"/>
        <v>0</v>
      </c>
      <c r="AI731" s="55"/>
      <c r="AJ731" s="53">
        <f t="shared" si="187"/>
        <v>0</v>
      </c>
      <c r="AK731" s="53">
        <f t="shared" si="188"/>
        <v>0</v>
      </c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7"/>
      <c r="AW731" s="57"/>
      <c r="AX731" s="57"/>
    </row>
    <row r="732" spans="2:50">
      <c r="B732" s="45">
        <v>710</v>
      </c>
      <c r="C732" s="289" t="s">
        <v>983</v>
      </c>
      <c r="D732" s="290" t="s">
        <v>1088</v>
      </c>
      <c r="E732" s="290" t="s">
        <v>1089</v>
      </c>
      <c r="F732" s="315" t="s">
        <v>1096</v>
      </c>
      <c r="G732" s="217" t="s">
        <v>795</v>
      </c>
      <c r="H732" s="316">
        <v>43249</v>
      </c>
      <c r="I732" s="164" t="s">
        <v>409</v>
      </c>
      <c r="J732" s="51">
        <f t="shared" si="189"/>
        <v>24</v>
      </c>
      <c r="K732" s="51">
        <v>24</v>
      </c>
      <c r="L732" s="51">
        <v>0</v>
      </c>
      <c r="M732" s="51"/>
      <c r="N732" s="317">
        <v>0.4</v>
      </c>
      <c r="O732" s="317">
        <v>0</v>
      </c>
      <c r="P732" s="318">
        <v>2</v>
      </c>
      <c r="Q732" s="53"/>
      <c r="R732" s="54" t="s">
        <v>158</v>
      </c>
      <c r="S732" s="54" t="s">
        <v>158</v>
      </c>
      <c r="T732" s="54" t="s">
        <v>158</v>
      </c>
      <c r="U732" s="54" t="s">
        <v>158</v>
      </c>
      <c r="V732" s="319" t="s">
        <v>1091</v>
      </c>
      <c r="W732" s="53"/>
      <c r="X732" s="53">
        <f t="shared" si="178"/>
        <v>0</v>
      </c>
      <c r="Y732" s="55"/>
      <c r="Z732" s="55"/>
      <c r="AA732" s="52">
        <f t="shared" si="179"/>
        <v>0</v>
      </c>
      <c r="AB732" s="53">
        <f t="shared" si="180"/>
        <v>0</v>
      </c>
      <c r="AC732" s="53">
        <f t="shared" si="181"/>
        <v>0</v>
      </c>
      <c r="AD732" s="53">
        <f t="shared" si="182"/>
        <v>0</v>
      </c>
      <c r="AE732" s="53">
        <f t="shared" si="183"/>
        <v>0</v>
      </c>
      <c r="AF732" s="53">
        <f t="shared" si="184"/>
        <v>0</v>
      </c>
      <c r="AG732" s="56">
        <f t="shared" si="185"/>
        <v>0</v>
      </c>
      <c r="AH732" s="53">
        <f t="shared" si="186"/>
        <v>0</v>
      </c>
      <c r="AI732" s="55"/>
      <c r="AJ732" s="53">
        <f t="shared" si="187"/>
        <v>0</v>
      </c>
      <c r="AK732" s="53">
        <f t="shared" si="188"/>
        <v>0</v>
      </c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7"/>
      <c r="AW732" s="57"/>
      <c r="AX732" s="57"/>
    </row>
    <row r="733" spans="2:50">
      <c r="B733" s="45">
        <v>711</v>
      </c>
      <c r="C733" s="289" t="s">
        <v>983</v>
      </c>
      <c r="D733" s="290" t="s">
        <v>1088</v>
      </c>
      <c r="E733" s="290" t="s">
        <v>1089</v>
      </c>
      <c r="F733" s="315" t="s">
        <v>1097</v>
      </c>
      <c r="G733" s="217" t="s">
        <v>795</v>
      </c>
      <c r="H733" s="316">
        <v>42375</v>
      </c>
      <c r="I733" s="164" t="s">
        <v>409</v>
      </c>
      <c r="J733" s="51">
        <f t="shared" si="189"/>
        <v>18</v>
      </c>
      <c r="K733" s="51">
        <v>18</v>
      </c>
      <c r="L733" s="51">
        <v>0</v>
      </c>
      <c r="M733" s="51"/>
      <c r="N733" s="317">
        <v>0.3</v>
      </c>
      <c r="O733" s="317">
        <v>0</v>
      </c>
      <c r="P733" s="318">
        <v>2</v>
      </c>
      <c r="Q733" s="53"/>
      <c r="R733" s="54" t="s">
        <v>158</v>
      </c>
      <c r="S733" s="54" t="s">
        <v>158</v>
      </c>
      <c r="T733" s="54" t="s">
        <v>158</v>
      </c>
      <c r="U733" s="54" t="s">
        <v>158</v>
      </c>
      <c r="V733" s="319" t="s">
        <v>1091</v>
      </c>
      <c r="W733" s="53"/>
      <c r="X733" s="53">
        <f t="shared" si="178"/>
        <v>0</v>
      </c>
      <c r="Y733" s="55"/>
      <c r="Z733" s="55"/>
      <c r="AA733" s="52">
        <f t="shared" si="179"/>
        <v>0</v>
      </c>
      <c r="AB733" s="53">
        <f t="shared" si="180"/>
        <v>0</v>
      </c>
      <c r="AC733" s="53">
        <f t="shared" si="181"/>
        <v>0</v>
      </c>
      <c r="AD733" s="53">
        <f t="shared" si="182"/>
        <v>0</v>
      </c>
      <c r="AE733" s="53">
        <f t="shared" si="183"/>
        <v>0</v>
      </c>
      <c r="AF733" s="53">
        <f t="shared" si="184"/>
        <v>0</v>
      </c>
      <c r="AG733" s="56">
        <f t="shared" si="185"/>
        <v>0</v>
      </c>
      <c r="AH733" s="53">
        <f t="shared" si="186"/>
        <v>0</v>
      </c>
      <c r="AI733" s="55"/>
      <c r="AJ733" s="53">
        <f t="shared" si="187"/>
        <v>0</v>
      </c>
      <c r="AK733" s="53">
        <f t="shared" si="188"/>
        <v>0</v>
      </c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7"/>
      <c r="AW733" s="57"/>
      <c r="AX733" s="57"/>
    </row>
    <row r="734" spans="2:50">
      <c r="B734" s="45">
        <v>712</v>
      </c>
      <c r="C734" s="289" t="s">
        <v>983</v>
      </c>
      <c r="D734" s="290" t="s">
        <v>1088</v>
      </c>
      <c r="E734" s="290" t="s">
        <v>1089</v>
      </c>
      <c r="F734" s="315" t="s">
        <v>1098</v>
      </c>
      <c r="G734" s="217" t="s">
        <v>795</v>
      </c>
      <c r="H734" s="316">
        <v>42375</v>
      </c>
      <c r="I734" s="164" t="s">
        <v>409</v>
      </c>
      <c r="J734" s="51">
        <f t="shared" si="189"/>
        <v>18</v>
      </c>
      <c r="K734" s="51">
        <v>18</v>
      </c>
      <c r="L734" s="51">
        <v>0</v>
      </c>
      <c r="M734" s="51"/>
      <c r="N734" s="317">
        <v>0.3</v>
      </c>
      <c r="O734" s="317">
        <v>0</v>
      </c>
      <c r="P734" s="318">
        <v>2</v>
      </c>
      <c r="Q734" s="53"/>
      <c r="R734" s="54" t="s">
        <v>158</v>
      </c>
      <c r="S734" s="54" t="s">
        <v>158</v>
      </c>
      <c r="T734" s="54" t="s">
        <v>158</v>
      </c>
      <c r="U734" s="54" t="s">
        <v>158</v>
      </c>
      <c r="V734" s="319" t="s">
        <v>1091</v>
      </c>
      <c r="W734" s="53"/>
      <c r="X734" s="53">
        <f t="shared" si="178"/>
        <v>0</v>
      </c>
      <c r="Y734" s="55"/>
      <c r="Z734" s="55"/>
      <c r="AA734" s="52">
        <f t="shared" si="179"/>
        <v>0</v>
      </c>
      <c r="AB734" s="53">
        <f t="shared" si="180"/>
        <v>0</v>
      </c>
      <c r="AC734" s="53">
        <f t="shared" si="181"/>
        <v>0</v>
      </c>
      <c r="AD734" s="53">
        <f t="shared" si="182"/>
        <v>0</v>
      </c>
      <c r="AE734" s="53">
        <f t="shared" si="183"/>
        <v>0</v>
      </c>
      <c r="AF734" s="53">
        <f t="shared" si="184"/>
        <v>0</v>
      </c>
      <c r="AG734" s="56">
        <f t="shared" si="185"/>
        <v>0</v>
      </c>
      <c r="AH734" s="53">
        <f t="shared" si="186"/>
        <v>0</v>
      </c>
      <c r="AI734" s="55"/>
      <c r="AJ734" s="53">
        <f t="shared" si="187"/>
        <v>0</v>
      </c>
      <c r="AK734" s="53">
        <f t="shared" si="188"/>
        <v>0</v>
      </c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7"/>
      <c r="AW734" s="57"/>
      <c r="AX734" s="57"/>
    </row>
    <row r="735" spans="2:50">
      <c r="B735" s="45">
        <v>713</v>
      </c>
      <c r="C735" s="289" t="s">
        <v>983</v>
      </c>
      <c r="D735" s="290" t="s">
        <v>1088</v>
      </c>
      <c r="E735" s="290" t="s">
        <v>1089</v>
      </c>
      <c r="F735" s="315" t="s">
        <v>1099</v>
      </c>
      <c r="G735" s="217" t="s">
        <v>795</v>
      </c>
      <c r="H735" s="316">
        <v>42375</v>
      </c>
      <c r="I735" s="164" t="s">
        <v>409</v>
      </c>
      <c r="J735" s="51">
        <f t="shared" si="189"/>
        <v>18</v>
      </c>
      <c r="K735" s="51">
        <v>18</v>
      </c>
      <c r="L735" s="51">
        <v>0</v>
      </c>
      <c r="M735" s="51"/>
      <c r="N735" s="317">
        <v>0.3</v>
      </c>
      <c r="O735" s="317">
        <v>0</v>
      </c>
      <c r="P735" s="318">
        <v>2</v>
      </c>
      <c r="Q735" s="53"/>
      <c r="R735" s="54" t="s">
        <v>158</v>
      </c>
      <c r="S735" s="54" t="s">
        <v>158</v>
      </c>
      <c r="T735" s="54" t="s">
        <v>158</v>
      </c>
      <c r="U735" s="54" t="s">
        <v>158</v>
      </c>
      <c r="V735" s="319" t="s">
        <v>1091</v>
      </c>
      <c r="W735" s="53"/>
      <c r="X735" s="53">
        <f t="shared" si="178"/>
        <v>0</v>
      </c>
      <c r="Y735" s="55"/>
      <c r="Z735" s="55"/>
      <c r="AA735" s="52">
        <f t="shared" si="179"/>
        <v>0</v>
      </c>
      <c r="AB735" s="53">
        <f t="shared" si="180"/>
        <v>0</v>
      </c>
      <c r="AC735" s="53">
        <f t="shared" si="181"/>
        <v>0</v>
      </c>
      <c r="AD735" s="53">
        <f t="shared" si="182"/>
        <v>0</v>
      </c>
      <c r="AE735" s="53">
        <f t="shared" si="183"/>
        <v>0</v>
      </c>
      <c r="AF735" s="53">
        <f t="shared" si="184"/>
        <v>0</v>
      </c>
      <c r="AG735" s="56">
        <f t="shared" si="185"/>
        <v>0</v>
      </c>
      <c r="AH735" s="53">
        <f t="shared" si="186"/>
        <v>0</v>
      </c>
      <c r="AI735" s="55"/>
      <c r="AJ735" s="53">
        <f t="shared" si="187"/>
        <v>0</v>
      </c>
      <c r="AK735" s="53">
        <f t="shared" si="188"/>
        <v>0</v>
      </c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7"/>
      <c r="AW735" s="57"/>
      <c r="AX735" s="57"/>
    </row>
    <row r="736" spans="2:50">
      <c r="B736" s="45">
        <v>714</v>
      </c>
      <c r="C736" s="289" t="s">
        <v>983</v>
      </c>
      <c r="D736" s="290" t="s">
        <v>1088</v>
      </c>
      <c r="E736" s="290" t="s">
        <v>1089</v>
      </c>
      <c r="F736" s="315" t="s">
        <v>1100</v>
      </c>
      <c r="G736" s="217" t="s">
        <v>795</v>
      </c>
      <c r="H736" s="316">
        <v>42375</v>
      </c>
      <c r="I736" s="164" t="s">
        <v>409</v>
      </c>
      <c r="J736" s="51">
        <f t="shared" si="189"/>
        <v>48</v>
      </c>
      <c r="K736" s="51">
        <v>30</v>
      </c>
      <c r="L736" s="51">
        <v>18</v>
      </c>
      <c r="M736" s="51"/>
      <c r="N736" s="317">
        <v>0.3</v>
      </c>
      <c r="O736" s="317">
        <v>0</v>
      </c>
      <c r="P736" s="318">
        <v>2</v>
      </c>
      <c r="Q736" s="53"/>
      <c r="R736" s="54" t="s">
        <v>158</v>
      </c>
      <c r="S736" s="54" t="s">
        <v>158</v>
      </c>
      <c r="T736" s="54" t="s">
        <v>158</v>
      </c>
      <c r="U736" s="54" t="s">
        <v>158</v>
      </c>
      <c r="V736" s="319" t="s">
        <v>1091</v>
      </c>
      <c r="W736" s="53"/>
      <c r="X736" s="53">
        <f t="shared" si="178"/>
        <v>0</v>
      </c>
      <c r="Y736" s="55"/>
      <c r="Z736" s="55"/>
      <c r="AA736" s="52">
        <f t="shared" si="179"/>
        <v>0</v>
      </c>
      <c r="AB736" s="53">
        <f t="shared" si="180"/>
        <v>0</v>
      </c>
      <c r="AC736" s="53">
        <f t="shared" si="181"/>
        <v>0</v>
      </c>
      <c r="AD736" s="53">
        <f t="shared" si="182"/>
        <v>0</v>
      </c>
      <c r="AE736" s="53">
        <f t="shared" si="183"/>
        <v>0</v>
      </c>
      <c r="AF736" s="53">
        <f t="shared" si="184"/>
        <v>0</v>
      </c>
      <c r="AG736" s="56">
        <f t="shared" si="185"/>
        <v>0</v>
      </c>
      <c r="AH736" s="53">
        <f t="shared" si="186"/>
        <v>0</v>
      </c>
      <c r="AI736" s="55"/>
      <c r="AJ736" s="53">
        <f t="shared" si="187"/>
        <v>0</v>
      </c>
      <c r="AK736" s="53">
        <f t="shared" si="188"/>
        <v>0</v>
      </c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7"/>
      <c r="AW736" s="57"/>
      <c r="AX736" s="57"/>
    </row>
    <row r="737" spans="2:50">
      <c r="B737" s="45">
        <v>715</v>
      </c>
      <c r="C737" s="289" t="s">
        <v>983</v>
      </c>
      <c r="D737" s="290" t="s">
        <v>1088</v>
      </c>
      <c r="E737" s="290" t="s">
        <v>1089</v>
      </c>
      <c r="F737" s="315" t="s">
        <v>1101</v>
      </c>
      <c r="G737" s="217" t="s">
        <v>795</v>
      </c>
      <c r="H737" s="316">
        <v>42375</v>
      </c>
      <c r="I737" s="164" t="s">
        <v>409</v>
      </c>
      <c r="J737" s="51">
        <f t="shared" si="189"/>
        <v>18</v>
      </c>
      <c r="K737" s="51">
        <v>18</v>
      </c>
      <c r="L737" s="51">
        <v>0</v>
      </c>
      <c r="M737" s="51"/>
      <c r="N737" s="317">
        <v>0.3</v>
      </c>
      <c r="O737" s="317">
        <v>0</v>
      </c>
      <c r="P737" s="318">
        <v>2</v>
      </c>
      <c r="Q737" s="53"/>
      <c r="R737" s="54" t="s">
        <v>158</v>
      </c>
      <c r="S737" s="54" t="s">
        <v>158</v>
      </c>
      <c r="T737" s="54" t="s">
        <v>158</v>
      </c>
      <c r="U737" s="54" t="s">
        <v>158</v>
      </c>
      <c r="V737" s="319" t="s">
        <v>1091</v>
      </c>
      <c r="W737" s="53"/>
      <c r="X737" s="53">
        <f t="shared" si="178"/>
        <v>0</v>
      </c>
      <c r="Y737" s="55"/>
      <c r="Z737" s="55"/>
      <c r="AA737" s="52">
        <f t="shared" si="179"/>
        <v>0</v>
      </c>
      <c r="AB737" s="53">
        <f t="shared" si="180"/>
        <v>0</v>
      </c>
      <c r="AC737" s="53">
        <f t="shared" si="181"/>
        <v>0</v>
      </c>
      <c r="AD737" s="53">
        <f t="shared" si="182"/>
        <v>0</v>
      </c>
      <c r="AE737" s="53">
        <f t="shared" si="183"/>
        <v>0</v>
      </c>
      <c r="AF737" s="53">
        <f t="shared" si="184"/>
        <v>0</v>
      </c>
      <c r="AG737" s="56">
        <f t="shared" si="185"/>
        <v>0</v>
      </c>
      <c r="AH737" s="53">
        <f t="shared" si="186"/>
        <v>0</v>
      </c>
      <c r="AI737" s="55"/>
      <c r="AJ737" s="53">
        <f t="shared" si="187"/>
        <v>0</v>
      </c>
      <c r="AK737" s="53">
        <f t="shared" si="188"/>
        <v>0</v>
      </c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7"/>
      <c r="AW737" s="57"/>
      <c r="AX737" s="57"/>
    </row>
    <row r="738" spans="2:50">
      <c r="B738" s="45">
        <v>716</v>
      </c>
      <c r="C738" s="289" t="s">
        <v>983</v>
      </c>
      <c r="D738" s="290" t="s">
        <v>1088</v>
      </c>
      <c r="E738" s="290" t="s">
        <v>1089</v>
      </c>
      <c r="F738" s="315" t="s">
        <v>1102</v>
      </c>
      <c r="G738" s="217" t="s">
        <v>795</v>
      </c>
      <c r="H738" s="316">
        <v>43657</v>
      </c>
      <c r="I738" s="164" t="s">
        <v>409</v>
      </c>
      <c r="J738" s="51">
        <f t="shared" si="189"/>
        <v>144</v>
      </c>
      <c r="K738" s="51">
        <v>24</v>
      </c>
      <c r="L738" s="51">
        <v>120</v>
      </c>
      <c r="M738" s="51"/>
      <c r="N738" s="317">
        <v>0.4</v>
      </c>
      <c r="O738" s="317">
        <v>0</v>
      </c>
      <c r="P738" s="318">
        <v>2</v>
      </c>
      <c r="Q738" s="53"/>
      <c r="R738" s="54" t="s">
        <v>158</v>
      </c>
      <c r="S738" s="54" t="s">
        <v>158</v>
      </c>
      <c r="T738" s="54" t="s">
        <v>158</v>
      </c>
      <c r="U738" s="54" t="s">
        <v>158</v>
      </c>
      <c r="V738" s="319" t="s">
        <v>1091</v>
      </c>
      <c r="W738" s="53"/>
      <c r="X738" s="53">
        <f t="shared" si="178"/>
        <v>0</v>
      </c>
      <c r="Y738" s="55"/>
      <c r="Z738" s="55"/>
      <c r="AA738" s="52">
        <f t="shared" si="179"/>
        <v>0</v>
      </c>
      <c r="AB738" s="53">
        <f t="shared" si="180"/>
        <v>0</v>
      </c>
      <c r="AC738" s="53">
        <f t="shared" si="181"/>
        <v>0</v>
      </c>
      <c r="AD738" s="53">
        <f t="shared" si="182"/>
        <v>0</v>
      </c>
      <c r="AE738" s="53">
        <f t="shared" si="183"/>
        <v>0</v>
      </c>
      <c r="AF738" s="53">
        <f t="shared" si="184"/>
        <v>0</v>
      </c>
      <c r="AG738" s="56">
        <f t="shared" si="185"/>
        <v>0</v>
      </c>
      <c r="AH738" s="53">
        <f t="shared" si="186"/>
        <v>0</v>
      </c>
      <c r="AI738" s="55"/>
      <c r="AJ738" s="53">
        <f t="shared" si="187"/>
        <v>0</v>
      </c>
      <c r="AK738" s="53">
        <f t="shared" si="188"/>
        <v>0</v>
      </c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7"/>
      <c r="AW738" s="57"/>
      <c r="AX738" s="57"/>
    </row>
    <row r="739" spans="2:50">
      <c r="B739" s="45">
        <v>717</v>
      </c>
      <c r="C739" s="289" t="s">
        <v>983</v>
      </c>
      <c r="D739" s="290" t="s">
        <v>1088</v>
      </c>
      <c r="E739" s="290" t="s">
        <v>1089</v>
      </c>
      <c r="F739" s="315" t="s">
        <v>1103</v>
      </c>
      <c r="G739" s="217" t="s">
        <v>795</v>
      </c>
      <c r="H739" s="316">
        <v>42375</v>
      </c>
      <c r="I739" s="164" t="s">
        <v>409</v>
      </c>
      <c r="J739" s="51">
        <f t="shared" si="189"/>
        <v>2166</v>
      </c>
      <c r="K739" s="51">
        <v>6</v>
      </c>
      <c r="L739" s="51">
        <v>2160</v>
      </c>
      <c r="M739" s="51"/>
      <c r="N739" s="317">
        <v>0.1</v>
      </c>
      <c r="O739" s="317">
        <v>36</v>
      </c>
      <c r="P739" s="318">
        <v>2</v>
      </c>
      <c r="Q739" s="53"/>
      <c r="R739" s="54" t="s">
        <v>158</v>
      </c>
      <c r="S739" s="54" t="s">
        <v>158</v>
      </c>
      <c r="T739" s="54" t="s">
        <v>158</v>
      </c>
      <c r="U739" s="54" t="s">
        <v>158</v>
      </c>
      <c r="V739" s="319" t="s">
        <v>1091</v>
      </c>
      <c r="W739" s="53"/>
      <c r="X739" s="53">
        <f t="shared" si="178"/>
        <v>0</v>
      </c>
      <c r="Y739" s="55"/>
      <c r="Z739" s="55"/>
      <c r="AA739" s="52">
        <f t="shared" si="179"/>
        <v>0</v>
      </c>
      <c r="AB739" s="53">
        <f t="shared" si="180"/>
        <v>0</v>
      </c>
      <c r="AC739" s="53">
        <f t="shared" si="181"/>
        <v>0</v>
      </c>
      <c r="AD739" s="53">
        <f t="shared" si="182"/>
        <v>0</v>
      </c>
      <c r="AE739" s="53">
        <f t="shared" si="183"/>
        <v>0</v>
      </c>
      <c r="AF739" s="53">
        <f t="shared" si="184"/>
        <v>0</v>
      </c>
      <c r="AG739" s="56">
        <f t="shared" si="185"/>
        <v>0</v>
      </c>
      <c r="AH739" s="53">
        <f t="shared" si="186"/>
        <v>0</v>
      </c>
      <c r="AI739" s="55"/>
      <c r="AJ739" s="53">
        <f t="shared" si="187"/>
        <v>0</v>
      </c>
      <c r="AK739" s="53">
        <f t="shared" si="188"/>
        <v>0</v>
      </c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7"/>
      <c r="AW739" s="57"/>
      <c r="AX739" s="57"/>
    </row>
    <row r="740" spans="2:50">
      <c r="B740" s="45">
        <v>718</v>
      </c>
      <c r="C740" s="289" t="s">
        <v>983</v>
      </c>
      <c r="D740" s="290" t="s">
        <v>1088</v>
      </c>
      <c r="E740" s="290" t="s">
        <v>1089</v>
      </c>
      <c r="F740" s="315" t="s">
        <v>1104</v>
      </c>
      <c r="G740" s="217" t="s">
        <v>795</v>
      </c>
      <c r="H740" s="316">
        <v>43052</v>
      </c>
      <c r="I740" s="164" t="s">
        <v>409</v>
      </c>
      <c r="J740" s="51">
        <f t="shared" si="189"/>
        <v>30</v>
      </c>
      <c r="K740" s="51">
        <v>12</v>
      </c>
      <c r="L740" s="51">
        <v>18</v>
      </c>
      <c r="M740" s="51"/>
      <c r="N740" s="317">
        <v>0.2</v>
      </c>
      <c r="O740" s="317">
        <v>0</v>
      </c>
      <c r="P740" s="318">
        <v>2</v>
      </c>
      <c r="Q740" s="53"/>
      <c r="R740" s="54" t="s">
        <v>158</v>
      </c>
      <c r="S740" s="54" t="s">
        <v>158</v>
      </c>
      <c r="T740" s="54" t="s">
        <v>158</v>
      </c>
      <c r="U740" s="54" t="s">
        <v>158</v>
      </c>
      <c r="V740" s="319" t="s">
        <v>1091</v>
      </c>
      <c r="W740" s="53"/>
      <c r="X740" s="53">
        <f t="shared" si="178"/>
        <v>0</v>
      </c>
      <c r="Y740" s="55"/>
      <c r="Z740" s="55"/>
      <c r="AA740" s="52">
        <f t="shared" si="179"/>
        <v>0</v>
      </c>
      <c r="AB740" s="53">
        <f t="shared" si="180"/>
        <v>0</v>
      </c>
      <c r="AC740" s="53">
        <f t="shared" si="181"/>
        <v>0</v>
      </c>
      <c r="AD740" s="53">
        <f t="shared" si="182"/>
        <v>0</v>
      </c>
      <c r="AE740" s="53">
        <f t="shared" si="183"/>
        <v>0</v>
      </c>
      <c r="AF740" s="53">
        <f t="shared" si="184"/>
        <v>0</v>
      </c>
      <c r="AG740" s="56">
        <f t="shared" si="185"/>
        <v>0</v>
      </c>
      <c r="AH740" s="53">
        <f t="shared" si="186"/>
        <v>0</v>
      </c>
      <c r="AI740" s="55"/>
      <c r="AJ740" s="53">
        <f t="shared" si="187"/>
        <v>0</v>
      </c>
      <c r="AK740" s="53">
        <f t="shared" si="188"/>
        <v>0</v>
      </c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7"/>
      <c r="AW740" s="57"/>
      <c r="AX740" s="57"/>
    </row>
    <row r="741" spans="2:50">
      <c r="B741" s="45">
        <v>719</v>
      </c>
      <c r="C741" s="289" t="s">
        <v>983</v>
      </c>
      <c r="D741" s="290" t="s">
        <v>1088</v>
      </c>
      <c r="E741" s="290" t="s">
        <v>1089</v>
      </c>
      <c r="F741" s="315" t="s">
        <v>1105</v>
      </c>
      <c r="G741" s="217" t="s">
        <v>795</v>
      </c>
      <c r="H741" s="316">
        <v>42375</v>
      </c>
      <c r="I741" s="164" t="s">
        <v>409</v>
      </c>
      <c r="J741" s="51">
        <f t="shared" si="189"/>
        <v>60</v>
      </c>
      <c r="K741" s="51">
        <v>60</v>
      </c>
      <c r="L741" s="51">
        <v>0</v>
      </c>
      <c r="M741" s="51"/>
      <c r="N741" s="317">
        <v>1</v>
      </c>
      <c r="O741" s="317">
        <v>0</v>
      </c>
      <c r="P741" s="318">
        <v>2</v>
      </c>
      <c r="Q741" s="53"/>
      <c r="R741" s="54" t="s">
        <v>158</v>
      </c>
      <c r="S741" s="54" t="s">
        <v>158</v>
      </c>
      <c r="T741" s="54" t="s">
        <v>158</v>
      </c>
      <c r="U741" s="54" t="s">
        <v>158</v>
      </c>
      <c r="V741" s="319" t="s">
        <v>1091</v>
      </c>
      <c r="W741" s="53"/>
      <c r="X741" s="53">
        <f t="shared" si="178"/>
        <v>0</v>
      </c>
      <c r="Y741" s="55"/>
      <c r="Z741" s="55"/>
      <c r="AA741" s="52">
        <f t="shared" si="179"/>
        <v>0</v>
      </c>
      <c r="AB741" s="53">
        <f t="shared" si="180"/>
        <v>0</v>
      </c>
      <c r="AC741" s="53">
        <f t="shared" si="181"/>
        <v>0</v>
      </c>
      <c r="AD741" s="53">
        <f t="shared" si="182"/>
        <v>0</v>
      </c>
      <c r="AE741" s="53">
        <f t="shared" si="183"/>
        <v>0</v>
      </c>
      <c r="AF741" s="53">
        <f t="shared" si="184"/>
        <v>0</v>
      </c>
      <c r="AG741" s="56">
        <f t="shared" si="185"/>
        <v>0</v>
      </c>
      <c r="AH741" s="53">
        <f t="shared" si="186"/>
        <v>0</v>
      </c>
      <c r="AI741" s="55"/>
      <c r="AJ741" s="53">
        <f t="shared" si="187"/>
        <v>0</v>
      </c>
      <c r="AK741" s="53">
        <f t="shared" si="188"/>
        <v>0</v>
      </c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7"/>
      <c r="AW741" s="57"/>
      <c r="AX741" s="57"/>
    </row>
    <row r="742" spans="2:50">
      <c r="B742" s="45">
        <v>720</v>
      </c>
      <c r="C742" s="289" t="s">
        <v>983</v>
      </c>
      <c r="D742" s="290" t="s">
        <v>1088</v>
      </c>
      <c r="E742" s="290" t="s">
        <v>1089</v>
      </c>
      <c r="F742" s="315" t="s">
        <v>1106</v>
      </c>
      <c r="G742" s="217" t="s">
        <v>795</v>
      </c>
      <c r="H742" s="316">
        <v>42375</v>
      </c>
      <c r="I742" s="164" t="s">
        <v>409</v>
      </c>
      <c r="J742" s="51">
        <f t="shared" si="189"/>
        <v>1446</v>
      </c>
      <c r="K742" s="51">
        <v>6</v>
      </c>
      <c r="L742" s="51">
        <v>1440</v>
      </c>
      <c r="M742" s="51"/>
      <c r="N742" s="317">
        <v>0.1</v>
      </c>
      <c r="O742" s="317">
        <v>24</v>
      </c>
      <c r="P742" s="318">
        <v>2</v>
      </c>
      <c r="Q742" s="53"/>
      <c r="R742" s="54" t="s">
        <v>158</v>
      </c>
      <c r="S742" s="54" t="s">
        <v>158</v>
      </c>
      <c r="T742" s="54" t="s">
        <v>158</v>
      </c>
      <c r="U742" s="54" t="s">
        <v>158</v>
      </c>
      <c r="V742" s="319" t="s">
        <v>1091</v>
      </c>
      <c r="W742" s="53"/>
      <c r="X742" s="53">
        <f t="shared" si="178"/>
        <v>0</v>
      </c>
      <c r="Y742" s="55"/>
      <c r="Z742" s="55"/>
      <c r="AA742" s="52">
        <f t="shared" si="179"/>
        <v>0</v>
      </c>
      <c r="AB742" s="53">
        <f t="shared" si="180"/>
        <v>0</v>
      </c>
      <c r="AC742" s="53">
        <f t="shared" si="181"/>
        <v>0</v>
      </c>
      <c r="AD742" s="53">
        <f t="shared" si="182"/>
        <v>0</v>
      </c>
      <c r="AE742" s="53">
        <f t="shared" si="183"/>
        <v>0</v>
      </c>
      <c r="AF742" s="53">
        <f t="shared" si="184"/>
        <v>0</v>
      </c>
      <c r="AG742" s="56">
        <f t="shared" si="185"/>
        <v>0</v>
      </c>
      <c r="AH742" s="53">
        <f t="shared" si="186"/>
        <v>0</v>
      </c>
      <c r="AI742" s="55"/>
      <c r="AJ742" s="53">
        <f t="shared" si="187"/>
        <v>0</v>
      </c>
      <c r="AK742" s="53">
        <f t="shared" si="188"/>
        <v>0</v>
      </c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7"/>
      <c r="AW742" s="57"/>
      <c r="AX742" s="57"/>
    </row>
    <row r="743" spans="2:50">
      <c r="B743" s="45">
        <v>721</v>
      </c>
      <c r="C743" s="289" t="s">
        <v>983</v>
      </c>
      <c r="D743" s="290" t="s">
        <v>1107</v>
      </c>
      <c r="E743" s="290" t="s">
        <v>1108</v>
      </c>
      <c r="F743" s="291" t="s">
        <v>1109</v>
      </c>
      <c r="G743" s="217" t="s">
        <v>780</v>
      </c>
      <c r="H743" s="316">
        <v>42334</v>
      </c>
      <c r="I743" s="164" t="s">
        <v>409</v>
      </c>
      <c r="J743" s="51">
        <f t="shared" si="189"/>
        <v>6</v>
      </c>
      <c r="K743" s="51">
        <v>6</v>
      </c>
      <c r="L743" s="51">
        <v>0</v>
      </c>
      <c r="M743" s="51"/>
      <c r="N743" s="293">
        <v>0.1</v>
      </c>
      <c r="O743" s="293">
        <v>0</v>
      </c>
      <c r="P743" s="294">
        <v>2</v>
      </c>
      <c r="Q743" s="53"/>
      <c r="R743" s="54" t="s">
        <v>158</v>
      </c>
      <c r="S743" s="54" t="s">
        <v>158</v>
      </c>
      <c r="T743" s="54" t="s">
        <v>158</v>
      </c>
      <c r="U743" s="54" t="s">
        <v>158</v>
      </c>
      <c r="V743" s="254" t="s">
        <v>1110</v>
      </c>
      <c r="W743" s="53"/>
      <c r="X743" s="53">
        <f t="shared" si="178"/>
        <v>0</v>
      </c>
      <c r="Y743" s="55"/>
      <c r="Z743" s="55"/>
      <c r="AA743" s="52">
        <f t="shared" si="179"/>
        <v>0</v>
      </c>
      <c r="AB743" s="53">
        <f t="shared" si="180"/>
        <v>0</v>
      </c>
      <c r="AC743" s="53">
        <f t="shared" si="181"/>
        <v>0</v>
      </c>
      <c r="AD743" s="53">
        <f t="shared" si="182"/>
        <v>0</v>
      </c>
      <c r="AE743" s="53">
        <f t="shared" si="183"/>
        <v>0</v>
      </c>
      <c r="AF743" s="53">
        <f t="shared" si="184"/>
        <v>0</v>
      </c>
      <c r="AG743" s="56">
        <f t="shared" si="185"/>
        <v>0</v>
      </c>
      <c r="AH743" s="53">
        <f t="shared" si="186"/>
        <v>0</v>
      </c>
      <c r="AI743" s="55"/>
      <c r="AJ743" s="53">
        <f t="shared" si="187"/>
        <v>0</v>
      </c>
      <c r="AK743" s="53">
        <f t="shared" si="188"/>
        <v>0</v>
      </c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7"/>
      <c r="AW743" s="57"/>
      <c r="AX743" s="57"/>
    </row>
    <row r="744" spans="2:50">
      <c r="B744" s="45">
        <v>722</v>
      </c>
      <c r="C744" s="289" t="s">
        <v>983</v>
      </c>
      <c r="D744" s="290" t="s">
        <v>1107</v>
      </c>
      <c r="E744" s="290" t="s">
        <v>1108</v>
      </c>
      <c r="F744" s="291" t="s">
        <v>724</v>
      </c>
      <c r="G744" s="217" t="s">
        <v>780</v>
      </c>
      <c r="H744" s="316">
        <v>42334</v>
      </c>
      <c r="I744" s="164" t="s">
        <v>409</v>
      </c>
      <c r="J744" s="51">
        <f t="shared" si="189"/>
        <v>30</v>
      </c>
      <c r="K744" s="51">
        <v>30</v>
      </c>
      <c r="L744" s="51">
        <v>0</v>
      </c>
      <c r="M744" s="51"/>
      <c r="N744" s="293">
        <v>0.25</v>
      </c>
      <c r="O744" s="293">
        <v>0</v>
      </c>
      <c r="P744" s="294">
        <v>1</v>
      </c>
      <c r="Q744" s="53"/>
      <c r="R744" s="54" t="s">
        <v>158</v>
      </c>
      <c r="S744" s="54" t="s">
        <v>158</v>
      </c>
      <c r="T744" s="54" t="s">
        <v>158</v>
      </c>
      <c r="U744" s="54" t="s">
        <v>158</v>
      </c>
      <c r="V744" s="254" t="s">
        <v>1110</v>
      </c>
      <c r="W744" s="53"/>
      <c r="X744" s="53">
        <f t="shared" si="178"/>
        <v>0</v>
      </c>
      <c r="Y744" s="55"/>
      <c r="Z744" s="55"/>
      <c r="AA744" s="52">
        <f t="shared" si="179"/>
        <v>0</v>
      </c>
      <c r="AB744" s="53">
        <f t="shared" si="180"/>
        <v>0</v>
      </c>
      <c r="AC744" s="53">
        <f t="shared" si="181"/>
        <v>0</v>
      </c>
      <c r="AD744" s="53">
        <f t="shared" si="182"/>
        <v>0</v>
      </c>
      <c r="AE744" s="53">
        <f t="shared" si="183"/>
        <v>0</v>
      </c>
      <c r="AF744" s="53">
        <f t="shared" si="184"/>
        <v>0</v>
      </c>
      <c r="AG744" s="56">
        <f t="shared" si="185"/>
        <v>0</v>
      </c>
      <c r="AH744" s="53">
        <f t="shared" si="186"/>
        <v>0</v>
      </c>
      <c r="AI744" s="55"/>
      <c r="AJ744" s="53">
        <f t="shared" si="187"/>
        <v>0</v>
      </c>
      <c r="AK744" s="53">
        <f t="shared" si="188"/>
        <v>0</v>
      </c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7"/>
      <c r="AW744" s="57"/>
      <c r="AX744" s="57"/>
    </row>
    <row r="745" spans="2:50">
      <c r="B745" s="45">
        <v>723</v>
      </c>
      <c r="C745" s="289" t="s">
        <v>983</v>
      </c>
      <c r="D745" s="290" t="s">
        <v>1107</v>
      </c>
      <c r="E745" s="290" t="s">
        <v>1111</v>
      </c>
      <c r="F745" s="291" t="s">
        <v>1112</v>
      </c>
      <c r="G745" s="217" t="s">
        <v>780</v>
      </c>
      <c r="H745" s="316">
        <v>42334</v>
      </c>
      <c r="I745" s="164" t="s">
        <v>409</v>
      </c>
      <c r="J745" s="51">
        <f t="shared" si="189"/>
        <v>48</v>
      </c>
      <c r="K745" s="51">
        <v>48</v>
      </c>
      <c r="L745" s="51">
        <v>0</v>
      </c>
      <c r="M745" s="51"/>
      <c r="N745" s="293">
        <v>0.8</v>
      </c>
      <c r="O745" s="293">
        <v>0</v>
      </c>
      <c r="P745" s="294">
        <v>1</v>
      </c>
      <c r="Q745" s="53"/>
      <c r="R745" s="54" t="s">
        <v>158</v>
      </c>
      <c r="S745" s="54" t="s">
        <v>158</v>
      </c>
      <c r="T745" s="54" t="s">
        <v>158</v>
      </c>
      <c r="U745" s="54" t="s">
        <v>158</v>
      </c>
      <c r="V745" s="254" t="s">
        <v>1110</v>
      </c>
      <c r="W745" s="53"/>
      <c r="X745" s="53">
        <f t="shared" si="178"/>
        <v>0</v>
      </c>
      <c r="Y745" s="55"/>
      <c r="Z745" s="55"/>
      <c r="AA745" s="52">
        <f t="shared" si="179"/>
        <v>0</v>
      </c>
      <c r="AB745" s="53">
        <f t="shared" si="180"/>
        <v>0</v>
      </c>
      <c r="AC745" s="53">
        <f t="shared" si="181"/>
        <v>0</v>
      </c>
      <c r="AD745" s="53">
        <f t="shared" si="182"/>
        <v>0</v>
      </c>
      <c r="AE745" s="53">
        <f t="shared" si="183"/>
        <v>0</v>
      </c>
      <c r="AF745" s="53">
        <f t="shared" si="184"/>
        <v>0</v>
      </c>
      <c r="AG745" s="56">
        <f t="shared" si="185"/>
        <v>0</v>
      </c>
      <c r="AH745" s="53">
        <f t="shared" si="186"/>
        <v>0</v>
      </c>
      <c r="AI745" s="55"/>
      <c r="AJ745" s="53">
        <f t="shared" si="187"/>
        <v>0</v>
      </c>
      <c r="AK745" s="53">
        <f t="shared" si="188"/>
        <v>0</v>
      </c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7"/>
      <c r="AW745" s="57"/>
      <c r="AX745" s="57"/>
    </row>
    <row r="746" spans="2:50">
      <c r="B746" s="45">
        <v>724</v>
      </c>
      <c r="C746" s="289" t="s">
        <v>983</v>
      </c>
      <c r="D746" s="290" t="s">
        <v>1107</v>
      </c>
      <c r="E746" s="290" t="s">
        <v>1111</v>
      </c>
      <c r="F746" s="291" t="s">
        <v>1113</v>
      </c>
      <c r="G746" s="217" t="s">
        <v>780</v>
      </c>
      <c r="H746" s="316">
        <v>42334</v>
      </c>
      <c r="I746" s="164" t="s">
        <v>409</v>
      </c>
      <c r="J746" s="51">
        <f t="shared" si="189"/>
        <v>24</v>
      </c>
      <c r="K746" s="51">
        <v>24</v>
      </c>
      <c r="L746" s="51">
        <v>0</v>
      </c>
      <c r="M746" s="51"/>
      <c r="N746" s="293">
        <v>0.4</v>
      </c>
      <c r="O746" s="293">
        <v>0</v>
      </c>
      <c r="P746" s="294">
        <v>1</v>
      </c>
      <c r="Q746" s="53"/>
      <c r="R746" s="54" t="s">
        <v>158</v>
      </c>
      <c r="S746" s="54" t="s">
        <v>158</v>
      </c>
      <c r="T746" s="54" t="s">
        <v>158</v>
      </c>
      <c r="U746" s="54" t="s">
        <v>158</v>
      </c>
      <c r="V746" s="254" t="s">
        <v>1110</v>
      </c>
      <c r="W746" s="53"/>
      <c r="X746" s="53">
        <f t="shared" si="178"/>
        <v>0</v>
      </c>
      <c r="Y746" s="55"/>
      <c r="Z746" s="55"/>
      <c r="AA746" s="52">
        <f t="shared" si="179"/>
        <v>0</v>
      </c>
      <c r="AB746" s="53">
        <f t="shared" si="180"/>
        <v>0</v>
      </c>
      <c r="AC746" s="53">
        <f t="shared" si="181"/>
        <v>0</v>
      </c>
      <c r="AD746" s="53">
        <f t="shared" si="182"/>
        <v>0</v>
      </c>
      <c r="AE746" s="53">
        <f t="shared" si="183"/>
        <v>0</v>
      </c>
      <c r="AF746" s="53">
        <f t="shared" si="184"/>
        <v>0</v>
      </c>
      <c r="AG746" s="56">
        <f t="shared" si="185"/>
        <v>0</v>
      </c>
      <c r="AH746" s="53">
        <f t="shared" si="186"/>
        <v>0</v>
      </c>
      <c r="AI746" s="55"/>
      <c r="AJ746" s="53">
        <f t="shared" si="187"/>
        <v>0</v>
      </c>
      <c r="AK746" s="53">
        <f t="shared" si="188"/>
        <v>0</v>
      </c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7"/>
      <c r="AW746" s="57"/>
      <c r="AX746" s="57"/>
    </row>
    <row r="747" spans="2:50">
      <c r="B747" s="45">
        <v>725</v>
      </c>
      <c r="C747" s="289" t="s">
        <v>983</v>
      </c>
      <c r="D747" s="290" t="s">
        <v>1107</v>
      </c>
      <c r="E747" s="290" t="s">
        <v>1111</v>
      </c>
      <c r="F747" s="291" t="s">
        <v>1114</v>
      </c>
      <c r="G747" s="217" t="s">
        <v>780</v>
      </c>
      <c r="H747" s="316">
        <v>42334</v>
      </c>
      <c r="I747" s="164" t="s">
        <v>409</v>
      </c>
      <c r="J747" s="51">
        <f t="shared" si="189"/>
        <v>18</v>
      </c>
      <c r="K747" s="51">
        <v>18</v>
      </c>
      <c r="L747" s="51">
        <v>0</v>
      </c>
      <c r="M747" s="51"/>
      <c r="N747" s="293">
        <v>0.2</v>
      </c>
      <c r="O747" s="293">
        <v>0</v>
      </c>
      <c r="P747" s="294">
        <v>1</v>
      </c>
      <c r="Q747" s="53"/>
      <c r="R747" s="54" t="s">
        <v>158</v>
      </c>
      <c r="S747" s="54" t="s">
        <v>158</v>
      </c>
      <c r="T747" s="54" t="s">
        <v>158</v>
      </c>
      <c r="U747" s="54" t="s">
        <v>158</v>
      </c>
      <c r="V747" s="254" t="s">
        <v>1110</v>
      </c>
      <c r="W747" s="53"/>
      <c r="X747" s="53">
        <f t="shared" si="178"/>
        <v>0</v>
      </c>
      <c r="Y747" s="55"/>
      <c r="Z747" s="55"/>
      <c r="AA747" s="52">
        <f t="shared" si="179"/>
        <v>0</v>
      </c>
      <c r="AB747" s="53">
        <f t="shared" si="180"/>
        <v>0</v>
      </c>
      <c r="AC747" s="53">
        <f t="shared" si="181"/>
        <v>0</v>
      </c>
      <c r="AD747" s="53">
        <f t="shared" si="182"/>
        <v>0</v>
      </c>
      <c r="AE747" s="53">
        <f t="shared" si="183"/>
        <v>0</v>
      </c>
      <c r="AF747" s="53">
        <f t="shared" si="184"/>
        <v>0</v>
      </c>
      <c r="AG747" s="56">
        <f t="shared" si="185"/>
        <v>0</v>
      </c>
      <c r="AH747" s="53">
        <f t="shared" si="186"/>
        <v>0</v>
      </c>
      <c r="AI747" s="55"/>
      <c r="AJ747" s="53">
        <f t="shared" si="187"/>
        <v>0</v>
      </c>
      <c r="AK747" s="53">
        <f t="shared" si="188"/>
        <v>0</v>
      </c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7"/>
      <c r="AW747" s="57"/>
      <c r="AX747" s="57"/>
    </row>
    <row r="748" spans="2:50">
      <c r="B748" s="45">
        <v>726</v>
      </c>
      <c r="C748" s="289" t="s">
        <v>983</v>
      </c>
      <c r="D748" s="290" t="s">
        <v>1107</v>
      </c>
      <c r="E748" s="290" t="s">
        <v>1115</v>
      </c>
      <c r="F748" s="291" t="s">
        <v>1116</v>
      </c>
      <c r="G748" s="217" t="s">
        <v>780</v>
      </c>
      <c r="H748" s="316">
        <v>42334</v>
      </c>
      <c r="I748" s="164" t="s">
        <v>409</v>
      </c>
      <c r="J748" s="51">
        <f t="shared" si="189"/>
        <v>6</v>
      </c>
      <c r="K748" s="51">
        <v>6</v>
      </c>
      <c r="L748" s="51">
        <v>0</v>
      </c>
      <c r="M748" s="51"/>
      <c r="N748" s="293">
        <v>0.05</v>
      </c>
      <c r="O748" s="293">
        <v>0</v>
      </c>
      <c r="P748" s="294">
        <v>1</v>
      </c>
      <c r="Q748" s="53"/>
      <c r="R748" s="54" t="s">
        <v>158</v>
      </c>
      <c r="S748" s="54" t="s">
        <v>158</v>
      </c>
      <c r="T748" s="54" t="s">
        <v>158</v>
      </c>
      <c r="U748" s="54" t="s">
        <v>158</v>
      </c>
      <c r="V748" s="254" t="s">
        <v>1110</v>
      </c>
      <c r="W748" s="53"/>
      <c r="X748" s="53">
        <f t="shared" si="178"/>
        <v>0</v>
      </c>
      <c r="Y748" s="55"/>
      <c r="Z748" s="55"/>
      <c r="AA748" s="52">
        <f t="shared" si="179"/>
        <v>0</v>
      </c>
      <c r="AB748" s="53">
        <f t="shared" si="180"/>
        <v>0</v>
      </c>
      <c r="AC748" s="53">
        <f t="shared" si="181"/>
        <v>0</v>
      </c>
      <c r="AD748" s="53">
        <f t="shared" si="182"/>
        <v>0</v>
      </c>
      <c r="AE748" s="53">
        <f t="shared" si="183"/>
        <v>0</v>
      </c>
      <c r="AF748" s="53">
        <f t="shared" si="184"/>
        <v>0</v>
      </c>
      <c r="AG748" s="56">
        <f t="shared" si="185"/>
        <v>0</v>
      </c>
      <c r="AH748" s="53">
        <f t="shared" si="186"/>
        <v>0</v>
      </c>
      <c r="AI748" s="55"/>
      <c r="AJ748" s="53">
        <f t="shared" si="187"/>
        <v>0</v>
      </c>
      <c r="AK748" s="53">
        <f t="shared" si="188"/>
        <v>0</v>
      </c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7"/>
      <c r="AW748" s="57"/>
      <c r="AX748" s="57"/>
    </row>
    <row r="749" spans="2:50">
      <c r="B749" s="45">
        <v>727</v>
      </c>
      <c r="C749" s="289" t="s">
        <v>983</v>
      </c>
      <c r="D749" s="290" t="s">
        <v>1107</v>
      </c>
      <c r="E749" s="290" t="s">
        <v>1117</v>
      </c>
      <c r="F749" s="291" t="s">
        <v>1118</v>
      </c>
      <c r="G749" s="217" t="s">
        <v>780</v>
      </c>
      <c r="H749" s="316">
        <v>42334</v>
      </c>
      <c r="I749" s="164" t="s">
        <v>409</v>
      </c>
      <c r="J749" s="51">
        <f t="shared" si="189"/>
        <v>120</v>
      </c>
      <c r="K749" s="51">
        <v>120</v>
      </c>
      <c r="L749" s="51">
        <v>0</v>
      </c>
      <c r="M749" s="51"/>
      <c r="N749" s="293">
        <v>1</v>
      </c>
      <c r="O749" s="293">
        <v>0</v>
      </c>
      <c r="P749" s="294">
        <v>1</v>
      </c>
      <c r="Q749" s="53"/>
      <c r="R749" s="54" t="s">
        <v>158</v>
      </c>
      <c r="S749" s="54" t="s">
        <v>158</v>
      </c>
      <c r="T749" s="54" t="s">
        <v>158</v>
      </c>
      <c r="U749" s="54" t="s">
        <v>158</v>
      </c>
      <c r="V749" s="254" t="s">
        <v>1110</v>
      </c>
      <c r="W749" s="53"/>
      <c r="X749" s="53">
        <f t="shared" si="178"/>
        <v>0</v>
      </c>
      <c r="Y749" s="55"/>
      <c r="Z749" s="55"/>
      <c r="AA749" s="52">
        <f t="shared" si="179"/>
        <v>0</v>
      </c>
      <c r="AB749" s="53">
        <f t="shared" si="180"/>
        <v>0</v>
      </c>
      <c r="AC749" s="53">
        <f t="shared" si="181"/>
        <v>0</v>
      </c>
      <c r="AD749" s="53">
        <f t="shared" si="182"/>
        <v>0</v>
      </c>
      <c r="AE749" s="53">
        <f t="shared" si="183"/>
        <v>0</v>
      </c>
      <c r="AF749" s="53">
        <f t="shared" si="184"/>
        <v>0</v>
      </c>
      <c r="AG749" s="56">
        <f t="shared" si="185"/>
        <v>0</v>
      </c>
      <c r="AH749" s="53">
        <f t="shared" si="186"/>
        <v>0</v>
      </c>
      <c r="AI749" s="55"/>
      <c r="AJ749" s="53">
        <f t="shared" si="187"/>
        <v>0</v>
      </c>
      <c r="AK749" s="53">
        <f t="shared" si="188"/>
        <v>0</v>
      </c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7"/>
      <c r="AW749" s="57"/>
      <c r="AX749" s="57"/>
    </row>
    <row r="750" spans="2:50">
      <c r="B750" s="45">
        <v>728</v>
      </c>
      <c r="C750" s="289" t="s">
        <v>983</v>
      </c>
      <c r="D750" s="290" t="s">
        <v>1107</v>
      </c>
      <c r="E750" s="290" t="s">
        <v>1117</v>
      </c>
      <c r="F750" s="291" t="s">
        <v>1119</v>
      </c>
      <c r="G750" s="217" t="s">
        <v>780</v>
      </c>
      <c r="H750" s="316">
        <v>42334</v>
      </c>
      <c r="I750" s="164" t="s">
        <v>409</v>
      </c>
      <c r="J750" s="51">
        <f t="shared" si="189"/>
        <v>12</v>
      </c>
      <c r="K750" s="51">
        <v>12</v>
      </c>
      <c r="L750" s="51">
        <v>0</v>
      </c>
      <c r="M750" s="51"/>
      <c r="N750" s="293">
        <v>0.2</v>
      </c>
      <c r="O750" s="293">
        <v>0</v>
      </c>
      <c r="P750" s="294">
        <v>1</v>
      </c>
      <c r="Q750" s="53"/>
      <c r="R750" s="54" t="s">
        <v>158</v>
      </c>
      <c r="S750" s="54" t="s">
        <v>158</v>
      </c>
      <c r="T750" s="54" t="s">
        <v>158</v>
      </c>
      <c r="U750" s="54" t="s">
        <v>158</v>
      </c>
      <c r="V750" s="254" t="s">
        <v>1110</v>
      </c>
      <c r="W750" s="53"/>
      <c r="X750" s="53">
        <f t="shared" si="178"/>
        <v>0</v>
      </c>
      <c r="Y750" s="55"/>
      <c r="Z750" s="55"/>
      <c r="AA750" s="52">
        <f t="shared" si="179"/>
        <v>0</v>
      </c>
      <c r="AB750" s="53">
        <f t="shared" si="180"/>
        <v>0</v>
      </c>
      <c r="AC750" s="53">
        <f t="shared" si="181"/>
        <v>0</v>
      </c>
      <c r="AD750" s="53">
        <f t="shared" si="182"/>
        <v>0</v>
      </c>
      <c r="AE750" s="53">
        <f t="shared" si="183"/>
        <v>0</v>
      </c>
      <c r="AF750" s="53">
        <f t="shared" si="184"/>
        <v>0</v>
      </c>
      <c r="AG750" s="56">
        <f t="shared" si="185"/>
        <v>0</v>
      </c>
      <c r="AH750" s="53">
        <f t="shared" si="186"/>
        <v>0</v>
      </c>
      <c r="AI750" s="55"/>
      <c r="AJ750" s="53">
        <f t="shared" si="187"/>
        <v>0</v>
      </c>
      <c r="AK750" s="53">
        <f t="shared" si="188"/>
        <v>0</v>
      </c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7"/>
      <c r="AW750" s="57"/>
      <c r="AX750" s="57"/>
    </row>
    <row r="751" spans="2:50">
      <c r="B751" s="45">
        <v>729</v>
      </c>
      <c r="C751" s="289" t="s">
        <v>983</v>
      </c>
      <c r="D751" s="290" t="s">
        <v>1107</v>
      </c>
      <c r="E751" s="290" t="s">
        <v>1117</v>
      </c>
      <c r="F751" s="291" t="s">
        <v>1120</v>
      </c>
      <c r="G751" s="217" t="s">
        <v>780</v>
      </c>
      <c r="H751" s="316">
        <v>42334</v>
      </c>
      <c r="I751" s="164" t="s">
        <v>409</v>
      </c>
      <c r="J751" s="51">
        <f t="shared" si="189"/>
        <v>12</v>
      </c>
      <c r="K751" s="51">
        <v>12</v>
      </c>
      <c r="L751" s="51">
        <v>0</v>
      </c>
      <c r="M751" s="51"/>
      <c r="N751" s="293">
        <v>0.2</v>
      </c>
      <c r="O751" s="293">
        <v>0</v>
      </c>
      <c r="P751" s="294">
        <v>1</v>
      </c>
      <c r="Q751" s="53"/>
      <c r="R751" s="54" t="s">
        <v>158</v>
      </c>
      <c r="S751" s="54" t="s">
        <v>158</v>
      </c>
      <c r="T751" s="54" t="s">
        <v>158</v>
      </c>
      <c r="U751" s="54" t="s">
        <v>158</v>
      </c>
      <c r="V751" s="254" t="s">
        <v>1110</v>
      </c>
      <c r="W751" s="53"/>
      <c r="X751" s="53">
        <f t="shared" si="178"/>
        <v>0</v>
      </c>
      <c r="Y751" s="55"/>
      <c r="Z751" s="55"/>
      <c r="AA751" s="52">
        <f t="shared" si="179"/>
        <v>0</v>
      </c>
      <c r="AB751" s="53">
        <f t="shared" si="180"/>
        <v>0</v>
      </c>
      <c r="AC751" s="53">
        <f t="shared" si="181"/>
        <v>0</v>
      </c>
      <c r="AD751" s="53">
        <f t="shared" si="182"/>
        <v>0</v>
      </c>
      <c r="AE751" s="53">
        <f t="shared" si="183"/>
        <v>0</v>
      </c>
      <c r="AF751" s="53">
        <f t="shared" si="184"/>
        <v>0</v>
      </c>
      <c r="AG751" s="56">
        <f t="shared" si="185"/>
        <v>0</v>
      </c>
      <c r="AH751" s="53">
        <f t="shared" si="186"/>
        <v>0</v>
      </c>
      <c r="AI751" s="55"/>
      <c r="AJ751" s="53">
        <f t="shared" si="187"/>
        <v>0</v>
      </c>
      <c r="AK751" s="53">
        <f t="shared" si="188"/>
        <v>0</v>
      </c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7"/>
      <c r="AW751" s="57"/>
      <c r="AX751" s="57"/>
    </row>
    <row r="752" spans="2:50">
      <c r="B752" s="45">
        <v>730</v>
      </c>
      <c r="C752" s="289" t="s">
        <v>983</v>
      </c>
      <c r="D752" s="290" t="s">
        <v>1107</v>
      </c>
      <c r="E752" s="290" t="s">
        <v>1117</v>
      </c>
      <c r="F752" s="291" t="s">
        <v>891</v>
      </c>
      <c r="G752" s="217" t="s">
        <v>780</v>
      </c>
      <c r="H752" s="316">
        <v>42334</v>
      </c>
      <c r="I752" s="164" t="s">
        <v>409</v>
      </c>
      <c r="J752" s="51">
        <f t="shared" si="189"/>
        <v>12</v>
      </c>
      <c r="K752" s="51">
        <v>12</v>
      </c>
      <c r="L752" s="51">
        <v>0</v>
      </c>
      <c r="M752" s="51"/>
      <c r="N752" s="293">
        <v>0.2</v>
      </c>
      <c r="O752" s="293">
        <v>0</v>
      </c>
      <c r="P752" s="294">
        <v>1</v>
      </c>
      <c r="Q752" s="53"/>
      <c r="R752" s="54" t="s">
        <v>158</v>
      </c>
      <c r="S752" s="54" t="s">
        <v>158</v>
      </c>
      <c r="T752" s="54" t="s">
        <v>158</v>
      </c>
      <c r="U752" s="54" t="s">
        <v>158</v>
      </c>
      <c r="V752" s="254" t="s">
        <v>1110</v>
      </c>
      <c r="W752" s="53"/>
      <c r="X752" s="53">
        <f t="shared" si="178"/>
        <v>0</v>
      </c>
      <c r="Y752" s="55"/>
      <c r="Z752" s="55"/>
      <c r="AA752" s="52">
        <f t="shared" si="179"/>
        <v>0</v>
      </c>
      <c r="AB752" s="53">
        <f t="shared" si="180"/>
        <v>0</v>
      </c>
      <c r="AC752" s="53">
        <f t="shared" si="181"/>
        <v>0</v>
      </c>
      <c r="AD752" s="53">
        <f t="shared" si="182"/>
        <v>0</v>
      </c>
      <c r="AE752" s="53">
        <f t="shared" si="183"/>
        <v>0</v>
      </c>
      <c r="AF752" s="53">
        <f t="shared" si="184"/>
        <v>0</v>
      </c>
      <c r="AG752" s="56">
        <f t="shared" si="185"/>
        <v>0</v>
      </c>
      <c r="AH752" s="53">
        <f t="shared" si="186"/>
        <v>0</v>
      </c>
      <c r="AI752" s="55"/>
      <c r="AJ752" s="53">
        <f t="shared" si="187"/>
        <v>0</v>
      </c>
      <c r="AK752" s="53">
        <f t="shared" si="188"/>
        <v>0</v>
      </c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7"/>
      <c r="AW752" s="57"/>
      <c r="AX752" s="57"/>
    </row>
    <row r="753" spans="2:50">
      <c r="B753" s="45">
        <v>731</v>
      </c>
      <c r="C753" s="289" t="s">
        <v>983</v>
      </c>
      <c r="D753" s="290" t="s">
        <v>1107</v>
      </c>
      <c r="E753" s="290" t="s">
        <v>1117</v>
      </c>
      <c r="F753" s="291" t="s">
        <v>1121</v>
      </c>
      <c r="G753" s="217" t="s">
        <v>780</v>
      </c>
      <c r="H753" s="292">
        <v>41984</v>
      </c>
      <c r="I753" s="164" t="s">
        <v>409</v>
      </c>
      <c r="J753" s="51">
        <f t="shared" si="189"/>
        <v>6</v>
      </c>
      <c r="K753" s="51">
        <v>6</v>
      </c>
      <c r="L753" s="51">
        <v>0</v>
      </c>
      <c r="M753" s="51"/>
      <c r="N753" s="293">
        <v>0.1</v>
      </c>
      <c r="O753" s="293">
        <v>0</v>
      </c>
      <c r="P753" s="294">
        <v>1</v>
      </c>
      <c r="Q753" s="53"/>
      <c r="R753" s="54" t="s">
        <v>158</v>
      </c>
      <c r="S753" s="54" t="s">
        <v>158</v>
      </c>
      <c r="T753" s="54" t="s">
        <v>158</v>
      </c>
      <c r="U753" s="54" t="s">
        <v>158</v>
      </c>
      <c r="V753" s="254" t="s">
        <v>1110</v>
      </c>
      <c r="W753" s="53"/>
      <c r="X753" s="53">
        <f t="shared" si="178"/>
        <v>0</v>
      </c>
      <c r="Y753" s="55"/>
      <c r="Z753" s="55"/>
      <c r="AA753" s="52">
        <f t="shared" si="179"/>
        <v>0</v>
      </c>
      <c r="AB753" s="53">
        <f t="shared" si="180"/>
        <v>0</v>
      </c>
      <c r="AC753" s="53">
        <f t="shared" si="181"/>
        <v>0</v>
      </c>
      <c r="AD753" s="53">
        <f t="shared" si="182"/>
        <v>0</v>
      </c>
      <c r="AE753" s="53">
        <f t="shared" si="183"/>
        <v>0</v>
      </c>
      <c r="AF753" s="53">
        <f t="shared" si="184"/>
        <v>0</v>
      </c>
      <c r="AG753" s="56">
        <f t="shared" si="185"/>
        <v>0</v>
      </c>
      <c r="AH753" s="53">
        <f t="shared" si="186"/>
        <v>0</v>
      </c>
      <c r="AI753" s="55"/>
      <c r="AJ753" s="53">
        <f t="shared" si="187"/>
        <v>0</v>
      </c>
      <c r="AK753" s="53">
        <f t="shared" si="188"/>
        <v>0</v>
      </c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7"/>
      <c r="AW753" s="57"/>
      <c r="AX753" s="57"/>
    </row>
    <row r="754" spans="2:50">
      <c r="B754" s="45">
        <v>732</v>
      </c>
      <c r="C754" s="289" t="s">
        <v>983</v>
      </c>
      <c r="D754" s="290" t="s">
        <v>1122</v>
      </c>
      <c r="E754" s="290" t="s">
        <v>1123</v>
      </c>
      <c r="F754" s="291" t="s">
        <v>1123</v>
      </c>
      <c r="G754" s="217" t="s">
        <v>780</v>
      </c>
      <c r="H754" s="320">
        <v>43552</v>
      </c>
      <c r="I754" s="164" t="s">
        <v>409</v>
      </c>
      <c r="J754" s="51">
        <f t="shared" si="189"/>
        <v>300</v>
      </c>
      <c r="K754" s="51">
        <v>90</v>
      </c>
      <c r="L754" s="51">
        <v>210</v>
      </c>
      <c r="M754" s="51"/>
      <c r="N754" s="293">
        <v>0.5</v>
      </c>
      <c r="O754" s="293">
        <v>3.5</v>
      </c>
      <c r="P754" s="294">
        <v>1</v>
      </c>
      <c r="Q754" s="53"/>
      <c r="R754" s="54" t="s">
        <v>158</v>
      </c>
      <c r="S754" s="54" t="s">
        <v>158</v>
      </c>
      <c r="T754" s="54" t="s">
        <v>158</v>
      </c>
      <c r="U754" s="54" t="s">
        <v>158</v>
      </c>
      <c r="V754" s="319" t="s">
        <v>1124</v>
      </c>
      <c r="W754" s="53"/>
      <c r="X754" s="53">
        <f t="shared" si="178"/>
        <v>0</v>
      </c>
      <c r="Y754" s="55"/>
      <c r="Z754" s="55"/>
      <c r="AA754" s="52">
        <f t="shared" si="179"/>
        <v>0</v>
      </c>
      <c r="AB754" s="53">
        <f t="shared" si="180"/>
        <v>0</v>
      </c>
      <c r="AC754" s="53">
        <f t="shared" si="181"/>
        <v>0</v>
      </c>
      <c r="AD754" s="53">
        <f t="shared" si="182"/>
        <v>0</v>
      </c>
      <c r="AE754" s="53">
        <f t="shared" si="183"/>
        <v>0</v>
      </c>
      <c r="AF754" s="53">
        <f t="shared" si="184"/>
        <v>0</v>
      </c>
      <c r="AG754" s="56">
        <f t="shared" si="185"/>
        <v>0</v>
      </c>
      <c r="AH754" s="53">
        <f t="shared" si="186"/>
        <v>0</v>
      </c>
      <c r="AI754" s="55"/>
      <c r="AJ754" s="53">
        <f t="shared" si="187"/>
        <v>0</v>
      </c>
      <c r="AK754" s="53">
        <f t="shared" si="188"/>
        <v>0</v>
      </c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7"/>
      <c r="AW754" s="57"/>
      <c r="AX754" s="57"/>
    </row>
    <row r="755" spans="2:50">
      <c r="B755" s="45">
        <v>733</v>
      </c>
      <c r="C755" s="289" t="s">
        <v>983</v>
      </c>
      <c r="D755" s="290" t="s">
        <v>1125</v>
      </c>
      <c r="E755" s="290" t="s">
        <v>1123</v>
      </c>
      <c r="F755" s="291" t="s">
        <v>896</v>
      </c>
      <c r="G755" s="217" t="s">
        <v>780</v>
      </c>
      <c r="H755" s="316">
        <v>43172</v>
      </c>
      <c r="I755" s="164" t="s">
        <v>409</v>
      </c>
      <c r="J755" s="51">
        <f t="shared" si="189"/>
        <v>18</v>
      </c>
      <c r="K755" s="51">
        <v>18</v>
      </c>
      <c r="L755" s="51">
        <v>0</v>
      </c>
      <c r="M755" s="51"/>
      <c r="N755" s="293">
        <v>0.30000000000000004</v>
      </c>
      <c r="O755" s="293">
        <v>0</v>
      </c>
      <c r="P755" s="294">
        <v>1</v>
      </c>
      <c r="Q755" s="53"/>
      <c r="R755" s="54" t="s">
        <v>158</v>
      </c>
      <c r="S755" s="54" t="s">
        <v>158</v>
      </c>
      <c r="T755" s="54" t="s">
        <v>158</v>
      </c>
      <c r="U755" s="54" t="s">
        <v>158</v>
      </c>
      <c r="V755" s="319" t="s">
        <v>1126</v>
      </c>
      <c r="W755" s="53"/>
      <c r="X755" s="53">
        <f t="shared" si="178"/>
        <v>0</v>
      </c>
      <c r="Y755" s="55"/>
      <c r="Z755" s="55"/>
      <c r="AA755" s="52">
        <f t="shared" si="179"/>
        <v>0</v>
      </c>
      <c r="AB755" s="53">
        <f t="shared" si="180"/>
        <v>0</v>
      </c>
      <c r="AC755" s="53">
        <f t="shared" si="181"/>
        <v>0</v>
      </c>
      <c r="AD755" s="53">
        <f t="shared" si="182"/>
        <v>0</v>
      </c>
      <c r="AE755" s="53">
        <f t="shared" si="183"/>
        <v>0</v>
      </c>
      <c r="AF755" s="53">
        <f t="shared" si="184"/>
        <v>0</v>
      </c>
      <c r="AG755" s="56">
        <f t="shared" si="185"/>
        <v>0</v>
      </c>
      <c r="AH755" s="53">
        <f t="shared" si="186"/>
        <v>0</v>
      </c>
      <c r="AI755" s="55"/>
      <c r="AJ755" s="53">
        <f t="shared" si="187"/>
        <v>0</v>
      </c>
      <c r="AK755" s="53">
        <f t="shared" si="188"/>
        <v>0</v>
      </c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7"/>
      <c r="AW755" s="57"/>
      <c r="AX755" s="57"/>
    </row>
    <row r="756" spans="2:50">
      <c r="B756" s="45">
        <v>734</v>
      </c>
      <c r="C756" s="289" t="s">
        <v>983</v>
      </c>
      <c r="D756" s="290" t="s">
        <v>1125</v>
      </c>
      <c r="E756" s="290" t="s">
        <v>1123</v>
      </c>
      <c r="F756" s="295" t="s">
        <v>1127</v>
      </c>
      <c r="G756" s="217" t="s">
        <v>780</v>
      </c>
      <c r="H756" s="316">
        <v>43094</v>
      </c>
      <c r="I756" s="164" t="s">
        <v>409</v>
      </c>
      <c r="J756" s="51">
        <f t="shared" si="189"/>
        <v>6</v>
      </c>
      <c r="K756" s="51">
        <v>6</v>
      </c>
      <c r="L756" s="51">
        <v>0</v>
      </c>
      <c r="M756" s="51"/>
      <c r="N756" s="293">
        <v>0.1</v>
      </c>
      <c r="O756" s="293">
        <v>0</v>
      </c>
      <c r="P756" s="294">
        <v>1</v>
      </c>
      <c r="Q756" s="53"/>
      <c r="R756" s="54" t="s">
        <v>158</v>
      </c>
      <c r="S756" s="54" t="s">
        <v>158</v>
      </c>
      <c r="T756" s="54" t="s">
        <v>158</v>
      </c>
      <c r="U756" s="54" t="s">
        <v>158</v>
      </c>
      <c r="V756" s="319" t="s">
        <v>1126</v>
      </c>
      <c r="W756" s="53"/>
      <c r="X756" s="53">
        <f t="shared" si="178"/>
        <v>0</v>
      </c>
      <c r="Y756" s="55"/>
      <c r="Z756" s="55"/>
      <c r="AA756" s="52">
        <f t="shared" si="179"/>
        <v>0</v>
      </c>
      <c r="AB756" s="53">
        <f t="shared" si="180"/>
        <v>0</v>
      </c>
      <c r="AC756" s="53">
        <f t="shared" si="181"/>
        <v>0</v>
      </c>
      <c r="AD756" s="53">
        <f t="shared" si="182"/>
        <v>0</v>
      </c>
      <c r="AE756" s="53">
        <f t="shared" si="183"/>
        <v>0</v>
      </c>
      <c r="AF756" s="53">
        <f t="shared" si="184"/>
        <v>0</v>
      </c>
      <c r="AG756" s="56">
        <f t="shared" si="185"/>
        <v>0</v>
      </c>
      <c r="AH756" s="53">
        <f t="shared" si="186"/>
        <v>0</v>
      </c>
      <c r="AI756" s="55"/>
      <c r="AJ756" s="53">
        <f t="shared" si="187"/>
        <v>0</v>
      </c>
      <c r="AK756" s="53">
        <f t="shared" si="188"/>
        <v>0</v>
      </c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7"/>
      <c r="AW756" s="57"/>
      <c r="AX756" s="57"/>
    </row>
    <row r="757" spans="2:50">
      <c r="B757" s="45">
        <v>735</v>
      </c>
      <c r="C757" s="289" t="s">
        <v>983</v>
      </c>
      <c r="D757" s="290" t="s">
        <v>1125</v>
      </c>
      <c r="E757" s="290" t="s">
        <v>1123</v>
      </c>
      <c r="F757" s="295" t="s">
        <v>1128</v>
      </c>
      <c r="G757" s="217" t="s">
        <v>780</v>
      </c>
      <c r="H757" s="316">
        <v>43094</v>
      </c>
      <c r="I757" s="164" t="s">
        <v>409</v>
      </c>
      <c r="J757" s="51">
        <f t="shared" si="189"/>
        <v>6</v>
      </c>
      <c r="K757" s="51">
        <v>6</v>
      </c>
      <c r="L757" s="51">
        <v>0</v>
      </c>
      <c r="M757" s="51"/>
      <c r="N757" s="293">
        <v>0.1</v>
      </c>
      <c r="O757" s="293">
        <v>0</v>
      </c>
      <c r="P757" s="294">
        <v>1</v>
      </c>
      <c r="Q757" s="53"/>
      <c r="R757" s="54" t="s">
        <v>158</v>
      </c>
      <c r="S757" s="54" t="s">
        <v>158</v>
      </c>
      <c r="T757" s="54" t="s">
        <v>158</v>
      </c>
      <c r="U757" s="54" t="s">
        <v>158</v>
      </c>
      <c r="V757" s="319" t="s">
        <v>1126</v>
      </c>
      <c r="W757" s="53"/>
      <c r="X757" s="53">
        <f t="shared" si="178"/>
        <v>0</v>
      </c>
      <c r="Y757" s="55"/>
      <c r="Z757" s="55"/>
      <c r="AA757" s="52">
        <f t="shared" si="179"/>
        <v>0</v>
      </c>
      <c r="AB757" s="53">
        <f t="shared" si="180"/>
        <v>0</v>
      </c>
      <c r="AC757" s="53">
        <f t="shared" si="181"/>
        <v>0</v>
      </c>
      <c r="AD757" s="53">
        <f t="shared" si="182"/>
        <v>0</v>
      </c>
      <c r="AE757" s="53">
        <f t="shared" si="183"/>
        <v>0</v>
      </c>
      <c r="AF757" s="53">
        <f t="shared" si="184"/>
        <v>0</v>
      </c>
      <c r="AG757" s="56">
        <f t="shared" si="185"/>
        <v>0</v>
      </c>
      <c r="AH757" s="53">
        <f t="shared" si="186"/>
        <v>0</v>
      </c>
      <c r="AI757" s="55"/>
      <c r="AJ757" s="53">
        <f t="shared" si="187"/>
        <v>0</v>
      </c>
      <c r="AK757" s="53">
        <f t="shared" si="188"/>
        <v>0</v>
      </c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7"/>
      <c r="AW757" s="57"/>
      <c r="AX757" s="57"/>
    </row>
    <row r="758" spans="2:50">
      <c r="B758" s="45">
        <v>736</v>
      </c>
      <c r="C758" s="289" t="s">
        <v>983</v>
      </c>
      <c r="D758" s="290" t="s">
        <v>1125</v>
      </c>
      <c r="E758" s="290" t="s">
        <v>1123</v>
      </c>
      <c r="F758" s="295" t="s">
        <v>1129</v>
      </c>
      <c r="G758" s="217" t="s">
        <v>780</v>
      </c>
      <c r="H758" s="316">
        <v>43111</v>
      </c>
      <c r="I758" s="164" t="s">
        <v>409</v>
      </c>
      <c r="J758" s="51">
        <f t="shared" si="189"/>
        <v>18</v>
      </c>
      <c r="K758" s="51">
        <v>18</v>
      </c>
      <c r="L758" s="51">
        <v>0</v>
      </c>
      <c r="M758" s="51"/>
      <c r="N758" s="293">
        <v>0.3</v>
      </c>
      <c r="O758" s="293">
        <v>0</v>
      </c>
      <c r="P758" s="294">
        <v>1</v>
      </c>
      <c r="Q758" s="53"/>
      <c r="R758" s="54" t="s">
        <v>158</v>
      </c>
      <c r="S758" s="54" t="s">
        <v>158</v>
      </c>
      <c r="T758" s="54" t="s">
        <v>158</v>
      </c>
      <c r="U758" s="54" t="s">
        <v>158</v>
      </c>
      <c r="V758" s="319" t="s">
        <v>1126</v>
      </c>
      <c r="W758" s="53"/>
      <c r="X758" s="53">
        <f t="shared" si="178"/>
        <v>0</v>
      </c>
      <c r="Y758" s="55"/>
      <c r="Z758" s="55"/>
      <c r="AA758" s="52">
        <f t="shared" si="179"/>
        <v>0</v>
      </c>
      <c r="AB758" s="53">
        <f t="shared" si="180"/>
        <v>0</v>
      </c>
      <c r="AC758" s="53">
        <f t="shared" si="181"/>
        <v>0</v>
      </c>
      <c r="AD758" s="53">
        <f t="shared" si="182"/>
        <v>0</v>
      </c>
      <c r="AE758" s="53">
        <f t="shared" si="183"/>
        <v>0</v>
      </c>
      <c r="AF758" s="53">
        <f t="shared" si="184"/>
        <v>0</v>
      </c>
      <c r="AG758" s="56">
        <f t="shared" si="185"/>
        <v>0</v>
      </c>
      <c r="AH758" s="53">
        <f t="shared" si="186"/>
        <v>0</v>
      </c>
      <c r="AI758" s="55"/>
      <c r="AJ758" s="53">
        <f t="shared" si="187"/>
        <v>0</v>
      </c>
      <c r="AK758" s="53">
        <f t="shared" si="188"/>
        <v>0</v>
      </c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7"/>
      <c r="AW758" s="57"/>
      <c r="AX758" s="57"/>
    </row>
    <row r="759" spans="2:50">
      <c r="B759" s="45">
        <v>737</v>
      </c>
      <c r="C759" s="289" t="s">
        <v>983</v>
      </c>
      <c r="D759" s="290" t="s">
        <v>1125</v>
      </c>
      <c r="E759" s="290" t="s">
        <v>1123</v>
      </c>
      <c r="F759" s="295" t="s">
        <v>1130</v>
      </c>
      <c r="G759" s="217" t="s">
        <v>780</v>
      </c>
      <c r="H759" s="316">
        <v>43094</v>
      </c>
      <c r="I759" s="164" t="s">
        <v>409</v>
      </c>
      <c r="J759" s="51">
        <f t="shared" si="189"/>
        <v>6</v>
      </c>
      <c r="K759" s="51">
        <v>6</v>
      </c>
      <c r="L759" s="51">
        <v>0</v>
      </c>
      <c r="M759" s="51"/>
      <c r="N759" s="293">
        <v>0.1</v>
      </c>
      <c r="O759" s="293">
        <v>0</v>
      </c>
      <c r="P759" s="294">
        <v>1</v>
      </c>
      <c r="Q759" s="53"/>
      <c r="R759" s="54" t="s">
        <v>158</v>
      </c>
      <c r="S759" s="54" t="s">
        <v>158</v>
      </c>
      <c r="T759" s="54" t="s">
        <v>158</v>
      </c>
      <c r="U759" s="54" t="s">
        <v>158</v>
      </c>
      <c r="V759" s="319" t="s">
        <v>1126</v>
      </c>
      <c r="W759" s="53"/>
      <c r="X759" s="53">
        <f t="shared" ref="X759:X765" si="190">SUMIF(W759,"Y",K759)</f>
        <v>0</v>
      </c>
      <c r="Y759" s="55"/>
      <c r="Z759" s="55"/>
      <c r="AA759" s="52">
        <f t="shared" ref="AA759:AA765" si="191">(COUNTA(AL759:AU759)-COUNTIF(AL759:AU759, "X"))</f>
        <v>0</v>
      </c>
      <c r="AB759" s="53">
        <f t="shared" ref="AB759:AB765" si="192">(COUNTA(AL759:AU759)-COUNTIF(AL759:AU759, "X"))*P759*K759</f>
        <v>0</v>
      </c>
      <c r="AC759" s="53">
        <f t="shared" ref="AC759:AC765" si="193">COUNTIF(AL759:AU759,"A")</f>
        <v>0</v>
      </c>
      <c r="AD759" s="53">
        <f t="shared" ref="AD759:AD765" si="194">COUNTIF(AL759:AU759,"V")*P759*M759</f>
        <v>0</v>
      </c>
      <c r="AE759" s="53">
        <f t="shared" ref="AE759:AE765" si="195">COUNTIF(AL759:AU759,"L")</f>
        <v>0</v>
      </c>
      <c r="AF759" s="53">
        <f t="shared" ref="AF759:AF765" si="196">COUNTIF(AL759:AU759,"L")*K759*P759</f>
        <v>0</v>
      </c>
      <c r="AG759" s="56">
        <f t="shared" ref="AG759:AG765" si="197">IF(Q759="Y",1,0)</f>
        <v>0</v>
      </c>
      <c r="AH759" s="53">
        <f t="shared" ref="AH759:AH765" si="198">IF(Q759="Y", AA759, 0)*K759*P759/2</f>
        <v>0</v>
      </c>
      <c r="AI759" s="55"/>
      <c r="AJ759" s="53">
        <f t="shared" ref="AJ759:AJ765" si="199">COUNTIF(AL759:AU759, "V")</f>
        <v>0</v>
      </c>
      <c r="AK759" s="53">
        <f t="shared" ref="AK759:AK765" si="200">AB759-AD759-AF759-AH759</f>
        <v>0</v>
      </c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7"/>
      <c r="AW759" s="57"/>
      <c r="AX759" s="57"/>
    </row>
    <row r="760" spans="2:50">
      <c r="B760" s="45">
        <v>738</v>
      </c>
      <c r="C760" s="289" t="s">
        <v>983</v>
      </c>
      <c r="D760" s="290" t="s">
        <v>1125</v>
      </c>
      <c r="E760" s="290" t="s">
        <v>1123</v>
      </c>
      <c r="F760" s="295" t="s">
        <v>1131</v>
      </c>
      <c r="G760" s="217" t="s">
        <v>780</v>
      </c>
      <c r="H760" s="316">
        <v>43094</v>
      </c>
      <c r="I760" s="164" t="s">
        <v>409</v>
      </c>
      <c r="J760" s="51">
        <f t="shared" si="189"/>
        <v>120</v>
      </c>
      <c r="K760" s="51">
        <v>60</v>
      </c>
      <c r="L760" s="51">
        <v>60</v>
      </c>
      <c r="M760" s="51"/>
      <c r="N760" s="293">
        <v>1</v>
      </c>
      <c r="O760" s="293">
        <v>1</v>
      </c>
      <c r="P760" s="294">
        <v>1</v>
      </c>
      <c r="Q760" s="53"/>
      <c r="R760" s="54" t="s">
        <v>158</v>
      </c>
      <c r="S760" s="54" t="s">
        <v>158</v>
      </c>
      <c r="T760" s="54" t="s">
        <v>158</v>
      </c>
      <c r="U760" s="54" t="s">
        <v>158</v>
      </c>
      <c r="V760" s="319" t="s">
        <v>1126</v>
      </c>
      <c r="W760" s="53"/>
      <c r="X760" s="53">
        <f t="shared" si="190"/>
        <v>0</v>
      </c>
      <c r="Y760" s="55"/>
      <c r="Z760" s="55"/>
      <c r="AA760" s="52">
        <f t="shared" si="191"/>
        <v>0</v>
      </c>
      <c r="AB760" s="53">
        <f t="shared" si="192"/>
        <v>0</v>
      </c>
      <c r="AC760" s="53">
        <f t="shared" si="193"/>
        <v>0</v>
      </c>
      <c r="AD760" s="53">
        <f t="shared" si="194"/>
        <v>0</v>
      </c>
      <c r="AE760" s="53">
        <f t="shared" si="195"/>
        <v>0</v>
      </c>
      <c r="AF760" s="53">
        <f t="shared" si="196"/>
        <v>0</v>
      </c>
      <c r="AG760" s="56">
        <f t="shared" si="197"/>
        <v>0</v>
      </c>
      <c r="AH760" s="53">
        <f t="shared" si="198"/>
        <v>0</v>
      </c>
      <c r="AI760" s="55"/>
      <c r="AJ760" s="53">
        <f t="shared" si="199"/>
        <v>0</v>
      </c>
      <c r="AK760" s="53">
        <f t="shared" si="200"/>
        <v>0</v>
      </c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7"/>
      <c r="AW760" s="57"/>
      <c r="AX760" s="57"/>
    </row>
    <row r="761" spans="2:50">
      <c r="B761" s="45">
        <v>739</v>
      </c>
      <c r="C761" s="289" t="s">
        <v>983</v>
      </c>
      <c r="D761" s="290" t="s">
        <v>1125</v>
      </c>
      <c r="E761" s="290" t="s">
        <v>1123</v>
      </c>
      <c r="F761" s="295" t="s">
        <v>1042</v>
      </c>
      <c r="G761" s="217" t="s">
        <v>780</v>
      </c>
      <c r="H761" s="316">
        <v>43094</v>
      </c>
      <c r="I761" s="164" t="s">
        <v>409</v>
      </c>
      <c r="J761" s="51">
        <f t="shared" si="189"/>
        <v>72</v>
      </c>
      <c r="K761" s="51">
        <v>12</v>
      </c>
      <c r="L761" s="51">
        <v>60</v>
      </c>
      <c r="M761" s="51"/>
      <c r="N761" s="293">
        <v>0.2</v>
      </c>
      <c r="O761" s="293">
        <v>1</v>
      </c>
      <c r="P761" s="294">
        <v>1</v>
      </c>
      <c r="Q761" s="53"/>
      <c r="R761" s="54" t="s">
        <v>158</v>
      </c>
      <c r="S761" s="54" t="s">
        <v>158</v>
      </c>
      <c r="T761" s="54" t="s">
        <v>158</v>
      </c>
      <c r="U761" s="54" t="s">
        <v>158</v>
      </c>
      <c r="V761" s="319" t="s">
        <v>1126</v>
      </c>
      <c r="W761" s="53"/>
      <c r="X761" s="53">
        <f t="shared" si="190"/>
        <v>0</v>
      </c>
      <c r="Y761" s="55"/>
      <c r="Z761" s="55"/>
      <c r="AA761" s="52">
        <f t="shared" si="191"/>
        <v>0</v>
      </c>
      <c r="AB761" s="53">
        <f t="shared" si="192"/>
        <v>0</v>
      </c>
      <c r="AC761" s="53">
        <f t="shared" si="193"/>
        <v>0</v>
      </c>
      <c r="AD761" s="53">
        <f t="shared" si="194"/>
        <v>0</v>
      </c>
      <c r="AE761" s="53">
        <f t="shared" si="195"/>
        <v>0</v>
      </c>
      <c r="AF761" s="53">
        <f t="shared" si="196"/>
        <v>0</v>
      </c>
      <c r="AG761" s="56">
        <f t="shared" si="197"/>
        <v>0</v>
      </c>
      <c r="AH761" s="53">
        <f t="shared" si="198"/>
        <v>0</v>
      </c>
      <c r="AI761" s="55"/>
      <c r="AJ761" s="53">
        <f t="shared" si="199"/>
        <v>0</v>
      </c>
      <c r="AK761" s="53">
        <f t="shared" si="200"/>
        <v>0</v>
      </c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7"/>
      <c r="AW761" s="57"/>
      <c r="AX761" s="57"/>
    </row>
    <row r="762" spans="2:50">
      <c r="B762" s="45">
        <v>740</v>
      </c>
      <c r="C762" s="289" t="s">
        <v>983</v>
      </c>
      <c r="D762" s="290" t="s">
        <v>1125</v>
      </c>
      <c r="E762" s="290" t="s">
        <v>1123</v>
      </c>
      <c r="F762" s="295" t="s">
        <v>1132</v>
      </c>
      <c r="G762" s="217" t="s">
        <v>780</v>
      </c>
      <c r="H762" s="316">
        <v>43094</v>
      </c>
      <c r="I762" s="164" t="s">
        <v>409</v>
      </c>
      <c r="J762" s="51">
        <f t="shared" si="189"/>
        <v>12</v>
      </c>
      <c r="K762" s="51">
        <v>12</v>
      </c>
      <c r="L762" s="51">
        <v>0</v>
      </c>
      <c r="M762" s="51"/>
      <c r="N762" s="293">
        <v>0.2</v>
      </c>
      <c r="O762" s="293">
        <v>0</v>
      </c>
      <c r="P762" s="294">
        <v>1</v>
      </c>
      <c r="Q762" s="53"/>
      <c r="R762" s="54" t="s">
        <v>158</v>
      </c>
      <c r="S762" s="54" t="s">
        <v>158</v>
      </c>
      <c r="T762" s="54" t="s">
        <v>158</v>
      </c>
      <c r="U762" s="54" t="s">
        <v>158</v>
      </c>
      <c r="V762" s="319" t="s">
        <v>1126</v>
      </c>
      <c r="W762" s="53"/>
      <c r="X762" s="53">
        <f t="shared" si="190"/>
        <v>0</v>
      </c>
      <c r="Y762" s="55"/>
      <c r="Z762" s="55"/>
      <c r="AA762" s="52">
        <f t="shared" si="191"/>
        <v>0</v>
      </c>
      <c r="AB762" s="53">
        <f t="shared" si="192"/>
        <v>0</v>
      </c>
      <c r="AC762" s="53">
        <f t="shared" si="193"/>
        <v>0</v>
      </c>
      <c r="AD762" s="53">
        <f t="shared" si="194"/>
        <v>0</v>
      </c>
      <c r="AE762" s="53">
        <f t="shared" si="195"/>
        <v>0</v>
      </c>
      <c r="AF762" s="53">
        <f t="shared" si="196"/>
        <v>0</v>
      </c>
      <c r="AG762" s="56">
        <f t="shared" si="197"/>
        <v>0</v>
      </c>
      <c r="AH762" s="53">
        <f t="shared" si="198"/>
        <v>0</v>
      </c>
      <c r="AI762" s="55"/>
      <c r="AJ762" s="53">
        <f t="shared" si="199"/>
        <v>0</v>
      </c>
      <c r="AK762" s="53">
        <f t="shared" si="200"/>
        <v>0</v>
      </c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7"/>
      <c r="AW762" s="57"/>
      <c r="AX762" s="57"/>
    </row>
    <row r="763" spans="2:50">
      <c r="B763" s="45">
        <v>741</v>
      </c>
      <c r="C763" s="289" t="s">
        <v>983</v>
      </c>
      <c r="D763" s="290" t="s">
        <v>1125</v>
      </c>
      <c r="E763" s="290" t="s">
        <v>1123</v>
      </c>
      <c r="F763" s="295" t="s">
        <v>887</v>
      </c>
      <c r="G763" s="217" t="s">
        <v>780</v>
      </c>
      <c r="H763" s="316">
        <v>43094</v>
      </c>
      <c r="I763" s="164" t="s">
        <v>409</v>
      </c>
      <c r="J763" s="51">
        <f t="shared" si="189"/>
        <v>300</v>
      </c>
      <c r="K763" s="51">
        <v>60</v>
      </c>
      <c r="L763" s="51">
        <v>240</v>
      </c>
      <c r="M763" s="51"/>
      <c r="N763" s="293">
        <v>1</v>
      </c>
      <c r="O763" s="293">
        <v>4</v>
      </c>
      <c r="P763" s="294">
        <v>1</v>
      </c>
      <c r="Q763" s="53"/>
      <c r="R763" s="54" t="s">
        <v>158</v>
      </c>
      <c r="S763" s="54" t="s">
        <v>158</v>
      </c>
      <c r="T763" s="54" t="s">
        <v>158</v>
      </c>
      <c r="U763" s="54" t="s">
        <v>158</v>
      </c>
      <c r="V763" s="319" t="s">
        <v>1126</v>
      </c>
      <c r="W763" s="53"/>
      <c r="X763" s="53">
        <f t="shared" si="190"/>
        <v>0</v>
      </c>
      <c r="Y763" s="55"/>
      <c r="Z763" s="55"/>
      <c r="AA763" s="52">
        <f t="shared" si="191"/>
        <v>0</v>
      </c>
      <c r="AB763" s="53">
        <f t="shared" si="192"/>
        <v>0</v>
      </c>
      <c r="AC763" s="53">
        <f t="shared" si="193"/>
        <v>0</v>
      </c>
      <c r="AD763" s="53">
        <f t="shared" si="194"/>
        <v>0</v>
      </c>
      <c r="AE763" s="53">
        <f t="shared" si="195"/>
        <v>0</v>
      </c>
      <c r="AF763" s="53">
        <f t="shared" si="196"/>
        <v>0</v>
      </c>
      <c r="AG763" s="56">
        <f t="shared" si="197"/>
        <v>0</v>
      </c>
      <c r="AH763" s="53">
        <f t="shared" si="198"/>
        <v>0</v>
      </c>
      <c r="AI763" s="55"/>
      <c r="AJ763" s="53">
        <f t="shared" si="199"/>
        <v>0</v>
      </c>
      <c r="AK763" s="53">
        <f t="shared" si="200"/>
        <v>0</v>
      </c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7"/>
      <c r="AW763" s="57"/>
      <c r="AX763" s="57"/>
    </row>
    <row r="764" spans="2:50">
      <c r="B764" s="45">
        <v>742</v>
      </c>
      <c r="C764" s="289" t="s">
        <v>983</v>
      </c>
      <c r="D764" s="290" t="s">
        <v>1125</v>
      </c>
      <c r="E764" s="299" t="s">
        <v>1133</v>
      </c>
      <c r="F764" s="295" t="s">
        <v>1134</v>
      </c>
      <c r="G764" s="217" t="s">
        <v>780</v>
      </c>
      <c r="H764" s="316">
        <v>43094</v>
      </c>
      <c r="I764" s="164" t="s">
        <v>409</v>
      </c>
      <c r="J764" s="51">
        <f t="shared" si="189"/>
        <v>24</v>
      </c>
      <c r="K764" s="51">
        <v>12</v>
      </c>
      <c r="L764" s="51">
        <v>12</v>
      </c>
      <c r="M764" s="51"/>
      <c r="N764" s="293">
        <v>0.2</v>
      </c>
      <c r="O764" s="293">
        <v>0.2</v>
      </c>
      <c r="P764" s="294">
        <v>1</v>
      </c>
      <c r="Q764" s="53"/>
      <c r="R764" s="54" t="s">
        <v>158</v>
      </c>
      <c r="S764" s="54" t="s">
        <v>158</v>
      </c>
      <c r="T764" s="54" t="s">
        <v>158</v>
      </c>
      <c r="U764" s="54" t="s">
        <v>158</v>
      </c>
      <c r="V764" s="319" t="s">
        <v>1126</v>
      </c>
      <c r="W764" s="53"/>
      <c r="X764" s="53">
        <f t="shared" si="190"/>
        <v>0</v>
      </c>
      <c r="Y764" s="55"/>
      <c r="Z764" s="55"/>
      <c r="AA764" s="52">
        <f t="shared" si="191"/>
        <v>0</v>
      </c>
      <c r="AB764" s="53">
        <f t="shared" si="192"/>
        <v>0</v>
      </c>
      <c r="AC764" s="53">
        <f t="shared" si="193"/>
        <v>0</v>
      </c>
      <c r="AD764" s="53">
        <f t="shared" si="194"/>
        <v>0</v>
      </c>
      <c r="AE764" s="53">
        <f t="shared" si="195"/>
        <v>0</v>
      </c>
      <c r="AF764" s="53">
        <f t="shared" si="196"/>
        <v>0</v>
      </c>
      <c r="AG764" s="56">
        <f t="shared" si="197"/>
        <v>0</v>
      </c>
      <c r="AH764" s="53">
        <f t="shared" si="198"/>
        <v>0</v>
      </c>
      <c r="AI764" s="55"/>
      <c r="AJ764" s="53">
        <f t="shared" si="199"/>
        <v>0</v>
      </c>
      <c r="AK764" s="53">
        <f t="shared" si="200"/>
        <v>0</v>
      </c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7"/>
      <c r="AW764" s="57"/>
      <c r="AX764" s="57"/>
    </row>
    <row r="765" spans="2:50">
      <c r="B765" s="45">
        <v>743</v>
      </c>
      <c r="C765" s="289" t="s">
        <v>983</v>
      </c>
      <c r="D765" s="290" t="s">
        <v>1125</v>
      </c>
      <c r="E765" s="299" t="s">
        <v>1135</v>
      </c>
      <c r="F765" s="295" t="s">
        <v>1136</v>
      </c>
      <c r="G765" s="217" t="s">
        <v>780</v>
      </c>
      <c r="H765" s="316">
        <v>43094</v>
      </c>
      <c r="I765" s="164" t="s">
        <v>409</v>
      </c>
      <c r="J765" s="51">
        <f t="shared" si="189"/>
        <v>90</v>
      </c>
      <c r="K765" s="51">
        <v>30</v>
      </c>
      <c r="L765" s="51">
        <v>60</v>
      </c>
      <c r="M765" s="51"/>
      <c r="N765" s="293">
        <v>0.5</v>
      </c>
      <c r="O765" s="293">
        <v>1</v>
      </c>
      <c r="P765" s="294">
        <v>1</v>
      </c>
      <c r="Q765" s="53"/>
      <c r="R765" s="54" t="s">
        <v>158</v>
      </c>
      <c r="S765" s="54" t="s">
        <v>158</v>
      </c>
      <c r="T765" s="54" t="s">
        <v>158</v>
      </c>
      <c r="U765" s="54" t="s">
        <v>158</v>
      </c>
      <c r="V765" s="319" t="s">
        <v>1126</v>
      </c>
      <c r="W765" s="53"/>
      <c r="X765" s="53">
        <f t="shared" si="190"/>
        <v>0</v>
      </c>
      <c r="Y765" s="55"/>
      <c r="Z765" s="55"/>
      <c r="AA765" s="52">
        <f t="shared" si="191"/>
        <v>0</v>
      </c>
      <c r="AB765" s="53">
        <f t="shared" si="192"/>
        <v>0</v>
      </c>
      <c r="AC765" s="53">
        <f t="shared" si="193"/>
        <v>0</v>
      </c>
      <c r="AD765" s="53">
        <f t="shared" si="194"/>
        <v>0</v>
      </c>
      <c r="AE765" s="53">
        <f t="shared" si="195"/>
        <v>0</v>
      </c>
      <c r="AF765" s="53">
        <f t="shared" si="196"/>
        <v>0</v>
      </c>
      <c r="AG765" s="56">
        <f t="shared" si="197"/>
        <v>0</v>
      </c>
      <c r="AH765" s="53">
        <f t="shared" si="198"/>
        <v>0</v>
      </c>
      <c r="AI765" s="55"/>
      <c r="AJ765" s="53">
        <f t="shared" si="199"/>
        <v>0</v>
      </c>
      <c r="AK765" s="53">
        <f t="shared" si="200"/>
        <v>0</v>
      </c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7"/>
      <c r="AW765" s="57"/>
      <c r="AX765" s="57"/>
    </row>
    <row r="766" spans="2:50">
      <c r="B766" s="138" t="s">
        <v>1137</v>
      </c>
      <c r="C766" s="139"/>
      <c r="D766" s="139"/>
      <c r="E766" s="139"/>
      <c r="F766" s="140"/>
      <c r="G766" s="141"/>
      <c r="H766" s="141"/>
      <c r="I766" s="142" t="s">
        <v>151</v>
      </c>
      <c r="J766" s="143">
        <f t="shared" si="189"/>
        <v>57.45</v>
      </c>
      <c r="K766" s="143">
        <f>K767/60</f>
        <v>30.8</v>
      </c>
      <c r="L766" s="143">
        <f>L767/60</f>
        <v>26.65</v>
      </c>
      <c r="M766" s="143">
        <f>M767/60</f>
        <v>0</v>
      </c>
      <c r="N766" s="144">
        <f>SUMIF(I768:I798,"DQA",N768:N798)</f>
        <v>17.82</v>
      </c>
      <c r="O766" s="144">
        <f>SUMIF(I768:I798,"DQA",O768:O798)</f>
        <v>27.750000000000004</v>
      </c>
      <c r="P766" s="144">
        <v>1</v>
      </c>
      <c r="Q766" s="144"/>
      <c r="R766" s="144">
        <f t="shared" ref="R766:V766" si="201">SUMIF(L768:L798,"DQA",R768:R798)</f>
        <v>0</v>
      </c>
      <c r="S766" s="144">
        <f t="shared" si="201"/>
        <v>0</v>
      </c>
      <c r="T766" s="144">
        <f t="shared" si="201"/>
        <v>0</v>
      </c>
      <c r="U766" s="144">
        <f t="shared" si="201"/>
        <v>0</v>
      </c>
      <c r="V766" s="144">
        <f t="shared" si="201"/>
        <v>0</v>
      </c>
      <c r="W766" s="143"/>
      <c r="X766" s="143">
        <f>X767/60</f>
        <v>0</v>
      </c>
      <c r="Y766" s="143"/>
      <c r="Z766" s="143"/>
      <c r="AA766" s="143"/>
      <c r="AB766" s="143">
        <f t="shared" ref="AB766:AF766" si="202">AB767/60</f>
        <v>0</v>
      </c>
      <c r="AC766" s="143"/>
      <c r="AD766" s="143">
        <f t="shared" si="202"/>
        <v>0</v>
      </c>
      <c r="AE766" s="143"/>
      <c r="AF766" s="143">
        <f t="shared" si="202"/>
        <v>0</v>
      </c>
      <c r="AG766" s="143"/>
      <c r="AH766" s="143">
        <f>AH767/60</f>
        <v>0</v>
      </c>
      <c r="AI766" s="143"/>
      <c r="AJ766" s="143"/>
      <c r="AK766" s="143">
        <f>AK767/60</f>
        <v>0</v>
      </c>
      <c r="AL766" s="143"/>
      <c r="AM766" s="143"/>
      <c r="AN766" s="143"/>
      <c r="AO766" s="143"/>
      <c r="AP766" s="143"/>
      <c r="AQ766" s="143"/>
      <c r="AR766" s="143"/>
      <c r="AS766" s="143"/>
      <c r="AT766" s="143"/>
      <c r="AU766" s="143"/>
      <c r="AV766" s="143"/>
      <c r="AW766" s="143"/>
      <c r="AX766" s="143">
        <f>AX767/60</f>
        <v>0</v>
      </c>
    </row>
    <row r="767" spans="2:50">
      <c r="B767" s="146"/>
      <c r="C767" s="147"/>
      <c r="D767" s="147"/>
      <c r="E767" s="147"/>
      <c r="F767" s="148"/>
      <c r="G767" s="141"/>
      <c r="H767" s="141"/>
      <c r="I767" s="149" t="s">
        <v>153</v>
      </c>
      <c r="J767" s="143">
        <f t="shared" si="189"/>
        <v>3447</v>
      </c>
      <c r="K767" s="143">
        <f>SUMIF($I768:$I798,"DQA",K768:K798)</f>
        <v>1848</v>
      </c>
      <c r="L767" s="143">
        <f>SUMIF($I768:$I798,"DQA",L768:L798)</f>
        <v>1599</v>
      </c>
      <c r="M767" s="143">
        <f>SUMIF($I768:$I798,"DQA",M768:M798)</f>
        <v>0</v>
      </c>
      <c r="N767" s="143">
        <f>N766*60</f>
        <v>1069.2</v>
      </c>
      <c r="O767" s="143">
        <f>O766*60</f>
        <v>1665.0000000000002</v>
      </c>
      <c r="P767" s="143">
        <v>1</v>
      </c>
      <c r="Q767" s="143"/>
      <c r="R767" s="143">
        <f t="shared" ref="R767:V767" si="203">R766*60</f>
        <v>0</v>
      </c>
      <c r="S767" s="143">
        <f t="shared" si="203"/>
        <v>0</v>
      </c>
      <c r="T767" s="143">
        <f t="shared" si="203"/>
        <v>0</v>
      </c>
      <c r="U767" s="143">
        <f t="shared" si="203"/>
        <v>0</v>
      </c>
      <c r="V767" s="143">
        <f t="shared" si="203"/>
        <v>0</v>
      </c>
      <c r="W767" s="143"/>
      <c r="X767" s="143">
        <f>SUM(X768:X798)</f>
        <v>0</v>
      </c>
      <c r="Y767" s="143"/>
      <c r="Z767" s="143"/>
      <c r="AA767" s="143"/>
      <c r="AB767" s="143">
        <f t="shared" ref="AB767:AK767" si="204">SUM(AB768:AB798)</f>
        <v>0</v>
      </c>
      <c r="AC767" s="143"/>
      <c r="AD767" s="143">
        <f t="shared" si="204"/>
        <v>0</v>
      </c>
      <c r="AE767" s="143"/>
      <c r="AF767" s="143">
        <f t="shared" si="204"/>
        <v>0</v>
      </c>
      <c r="AG767" s="143"/>
      <c r="AH767" s="143">
        <f t="shared" si="204"/>
        <v>0</v>
      </c>
      <c r="AI767" s="143"/>
      <c r="AJ767" s="143"/>
      <c r="AK767" s="143">
        <f t="shared" si="204"/>
        <v>0</v>
      </c>
      <c r="AL767" s="143"/>
      <c r="AM767" s="143"/>
      <c r="AN767" s="143"/>
      <c r="AO767" s="143"/>
      <c r="AP767" s="143"/>
      <c r="AQ767" s="143"/>
      <c r="AR767" s="143"/>
      <c r="AS767" s="143"/>
      <c r="AT767" s="143"/>
      <c r="AU767" s="143"/>
      <c r="AV767" s="143"/>
      <c r="AW767" s="143"/>
      <c r="AX767" s="143">
        <f>SUM(AX768:AX798)</f>
        <v>0</v>
      </c>
    </row>
    <row r="768" spans="2:50">
      <c r="B768" s="45">
        <v>744</v>
      </c>
      <c r="C768" s="321" t="s">
        <v>1138</v>
      </c>
      <c r="D768" s="322" t="s">
        <v>1139</v>
      </c>
      <c r="E768" s="321" t="s">
        <v>1140</v>
      </c>
      <c r="F768" s="174" t="s">
        <v>1141</v>
      </c>
      <c r="G768" s="323" t="s">
        <v>190</v>
      </c>
      <c r="H768" s="324">
        <v>42431</v>
      </c>
      <c r="I768" s="164" t="s">
        <v>409</v>
      </c>
      <c r="J768" s="325">
        <f t="shared" si="189"/>
        <v>18</v>
      </c>
      <c r="K768" s="325">
        <v>12</v>
      </c>
      <c r="L768" s="325">
        <v>6</v>
      </c>
      <c r="M768" s="325"/>
      <c r="N768" s="325">
        <v>0.2</v>
      </c>
      <c r="O768" s="325">
        <v>0.1</v>
      </c>
      <c r="P768" s="326">
        <v>2</v>
      </c>
      <c r="Q768" s="53"/>
      <c r="R768" s="54" t="s">
        <v>1142</v>
      </c>
      <c r="S768" s="54" t="s">
        <v>1142</v>
      </c>
      <c r="T768" s="54" t="s">
        <v>1142</v>
      </c>
      <c r="U768" s="54" t="s">
        <v>1142</v>
      </c>
      <c r="V768" s="53" t="s">
        <v>1143</v>
      </c>
      <c r="W768" s="53"/>
      <c r="X768" s="53">
        <f t="shared" ref="X768:X798" si="205">SUMIF(W768,"Y",K768)</f>
        <v>0</v>
      </c>
      <c r="Y768" s="55"/>
      <c r="Z768" s="55"/>
      <c r="AA768" s="52">
        <f t="shared" ref="AA768:AA798" si="206">(COUNTA(AL768:AU768)-COUNTIF(AL768:AU768, "X"))</f>
        <v>0</v>
      </c>
      <c r="AB768" s="53">
        <f t="shared" ref="AB768:AB798" si="207">(COUNTA(AL768:AU768)-COUNTIF(AL768:AU768, "X"))*P768*K768</f>
        <v>0</v>
      </c>
      <c r="AC768" s="53">
        <f t="shared" ref="AC768:AC798" si="208">COUNTIF(AL768:AU768,"A")</f>
        <v>0</v>
      </c>
      <c r="AD768" s="53">
        <f t="shared" ref="AD768:AD798" si="209">COUNTIF(AL768:AU768,"V")*P768*M768</f>
        <v>0</v>
      </c>
      <c r="AE768" s="53">
        <f t="shared" ref="AE768:AE798" si="210">COUNTIF(AL768:AU768,"L")</f>
        <v>0</v>
      </c>
      <c r="AF768" s="53">
        <f t="shared" ref="AF768:AF798" si="211">COUNTIF(AL768:AU768,"L")*K768*P768</f>
        <v>0</v>
      </c>
      <c r="AG768" s="56">
        <f t="shared" ref="AG768:AG798" si="212">IF(Q768="Y",1,0)</f>
        <v>0</v>
      </c>
      <c r="AH768" s="53">
        <f t="shared" ref="AH768:AH798" si="213">IF(Q768="Y", AA768, 0)*K768*P768/2</f>
        <v>0</v>
      </c>
      <c r="AI768" s="55"/>
      <c r="AJ768" s="53">
        <f t="shared" ref="AJ768:AJ798" si="214">COUNTIF(AL768:AU768, "V")</f>
        <v>0</v>
      </c>
      <c r="AK768" s="53">
        <f t="shared" ref="AK768:AK798" si="215">AB768-AD768-AF768-AH768</f>
        <v>0</v>
      </c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7"/>
      <c r="AW768" s="57"/>
      <c r="AX768" s="57"/>
    </row>
    <row r="769" spans="2:50">
      <c r="B769" s="45">
        <v>745</v>
      </c>
      <c r="C769" s="321" t="s">
        <v>1138</v>
      </c>
      <c r="D769" s="322" t="s">
        <v>1139</v>
      </c>
      <c r="E769" s="321" t="s">
        <v>1140</v>
      </c>
      <c r="F769" s="174" t="s">
        <v>1144</v>
      </c>
      <c r="G769" s="323" t="s">
        <v>190</v>
      </c>
      <c r="H769" s="324">
        <v>42431</v>
      </c>
      <c r="I769" s="164" t="s">
        <v>409</v>
      </c>
      <c r="J769" s="325">
        <f t="shared" si="189"/>
        <v>18</v>
      </c>
      <c r="K769" s="325">
        <v>12</v>
      </c>
      <c r="L769" s="325">
        <v>6</v>
      </c>
      <c r="M769" s="325"/>
      <c r="N769" s="325">
        <v>0.2</v>
      </c>
      <c r="O769" s="325">
        <v>0.1</v>
      </c>
      <c r="P769" s="326">
        <v>2</v>
      </c>
      <c r="Q769" s="53"/>
      <c r="R769" s="54" t="s">
        <v>1142</v>
      </c>
      <c r="S769" s="54" t="s">
        <v>1142</v>
      </c>
      <c r="T769" s="54" t="s">
        <v>1142</v>
      </c>
      <c r="U769" s="54" t="s">
        <v>1142</v>
      </c>
      <c r="V769" s="53" t="s">
        <v>1143</v>
      </c>
      <c r="W769" s="53"/>
      <c r="X769" s="53">
        <f t="shared" si="205"/>
        <v>0</v>
      </c>
      <c r="Y769" s="55"/>
      <c r="Z769" s="55"/>
      <c r="AA769" s="52">
        <f t="shared" si="206"/>
        <v>0</v>
      </c>
      <c r="AB769" s="53">
        <f t="shared" si="207"/>
        <v>0</v>
      </c>
      <c r="AC769" s="53">
        <f t="shared" si="208"/>
        <v>0</v>
      </c>
      <c r="AD769" s="53">
        <f t="shared" si="209"/>
        <v>0</v>
      </c>
      <c r="AE769" s="53">
        <f t="shared" si="210"/>
        <v>0</v>
      </c>
      <c r="AF769" s="53">
        <f t="shared" si="211"/>
        <v>0</v>
      </c>
      <c r="AG769" s="56">
        <f t="shared" si="212"/>
        <v>0</v>
      </c>
      <c r="AH769" s="53">
        <f t="shared" si="213"/>
        <v>0</v>
      </c>
      <c r="AI769" s="55"/>
      <c r="AJ769" s="53">
        <f t="shared" si="214"/>
        <v>0</v>
      </c>
      <c r="AK769" s="53">
        <f t="shared" si="215"/>
        <v>0</v>
      </c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7"/>
      <c r="AW769" s="57"/>
      <c r="AX769" s="57"/>
    </row>
    <row r="770" spans="2:50">
      <c r="B770" s="45">
        <v>746</v>
      </c>
      <c r="C770" s="321" t="s">
        <v>1138</v>
      </c>
      <c r="D770" s="322" t="s">
        <v>1139</v>
      </c>
      <c r="E770" s="321" t="s">
        <v>1140</v>
      </c>
      <c r="F770" s="174" t="s">
        <v>1145</v>
      </c>
      <c r="G770" s="323" t="s">
        <v>190</v>
      </c>
      <c r="H770" s="324">
        <v>42431</v>
      </c>
      <c r="I770" s="164" t="s">
        <v>409</v>
      </c>
      <c r="J770" s="325">
        <f t="shared" si="189"/>
        <v>96</v>
      </c>
      <c r="K770" s="325">
        <v>72</v>
      </c>
      <c r="L770" s="325">
        <v>24</v>
      </c>
      <c r="M770" s="325"/>
      <c r="N770" s="50">
        <v>1.2</v>
      </c>
      <c r="O770" s="50">
        <v>0.4</v>
      </c>
      <c r="P770" s="52">
        <v>2</v>
      </c>
      <c r="Q770" s="53"/>
      <c r="R770" s="54" t="s">
        <v>1142</v>
      </c>
      <c r="S770" s="54" t="s">
        <v>1142</v>
      </c>
      <c r="T770" s="54" t="s">
        <v>1142</v>
      </c>
      <c r="U770" s="54" t="s">
        <v>1142</v>
      </c>
      <c r="V770" s="53" t="s">
        <v>1143</v>
      </c>
      <c r="W770" s="53"/>
      <c r="X770" s="53">
        <f t="shared" si="205"/>
        <v>0</v>
      </c>
      <c r="Y770" s="55"/>
      <c r="Z770" s="55"/>
      <c r="AA770" s="52">
        <f t="shared" si="206"/>
        <v>0</v>
      </c>
      <c r="AB770" s="53">
        <f t="shared" si="207"/>
        <v>0</v>
      </c>
      <c r="AC770" s="53">
        <f t="shared" si="208"/>
        <v>0</v>
      </c>
      <c r="AD770" s="53">
        <f t="shared" si="209"/>
        <v>0</v>
      </c>
      <c r="AE770" s="53">
        <f t="shared" si="210"/>
        <v>0</v>
      </c>
      <c r="AF770" s="53">
        <f t="shared" si="211"/>
        <v>0</v>
      </c>
      <c r="AG770" s="56">
        <f t="shared" si="212"/>
        <v>0</v>
      </c>
      <c r="AH770" s="53">
        <f t="shared" si="213"/>
        <v>0</v>
      </c>
      <c r="AI770" s="55"/>
      <c r="AJ770" s="53">
        <f t="shared" si="214"/>
        <v>0</v>
      </c>
      <c r="AK770" s="53">
        <f t="shared" si="215"/>
        <v>0</v>
      </c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7"/>
      <c r="AW770" s="57"/>
      <c r="AX770" s="57"/>
    </row>
    <row r="771" spans="2:50">
      <c r="B771" s="45">
        <v>747</v>
      </c>
      <c r="C771" s="321" t="s">
        <v>1138</v>
      </c>
      <c r="D771" s="322" t="s">
        <v>1139</v>
      </c>
      <c r="E771" s="321" t="s">
        <v>1140</v>
      </c>
      <c r="F771" s="174" t="s">
        <v>1146</v>
      </c>
      <c r="G771" s="323" t="s">
        <v>190</v>
      </c>
      <c r="H771" s="324">
        <v>42431</v>
      </c>
      <c r="I771" s="164" t="s">
        <v>409</v>
      </c>
      <c r="J771" s="325">
        <f t="shared" si="189"/>
        <v>1452</v>
      </c>
      <c r="K771" s="325">
        <v>12</v>
      </c>
      <c r="L771" s="325">
        <v>1440</v>
      </c>
      <c r="M771" s="325"/>
      <c r="N771" s="325">
        <v>0.2</v>
      </c>
      <c r="O771" s="325">
        <v>24</v>
      </c>
      <c r="P771" s="326">
        <v>2</v>
      </c>
      <c r="Q771" s="53"/>
      <c r="R771" s="54" t="s">
        <v>1142</v>
      </c>
      <c r="S771" s="54" t="s">
        <v>1142</v>
      </c>
      <c r="T771" s="54" t="s">
        <v>1142</v>
      </c>
      <c r="U771" s="54" t="s">
        <v>1142</v>
      </c>
      <c r="V771" s="53" t="s">
        <v>1143</v>
      </c>
      <c r="W771" s="53"/>
      <c r="X771" s="53">
        <f t="shared" si="205"/>
        <v>0</v>
      </c>
      <c r="Y771" s="55"/>
      <c r="Z771" s="55"/>
      <c r="AA771" s="52">
        <f t="shared" si="206"/>
        <v>0</v>
      </c>
      <c r="AB771" s="53">
        <f t="shared" si="207"/>
        <v>0</v>
      </c>
      <c r="AC771" s="53">
        <f t="shared" si="208"/>
        <v>0</v>
      </c>
      <c r="AD771" s="53">
        <f t="shared" si="209"/>
        <v>0</v>
      </c>
      <c r="AE771" s="53">
        <f t="shared" si="210"/>
        <v>0</v>
      </c>
      <c r="AF771" s="53">
        <f t="shared" si="211"/>
        <v>0</v>
      </c>
      <c r="AG771" s="56">
        <f t="shared" si="212"/>
        <v>0</v>
      </c>
      <c r="AH771" s="53">
        <f t="shared" si="213"/>
        <v>0</v>
      </c>
      <c r="AI771" s="55"/>
      <c r="AJ771" s="53">
        <f t="shared" si="214"/>
        <v>0</v>
      </c>
      <c r="AK771" s="53">
        <f t="shared" si="215"/>
        <v>0</v>
      </c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7"/>
      <c r="AW771" s="57"/>
      <c r="AX771" s="57"/>
    </row>
    <row r="772" spans="2:50">
      <c r="B772" s="45">
        <v>748</v>
      </c>
      <c r="C772" s="321" t="s">
        <v>1138</v>
      </c>
      <c r="D772" s="322" t="s">
        <v>1139</v>
      </c>
      <c r="E772" s="321" t="s">
        <v>1140</v>
      </c>
      <c r="F772" s="174" t="s">
        <v>1147</v>
      </c>
      <c r="G772" s="323" t="s">
        <v>190</v>
      </c>
      <c r="H772" s="324">
        <v>42431</v>
      </c>
      <c r="I772" s="164" t="s">
        <v>409</v>
      </c>
      <c r="J772" s="325">
        <f t="shared" si="189"/>
        <v>15</v>
      </c>
      <c r="K772" s="325">
        <v>12</v>
      </c>
      <c r="L772" s="325">
        <v>3</v>
      </c>
      <c r="M772" s="325"/>
      <c r="N772" s="325">
        <v>0.2</v>
      </c>
      <c r="O772" s="325">
        <v>0.05</v>
      </c>
      <c r="P772" s="326">
        <v>2</v>
      </c>
      <c r="Q772" s="53"/>
      <c r="R772" s="54" t="s">
        <v>1142</v>
      </c>
      <c r="S772" s="54" t="s">
        <v>1142</v>
      </c>
      <c r="T772" s="54" t="s">
        <v>1142</v>
      </c>
      <c r="U772" s="54" t="s">
        <v>1142</v>
      </c>
      <c r="V772" s="53" t="s">
        <v>1143</v>
      </c>
      <c r="W772" s="53"/>
      <c r="X772" s="53">
        <f t="shared" si="205"/>
        <v>0</v>
      </c>
      <c r="Y772" s="55"/>
      <c r="Z772" s="55"/>
      <c r="AA772" s="52">
        <f t="shared" si="206"/>
        <v>0</v>
      </c>
      <c r="AB772" s="53">
        <f t="shared" si="207"/>
        <v>0</v>
      </c>
      <c r="AC772" s="53">
        <f t="shared" si="208"/>
        <v>0</v>
      </c>
      <c r="AD772" s="53">
        <f t="shared" si="209"/>
        <v>0</v>
      </c>
      <c r="AE772" s="53">
        <f t="shared" si="210"/>
        <v>0</v>
      </c>
      <c r="AF772" s="53">
        <f t="shared" si="211"/>
        <v>0</v>
      </c>
      <c r="AG772" s="56">
        <f t="shared" si="212"/>
        <v>0</v>
      </c>
      <c r="AH772" s="53">
        <f t="shared" si="213"/>
        <v>0</v>
      </c>
      <c r="AI772" s="55"/>
      <c r="AJ772" s="53">
        <f t="shared" si="214"/>
        <v>0</v>
      </c>
      <c r="AK772" s="53">
        <f t="shared" si="215"/>
        <v>0</v>
      </c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7"/>
      <c r="AW772" s="57"/>
      <c r="AX772" s="57"/>
    </row>
    <row r="773" spans="2:50">
      <c r="B773" s="45">
        <v>749</v>
      </c>
      <c r="C773" s="321" t="s">
        <v>1138</v>
      </c>
      <c r="D773" s="322" t="s">
        <v>1139</v>
      </c>
      <c r="E773" s="321" t="s">
        <v>1140</v>
      </c>
      <c r="F773" s="174" t="s">
        <v>1148</v>
      </c>
      <c r="G773" s="323" t="s">
        <v>190</v>
      </c>
      <c r="H773" s="324">
        <v>42431</v>
      </c>
      <c r="I773" s="164" t="s">
        <v>409</v>
      </c>
      <c r="J773" s="325">
        <f t="shared" si="189"/>
        <v>198</v>
      </c>
      <c r="K773" s="325">
        <v>78</v>
      </c>
      <c r="L773" s="325">
        <v>120</v>
      </c>
      <c r="M773" s="325"/>
      <c r="N773" s="50">
        <v>1.3</v>
      </c>
      <c r="O773" s="50">
        <v>2</v>
      </c>
      <c r="P773" s="52">
        <v>2</v>
      </c>
      <c r="Q773" s="53"/>
      <c r="R773" s="54" t="s">
        <v>1142</v>
      </c>
      <c r="S773" s="54" t="s">
        <v>1142</v>
      </c>
      <c r="T773" s="54" t="s">
        <v>1142</v>
      </c>
      <c r="U773" s="54" t="s">
        <v>1142</v>
      </c>
      <c r="V773" s="53" t="s">
        <v>1143</v>
      </c>
      <c r="W773" s="53"/>
      <c r="X773" s="53">
        <f t="shared" si="205"/>
        <v>0</v>
      </c>
      <c r="Y773" s="55"/>
      <c r="Z773" s="55"/>
      <c r="AA773" s="52">
        <f t="shared" si="206"/>
        <v>0</v>
      </c>
      <c r="AB773" s="53">
        <f t="shared" si="207"/>
        <v>0</v>
      </c>
      <c r="AC773" s="53">
        <f t="shared" si="208"/>
        <v>0</v>
      </c>
      <c r="AD773" s="53">
        <f t="shared" si="209"/>
        <v>0</v>
      </c>
      <c r="AE773" s="53">
        <f t="shared" si="210"/>
        <v>0</v>
      </c>
      <c r="AF773" s="53">
        <f t="shared" si="211"/>
        <v>0</v>
      </c>
      <c r="AG773" s="56">
        <f t="shared" si="212"/>
        <v>0</v>
      </c>
      <c r="AH773" s="53">
        <f t="shared" si="213"/>
        <v>0</v>
      </c>
      <c r="AI773" s="55"/>
      <c r="AJ773" s="53">
        <f t="shared" si="214"/>
        <v>0</v>
      </c>
      <c r="AK773" s="53">
        <f t="shared" si="215"/>
        <v>0</v>
      </c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7"/>
      <c r="AW773" s="57"/>
      <c r="AX773" s="57"/>
    </row>
    <row r="774" spans="2:50">
      <c r="B774" s="45">
        <v>750</v>
      </c>
      <c r="C774" s="321" t="s">
        <v>1138</v>
      </c>
      <c r="D774" s="322" t="s">
        <v>1139</v>
      </c>
      <c r="E774" s="321" t="s">
        <v>1149</v>
      </c>
      <c r="F774" s="174" t="s">
        <v>1150</v>
      </c>
      <c r="G774" s="323" t="s">
        <v>190</v>
      </c>
      <c r="H774" s="324">
        <v>42437</v>
      </c>
      <c r="I774" s="164" t="s">
        <v>409</v>
      </c>
      <c r="J774" s="325">
        <f t="shared" si="189"/>
        <v>48</v>
      </c>
      <c r="K774" s="325">
        <v>48</v>
      </c>
      <c r="L774" s="325">
        <v>0</v>
      </c>
      <c r="M774" s="325"/>
      <c r="N774" s="50">
        <v>0.5</v>
      </c>
      <c r="O774" s="50">
        <v>0</v>
      </c>
      <c r="P774" s="52">
        <v>2</v>
      </c>
      <c r="Q774" s="53"/>
      <c r="R774" s="54" t="s">
        <v>1142</v>
      </c>
      <c r="S774" s="54" t="s">
        <v>1142</v>
      </c>
      <c r="T774" s="54" t="s">
        <v>1142</v>
      </c>
      <c r="U774" s="54" t="s">
        <v>1142</v>
      </c>
      <c r="V774" s="53" t="s">
        <v>1143</v>
      </c>
      <c r="W774" s="53"/>
      <c r="X774" s="53">
        <f t="shared" si="205"/>
        <v>0</v>
      </c>
      <c r="Y774" s="55"/>
      <c r="Z774" s="55"/>
      <c r="AA774" s="52">
        <f t="shared" si="206"/>
        <v>0</v>
      </c>
      <c r="AB774" s="53">
        <f t="shared" si="207"/>
        <v>0</v>
      </c>
      <c r="AC774" s="53">
        <f t="shared" si="208"/>
        <v>0</v>
      </c>
      <c r="AD774" s="53">
        <f t="shared" si="209"/>
        <v>0</v>
      </c>
      <c r="AE774" s="53">
        <f t="shared" si="210"/>
        <v>0</v>
      </c>
      <c r="AF774" s="53">
        <f t="shared" si="211"/>
        <v>0</v>
      </c>
      <c r="AG774" s="56">
        <f t="shared" si="212"/>
        <v>0</v>
      </c>
      <c r="AH774" s="53">
        <f t="shared" si="213"/>
        <v>0</v>
      </c>
      <c r="AI774" s="55"/>
      <c r="AJ774" s="53">
        <f t="shared" si="214"/>
        <v>0</v>
      </c>
      <c r="AK774" s="53">
        <f t="shared" si="215"/>
        <v>0</v>
      </c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7"/>
      <c r="AW774" s="57"/>
      <c r="AX774" s="57"/>
    </row>
    <row r="775" spans="2:50">
      <c r="B775" s="45">
        <v>751</v>
      </c>
      <c r="C775" s="321" t="s">
        <v>1138</v>
      </c>
      <c r="D775" s="322" t="s">
        <v>1139</v>
      </c>
      <c r="E775" s="321" t="s">
        <v>1149</v>
      </c>
      <c r="F775" s="174" t="s">
        <v>1151</v>
      </c>
      <c r="G775" s="323" t="s">
        <v>190</v>
      </c>
      <c r="H775" s="324">
        <v>42377</v>
      </c>
      <c r="I775" s="164" t="s">
        <v>409</v>
      </c>
      <c r="J775" s="325">
        <f t="shared" si="189"/>
        <v>102</v>
      </c>
      <c r="K775" s="325">
        <v>102</v>
      </c>
      <c r="L775" s="325">
        <v>0</v>
      </c>
      <c r="M775" s="325"/>
      <c r="N775" s="50">
        <v>0.5</v>
      </c>
      <c r="O775" s="50">
        <v>0</v>
      </c>
      <c r="P775" s="52">
        <v>2</v>
      </c>
      <c r="Q775" s="53"/>
      <c r="R775" s="54" t="s">
        <v>1142</v>
      </c>
      <c r="S775" s="54" t="s">
        <v>1142</v>
      </c>
      <c r="T775" s="54" t="s">
        <v>1142</v>
      </c>
      <c r="U775" s="54" t="s">
        <v>1142</v>
      </c>
      <c r="V775" s="53" t="s">
        <v>1143</v>
      </c>
      <c r="W775" s="53"/>
      <c r="X775" s="53">
        <f t="shared" si="205"/>
        <v>0</v>
      </c>
      <c r="Y775" s="55"/>
      <c r="Z775" s="55"/>
      <c r="AA775" s="52">
        <f t="shared" si="206"/>
        <v>0</v>
      </c>
      <c r="AB775" s="53">
        <f t="shared" si="207"/>
        <v>0</v>
      </c>
      <c r="AC775" s="53">
        <f t="shared" si="208"/>
        <v>0</v>
      </c>
      <c r="AD775" s="53">
        <f t="shared" si="209"/>
        <v>0</v>
      </c>
      <c r="AE775" s="53">
        <f t="shared" si="210"/>
        <v>0</v>
      </c>
      <c r="AF775" s="53">
        <f t="shared" si="211"/>
        <v>0</v>
      </c>
      <c r="AG775" s="56">
        <f t="shared" si="212"/>
        <v>0</v>
      </c>
      <c r="AH775" s="53">
        <f t="shared" si="213"/>
        <v>0</v>
      </c>
      <c r="AI775" s="55"/>
      <c r="AJ775" s="53">
        <f t="shared" si="214"/>
        <v>0</v>
      </c>
      <c r="AK775" s="53">
        <f t="shared" si="215"/>
        <v>0</v>
      </c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7"/>
      <c r="AW775" s="57"/>
      <c r="AX775" s="57"/>
    </row>
    <row r="776" spans="2:50">
      <c r="B776" s="45">
        <v>752</v>
      </c>
      <c r="C776" s="321" t="s">
        <v>1138</v>
      </c>
      <c r="D776" s="322" t="s">
        <v>1139</v>
      </c>
      <c r="E776" s="321" t="s">
        <v>1149</v>
      </c>
      <c r="F776" s="174" t="s">
        <v>1152</v>
      </c>
      <c r="G776" s="323" t="s">
        <v>190</v>
      </c>
      <c r="H776" s="324">
        <v>42377</v>
      </c>
      <c r="I776" s="164" t="s">
        <v>409</v>
      </c>
      <c r="J776" s="325">
        <f t="shared" si="189"/>
        <v>120</v>
      </c>
      <c r="K776" s="325">
        <v>120</v>
      </c>
      <c r="L776" s="325">
        <v>0</v>
      </c>
      <c r="M776" s="325"/>
      <c r="N776" s="50">
        <v>1.2</v>
      </c>
      <c r="O776" s="50">
        <v>0</v>
      </c>
      <c r="P776" s="52">
        <v>2</v>
      </c>
      <c r="Q776" s="53"/>
      <c r="R776" s="54" t="s">
        <v>1142</v>
      </c>
      <c r="S776" s="54" t="s">
        <v>1142</v>
      </c>
      <c r="T776" s="54" t="s">
        <v>1142</v>
      </c>
      <c r="U776" s="54" t="s">
        <v>1142</v>
      </c>
      <c r="V776" s="53" t="s">
        <v>1143</v>
      </c>
      <c r="W776" s="53"/>
      <c r="X776" s="53">
        <f t="shared" si="205"/>
        <v>0</v>
      </c>
      <c r="Y776" s="55"/>
      <c r="Z776" s="55"/>
      <c r="AA776" s="52">
        <f t="shared" si="206"/>
        <v>0</v>
      </c>
      <c r="AB776" s="53">
        <f t="shared" si="207"/>
        <v>0</v>
      </c>
      <c r="AC776" s="53">
        <f t="shared" si="208"/>
        <v>0</v>
      </c>
      <c r="AD776" s="53">
        <f t="shared" si="209"/>
        <v>0</v>
      </c>
      <c r="AE776" s="53">
        <f t="shared" si="210"/>
        <v>0</v>
      </c>
      <c r="AF776" s="53">
        <f t="shared" si="211"/>
        <v>0</v>
      </c>
      <c r="AG776" s="56">
        <f t="shared" si="212"/>
        <v>0</v>
      </c>
      <c r="AH776" s="53">
        <f t="shared" si="213"/>
        <v>0</v>
      </c>
      <c r="AI776" s="55"/>
      <c r="AJ776" s="53">
        <f t="shared" si="214"/>
        <v>0</v>
      </c>
      <c r="AK776" s="53">
        <f t="shared" si="215"/>
        <v>0</v>
      </c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7"/>
      <c r="AW776" s="57"/>
      <c r="AX776" s="57"/>
    </row>
    <row r="777" spans="2:50">
      <c r="B777" s="45">
        <v>753</v>
      </c>
      <c r="C777" s="321" t="s">
        <v>1138</v>
      </c>
      <c r="D777" s="322" t="s">
        <v>1139</v>
      </c>
      <c r="E777" s="321" t="s">
        <v>1149</v>
      </c>
      <c r="F777" s="174" t="s">
        <v>728</v>
      </c>
      <c r="G777" s="323" t="s">
        <v>190</v>
      </c>
      <c r="H777" s="324">
        <v>42377</v>
      </c>
      <c r="I777" s="164" t="s">
        <v>409</v>
      </c>
      <c r="J777" s="325">
        <f t="shared" si="189"/>
        <v>102</v>
      </c>
      <c r="K777" s="325">
        <v>102</v>
      </c>
      <c r="L777" s="325">
        <v>0</v>
      </c>
      <c r="M777" s="325"/>
      <c r="N777" s="50">
        <v>0.5</v>
      </c>
      <c r="O777" s="50">
        <v>0</v>
      </c>
      <c r="P777" s="52">
        <v>2</v>
      </c>
      <c r="Q777" s="53"/>
      <c r="R777" s="54" t="s">
        <v>1142</v>
      </c>
      <c r="S777" s="54" t="s">
        <v>1142</v>
      </c>
      <c r="T777" s="54" t="s">
        <v>1142</v>
      </c>
      <c r="U777" s="54" t="s">
        <v>1142</v>
      </c>
      <c r="V777" s="53" t="s">
        <v>1143</v>
      </c>
      <c r="W777" s="53"/>
      <c r="X777" s="53">
        <f t="shared" si="205"/>
        <v>0</v>
      </c>
      <c r="Y777" s="55"/>
      <c r="Z777" s="55"/>
      <c r="AA777" s="52">
        <f t="shared" si="206"/>
        <v>0</v>
      </c>
      <c r="AB777" s="53">
        <f t="shared" si="207"/>
        <v>0</v>
      </c>
      <c r="AC777" s="53">
        <f t="shared" si="208"/>
        <v>0</v>
      </c>
      <c r="AD777" s="53">
        <f t="shared" si="209"/>
        <v>0</v>
      </c>
      <c r="AE777" s="53">
        <f t="shared" si="210"/>
        <v>0</v>
      </c>
      <c r="AF777" s="53">
        <f t="shared" si="211"/>
        <v>0</v>
      </c>
      <c r="AG777" s="56">
        <f t="shared" si="212"/>
        <v>0</v>
      </c>
      <c r="AH777" s="53">
        <f t="shared" si="213"/>
        <v>0</v>
      </c>
      <c r="AI777" s="55"/>
      <c r="AJ777" s="53">
        <f t="shared" si="214"/>
        <v>0</v>
      </c>
      <c r="AK777" s="53">
        <f t="shared" si="215"/>
        <v>0</v>
      </c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7"/>
      <c r="AW777" s="57"/>
      <c r="AX777" s="57"/>
    </row>
    <row r="778" spans="2:50">
      <c r="B778" s="45">
        <v>754</v>
      </c>
      <c r="C778" s="321" t="s">
        <v>1138</v>
      </c>
      <c r="D778" s="322" t="s">
        <v>1139</v>
      </c>
      <c r="E778" s="321" t="s">
        <v>1149</v>
      </c>
      <c r="F778" s="174" t="s">
        <v>1153</v>
      </c>
      <c r="G778" s="323" t="s">
        <v>190</v>
      </c>
      <c r="H778" s="324">
        <v>42437</v>
      </c>
      <c r="I778" s="164" t="s">
        <v>409</v>
      </c>
      <c r="J778" s="325">
        <f t="shared" si="189"/>
        <v>60</v>
      </c>
      <c r="K778" s="325">
        <v>60</v>
      </c>
      <c r="L778" s="325">
        <v>0</v>
      </c>
      <c r="M778" s="325"/>
      <c r="N778" s="50">
        <v>0.4</v>
      </c>
      <c r="O778" s="50">
        <v>0</v>
      </c>
      <c r="P778" s="52">
        <v>2</v>
      </c>
      <c r="Q778" s="53"/>
      <c r="R778" s="54" t="s">
        <v>1142</v>
      </c>
      <c r="S778" s="54" t="s">
        <v>1142</v>
      </c>
      <c r="T778" s="54" t="s">
        <v>1142</v>
      </c>
      <c r="U778" s="54" t="s">
        <v>1142</v>
      </c>
      <c r="V778" s="53" t="s">
        <v>1143</v>
      </c>
      <c r="W778" s="53"/>
      <c r="X778" s="53">
        <f t="shared" si="205"/>
        <v>0</v>
      </c>
      <c r="Y778" s="55"/>
      <c r="Z778" s="55"/>
      <c r="AA778" s="52">
        <f t="shared" si="206"/>
        <v>0</v>
      </c>
      <c r="AB778" s="53">
        <f t="shared" si="207"/>
        <v>0</v>
      </c>
      <c r="AC778" s="53">
        <f t="shared" si="208"/>
        <v>0</v>
      </c>
      <c r="AD778" s="53">
        <f t="shared" si="209"/>
        <v>0</v>
      </c>
      <c r="AE778" s="53">
        <f t="shared" si="210"/>
        <v>0</v>
      </c>
      <c r="AF778" s="53">
        <f t="shared" si="211"/>
        <v>0</v>
      </c>
      <c r="AG778" s="56">
        <f t="shared" si="212"/>
        <v>0</v>
      </c>
      <c r="AH778" s="53">
        <f t="shared" si="213"/>
        <v>0</v>
      </c>
      <c r="AI778" s="55"/>
      <c r="AJ778" s="53">
        <f t="shared" si="214"/>
        <v>0</v>
      </c>
      <c r="AK778" s="53">
        <f t="shared" si="215"/>
        <v>0</v>
      </c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7"/>
      <c r="AW778" s="57"/>
      <c r="AX778" s="57"/>
    </row>
    <row r="779" spans="2:50">
      <c r="B779" s="45">
        <v>755</v>
      </c>
      <c r="C779" s="321" t="s">
        <v>1138</v>
      </c>
      <c r="D779" s="322" t="s">
        <v>1139</v>
      </c>
      <c r="E779" s="321" t="s">
        <v>1149</v>
      </c>
      <c r="F779" s="174" t="s">
        <v>1154</v>
      </c>
      <c r="G779" s="323" t="s">
        <v>190</v>
      </c>
      <c r="H779" s="324">
        <v>42431</v>
      </c>
      <c r="I779" s="164" t="s">
        <v>409</v>
      </c>
      <c r="J779" s="325">
        <f t="shared" ref="J779:J842" si="216">SUM(K779:L779)</f>
        <v>30</v>
      </c>
      <c r="K779" s="325">
        <v>30</v>
      </c>
      <c r="L779" s="325">
        <v>0</v>
      </c>
      <c r="M779" s="325"/>
      <c r="N779" s="325">
        <v>0.2</v>
      </c>
      <c r="O779" s="325">
        <v>0</v>
      </c>
      <c r="P779" s="326">
        <v>2</v>
      </c>
      <c r="Q779" s="53"/>
      <c r="R779" s="54" t="s">
        <v>1142</v>
      </c>
      <c r="S779" s="54" t="s">
        <v>1142</v>
      </c>
      <c r="T779" s="54" t="s">
        <v>1142</v>
      </c>
      <c r="U779" s="54" t="s">
        <v>1142</v>
      </c>
      <c r="V779" s="53" t="s">
        <v>1143</v>
      </c>
      <c r="W779" s="53"/>
      <c r="X779" s="53">
        <f t="shared" si="205"/>
        <v>0</v>
      </c>
      <c r="Y779" s="55"/>
      <c r="Z779" s="55"/>
      <c r="AA779" s="52">
        <f t="shared" si="206"/>
        <v>0</v>
      </c>
      <c r="AB779" s="53">
        <f t="shared" si="207"/>
        <v>0</v>
      </c>
      <c r="AC779" s="53">
        <f t="shared" si="208"/>
        <v>0</v>
      </c>
      <c r="AD779" s="53">
        <f t="shared" si="209"/>
        <v>0</v>
      </c>
      <c r="AE779" s="53">
        <f t="shared" si="210"/>
        <v>0</v>
      </c>
      <c r="AF779" s="53">
        <f t="shared" si="211"/>
        <v>0</v>
      </c>
      <c r="AG779" s="56">
        <f t="shared" si="212"/>
        <v>0</v>
      </c>
      <c r="AH779" s="53">
        <f t="shared" si="213"/>
        <v>0</v>
      </c>
      <c r="AI779" s="55"/>
      <c r="AJ779" s="53">
        <f t="shared" si="214"/>
        <v>0</v>
      </c>
      <c r="AK779" s="53">
        <f t="shared" si="215"/>
        <v>0</v>
      </c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7"/>
      <c r="AW779" s="57"/>
      <c r="AX779" s="57"/>
    </row>
    <row r="780" spans="2:50">
      <c r="B780" s="45">
        <v>756</v>
      </c>
      <c r="C780" s="321" t="s">
        <v>1138</v>
      </c>
      <c r="D780" s="322" t="s">
        <v>1139</v>
      </c>
      <c r="E780" s="321" t="s">
        <v>1149</v>
      </c>
      <c r="F780" s="174" t="s">
        <v>1155</v>
      </c>
      <c r="G780" s="323" t="s">
        <v>190</v>
      </c>
      <c r="H780" s="324">
        <v>42387</v>
      </c>
      <c r="I780" s="164" t="s">
        <v>409</v>
      </c>
      <c r="J780" s="325">
        <f t="shared" si="216"/>
        <v>12</v>
      </c>
      <c r="K780" s="325">
        <v>12</v>
      </c>
      <c r="L780" s="325">
        <v>0</v>
      </c>
      <c r="M780" s="325"/>
      <c r="N780" s="325">
        <v>0.2</v>
      </c>
      <c r="O780" s="325">
        <v>0</v>
      </c>
      <c r="P780" s="326">
        <v>2</v>
      </c>
      <c r="Q780" s="53"/>
      <c r="R780" s="54" t="s">
        <v>1142</v>
      </c>
      <c r="S780" s="54" t="s">
        <v>1142</v>
      </c>
      <c r="T780" s="54" t="s">
        <v>1142</v>
      </c>
      <c r="U780" s="54" t="s">
        <v>1142</v>
      </c>
      <c r="V780" s="53" t="s">
        <v>1143</v>
      </c>
      <c r="W780" s="53"/>
      <c r="X780" s="53">
        <f t="shared" si="205"/>
        <v>0</v>
      </c>
      <c r="Y780" s="55"/>
      <c r="Z780" s="55"/>
      <c r="AA780" s="52">
        <f t="shared" si="206"/>
        <v>0</v>
      </c>
      <c r="AB780" s="53">
        <f t="shared" si="207"/>
        <v>0</v>
      </c>
      <c r="AC780" s="53">
        <f t="shared" si="208"/>
        <v>0</v>
      </c>
      <c r="AD780" s="53">
        <f t="shared" si="209"/>
        <v>0</v>
      </c>
      <c r="AE780" s="53">
        <f t="shared" si="210"/>
        <v>0</v>
      </c>
      <c r="AF780" s="53">
        <f t="shared" si="211"/>
        <v>0</v>
      </c>
      <c r="AG780" s="56">
        <f t="shared" si="212"/>
        <v>0</v>
      </c>
      <c r="AH780" s="53">
        <f t="shared" si="213"/>
        <v>0</v>
      </c>
      <c r="AI780" s="55"/>
      <c r="AJ780" s="53">
        <f t="shared" si="214"/>
        <v>0</v>
      </c>
      <c r="AK780" s="53">
        <f t="shared" si="215"/>
        <v>0</v>
      </c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7"/>
      <c r="AW780" s="57"/>
      <c r="AX780" s="57"/>
    </row>
    <row r="781" spans="2:50">
      <c r="B781" s="45">
        <v>757</v>
      </c>
      <c r="C781" s="321" t="s">
        <v>1138</v>
      </c>
      <c r="D781" s="322" t="s">
        <v>1139</v>
      </c>
      <c r="E781" s="321" t="s">
        <v>1149</v>
      </c>
      <c r="F781" s="327" t="s">
        <v>1156</v>
      </c>
      <c r="G781" s="323" t="s">
        <v>190</v>
      </c>
      <c r="H781" s="324">
        <v>42387</v>
      </c>
      <c r="I781" s="164" t="s">
        <v>409</v>
      </c>
      <c r="J781" s="325">
        <f t="shared" si="216"/>
        <v>48</v>
      </c>
      <c r="K781" s="325">
        <v>48</v>
      </c>
      <c r="L781" s="325">
        <v>0</v>
      </c>
      <c r="M781" s="325"/>
      <c r="N781" s="50">
        <v>0.35</v>
      </c>
      <c r="O781" s="50">
        <v>0</v>
      </c>
      <c r="P781" s="52">
        <v>2</v>
      </c>
      <c r="Q781" s="53"/>
      <c r="R781" s="54" t="s">
        <v>1142</v>
      </c>
      <c r="S781" s="54" t="s">
        <v>1142</v>
      </c>
      <c r="T781" s="54" t="s">
        <v>1142</v>
      </c>
      <c r="U781" s="54" t="s">
        <v>1142</v>
      </c>
      <c r="V781" s="53" t="s">
        <v>1143</v>
      </c>
      <c r="W781" s="53"/>
      <c r="X781" s="53">
        <f t="shared" si="205"/>
        <v>0</v>
      </c>
      <c r="Y781" s="55"/>
      <c r="Z781" s="55"/>
      <c r="AA781" s="52">
        <f t="shared" si="206"/>
        <v>0</v>
      </c>
      <c r="AB781" s="53">
        <f t="shared" si="207"/>
        <v>0</v>
      </c>
      <c r="AC781" s="53">
        <f t="shared" si="208"/>
        <v>0</v>
      </c>
      <c r="AD781" s="53">
        <f t="shared" si="209"/>
        <v>0</v>
      </c>
      <c r="AE781" s="53">
        <f t="shared" si="210"/>
        <v>0</v>
      </c>
      <c r="AF781" s="53">
        <f t="shared" si="211"/>
        <v>0</v>
      </c>
      <c r="AG781" s="56">
        <f t="shared" si="212"/>
        <v>0</v>
      </c>
      <c r="AH781" s="53">
        <f t="shared" si="213"/>
        <v>0</v>
      </c>
      <c r="AI781" s="55"/>
      <c r="AJ781" s="53">
        <f t="shared" si="214"/>
        <v>0</v>
      </c>
      <c r="AK781" s="53">
        <f t="shared" si="215"/>
        <v>0</v>
      </c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7"/>
      <c r="AW781" s="57"/>
      <c r="AX781" s="57"/>
    </row>
    <row r="782" spans="2:50">
      <c r="B782" s="45">
        <v>758</v>
      </c>
      <c r="C782" s="321" t="s">
        <v>1138</v>
      </c>
      <c r="D782" s="322" t="s">
        <v>1139</v>
      </c>
      <c r="E782" s="321" t="s">
        <v>1149</v>
      </c>
      <c r="F782" s="174" t="s">
        <v>1157</v>
      </c>
      <c r="G782" s="323" t="s">
        <v>190</v>
      </c>
      <c r="H782" s="324">
        <v>42387</v>
      </c>
      <c r="I782" s="164" t="s">
        <v>409</v>
      </c>
      <c r="J782" s="325">
        <f t="shared" si="216"/>
        <v>78</v>
      </c>
      <c r="K782" s="325">
        <v>78</v>
      </c>
      <c r="L782" s="325">
        <v>0</v>
      </c>
      <c r="M782" s="325"/>
      <c r="N782" s="50">
        <v>0.7</v>
      </c>
      <c r="O782" s="50">
        <v>0</v>
      </c>
      <c r="P782" s="52">
        <v>2</v>
      </c>
      <c r="Q782" s="53"/>
      <c r="R782" s="54" t="s">
        <v>1142</v>
      </c>
      <c r="S782" s="54" t="s">
        <v>1142</v>
      </c>
      <c r="T782" s="54" t="s">
        <v>1142</v>
      </c>
      <c r="U782" s="54" t="s">
        <v>1142</v>
      </c>
      <c r="V782" s="53" t="s">
        <v>1143</v>
      </c>
      <c r="W782" s="53"/>
      <c r="X782" s="53">
        <f t="shared" si="205"/>
        <v>0</v>
      </c>
      <c r="Y782" s="55"/>
      <c r="Z782" s="55"/>
      <c r="AA782" s="52">
        <f t="shared" si="206"/>
        <v>0</v>
      </c>
      <c r="AB782" s="53">
        <f t="shared" si="207"/>
        <v>0</v>
      </c>
      <c r="AC782" s="53">
        <f t="shared" si="208"/>
        <v>0</v>
      </c>
      <c r="AD782" s="53">
        <f t="shared" si="209"/>
        <v>0</v>
      </c>
      <c r="AE782" s="53">
        <f t="shared" si="210"/>
        <v>0</v>
      </c>
      <c r="AF782" s="53">
        <f t="shared" si="211"/>
        <v>0</v>
      </c>
      <c r="AG782" s="56">
        <f t="shared" si="212"/>
        <v>0</v>
      </c>
      <c r="AH782" s="53">
        <f t="shared" si="213"/>
        <v>0</v>
      </c>
      <c r="AI782" s="55"/>
      <c r="AJ782" s="53">
        <f t="shared" si="214"/>
        <v>0</v>
      </c>
      <c r="AK782" s="53">
        <f t="shared" si="215"/>
        <v>0</v>
      </c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7"/>
      <c r="AW782" s="57"/>
      <c r="AX782" s="57"/>
    </row>
    <row r="783" spans="2:50">
      <c r="B783" s="45">
        <v>759</v>
      </c>
      <c r="C783" s="321" t="s">
        <v>1138</v>
      </c>
      <c r="D783" s="321" t="s">
        <v>1158</v>
      </c>
      <c r="E783" s="321" t="s">
        <v>1159</v>
      </c>
      <c r="F783" s="321" t="s">
        <v>726</v>
      </c>
      <c r="G783" s="323" t="s">
        <v>190</v>
      </c>
      <c r="H783" s="324">
        <v>42431</v>
      </c>
      <c r="I783" s="164" t="s">
        <v>409</v>
      </c>
      <c r="J783" s="325">
        <f t="shared" si="216"/>
        <v>36</v>
      </c>
      <c r="K783" s="325">
        <v>36</v>
      </c>
      <c r="L783" s="325">
        <v>0</v>
      </c>
      <c r="M783" s="325"/>
      <c r="N783" s="50">
        <v>0.55000000000000004</v>
      </c>
      <c r="O783" s="50">
        <v>0</v>
      </c>
      <c r="P783" s="52">
        <v>2</v>
      </c>
      <c r="Q783" s="53"/>
      <c r="R783" s="54" t="s">
        <v>1142</v>
      </c>
      <c r="S783" s="54" t="s">
        <v>1142</v>
      </c>
      <c r="T783" s="54" t="s">
        <v>1142</v>
      </c>
      <c r="U783" s="54" t="s">
        <v>1142</v>
      </c>
      <c r="V783" s="53" t="s">
        <v>1143</v>
      </c>
      <c r="W783" s="53"/>
      <c r="X783" s="53">
        <f t="shared" si="205"/>
        <v>0</v>
      </c>
      <c r="Y783" s="55"/>
      <c r="Z783" s="55"/>
      <c r="AA783" s="52">
        <f t="shared" si="206"/>
        <v>0</v>
      </c>
      <c r="AB783" s="53">
        <f t="shared" si="207"/>
        <v>0</v>
      </c>
      <c r="AC783" s="53">
        <f t="shared" si="208"/>
        <v>0</v>
      </c>
      <c r="AD783" s="53">
        <f t="shared" si="209"/>
        <v>0</v>
      </c>
      <c r="AE783" s="53">
        <f t="shared" si="210"/>
        <v>0</v>
      </c>
      <c r="AF783" s="53">
        <f t="shared" si="211"/>
        <v>0</v>
      </c>
      <c r="AG783" s="56">
        <f t="shared" si="212"/>
        <v>0</v>
      </c>
      <c r="AH783" s="53">
        <f t="shared" si="213"/>
        <v>0</v>
      </c>
      <c r="AI783" s="55"/>
      <c r="AJ783" s="53">
        <f t="shared" si="214"/>
        <v>0</v>
      </c>
      <c r="AK783" s="53">
        <f t="shared" si="215"/>
        <v>0</v>
      </c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7"/>
      <c r="AW783" s="57"/>
      <c r="AX783" s="57"/>
    </row>
    <row r="784" spans="2:50">
      <c r="B784" s="45">
        <v>760</v>
      </c>
      <c r="C784" s="321" t="s">
        <v>1138</v>
      </c>
      <c r="D784" s="321" t="s">
        <v>1158</v>
      </c>
      <c r="E784" s="321" t="s">
        <v>1159</v>
      </c>
      <c r="F784" s="321" t="s">
        <v>1160</v>
      </c>
      <c r="G784" s="323" t="s">
        <v>190</v>
      </c>
      <c r="H784" s="324">
        <v>42431</v>
      </c>
      <c r="I784" s="164" t="s">
        <v>409</v>
      </c>
      <c r="J784" s="325">
        <f t="shared" si="216"/>
        <v>60</v>
      </c>
      <c r="K784" s="325">
        <v>60</v>
      </c>
      <c r="L784" s="325">
        <v>0</v>
      </c>
      <c r="M784" s="325"/>
      <c r="N784" s="50">
        <v>0.85</v>
      </c>
      <c r="O784" s="50">
        <v>0</v>
      </c>
      <c r="P784" s="52">
        <v>2</v>
      </c>
      <c r="Q784" s="53"/>
      <c r="R784" s="54" t="s">
        <v>1142</v>
      </c>
      <c r="S784" s="54" t="s">
        <v>1142</v>
      </c>
      <c r="T784" s="54" t="s">
        <v>1142</v>
      </c>
      <c r="U784" s="54" t="s">
        <v>1142</v>
      </c>
      <c r="V784" s="53" t="s">
        <v>1143</v>
      </c>
      <c r="W784" s="53"/>
      <c r="X784" s="53">
        <f t="shared" si="205"/>
        <v>0</v>
      </c>
      <c r="Y784" s="55"/>
      <c r="Z784" s="55"/>
      <c r="AA784" s="52">
        <f t="shared" si="206"/>
        <v>0</v>
      </c>
      <c r="AB784" s="53">
        <f t="shared" si="207"/>
        <v>0</v>
      </c>
      <c r="AC784" s="53">
        <f t="shared" si="208"/>
        <v>0</v>
      </c>
      <c r="AD784" s="53">
        <f t="shared" si="209"/>
        <v>0</v>
      </c>
      <c r="AE784" s="53">
        <f t="shared" si="210"/>
        <v>0</v>
      </c>
      <c r="AF784" s="53">
        <f t="shared" si="211"/>
        <v>0</v>
      </c>
      <c r="AG784" s="56">
        <f t="shared" si="212"/>
        <v>0</v>
      </c>
      <c r="AH784" s="53">
        <f t="shared" si="213"/>
        <v>0</v>
      </c>
      <c r="AI784" s="55"/>
      <c r="AJ784" s="53">
        <f t="shared" si="214"/>
        <v>0</v>
      </c>
      <c r="AK784" s="53">
        <f t="shared" si="215"/>
        <v>0</v>
      </c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7"/>
      <c r="AW784" s="57"/>
      <c r="AX784" s="57"/>
    </row>
    <row r="785" spans="2:50">
      <c r="B785" s="45">
        <v>761</v>
      </c>
      <c r="C785" s="321" t="s">
        <v>1138</v>
      </c>
      <c r="D785" s="321" t="s">
        <v>1158</v>
      </c>
      <c r="E785" s="321" t="s">
        <v>1159</v>
      </c>
      <c r="F785" s="321" t="s">
        <v>1161</v>
      </c>
      <c r="G785" s="323" t="s">
        <v>190</v>
      </c>
      <c r="H785" s="324">
        <v>42431</v>
      </c>
      <c r="I785" s="164" t="s">
        <v>409</v>
      </c>
      <c r="J785" s="325">
        <f t="shared" si="216"/>
        <v>12</v>
      </c>
      <c r="K785" s="325">
        <v>12</v>
      </c>
      <c r="L785" s="325">
        <v>0</v>
      </c>
      <c r="M785" s="325"/>
      <c r="N785" s="325">
        <v>0.2</v>
      </c>
      <c r="O785" s="325">
        <v>0</v>
      </c>
      <c r="P785" s="326">
        <v>2</v>
      </c>
      <c r="Q785" s="53"/>
      <c r="R785" s="54" t="s">
        <v>1142</v>
      </c>
      <c r="S785" s="54" t="s">
        <v>1142</v>
      </c>
      <c r="T785" s="54" t="s">
        <v>1142</v>
      </c>
      <c r="U785" s="54" t="s">
        <v>1142</v>
      </c>
      <c r="V785" s="53" t="s">
        <v>1143</v>
      </c>
      <c r="W785" s="53"/>
      <c r="X785" s="53">
        <f t="shared" si="205"/>
        <v>0</v>
      </c>
      <c r="Y785" s="55"/>
      <c r="Z785" s="55"/>
      <c r="AA785" s="52">
        <f t="shared" si="206"/>
        <v>0</v>
      </c>
      <c r="AB785" s="53">
        <f t="shared" si="207"/>
        <v>0</v>
      </c>
      <c r="AC785" s="53">
        <f t="shared" si="208"/>
        <v>0</v>
      </c>
      <c r="AD785" s="53">
        <f t="shared" si="209"/>
        <v>0</v>
      </c>
      <c r="AE785" s="53">
        <f t="shared" si="210"/>
        <v>0</v>
      </c>
      <c r="AF785" s="53">
        <f t="shared" si="211"/>
        <v>0</v>
      </c>
      <c r="AG785" s="56">
        <f t="shared" si="212"/>
        <v>0</v>
      </c>
      <c r="AH785" s="53">
        <f t="shared" si="213"/>
        <v>0</v>
      </c>
      <c r="AI785" s="55"/>
      <c r="AJ785" s="53">
        <f t="shared" si="214"/>
        <v>0</v>
      </c>
      <c r="AK785" s="53">
        <f t="shared" si="215"/>
        <v>0</v>
      </c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7"/>
      <c r="AW785" s="57"/>
      <c r="AX785" s="57"/>
    </row>
    <row r="786" spans="2:50">
      <c r="B786" s="45">
        <v>762</v>
      </c>
      <c r="C786" s="321" t="s">
        <v>1138</v>
      </c>
      <c r="D786" s="321" t="s">
        <v>1158</v>
      </c>
      <c r="E786" s="321" t="s">
        <v>1159</v>
      </c>
      <c r="F786" s="321" t="s">
        <v>1162</v>
      </c>
      <c r="G786" s="323" t="s">
        <v>190</v>
      </c>
      <c r="H786" s="324">
        <v>42431</v>
      </c>
      <c r="I786" s="164" t="s">
        <v>409</v>
      </c>
      <c r="J786" s="325">
        <f t="shared" si="216"/>
        <v>6</v>
      </c>
      <c r="K786" s="325">
        <v>6</v>
      </c>
      <c r="L786" s="325">
        <v>0</v>
      </c>
      <c r="M786" s="325"/>
      <c r="N786" s="325">
        <v>0.02</v>
      </c>
      <c r="O786" s="325">
        <v>1</v>
      </c>
      <c r="P786" s="326">
        <v>2</v>
      </c>
      <c r="Q786" s="53"/>
      <c r="R786" s="54" t="s">
        <v>1142</v>
      </c>
      <c r="S786" s="54" t="s">
        <v>1142</v>
      </c>
      <c r="T786" s="54" t="s">
        <v>1142</v>
      </c>
      <c r="U786" s="54" t="s">
        <v>1142</v>
      </c>
      <c r="V786" s="53" t="s">
        <v>1143</v>
      </c>
      <c r="W786" s="53"/>
      <c r="X786" s="53">
        <f t="shared" si="205"/>
        <v>0</v>
      </c>
      <c r="Y786" s="55"/>
      <c r="Z786" s="55"/>
      <c r="AA786" s="52">
        <f t="shared" si="206"/>
        <v>0</v>
      </c>
      <c r="AB786" s="53">
        <f t="shared" si="207"/>
        <v>0</v>
      </c>
      <c r="AC786" s="53">
        <f t="shared" si="208"/>
        <v>0</v>
      </c>
      <c r="AD786" s="53">
        <f t="shared" si="209"/>
        <v>0</v>
      </c>
      <c r="AE786" s="53">
        <f t="shared" si="210"/>
        <v>0</v>
      </c>
      <c r="AF786" s="53">
        <f t="shared" si="211"/>
        <v>0</v>
      </c>
      <c r="AG786" s="56">
        <f t="shared" si="212"/>
        <v>0</v>
      </c>
      <c r="AH786" s="53">
        <f t="shared" si="213"/>
        <v>0</v>
      </c>
      <c r="AI786" s="55"/>
      <c r="AJ786" s="53">
        <f t="shared" si="214"/>
        <v>0</v>
      </c>
      <c r="AK786" s="53">
        <f t="shared" si="215"/>
        <v>0</v>
      </c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7"/>
      <c r="AW786" s="57"/>
      <c r="AX786" s="57"/>
    </row>
    <row r="787" spans="2:50">
      <c r="B787" s="45">
        <v>763</v>
      </c>
      <c r="C787" s="321" t="s">
        <v>1138</v>
      </c>
      <c r="D787" s="321" t="s">
        <v>1158</v>
      </c>
      <c r="E787" s="321" t="s">
        <v>1159</v>
      </c>
      <c r="F787" s="321" t="s">
        <v>1153</v>
      </c>
      <c r="G787" s="323" t="s">
        <v>190</v>
      </c>
      <c r="H787" s="324">
        <v>42431</v>
      </c>
      <c r="I787" s="164" t="s">
        <v>409</v>
      </c>
      <c r="J787" s="325">
        <f t="shared" si="216"/>
        <v>24</v>
      </c>
      <c r="K787" s="325">
        <v>24</v>
      </c>
      <c r="L787" s="325">
        <v>0</v>
      </c>
      <c r="M787" s="325"/>
      <c r="N787" s="50">
        <v>0.4</v>
      </c>
      <c r="O787" s="50">
        <v>0</v>
      </c>
      <c r="P787" s="52">
        <v>2</v>
      </c>
      <c r="Q787" s="53"/>
      <c r="R787" s="54" t="s">
        <v>1142</v>
      </c>
      <c r="S787" s="54" t="s">
        <v>1142</v>
      </c>
      <c r="T787" s="54" t="s">
        <v>1142</v>
      </c>
      <c r="U787" s="54" t="s">
        <v>1142</v>
      </c>
      <c r="V787" s="53" t="s">
        <v>1143</v>
      </c>
      <c r="W787" s="53"/>
      <c r="X787" s="53">
        <f t="shared" si="205"/>
        <v>0</v>
      </c>
      <c r="Y787" s="55"/>
      <c r="Z787" s="55"/>
      <c r="AA787" s="52">
        <f t="shared" si="206"/>
        <v>0</v>
      </c>
      <c r="AB787" s="53">
        <f t="shared" si="207"/>
        <v>0</v>
      </c>
      <c r="AC787" s="53">
        <f t="shared" si="208"/>
        <v>0</v>
      </c>
      <c r="AD787" s="53">
        <f t="shared" si="209"/>
        <v>0</v>
      </c>
      <c r="AE787" s="53">
        <f t="shared" si="210"/>
        <v>0</v>
      </c>
      <c r="AF787" s="53">
        <f t="shared" si="211"/>
        <v>0</v>
      </c>
      <c r="AG787" s="56">
        <f t="shared" si="212"/>
        <v>0</v>
      </c>
      <c r="AH787" s="53">
        <f t="shared" si="213"/>
        <v>0</v>
      </c>
      <c r="AI787" s="55"/>
      <c r="AJ787" s="53">
        <f t="shared" si="214"/>
        <v>0</v>
      </c>
      <c r="AK787" s="53">
        <f t="shared" si="215"/>
        <v>0</v>
      </c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7"/>
      <c r="AW787" s="57"/>
      <c r="AX787" s="57"/>
    </row>
    <row r="788" spans="2:50">
      <c r="B788" s="45">
        <v>764</v>
      </c>
      <c r="C788" s="321" t="s">
        <v>1138</v>
      </c>
      <c r="D788" s="321" t="s">
        <v>1158</v>
      </c>
      <c r="E788" s="321" t="s">
        <v>1159</v>
      </c>
      <c r="F788" s="321" t="s">
        <v>728</v>
      </c>
      <c r="G788" s="323" t="s">
        <v>190</v>
      </c>
      <c r="H788" s="324">
        <v>42431</v>
      </c>
      <c r="I788" s="164" t="s">
        <v>409</v>
      </c>
      <c r="J788" s="325">
        <f t="shared" si="216"/>
        <v>102</v>
      </c>
      <c r="K788" s="325">
        <v>102</v>
      </c>
      <c r="L788" s="325">
        <v>0</v>
      </c>
      <c r="M788" s="325"/>
      <c r="N788" s="50">
        <v>0.4</v>
      </c>
      <c r="O788" s="50">
        <v>0</v>
      </c>
      <c r="P788" s="52">
        <v>2</v>
      </c>
      <c r="Q788" s="53"/>
      <c r="R788" s="54" t="s">
        <v>1142</v>
      </c>
      <c r="S788" s="54" t="s">
        <v>1142</v>
      </c>
      <c r="T788" s="54" t="s">
        <v>1142</v>
      </c>
      <c r="U788" s="54" t="s">
        <v>1142</v>
      </c>
      <c r="V788" s="53" t="s">
        <v>1143</v>
      </c>
      <c r="W788" s="53"/>
      <c r="X788" s="53">
        <f t="shared" si="205"/>
        <v>0</v>
      </c>
      <c r="Y788" s="55"/>
      <c r="Z788" s="55"/>
      <c r="AA788" s="52">
        <f t="shared" si="206"/>
        <v>0</v>
      </c>
      <c r="AB788" s="53">
        <f t="shared" si="207"/>
        <v>0</v>
      </c>
      <c r="AC788" s="53">
        <f t="shared" si="208"/>
        <v>0</v>
      </c>
      <c r="AD788" s="53">
        <f t="shared" si="209"/>
        <v>0</v>
      </c>
      <c r="AE788" s="53">
        <f t="shared" si="210"/>
        <v>0</v>
      </c>
      <c r="AF788" s="53">
        <f t="shared" si="211"/>
        <v>0</v>
      </c>
      <c r="AG788" s="56">
        <f t="shared" si="212"/>
        <v>0</v>
      </c>
      <c r="AH788" s="53">
        <f t="shared" si="213"/>
        <v>0</v>
      </c>
      <c r="AI788" s="55"/>
      <c r="AJ788" s="53">
        <f t="shared" si="214"/>
        <v>0</v>
      </c>
      <c r="AK788" s="53">
        <f t="shared" si="215"/>
        <v>0</v>
      </c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7"/>
      <c r="AW788" s="57"/>
      <c r="AX788" s="57"/>
    </row>
    <row r="789" spans="2:50">
      <c r="B789" s="45">
        <v>765</v>
      </c>
      <c r="C789" s="321" t="s">
        <v>1138</v>
      </c>
      <c r="D789" s="321" t="s">
        <v>1158</v>
      </c>
      <c r="E789" s="321" t="s">
        <v>1159</v>
      </c>
      <c r="F789" s="321" t="s">
        <v>1163</v>
      </c>
      <c r="G789" s="323" t="s">
        <v>190</v>
      </c>
      <c r="H789" s="324">
        <v>42431</v>
      </c>
      <c r="I789" s="164" t="s">
        <v>409</v>
      </c>
      <c r="J789" s="325">
        <f t="shared" si="216"/>
        <v>42</v>
      </c>
      <c r="K789" s="325">
        <v>42</v>
      </c>
      <c r="L789" s="325">
        <v>0</v>
      </c>
      <c r="M789" s="325"/>
      <c r="N789" s="50">
        <v>0.7</v>
      </c>
      <c r="O789" s="50">
        <v>0.1</v>
      </c>
      <c r="P789" s="52">
        <v>2</v>
      </c>
      <c r="Q789" s="53"/>
      <c r="R789" s="54" t="s">
        <v>1142</v>
      </c>
      <c r="S789" s="54" t="s">
        <v>1142</v>
      </c>
      <c r="T789" s="54" t="s">
        <v>1142</v>
      </c>
      <c r="U789" s="54" t="s">
        <v>1142</v>
      </c>
      <c r="V789" s="53" t="s">
        <v>1143</v>
      </c>
      <c r="W789" s="53"/>
      <c r="X789" s="53">
        <f t="shared" si="205"/>
        <v>0</v>
      </c>
      <c r="Y789" s="55"/>
      <c r="Z789" s="55"/>
      <c r="AA789" s="52">
        <f t="shared" si="206"/>
        <v>0</v>
      </c>
      <c r="AB789" s="53">
        <f t="shared" si="207"/>
        <v>0</v>
      </c>
      <c r="AC789" s="53">
        <f t="shared" si="208"/>
        <v>0</v>
      </c>
      <c r="AD789" s="53">
        <f t="shared" si="209"/>
        <v>0</v>
      </c>
      <c r="AE789" s="53">
        <f t="shared" si="210"/>
        <v>0</v>
      </c>
      <c r="AF789" s="53">
        <f t="shared" si="211"/>
        <v>0</v>
      </c>
      <c r="AG789" s="56">
        <f t="shared" si="212"/>
        <v>0</v>
      </c>
      <c r="AH789" s="53">
        <f t="shared" si="213"/>
        <v>0</v>
      </c>
      <c r="AI789" s="55"/>
      <c r="AJ789" s="53">
        <f t="shared" si="214"/>
        <v>0</v>
      </c>
      <c r="AK789" s="53">
        <f t="shared" si="215"/>
        <v>0</v>
      </c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7"/>
      <c r="AW789" s="57"/>
      <c r="AX789" s="57"/>
    </row>
    <row r="790" spans="2:50">
      <c r="B790" s="45">
        <v>766</v>
      </c>
      <c r="C790" s="321" t="s">
        <v>1138</v>
      </c>
      <c r="D790" s="321" t="s">
        <v>1164</v>
      </c>
      <c r="E790" s="321" t="s">
        <v>1165</v>
      </c>
      <c r="F790" s="321" t="s">
        <v>1166</v>
      </c>
      <c r="G790" s="323" t="s">
        <v>190</v>
      </c>
      <c r="H790" s="324">
        <v>42431</v>
      </c>
      <c r="I790" s="164" t="s">
        <v>409</v>
      </c>
      <c r="J790" s="325">
        <f t="shared" si="216"/>
        <v>60</v>
      </c>
      <c r="K790" s="325">
        <v>60</v>
      </c>
      <c r="L790" s="325">
        <v>0</v>
      </c>
      <c r="M790" s="325"/>
      <c r="N790" s="325">
        <v>1</v>
      </c>
      <c r="O790" s="325">
        <v>0</v>
      </c>
      <c r="P790" s="326">
        <v>2</v>
      </c>
      <c r="Q790" s="53"/>
      <c r="R790" s="54" t="s">
        <v>1142</v>
      </c>
      <c r="S790" s="54" t="s">
        <v>1142</v>
      </c>
      <c r="T790" s="54" t="s">
        <v>1142</v>
      </c>
      <c r="U790" s="54" t="s">
        <v>1142</v>
      </c>
      <c r="V790" s="53" t="s">
        <v>1143</v>
      </c>
      <c r="W790" s="53"/>
      <c r="X790" s="53">
        <f t="shared" si="205"/>
        <v>0</v>
      </c>
      <c r="Y790" s="55"/>
      <c r="Z790" s="55"/>
      <c r="AA790" s="52">
        <f t="shared" si="206"/>
        <v>0</v>
      </c>
      <c r="AB790" s="53">
        <f t="shared" si="207"/>
        <v>0</v>
      </c>
      <c r="AC790" s="53">
        <f t="shared" si="208"/>
        <v>0</v>
      </c>
      <c r="AD790" s="53">
        <f t="shared" si="209"/>
        <v>0</v>
      </c>
      <c r="AE790" s="53">
        <f t="shared" si="210"/>
        <v>0</v>
      </c>
      <c r="AF790" s="53">
        <f t="shared" si="211"/>
        <v>0</v>
      </c>
      <c r="AG790" s="56">
        <f t="shared" si="212"/>
        <v>0</v>
      </c>
      <c r="AH790" s="53">
        <f t="shared" si="213"/>
        <v>0</v>
      </c>
      <c r="AI790" s="55"/>
      <c r="AJ790" s="53">
        <f t="shared" si="214"/>
        <v>0</v>
      </c>
      <c r="AK790" s="53">
        <f t="shared" si="215"/>
        <v>0</v>
      </c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7"/>
      <c r="AW790" s="57"/>
      <c r="AX790" s="57"/>
    </row>
    <row r="791" spans="2:50">
      <c r="B791" s="45">
        <v>767</v>
      </c>
      <c r="C791" s="321" t="s">
        <v>1138</v>
      </c>
      <c r="D791" s="321" t="s">
        <v>1164</v>
      </c>
      <c r="E791" s="321" t="s">
        <v>1165</v>
      </c>
      <c r="F791" s="321" t="s">
        <v>1167</v>
      </c>
      <c r="G791" s="323" t="s">
        <v>190</v>
      </c>
      <c r="H791" s="324">
        <v>42431</v>
      </c>
      <c r="I791" s="164" t="s">
        <v>409</v>
      </c>
      <c r="J791" s="325">
        <f t="shared" si="216"/>
        <v>6</v>
      </c>
      <c r="K791" s="325">
        <v>6</v>
      </c>
      <c r="L791" s="325">
        <v>0</v>
      </c>
      <c r="M791" s="325"/>
      <c r="N791" s="325">
        <v>0.1</v>
      </c>
      <c r="O791" s="325">
        <v>0</v>
      </c>
      <c r="P791" s="326">
        <v>2</v>
      </c>
      <c r="Q791" s="53"/>
      <c r="R791" s="54" t="s">
        <v>1142</v>
      </c>
      <c r="S791" s="54" t="s">
        <v>1142</v>
      </c>
      <c r="T791" s="54" t="s">
        <v>1142</v>
      </c>
      <c r="U791" s="54" t="s">
        <v>1142</v>
      </c>
      <c r="V791" s="53" t="s">
        <v>1143</v>
      </c>
      <c r="W791" s="53"/>
      <c r="X791" s="53">
        <f t="shared" si="205"/>
        <v>0</v>
      </c>
      <c r="Y791" s="55"/>
      <c r="Z791" s="55"/>
      <c r="AA791" s="52">
        <f t="shared" si="206"/>
        <v>0</v>
      </c>
      <c r="AB791" s="53">
        <f t="shared" si="207"/>
        <v>0</v>
      </c>
      <c r="AC791" s="53">
        <f t="shared" si="208"/>
        <v>0</v>
      </c>
      <c r="AD791" s="53">
        <f t="shared" si="209"/>
        <v>0</v>
      </c>
      <c r="AE791" s="53">
        <f t="shared" si="210"/>
        <v>0</v>
      </c>
      <c r="AF791" s="53">
        <f t="shared" si="211"/>
        <v>0</v>
      </c>
      <c r="AG791" s="56">
        <f t="shared" si="212"/>
        <v>0</v>
      </c>
      <c r="AH791" s="53">
        <f t="shared" si="213"/>
        <v>0</v>
      </c>
      <c r="AI791" s="55"/>
      <c r="AJ791" s="53">
        <f t="shared" si="214"/>
        <v>0</v>
      </c>
      <c r="AK791" s="53">
        <f t="shared" si="215"/>
        <v>0</v>
      </c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7"/>
      <c r="AW791" s="57"/>
      <c r="AX791" s="57"/>
    </row>
    <row r="792" spans="2:50">
      <c r="B792" s="45">
        <v>768</v>
      </c>
      <c r="C792" s="321" t="s">
        <v>1138</v>
      </c>
      <c r="D792" s="321" t="s">
        <v>1164</v>
      </c>
      <c r="E792" s="321" t="s">
        <v>1165</v>
      </c>
      <c r="F792" s="321" t="s">
        <v>1168</v>
      </c>
      <c r="G792" s="323" t="s">
        <v>190</v>
      </c>
      <c r="H792" s="324">
        <v>42431</v>
      </c>
      <c r="I792" s="164" t="s">
        <v>409</v>
      </c>
      <c r="J792" s="325">
        <f t="shared" si="216"/>
        <v>6</v>
      </c>
      <c r="K792" s="325">
        <v>6</v>
      </c>
      <c r="L792" s="325">
        <v>0</v>
      </c>
      <c r="M792" s="325"/>
      <c r="N792" s="325">
        <v>0.05</v>
      </c>
      <c r="O792" s="325">
        <v>0</v>
      </c>
      <c r="P792" s="326">
        <v>2</v>
      </c>
      <c r="Q792" s="53"/>
      <c r="R792" s="54" t="s">
        <v>1142</v>
      </c>
      <c r="S792" s="54" t="s">
        <v>1142</v>
      </c>
      <c r="T792" s="54" t="s">
        <v>1142</v>
      </c>
      <c r="U792" s="54" t="s">
        <v>1142</v>
      </c>
      <c r="V792" s="53" t="s">
        <v>1143</v>
      </c>
      <c r="W792" s="53"/>
      <c r="X792" s="53">
        <f t="shared" si="205"/>
        <v>0</v>
      </c>
      <c r="Y792" s="55"/>
      <c r="Z792" s="55"/>
      <c r="AA792" s="52">
        <f t="shared" si="206"/>
        <v>0</v>
      </c>
      <c r="AB792" s="53">
        <f t="shared" si="207"/>
        <v>0</v>
      </c>
      <c r="AC792" s="53">
        <f t="shared" si="208"/>
        <v>0</v>
      </c>
      <c r="AD792" s="53">
        <f t="shared" si="209"/>
        <v>0</v>
      </c>
      <c r="AE792" s="53">
        <f t="shared" si="210"/>
        <v>0</v>
      </c>
      <c r="AF792" s="53">
        <f t="shared" si="211"/>
        <v>0</v>
      </c>
      <c r="AG792" s="56">
        <f t="shared" si="212"/>
        <v>0</v>
      </c>
      <c r="AH792" s="53">
        <f t="shared" si="213"/>
        <v>0</v>
      </c>
      <c r="AI792" s="55"/>
      <c r="AJ792" s="53">
        <f t="shared" si="214"/>
        <v>0</v>
      </c>
      <c r="AK792" s="53">
        <f t="shared" si="215"/>
        <v>0</v>
      </c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7"/>
      <c r="AW792" s="57"/>
      <c r="AX792" s="57"/>
    </row>
    <row r="793" spans="2:50">
      <c r="B793" s="45">
        <v>769</v>
      </c>
      <c r="C793" s="321" t="s">
        <v>1138</v>
      </c>
      <c r="D793" s="321" t="s">
        <v>1164</v>
      </c>
      <c r="E793" s="321" t="s">
        <v>1165</v>
      </c>
      <c r="F793" s="321" t="s">
        <v>1169</v>
      </c>
      <c r="G793" s="323" t="s">
        <v>190</v>
      </c>
      <c r="H793" s="324">
        <v>42431</v>
      </c>
      <c r="I793" s="164" t="s">
        <v>409</v>
      </c>
      <c r="J793" s="325">
        <f t="shared" si="216"/>
        <v>6</v>
      </c>
      <c r="K793" s="325">
        <v>6</v>
      </c>
      <c r="L793" s="325">
        <v>0</v>
      </c>
      <c r="M793" s="325"/>
      <c r="N793" s="325">
        <v>0.1</v>
      </c>
      <c r="O793" s="325">
        <v>0</v>
      </c>
      <c r="P793" s="326">
        <v>1</v>
      </c>
      <c r="Q793" s="53"/>
      <c r="R793" s="54" t="s">
        <v>1142</v>
      </c>
      <c r="S793" s="54" t="s">
        <v>1142</v>
      </c>
      <c r="T793" s="54" t="s">
        <v>1142</v>
      </c>
      <c r="U793" s="54" t="s">
        <v>1142</v>
      </c>
      <c r="V793" s="53" t="s">
        <v>1143</v>
      </c>
      <c r="W793" s="53"/>
      <c r="X793" s="53">
        <f t="shared" si="205"/>
        <v>0</v>
      </c>
      <c r="Y793" s="55"/>
      <c r="Z793" s="55"/>
      <c r="AA793" s="52">
        <f t="shared" si="206"/>
        <v>0</v>
      </c>
      <c r="AB793" s="53">
        <f t="shared" si="207"/>
        <v>0</v>
      </c>
      <c r="AC793" s="53">
        <f t="shared" si="208"/>
        <v>0</v>
      </c>
      <c r="AD793" s="53">
        <f t="shared" si="209"/>
        <v>0</v>
      </c>
      <c r="AE793" s="53">
        <f t="shared" si="210"/>
        <v>0</v>
      </c>
      <c r="AF793" s="53">
        <f t="shared" si="211"/>
        <v>0</v>
      </c>
      <c r="AG793" s="56">
        <f t="shared" si="212"/>
        <v>0</v>
      </c>
      <c r="AH793" s="53">
        <f t="shared" si="213"/>
        <v>0</v>
      </c>
      <c r="AI793" s="55"/>
      <c r="AJ793" s="53">
        <f t="shared" si="214"/>
        <v>0</v>
      </c>
      <c r="AK793" s="53">
        <f t="shared" si="215"/>
        <v>0</v>
      </c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7"/>
      <c r="AW793" s="57"/>
      <c r="AX793" s="57"/>
    </row>
    <row r="794" spans="2:50">
      <c r="B794" s="45">
        <v>770</v>
      </c>
      <c r="C794" s="321" t="s">
        <v>1138</v>
      </c>
      <c r="D794" s="321" t="s">
        <v>1170</v>
      </c>
      <c r="E794" s="321" t="s">
        <v>1171</v>
      </c>
      <c r="F794" s="327" t="s">
        <v>1172</v>
      </c>
      <c r="G794" s="323" t="s">
        <v>618</v>
      </c>
      <c r="H794" s="324">
        <v>42928</v>
      </c>
      <c r="I794" s="164" t="s">
        <v>409</v>
      </c>
      <c r="J794" s="328">
        <f t="shared" si="216"/>
        <v>30</v>
      </c>
      <c r="K794" s="328">
        <v>30</v>
      </c>
      <c r="L794" s="329">
        <v>0</v>
      </c>
      <c r="M794" s="329"/>
      <c r="N794" s="329">
        <v>0.5</v>
      </c>
      <c r="O794" s="329">
        <v>0</v>
      </c>
      <c r="P794" s="330">
        <v>1</v>
      </c>
      <c r="Q794" s="53"/>
      <c r="R794" s="54" t="s">
        <v>1142</v>
      </c>
      <c r="S794" s="54" t="s">
        <v>1142</v>
      </c>
      <c r="T794" s="54" t="s">
        <v>1142</v>
      </c>
      <c r="U794" s="54" t="s">
        <v>1142</v>
      </c>
      <c r="V794" s="53" t="s">
        <v>1173</v>
      </c>
      <c r="W794" s="53"/>
      <c r="X794" s="53">
        <f t="shared" si="205"/>
        <v>0</v>
      </c>
      <c r="Y794" s="55"/>
      <c r="Z794" s="55"/>
      <c r="AA794" s="52">
        <f t="shared" si="206"/>
        <v>0</v>
      </c>
      <c r="AB794" s="53">
        <f t="shared" si="207"/>
        <v>0</v>
      </c>
      <c r="AC794" s="53">
        <f t="shared" si="208"/>
        <v>0</v>
      </c>
      <c r="AD794" s="53">
        <f t="shared" si="209"/>
        <v>0</v>
      </c>
      <c r="AE794" s="53">
        <f t="shared" si="210"/>
        <v>0</v>
      </c>
      <c r="AF794" s="53">
        <f t="shared" si="211"/>
        <v>0</v>
      </c>
      <c r="AG794" s="56">
        <f t="shared" si="212"/>
        <v>0</v>
      </c>
      <c r="AH794" s="53">
        <f t="shared" si="213"/>
        <v>0</v>
      </c>
      <c r="AI794" s="55"/>
      <c r="AJ794" s="53">
        <f t="shared" si="214"/>
        <v>0</v>
      </c>
      <c r="AK794" s="53">
        <f t="shared" si="215"/>
        <v>0</v>
      </c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7"/>
      <c r="AW794" s="57"/>
      <c r="AX794" s="57"/>
    </row>
    <row r="795" spans="2:50">
      <c r="B795" s="45">
        <v>771</v>
      </c>
      <c r="C795" s="321" t="s">
        <v>1138</v>
      </c>
      <c r="D795" s="321" t="s">
        <v>1170</v>
      </c>
      <c r="E795" s="321" t="s">
        <v>1174</v>
      </c>
      <c r="F795" s="321" t="s">
        <v>1175</v>
      </c>
      <c r="G795" s="323" t="s">
        <v>618</v>
      </c>
      <c r="H795" s="324">
        <v>42928</v>
      </c>
      <c r="I795" s="164" t="s">
        <v>409</v>
      </c>
      <c r="J795" s="328">
        <f t="shared" si="216"/>
        <v>60</v>
      </c>
      <c r="K795" s="328">
        <v>60</v>
      </c>
      <c r="L795" s="329">
        <v>0</v>
      </c>
      <c r="M795" s="329"/>
      <c r="N795" s="329">
        <v>0.5</v>
      </c>
      <c r="O795" s="329">
        <v>0</v>
      </c>
      <c r="P795" s="330">
        <v>1</v>
      </c>
      <c r="Q795" s="53"/>
      <c r="R795" s="54" t="s">
        <v>1142</v>
      </c>
      <c r="S795" s="54" t="s">
        <v>1142</v>
      </c>
      <c r="T795" s="54" t="s">
        <v>1142</v>
      </c>
      <c r="U795" s="54" t="s">
        <v>1142</v>
      </c>
      <c r="V795" s="53" t="s">
        <v>1173</v>
      </c>
      <c r="W795" s="53"/>
      <c r="X795" s="53">
        <f t="shared" si="205"/>
        <v>0</v>
      </c>
      <c r="Y795" s="55"/>
      <c r="Z795" s="55"/>
      <c r="AA795" s="52">
        <f t="shared" si="206"/>
        <v>0</v>
      </c>
      <c r="AB795" s="53">
        <f t="shared" si="207"/>
        <v>0</v>
      </c>
      <c r="AC795" s="53">
        <f t="shared" si="208"/>
        <v>0</v>
      </c>
      <c r="AD795" s="53">
        <f t="shared" si="209"/>
        <v>0</v>
      </c>
      <c r="AE795" s="53">
        <f t="shared" si="210"/>
        <v>0</v>
      </c>
      <c r="AF795" s="53">
        <f t="shared" si="211"/>
        <v>0</v>
      </c>
      <c r="AG795" s="56">
        <f t="shared" si="212"/>
        <v>0</v>
      </c>
      <c r="AH795" s="53">
        <f t="shared" si="213"/>
        <v>0</v>
      </c>
      <c r="AI795" s="55"/>
      <c r="AJ795" s="53">
        <f t="shared" si="214"/>
        <v>0</v>
      </c>
      <c r="AK795" s="53">
        <f t="shared" si="215"/>
        <v>0</v>
      </c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7"/>
      <c r="AW795" s="57"/>
      <c r="AX795" s="57"/>
    </row>
    <row r="796" spans="2:50">
      <c r="B796" s="45">
        <v>772</v>
      </c>
      <c r="C796" s="321" t="s">
        <v>1138</v>
      </c>
      <c r="D796" s="321" t="s">
        <v>1170</v>
      </c>
      <c r="E796" s="321" t="s">
        <v>1176</v>
      </c>
      <c r="F796" s="321" t="s">
        <v>1177</v>
      </c>
      <c r="G796" s="323" t="s">
        <v>618</v>
      </c>
      <c r="H796" s="324">
        <v>42928</v>
      </c>
      <c r="I796" s="164" t="s">
        <v>409</v>
      </c>
      <c r="J796" s="328">
        <f t="shared" si="216"/>
        <v>60</v>
      </c>
      <c r="K796" s="328">
        <v>60</v>
      </c>
      <c r="L796" s="329">
        <v>0</v>
      </c>
      <c r="M796" s="329"/>
      <c r="N796" s="329">
        <v>0.5</v>
      </c>
      <c r="O796" s="329">
        <v>0</v>
      </c>
      <c r="P796" s="330">
        <v>1</v>
      </c>
      <c r="Q796" s="53"/>
      <c r="R796" s="54" t="s">
        <v>1142</v>
      </c>
      <c r="S796" s="54" t="s">
        <v>1142</v>
      </c>
      <c r="T796" s="54" t="s">
        <v>1142</v>
      </c>
      <c r="U796" s="54" t="s">
        <v>1142</v>
      </c>
      <c r="V796" s="53" t="s">
        <v>1173</v>
      </c>
      <c r="W796" s="53"/>
      <c r="X796" s="53">
        <f t="shared" si="205"/>
        <v>0</v>
      </c>
      <c r="Y796" s="55"/>
      <c r="Z796" s="55"/>
      <c r="AA796" s="52">
        <f t="shared" si="206"/>
        <v>0</v>
      </c>
      <c r="AB796" s="53">
        <f t="shared" si="207"/>
        <v>0</v>
      </c>
      <c r="AC796" s="53">
        <f t="shared" si="208"/>
        <v>0</v>
      </c>
      <c r="AD796" s="53">
        <f t="shared" si="209"/>
        <v>0</v>
      </c>
      <c r="AE796" s="53">
        <f t="shared" si="210"/>
        <v>0</v>
      </c>
      <c r="AF796" s="53">
        <f t="shared" si="211"/>
        <v>0</v>
      </c>
      <c r="AG796" s="56">
        <f t="shared" si="212"/>
        <v>0</v>
      </c>
      <c r="AH796" s="53">
        <f t="shared" si="213"/>
        <v>0</v>
      </c>
      <c r="AI796" s="55"/>
      <c r="AJ796" s="53">
        <f t="shared" si="214"/>
        <v>0</v>
      </c>
      <c r="AK796" s="53">
        <f t="shared" si="215"/>
        <v>0</v>
      </c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7"/>
      <c r="AW796" s="57"/>
      <c r="AX796" s="57"/>
    </row>
    <row r="797" spans="2:50">
      <c r="B797" s="45">
        <v>773</v>
      </c>
      <c r="C797" s="321" t="s">
        <v>1138</v>
      </c>
      <c r="D797" s="321" t="s">
        <v>1170</v>
      </c>
      <c r="E797" s="321" t="s">
        <v>1178</v>
      </c>
      <c r="F797" s="321" t="s">
        <v>1179</v>
      </c>
      <c r="G797" s="323" t="s">
        <v>618</v>
      </c>
      <c r="H797" s="324">
        <v>42928</v>
      </c>
      <c r="I797" s="164" t="s">
        <v>409</v>
      </c>
      <c r="J797" s="328">
        <f t="shared" si="216"/>
        <v>60</v>
      </c>
      <c r="K797" s="328">
        <v>60</v>
      </c>
      <c r="L797" s="329">
        <v>0</v>
      </c>
      <c r="M797" s="329"/>
      <c r="N797" s="329">
        <v>0.5</v>
      </c>
      <c r="O797" s="329">
        <v>0</v>
      </c>
      <c r="P797" s="330">
        <v>1</v>
      </c>
      <c r="Q797" s="53"/>
      <c r="R797" s="54" t="s">
        <v>1142</v>
      </c>
      <c r="S797" s="54" t="s">
        <v>1142</v>
      </c>
      <c r="T797" s="54" t="s">
        <v>1142</v>
      </c>
      <c r="U797" s="54" t="s">
        <v>1142</v>
      </c>
      <c r="V797" s="53" t="s">
        <v>1173</v>
      </c>
      <c r="W797" s="53"/>
      <c r="X797" s="53">
        <f t="shared" si="205"/>
        <v>0</v>
      </c>
      <c r="Y797" s="55"/>
      <c r="Z797" s="55"/>
      <c r="AA797" s="52">
        <f t="shared" si="206"/>
        <v>0</v>
      </c>
      <c r="AB797" s="53">
        <f t="shared" si="207"/>
        <v>0</v>
      </c>
      <c r="AC797" s="53">
        <f t="shared" si="208"/>
        <v>0</v>
      </c>
      <c r="AD797" s="53">
        <f t="shared" si="209"/>
        <v>0</v>
      </c>
      <c r="AE797" s="53">
        <f t="shared" si="210"/>
        <v>0</v>
      </c>
      <c r="AF797" s="53">
        <f t="shared" si="211"/>
        <v>0</v>
      </c>
      <c r="AG797" s="56">
        <f t="shared" si="212"/>
        <v>0</v>
      </c>
      <c r="AH797" s="53">
        <f t="shared" si="213"/>
        <v>0</v>
      </c>
      <c r="AI797" s="55"/>
      <c r="AJ797" s="53">
        <f t="shared" si="214"/>
        <v>0</v>
      </c>
      <c r="AK797" s="53">
        <f t="shared" si="215"/>
        <v>0</v>
      </c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7"/>
      <c r="AW797" s="57"/>
      <c r="AX797" s="57"/>
    </row>
    <row r="798" spans="2:50">
      <c r="B798" s="45">
        <v>774</v>
      </c>
      <c r="C798" s="321" t="s">
        <v>1138</v>
      </c>
      <c r="D798" s="322" t="s">
        <v>1180</v>
      </c>
      <c r="E798" s="321" t="s">
        <v>1181</v>
      </c>
      <c r="F798" s="321" t="s">
        <v>1182</v>
      </c>
      <c r="G798" s="323" t="s">
        <v>618</v>
      </c>
      <c r="H798" s="324">
        <v>42172</v>
      </c>
      <c r="I798" s="164" t="s">
        <v>409</v>
      </c>
      <c r="J798" s="328">
        <f t="shared" si="216"/>
        <v>480</v>
      </c>
      <c r="K798" s="328">
        <v>480</v>
      </c>
      <c r="L798" s="329">
        <v>0</v>
      </c>
      <c r="M798" s="329"/>
      <c r="N798" s="329">
        <v>3.6</v>
      </c>
      <c r="O798" s="329">
        <v>0</v>
      </c>
      <c r="P798" s="330">
        <v>1</v>
      </c>
      <c r="Q798" s="53"/>
      <c r="R798" s="54" t="s">
        <v>1142</v>
      </c>
      <c r="S798" s="54" t="s">
        <v>1142</v>
      </c>
      <c r="T798" s="54" t="s">
        <v>1142</v>
      </c>
      <c r="U798" s="54" t="s">
        <v>1142</v>
      </c>
      <c r="V798" s="53" t="s">
        <v>1183</v>
      </c>
      <c r="W798" s="53"/>
      <c r="X798" s="53">
        <f t="shared" si="205"/>
        <v>0</v>
      </c>
      <c r="Y798" s="55"/>
      <c r="Z798" s="55"/>
      <c r="AA798" s="52">
        <f t="shared" si="206"/>
        <v>0</v>
      </c>
      <c r="AB798" s="53">
        <f t="shared" si="207"/>
        <v>0</v>
      </c>
      <c r="AC798" s="53">
        <f t="shared" si="208"/>
        <v>0</v>
      </c>
      <c r="AD798" s="53">
        <f t="shared" si="209"/>
        <v>0</v>
      </c>
      <c r="AE798" s="53">
        <f t="shared" si="210"/>
        <v>0</v>
      </c>
      <c r="AF798" s="53">
        <f t="shared" si="211"/>
        <v>0</v>
      </c>
      <c r="AG798" s="56">
        <f t="shared" si="212"/>
        <v>0</v>
      </c>
      <c r="AH798" s="53">
        <f t="shared" si="213"/>
        <v>0</v>
      </c>
      <c r="AI798" s="55"/>
      <c r="AJ798" s="53">
        <f t="shared" si="214"/>
        <v>0</v>
      </c>
      <c r="AK798" s="53">
        <f t="shared" si="215"/>
        <v>0</v>
      </c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7"/>
      <c r="AW798" s="57"/>
      <c r="AX798" s="57"/>
    </row>
    <row r="799" spans="2:50">
      <c r="B799" s="138" t="s">
        <v>1184</v>
      </c>
      <c r="C799" s="139"/>
      <c r="D799" s="139"/>
      <c r="E799" s="139"/>
      <c r="F799" s="140"/>
      <c r="G799" s="141"/>
      <c r="H799" s="141"/>
      <c r="I799" s="142" t="s">
        <v>151</v>
      </c>
      <c r="J799" s="143">
        <f t="shared" si="216"/>
        <v>323.3</v>
      </c>
      <c r="K799" s="143">
        <f>K800/60</f>
        <v>26</v>
      </c>
      <c r="L799" s="143">
        <f>L800/60</f>
        <v>297.3</v>
      </c>
      <c r="M799" s="143">
        <f>M800/60</f>
        <v>5.5</v>
      </c>
      <c r="N799" s="144">
        <f>SUMIF(I801:I831,"DQA",N801:N831)</f>
        <v>22.15</v>
      </c>
      <c r="O799" s="144">
        <f>SUMIF(I801:I831,"DQA",O801:O831)</f>
        <v>294.3</v>
      </c>
      <c r="P799" s="144"/>
      <c r="Q799" s="144"/>
      <c r="R799" s="144">
        <f t="shared" ref="R799:V799" si="217">SUMIF(L801:L831,"DQA",R801:R831)</f>
        <v>0</v>
      </c>
      <c r="S799" s="144">
        <f t="shared" si="217"/>
        <v>0</v>
      </c>
      <c r="T799" s="144">
        <f t="shared" si="217"/>
        <v>0</v>
      </c>
      <c r="U799" s="144">
        <f t="shared" si="217"/>
        <v>0</v>
      </c>
      <c r="V799" s="144">
        <f t="shared" si="217"/>
        <v>0</v>
      </c>
      <c r="W799" s="143"/>
      <c r="X799" s="143">
        <f>X800/60</f>
        <v>0</v>
      </c>
      <c r="Y799" s="143"/>
      <c r="Z799" s="143"/>
      <c r="AA799" s="143"/>
      <c r="AB799" s="143">
        <f t="shared" ref="AB799:AF799" si="218">AB800/60</f>
        <v>0</v>
      </c>
      <c r="AC799" s="143"/>
      <c r="AD799" s="143">
        <f t="shared" si="218"/>
        <v>0</v>
      </c>
      <c r="AE799" s="143"/>
      <c r="AF799" s="143">
        <f t="shared" si="218"/>
        <v>0</v>
      </c>
      <c r="AG799" s="143"/>
      <c r="AH799" s="143">
        <f>AH800/60</f>
        <v>0</v>
      </c>
      <c r="AI799" s="143"/>
      <c r="AJ799" s="143"/>
      <c r="AK799" s="143">
        <f>AK800/60</f>
        <v>0</v>
      </c>
      <c r="AL799" s="143"/>
      <c r="AM799" s="143"/>
      <c r="AN799" s="143"/>
      <c r="AO799" s="143"/>
      <c r="AP799" s="143"/>
      <c r="AQ799" s="143"/>
      <c r="AR799" s="143"/>
      <c r="AS799" s="143"/>
      <c r="AT799" s="143"/>
      <c r="AU799" s="143"/>
      <c r="AV799" s="143"/>
      <c r="AW799" s="143"/>
      <c r="AX799" s="143">
        <f>AX800/60</f>
        <v>0</v>
      </c>
    </row>
    <row r="800" spans="2:50">
      <c r="B800" s="146"/>
      <c r="C800" s="147"/>
      <c r="D800" s="147"/>
      <c r="E800" s="147"/>
      <c r="F800" s="148"/>
      <c r="G800" s="141"/>
      <c r="H800" s="141"/>
      <c r="I800" s="149" t="s">
        <v>153</v>
      </c>
      <c r="J800" s="143">
        <f t="shared" si="216"/>
        <v>19398</v>
      </c>
      <c r="K800" s="143">
        <f>SUMIF($I801:$I831,"DQA",K801:K831)</f>
        <v>1560</v>
      </c>
      <c r="L800" s="143">
        <f>SUMIF($I801:$I831,"DQA",L801:L831)</f>
        <v>17838</v>
      </c>
      <c r="M800" s="143">
        <f>SUMIF($I801:$I831,"DQA",M801:M831)</f>
        <v>330</v>
      </c>
      <c r="N800" s="143">
        <f>N799*60</f>
        <v>1329</v>
      </c>
      <c r="O800" s="143">
        <f>O799*60</f>
        <v>17658</v>
      </c>
      <c r="P800" s="143"/>
      <c r="Q800" s="143"/>
      <c r="R800" s="143">
        <f t="shared" ref="R800:V800" si="219">R799*60</f>
        <v>0</v>
      </c>
      <c r="S800" s="143">
        <f t="shared" si="219"/>
        <v>0</v>
      </c>
      <c r="T800" s="143">
        <f t="shared" si="219"/>
        <v>0</v>
      </c>
      <c r="U800" s="143">
        <f t="shared" si="219"/>
        <v>0</v>
      </c>
      <c r="V800" s="143">
        <f t="shared" si="219"/>
        <v>0</v>
      </c>
      <c r="W800" s="143"/>
      <c r="X800" s="143">
        <f>SUM(X801:X831)</f>
        <v>0</v>
      </c>
      <c r="Y800" s="143"/>
      <c r="Z800" s="143"/>
      <c r="AA800" s="143"/>
      <c r="AB800" s="143">
        <f t="shared" ref="AB800:AK800" si="220">SUM(AB801:AB831)</f>
        <v>0</v>
      </c>
      <c r="AC800" s="143"/>
      <c r="AD800" s="143">
        <f t="shared" si="220"/>
        <v>0</v>
      </c>
      <c r="AE800" s="143"/>
      <c r="AF800" s="143">
        <f t="shared" si="220"/>
        <v>0</v>
      </c>
      <c r="AG800" s="143"/>
      <c r="AH800" s="143">
        <f t="shared" si="220"/>
        <v>0</v>
      </c>
      <c r="AI800" s="143"/>
      <c r="AJ800" s="143"/>
      <c r="AK800" s="143">
        <f t="shared" si="220"/>
        <v>0</v>
      </c>
      <c r="AL800" s="143"/>
      <c r="AM800" s="143"/>
      <c r="AN800" s="143"/>
      <c r="AO800" s="143"/>
      <c r="AP800" s="143"/>
      <c r="AQ800" s="143"/>
      <c r="AR800" s="143"/>
      <c r="AS800" s="143"/>
      <c r="AT800" s="143"/>
      <c r="AU800" s="143"/>
      <c r="AV800" s="143"/>
      <c r="AW800" s="143"/>
      <c r="AX800" s="143">
        <f>SUM(AX801:AX831)</f>
        <v>0</v>
      </c>
    </row>
    <row r="801" spans="2:50">
      <c r="B801" s="45">
        <v>775</v>
      </c>
      <c r="C801" s="331" t="s">
        <v>1185</v>
      </c>
      <c r="D801" s="331" t="s">
        <v>1186</v>
      </c>
      <c r="E801" s="331" t="s">
        <v>1187</v>
      </c>
      <c r="F801" s="332" t="s">
        <v>1188</v>
      </c>
      <c r="G801" s="323" t="s">
        <v>618</v>
      </c>
      <c r="H801" s="333">
        <v>42179</v>
      </c>
      <c r="I801" s="164" t="s">
        <v>409</v>
      </c>
      <c r="J801" s="334">
        <f t="shared" si="216"/>
        <v>600</v>
      </c>
      <c r="K801" s="334">
        <v>300</v>
      </c>
      <c r="L801" s="334">
        <v>300</v>
      </c>
      <c r="M801" s="334"/>
      <c r="N801" s="334">
        <v>5</v>
      </c>
      <c r="O801" s="334">
        <v>5</v>
      </c>
      <c r="P801" s="335">
        <v>1</v>
      </c>
      <c r="Q801" s="53"/>
      <c r="R801" s="56"/>
      <c r="S801" s="54" t="s">
        <v>1142</v>
      </c>
      <c r="T801" s="56"/>
      <c r="U801" s="54" t="s">
        <v>1142</v>
      </c>
      <c r="V801" s="254" t="s">
        <v>1189</v>
      </c>
      <c r="W801" s="53"/>
      <c r="X801" s="53">
        <f t="shared" ref="X801:X831" si="221">SUMIF(W801,"Y",K801)</f>
        <v>0</v>
      </c>
      <c r="Y801" s="55"/>
      <c r="Z801" s="55"/>
      <c r="AA801" s="52">
        <f t="shared" ref="AA801:AA831" si="222">(COUNTA(AL801:AU801)-COUNTIF(AL801:AU801, "X"))</f>
        <v>0</v>
      </c>
      <c r="AB801" s="53">
        <f t="shared" ref="AB801:AB831" si="223">(COUNTA(AL801:AU801)-COUNTIF(AL801:AU801, "X"))*P801*K801</f>
        <v>0</v>
      </c>
      <c r="AC801" s="53">
        <f t="shared" ref="AC801:AC831" si="224">COUNTIF(AL801:AU801,"A")</f>
        <v>0</v>
      </c>
      <c r="AD801" s="53">
        <f t="shared" ref="AD801:AD831" si="225">COUNTIF(AL801:AU801,"V")*P801*M801</f>
        <v>0</v>
      </c>
      <c r="AE801" s="53">
        <f t="shared" ref="AE801:AE831" si="226">COUNTIF(AL801:AU801,"L")</f>
        <v>0</v>
      </c>
      <c r="AF801" s="53">
        <f t="shared" ref="AF801:AF831" si="227">COUNTIF(AL801:AU801,"L")*K801*P801</f>
        <v>0</v>
      </c>
      <c r="AG801" s="56">
        <f t="shared" ref="AG801:AG831" si="228">IF(Q801="Y",1,0)</f>
        <v>0</v>
      </c>
      <c r="AH801" s="53">
        <f t="shared" ref="AH801:AH831" si="229">IF(Q801="Y", AA801, 0)*K801*P801/2</f>
        <v>0</v>
      </c>
      <c r="AI801" s="55"/>
      <c r="AJ801" s="53">
        <f t="shared" ref="AJ801:AJ831" si="230">COUNTIF(AL801:AU801, "V")</f>
        <v>0</v>
      </c>
      <c r="AK801" s="53">
        <f t="shared" ref="AK801:AK831" si="231">AB801-AD801-AF801-AH801</f>
        <v>0</v>
      </c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7"/>
      <c r="AW801" s="57"/>
      <c r="AX801" s="57"/>
    </row>
    <row r="802" spans="2:50">
      <c r="B802" s="45">
        <v>776</v>
      </c>
      <c r="C802" s="331" t="s">
        <v>1190</v>
      </c>
      <c r="D802" s="331" t="s">
        <v>1186</v>
      </c>
      <c r="E802" s="331" t="s">
        <v>1187</v>
      </c>
      <c r="F802" s="332" t="s">
        <v>1191</v>
      </c>
      <c r="G802" s="323" t="s">
        <v>618</v>
      </c>
      <c r="H802" s="333">
        <v>42179</v>
      </c>
      <c r="I802" s="164" t="s">
        <v>409</v>
      </c>
      <c r="J802" s="334">
        <f t="shared" si="216"/>
        <v>90</v>
      </c>
      <c r="K802" s="334">
        <v>30</v>
      </c>
      <c r="L802" s="334">
        <v>60</v>
      </c>
      <c r="M802" s="334"/>
      <c r="N802" s="334">
        <v>0.5</v>
      </c>
      <c r="O802" s="334">
        <v>1</v>
      </c>
      <c r="P802" s="335">
        <v>1</v>
      </c>
      <c r="Q802" s="53"/>
      <c r="R802" s="56"/>
      <c r="S802" s="54" t="s">
        <v>1142</v>
      </c>
      <c r="T802" s="56"/>
      <c r="U802" s="54" t="s">
        <v>1142</v>
      </c>
      <c r="V802" s="254" t="s">
        <v>1189</v>
      </c>
      <c r="W802" s="53"/>
      <c r="X802" s="53">
        <f t="shared" si="221"/>
        <v>0</v>
      </c>
      <c r="Y802" s="55"/>
      <c r="Z802" s="55"/>
      <c r="AA802" s="52">
        <f t="shared" si="222"/>
        <v>0</v>
      </c>
      <c r="AB802" s="53">
        <f t="shared" si="223"/>
        <v>0</v>
      </c>
      <c r="AC802" s="53">
        <f t="shared" si="224"/>
        <v>0</v>
      </c>
      <c r="AD802" s="53">
        <f t="shared" si="225"/>
        <v>0</v>
      </c>
      <c r="AE802" s="53">
        <f t="shared" si="226"/>
        <v>0</v>
      </c>
      <c r="AF802" s="53">
        <f t="shared" si="227"/>
        <v>0</v>
      </c>
      <c r="AG802" s="56">
        <f t="shared" si="228"/>
        <v>0</v>
      </c>
      <c r="AH802" s="53">
        <f t="shared" si="229"/>
        <v>0</v>
      </c>
      <c r="AI802" s="55"/>
      <c r="AJ802" s="53">
        <f t="shared" si="230"/>
        <v>0</v>
      </c>
      <c r="AK802" s="53">
        <f t="shared" si="231"/>
        <v>0</v>
      </c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7"/>
      <c r="AW802" s="57"/>
      <c r="AX802" s="57"/>
    </row>
    <row r="803" spans="2:50">
      <c r="B803" s="45">
        <v>777</v>
      </c>
      <c r="C803" s="331" t="s">
        <v>1190</v>
      </c>
      <c r="D803" s="331" t="s">
        <v>1186</v>
      </c>
      <c r="E803" s="331" t="s">
        <v>1187</v>
      </c>
      <c r="F803" s="332" t="s">
        <v>1192</v>
      </c>
      <c r="G803" s="323" t="s">
        <v>618</v>
      </c>
      <c r="H803" s="333">
        <v>42179</v>
      </c>
      <c r="I803" s="164" t="s">
        <v>409</v>
      </c>
      <c r="J803" s="334">
        <f t="shared" si="216"/>
        <v>150</v>
      </c>
      <c r="K803" s="334">
        <v>30</v>
      </c>
      <c r="L803" s="334">
        <v>120</v>
      </c>
      <c r="M803" s="334"/>
      <c r="N803" s="334">
        <v>0.5</v>
      </c>
      <c r="O803" s="334">
        <v>2</v>
      </c>
      <c r="P803" s="335">
        <v>1</v>
      </c>
      <c r="Q803" s="53"/>
      <c r="R803" s="56"/>
      <c r="S803" s="54" t="s">
        <v>1142</v>
      </c>
      <c r="T803" s="56"/>
      <c r="U803" s="54" t="s">
        <v>1142</v>
      </c>
      <c r="V803" s="254" t="s">
        <v>1189</v>
      </c>
      <c r="W803" s="53"/>
      <c r="X803" s="53">
        <f t="shared" si="221"/>
        <v>0</v>
      </c>
      <c r="Y803" s="55"/>
      <c r="Z803" s="55"/>
      <c r="AA803" s="52">
        <f t="shared" si="222"/>
        <v>0</v>
      </c>
      <c r="AB803" s="53">
        <f t="shared" si="223"/>
        <v>0</v>
      </c>
      <c r="AC803" s="53">
        <f t="shared" si="224"/>
        <v>0</v>
      </c>
      <c r="AD803" s="53">
        <f t="shared" si="225"/>
        <v>0</v>
      </c>
      <c r="AE803" s="53">
        <f t="shared" si="226"/>
        <v>0</v>
      </c>
      <c r="AF803" s="53">
        <f t="shared" si="227"/>
        <v>0</v>
      </c>
      <c r="AG803" s="56">
        <f t="shared" si="228"/>
        <v>0</v>
      </c>
      <c r="AH803" s="53">
        <f t="shared" si="229"/>
        <v>0</v>
      </c>
      <c r="AI803" s="55"/>
      <c r="AJ803" s="53">
        <f t="shared" si="230"/>
        <v>0</v>
      </c>
      <c r="AK803" s="53">
        <f t="shared" si="231"/>
        <v>0</v>
      </c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7"/>
      <c r="AW803" s="57"/>
      <c r="AX803" s="57"/>
    </row>
    <row r="804" spans="2:50">
      <c r="B804" s="45">
        <v>778</v>
      </c>
      <c r="C804" s="331" t="s">
        <v>1190</v>
      </c>
      <c r="D804" s="331" t="s">
        <v>1186</v>
      </c>
      <c r="E804" s="331" t="s">
        <v>1187</v>
      </c>
      <c r="F804" s="332" t="s">
        <v>1193</v>
      </c>
      <c r="G804" s="323" t="s">
        <v>618</v>
      </c>
      <c r="H804" s="333">
        <v>42179</v>
      </c>
      <c r="I804" s="164" t="s">
        <v>409</v>
      </c>
      <c r="J804" s="334">
        <f t="shared" si="216"/>
        <v>6</v>
      </c>
      <c r="K804" s="334">
        <v>6</v>
      </c>
      <c r="L804" s="334">
        <v>0</v>
      </c>
      <c r="M804" s="334"/>
      <c r="N804" s="334">
        <v>0.1</v>
      </c>
      <c r="O804" s="334">
        <v>0</v>
      </c>
      <c r="P804" s="335">
        <v>1</v>
      </c>
      <c r="Q804" s="53"/>
      <c r="R804" s="56"/>
      <c r="S804" s="54" t="s">
        <v>1142</v>
      </c>
      <c r="T804" s="56"/>
      <c r="U804" s="54" t="s">
        <v>1142</v>
      </c>
      <c r="V804" s="254" t="s">
        <v>1189</v>
      </c>
      <c r="W804" s="53"/>
      <c r="X804" s="53">
        <f t="shared" si="221"/>
        <v>0</v>
      </c>
      <c r="Y804" s="55"/>
      <c r="Z804" s="55"/>
      <c r="AA804" s="52">
        <f t="shared" si="222"/>
        <v>0</v>
      </c>
      <c r="AB804" s="53">
        <f t="shared" si="223"/>
        <v>0</v>
      </c>
      <c r="AC804" s="53">
        <f t="shared" si="224"/>
        <v>0</v>
      </c>
      <c r="AD804" s="53">
        <f t="shared" si="225"/>
        <v>0</v>
      </c>
      <c r="AE804" s="53">
        <f t="shared" si="226"/>
        <v>0</v>
      </c>
      <c r="AF804" s="53">
        <f t="shared" si="227"/>
        <v>0</v>
      </c>
      <c r="AG804" s="56">
        <f t="shared" si="228"/>
        <v>0</v>
      </c>
      <c r="AH804" s="53">
        <f t="shared" si="229"/>
        <v>0</v>
      </c>
      <c r="AI804" s="55"/>
      <c r="AJ804" s="53">
        <f t="shared" si="230"/>
        <v>0</v>
      </c>
      <c r="AK804" s="53">
        <f t="shared" si="231"/>
        <v>0</v>
      </c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7"/>
      <c r="AW804" s="57"/>
      <c r="AX804" s="57"/>
    </row>
    <row r="805" spans="2:50">
      <c r="B805" s="45">
        <v>779</v>
      </c>
      <c r="C805" s="331" t="s">
        <v>1190</v>
      </c>
      <c r="D805" s="331" t="s">
        <v>1186</v>
      </c>
      <c r="E805" s="331" t="s">
        <v>1187</v>
      </c>
      <c r="F805" s="332" t="s">
        <v>1194</v>
      </c>
      <c r="G805" s="323" t="s">
        <v>618</v>
      </c>
      <c r="H805" s="333">
        <v>42020</v>
      </c>
      <c r="I805" s="164" t="s">
        <v>409</v>
      </c>
      <c r="J805" s="334">
        <f t="shared" si="216"/>
        <v>12</v>
      </c>
      <c r="K805" s="334">
        <v>12</v>
      </c>
      <c r="L805" s="334">
        <v>0</v>
      </c>
      <c r="M805" s="334"/>
      <c r="N805" s="334">
        <v>0.2</v>
      </c>
      <c r="O805" s="334">
        <v>0</v>
      </c>
      <c r="P805" s="335">
        <v>1</v>
      </c>
      <c r="Q805" s="53"/>
      <c r="R805" s="56"/>
      <c r="S805" s="54" t="s">
        <v>1142</v>
      </c>
      <c r="T805" s="56"/>
      <c r="U805" s="54" t="s">
        <v>1142</v>
      </c>
      <c r="V805" s="254" t="s">
        <v>1189</v>
      </c>
      <c r="W805" s="53"/>
      <c r="X805" s="53">
        <f t="shared" si="221"/>
        <v>0</v>
      </c>
      <c r="Y805" s="55"/>
      <c r="Z805" s="55"/>
      <c r="AA805" s="52">
        <f t="shared" si="222"/>
        <v>0</v>
      </c>
      <c r="AB805" s="53">
        <f t="shared" si="223"/>
        <v>0</v>
      </c>
      <c r="AC805" s="53">
        <f t="shared" si="224"/>
        <v>0</v>
      </c>
      <c r="AD805" s="53">
        <f t="shared" si="225"/>
        <v>0</v>
      </c>
      <c r="AE805" s="53">
        <f t="shared" si="226"/>
        <v>0</v>
      </c>
      <c r="AF805" s="53">
        <f t="shared" si="227"/>
        <v>0</v>
      </c>
      <c r="AG805" s="56">
        <f t="shared" si="228"/>
        <v>0</v>
      </c>
      <c r="AH805" s="53">
        <f t="shared" si="229"/>
        <v>0</v>
      </c>
      <c r="AI805" s="55"/>
      <c r="AJ805" s="53">
        <f t="shared" si="230"/>
        <v>0</v>
      </c>
      <c r="AK805" s="53">
        <f t="shared" si="231"/>
        <v>0</v>
      </c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7"/>
      <c r="AW805" s="57"/>
      <c r="AX805" s="57"/>
    </row>
    <row r="806" spans="2:50">
      <c r="B806" s="45">
        <v>780</v>
      </c>
      <c r="C806" s="331" t="s">
        <v>1190</v>
      </c>
      <c r="D806" s="331" t="s">
        <v>1186</v>
      </c>
      <c r="E806" s="331" t="s">
        <v>1187</v>
      </c>
      <c r="F806" s="332" t="s">
        <v>1195</v>
      </c>
      <c r="G806" s="323" t="s">
        <v>618</v>
      </c>
      <c r="H806" s="333">
        <v>42179</v>
      </c>
      <c r="I806" s="164" t="s">
        <v>409</v>
      </c>
      <c r="J806" s="334">
        <f t="shared" si="216"/>
        <v>12</v>
      </c>
      <c r="K806" s="334">
        <v>12</v>
      </c>
      <c r="L806" s="334">
        <v>0</v>
      </c>
      <c r="M806" s="334"/>
      <c r="N806" s="334">
        <v>0.2</v>
      </c>
      <c r="O806" s="334">
        <v>0</v>
      </c>
      <c r="P806" s="335">
        <v>1</v>
      </c>
      <c r="Q806" s="53"/>
      <c r="R806" s="56"/>
      <c r="S806" s="54" t="s">
        <v>1142</v>
      </c>
      <c r="T806" s="56"/>
      <c r="U806" s="54" t="s">
        <v>1142</v>
      </c>
      <c r="V806" s="254" t="s">
        <v>1189</v>
      </c>
      <c r="W806" s="53"/>
      <c r="X806" s="53">
        <f t="shared" si="221"/>
        <v>0</v>
      </c>
      <c r="Y806" s="55"/>
      <c r="Z806" s="55"/>
      <c r="AA806" s="52">
        <f t="shared" si="222"/>
        <v>0</v>
      </c>
      <c r="AB806" s="53">
        <f t="shared" si="223"/>
        <v>0</v>
      </c>
      <c r="AC806" s="53">
        <f t="shared" si="224"/>
        <v>0</v>
      </c>
      <c r="AD806" s="53">
        <f t="shared" si="225"/>
        <v>0</v>
      </c>
      <c r="AE806" s="53">
        <f t="shared" si="226"/>
        <v>0</v>
      </c>
      <c r="AF806" s="53">
        <f t="shared" si="227"/>
        <v>0</v>
      </c>
      <c r="AG806" s="56">
        <f t="shared" si="228"/>
        <v>0</v>
      </c>
      <c r="AH806" s="53">
        <f t="shared" si="229"/>
        <v>0</v>
      </c>
      <c r="AI806" s="55"/>
      <c r="AJ806" s="53">
        <f t="shared" si="230"/>
        <v>0</v>
      </c>
      <c r="AK806" s="53">
        <f t="shared" si="231"/>
        <v>0</v>
      </c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7"/>
      <c r="AW806" s="57"/>
      <c r="AX806" s="57"/>
    </row>
    <row r="807" spans="2:50">
      <c r="B807" s="45">
        <v>781</v>
      </c>
      <c r="C807" s="331" t="s">
        <v>1190</v>
      </c>
      <c r="D807" s="331" t="s">
        <v>1186</v>
      </c>
      <c r="E807" s="331" t="s">
        <v>1187</v>
      </c>
      <c r="F807" s="332" t="s">
        <v>1196</v>
      </c>
      <c r="G807" s="323" t="s">
        <v>618</v>
      </c>
      <c r="H807" s="333">
        <v>42233</v>
      </c>
      <c r="I807" s="164" t="s">
        <v>409</v>
      </c>
      <c r="J807" s="334">
        <f t="shared" si="216"/>
        <v>66</v>
      </c>
      <c r="K807" s="334">
        <v>6</v>
      </c>
      <c r="L807" s="334">
        <v>60</v>
      </c>
      <c r="M807" s="334"/>
      <c r="N807" s="334">
        <v>0.1</v>
      </c>
      <c r="O807" s="334">
        <v>1</v>
      </c>
      <c r="P807" s="335">
        <v>1</v>
      </c>
      <c r="Q807" s="53"/>
      <c r="R807" s="56"/>
      <c r="S807" s="54" t="s">
        <v>1142</v>
      </c>
      <c r="T807" s="56"/>
      <c r="U807" s="54" t="s">
        <v>1142</v>
      </c>
      <c r="V807" s="254" t="s">
        <v>1189</v>
      </c>
      <c r="W807" s="53"/>
      <c r="X807" s="53">
        <f t="shared" si="221"/>
        <v>0</v>
      </c>
      <c r="Y807" s="55"/>
      <c r="Z807" s="55"/>
      <c r="AA807" s="52">
        <f t="shared" si="222"/>
        <v>0</v>
      </c>
      <c r="AB807" s="53">
        <f t="shared" si="223"/>
        <v>0</v>
      </c>
      <c r="AC807" s="53">
        <f t="shared" si="224"/>
        <v>0</v>
      </c>
      <c r="AD807" s="53">
        <f t="shared" si="225"/>
        <v>0</v>
      </c>
      <c r="AE807" s="53">
        <f t="shared" si="226"/>
        <v>0</v>
      </c>
      <c r="AF807" s="53">
        <f t="shared" si="227"/>
        <v>0</v>
      </c>
      <c r="AG807" s="56">
        <f t="shared" si="228"/>
        <v>0</v>
      </c>
      <c r="AH807" s="53">
        <f t="shared" si="229"/>
        <v>0</v>
      </c>
      <c r="AI807" s="55"/>
      <c r="AJ807" s="53">
        <f t="shared" si="230"/>
        <v>0</v>
      </c>
      <c r="AK807" s="53">
        <f t="shared" si="231"/>
        <v>0</v>
      </c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7"/>
      <c r="AW807" s="57"/>
      <c r="AX807" s="57"/>
    </row>
    <row r="808" spans="2:50">
      <c r="B808" s="45">
        <v>782</v>
      </c>
      <c r="C808" s="331" t="s">
        <v>1190</v>
      </c>
      <c r="D808" s="331" t="s">
        <v>1186</v>
      </c>
      <c r="E808" s="331" t="s">
        <v>1187</v>
      </c>
      <c r="F808" s="332" t="s">
        <v>1197</v>
      </c>
      <c r="G808" s="323" t="s">
        <v>618</v>
      </c>
      <c r="H808" s="333">
        <v>42179</v>
      </c>
      <c r="I808" s="164" t="s">
        <v>409</v>
      </c>
      <c r="J808" s="334">
        <f t="shared" si="216"/>
        <v>18</v>
      </c>
      <c r="K808" s="334">
        <v>18</v>
      </c>
      <c r="L808" s="334">
        <v>0</v>
      </c>
      <c r="M808" s="334"/>
      <c r="N808" s="334">
        <v>0.3</v>
      </c>
      <c r="O808" s="334">
        <v>0</v>
      </c>
      <c r="P808" s="335">
        <v>1</v>
      </c>
      <c r="Q808" s="53"/>
      <c r="R808" s="56"/>
      <c r="S808" s="54" t="s">
        <v>1142</v>
      </c>
      <c r="T808" s="56"/>
      <c r="U808" s="54" t="s">
        <v>1142</v>
      </c>
      <c r="V808" s="254" t="s">
        <v>1189</v>
      </c>
      <c r="W808" s="53"/>
      <c r="X808" s="53">
        <f t="shared" si="221"/>
        <v>0</v>
      </c>
      <c r="Y808" s="55"/>
      <c r="Z808" s="55"/>
      <c r="AA808" s="52">
        <f t="shared" si="222"/>
        <v>0</v>
      </c>
      <c r="AB808" s="53">
        <f t="shared" si="223"/>
        <v>0</v>
      </c>
      <c r="AC808" s="53">
        <f t="shared" si="224"/>
        <v>0</v>
      </c>
      <c r="AD808" s="53">
        <f t="shared" si="225"/>
        <v>0</v>
      </c>
      <c r="AE808" s="53">
        <f t="shared" si="226"/>
        <v>0</v>
      </c>
      <c r="AF808" s="53">
        <f t="shared" si="227"/>
        <v>0</v>
      </c>
      <c r="AG808" s="56">
        <f t="shared" si="228"/>
        <v>0</v>
      </c>
      <c r="AH808" s="53">
        <f t="shared" si="229"/>
        <v>0</v>
      </c>
      <c r="AI808" s="55"/>
      <c r="AJ808" s="53">
        <f t="shared" si="230"/>
        <v>0</v>
      </c>
      <c r="AK808" s="53">
        <f t="shared" si="231"/>
        <v>0</v>
      </c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7"/>
      <c r="AW808" s="57"/>
      <c r="AX808" s="57"/>
    </row>
    <row r="809" spans="2:50">
      <c r="B809" s="45">
        <v>783</v>
      </c>
      <c r="C809" s="331" t="s">
        <v>1190</v>
      </c>
      <c r="D809" s="331" t="s">
        <v>1186</v>
      </c>
      <c r="E809" s="331" t="s">
        <v>1198</v>
      </c>
      <c r="F809" s="332" t="s">
        <v>1199</v>
      </c>
      <c r="G809" s="323" t="s">
        <v>618</v>
      </c>
      <c r="H809" s="333">
        <v>42179</v>
      </c>
      <c r="I809" s="164" t="s">
        <v>409</v>
      </c>
      <c r="J809" s="334">
        <f t="shared" si="216"/>
        <v>42</v>
      </c>
      <c r="K809" s="334">
        <v>12</v>
      </c>
      <c r="L809" s="334">
        <v>30</v>
      </c>
      <c r="M809" s="334"/>
      <c r="N809" s="334">
        <v>0.2</v>
      </c>
      <c r="O809" s="334">
        <v>0.5</v>
      </c>
      <c r="P809" s="335">
        <v>1</v>
      </c>
      <c r="Q809" s="53"/>
      <c r="R809" s="56"/>
      <c r="S809" s="54" t="s">
        <v>1142</v>
      </c>
      <c r="T809" s="56"/>
      <c r="U809" s="54" t="s">
        <v>1142</v>
      </c>
      <c r="V809" s="254" t="s">
        <v>1189</v>
      </c>
      <c r="W809" s="53"/>
      <c r="X809" s="53">
        <f t="shared" si="221"/>
        <v>0</v>
      </c>
      <c r="Y809" s="55"/>
      <c r="Z809" s="55"/>
      <c r="AA809" s="52">
        <f t="shared" si="222"/>
        <v>0</v>
      </c>
      <c r="AB809" s="53">
        <f t="shared" si="223"/>
        <v>0</v>
      </c>
      <c r="AC809" s="53">
        <f t="shared" si="224"/>
        <v>0</v>
      </c>
      <c r="AD809" s="53">
        <f t="shared" si="225"/>
        <v>0</v>
      </c>
      <c r="AE809" s="53">
        <f t="shared" si="226"/>
        <v>0</v>
      </c>
      <c r="AF809" s="53">
        <f t="shared" si="227"/>
        <v>0</v>
      </c>
      <c r="AG809" s="56">
        <f t="shared" si="228"/>
        <v>0</v>
      </c>
      <c r="AH809" s="53">
        <f t="shared" si="229"/>
        <v>0</v>
      </c>
      <c r="AI809" s="55"/>
      <c r="AJ809" s="53">
        <f t="shared" si="230"/>
        <v>0</v>
      </c>
      <c r="AK809" s="53">
        <f t="shared" si="231"/>
        <v>0</v>
      </c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7"/>
      <c r="AW809" s="57"/>
      <c r="AX809" s="57"/>
    </row>
    <row r="810" spans="2:50">
      <c r="B810" s="45">
        <v>784</v>
      </c>
      <c r="C810" s="331" t="s">
        <v>1190</v>
      </c>
      <c r="D810" s="331" t="s">
        <v>1200</v>
      </c>
      <c r="E810" s="331" t="s">
        <v>1201</v>
      </c>
      <c r="F810" s="331" t="s">
        <v>1202</v>
      </c>
      <c r="G810" s="323" t="s">
        <v>618</v>
      </c>
      <c r="H810" s="333">
        <v>43327</v>
      </c>
      <c r="I810" s="164" t="s">
        <v>409</v>
      </c>
      <c r="J810" s="336">
        <f t="shared" si="216"/>
        <v>6</v>
      </c>
      <c r="K810" s="336">
        <v>6</v>
      </c>
      <c r="L810" s="336">
        <v>0</v>
      </c>
      <c r="M810" s="336"/>
      <c r="N810" s="336">
        <v>0.1</v>
      </c>
      <c r="O810" s="336">
        <v>0</v>
      </c>
      <c r="P810" s="337">
        <v>1</v>
      </c>
      <c r="Q810" s="53"/>
      <c r="R810" s="54" t="s">
        <v>1142</v>
      </c>
      <c r="S810" s="54" t="s">
        <v>1142</v>
      </c>
      <c r="T810" s="54" t="s">
        <v>1142</v>
      </c>
      <c r="U810" s="54" t="s">
        <v>1142</v>
      </c>
      <c r="V810" s="53" t="s">
        <v>1203</v>
      </c>
      <c r="W810" s="53"/>
      <c r="X810" s="53">
        <f t="shared" si="221"/>
        <v>0</v>
      </c>
      <c r="Y810" s="55"/>
      <c r="Z810" s="55"/>
      <c r="AA810" s="52">
        <f t="shared" si="222"/>
        <v>0</v>
      </c>
      <c r="AB810" s="53">
        <f t="shared" si="223"/>
        <v>0</v>
      </c>
      <c r="AC810" s="53">
        <f t="shared" si="224"/>
        <v>0</v>
      </c>
      <c r="AD810" s="53">
        <f t="shared" si="225"/>
        <v>0</v>
      </c>
      <c r="AE810" s="53">
        <f t="shared" si="226"/>
        <v>0</v>
      </c>
      <c r="AF810" s="53">
        <f t="shared" si="227"/>
        <v>0</v>
      </c>
      <c r="AG810" s="56">
        <f t="shared" si="228"/>
        <v>0</v>
      </c>
      <c r="AH810" s="53">
        <f t="shared" si="229"/>
        <v>0</v>
      </c>
      <c r="AI810" s="55"/>
      <c r="AJ810" s="53">
        <f t="shared" si="230"/>
        <v>0</v>
      </c>
      <c r="AK810" s="53">
        <f t="shared" si="231"/>
        <v>0</v>
      </c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7"/>
      <c r="AW810" s="57"/>
      <c r="AX810" s="57"/>
    </row>
    <row r="811" spans="2:50">
      <c r="B811" s="45">
        <v>785</v>
      </c>
      <c r="C811" s="331" t="s">
        <v>1190</v>
      </c>
      <c r="D811" s="331" t="s">
        <v>1200</v>
      </c>
      <c r="E811" s="331" t="s">
        <v>1204</v>
      </c>
      <c r="F811" s="331" t="s">
        <v>1205</v>
      </c>
      <c r="G811" s="338" t="s">
        <v>618</v>
      </c>
      <c r="H811" s="333">
        <v>42684</v>
      </c>
      <c r="I811" s="164" t="s">
        <v>409</v>
      </c>
      <c r="J811" s="336">
        <f t="shared" si="216"/>
        <v>720</v>
      </c>
      <c r="K811" s="336">
        <v>240</v>
      </c>
      <c r="L811" s="336">
        <v>480</v>
      </c>
      <c r="M811" s="336">
        <v>240</v>
      </c>
      <c r="N811" s="339">
        <v>2</v>
      </c>
      <c r="O811" s="339">
        <v>8</v>
      </c>
      <c r="P811" s="340">
        <v>1</v>
      </c>
      <c r="Q811" s="53"/>
      <c r="R811" s="54" t="s">
        <v>1142</v>
      </c>
      <c r="S811" s="54" t="s">
        <v>1142</v>
      </c>
      <c r="T811" s="54" t="s">
        <v>1142</v>
      </c>
      <c r="U811" s="54" t="s">
        <v>1142</v>
      </c>
      <c r="V811" s="53" t="s">
        <v>1203</v>
      </c>
      <c r="W811" s="53"/>
      <c r="X811" s="53">
        <f t="shared" si="221"/>
        <v>0</v>
      </c>
      <c r="Y811" s="55"/>
      <c r="Z811" s="55"/>
      <c r="AA811" s="52">
        <f t="shared" si="222"/>
        <v>0</v>
      </c>
      <c r="AB811" s="53">
        <f t="shared" si="223"/>
        <v>0</v>
      </c>
      <c r="AC811" s="53">
        <f t="shared" si="224"/>
        <v>0</v>
      </c>
      <c r="AD811" s="53">
        <f t="shared" si="225"/>
        <v>0</v>
      </c>
      <c r="AE811" s="53">
        <f t="shared" si="226"/>
        <v>0</v>
      </c>
      <c r="AF811" s="53">
        <f t="shared" si="227"/>
        <v>0</v>
      </c>
      <c r="AG811" s="56">
        <f t="shared" si="228"/>
        <v>0</v>
      </c>
      <c r="AH811" s="53">
        <f t="shared" si="229"/>
        <v>0</v>
      </c>
      <c r="AI811" s="55"/>
      <c r="AJ811" s="53">
        <f t="shared" si="230"/>
        <v>0</v>
      </c>
      <c r="AK811" s="53">
        <f t="shared" si="231"/>
        <v>0</v>
      </c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7"/>
      <c r="AW811" s="57"/>
      <c r="AX811" s="57"/>
    </row>
    <row r="812" spans="2:50">
      <c r="B812" s="45">
        <v>786</v>
      </c>
      <c r="C812" s="331" t="s">
        <v>1190</v>
      </c>
      <c r="D812" s="331" t="s">
        <v>1200</v>
      </c>
      <c r="E812" s="331" t="s">
        <v>1206</v>
      </c>
      <c r="F812" s="331" t="s">
        <v>1207</v>
      </c>
      <c r="G812" s="338" t="s">
        <v>618</v>
      </c>
      <c r="H812" s="333">
        <v>43024</v>
      </c>
      <c r="I812" s="164" t="s">
        <v>409</v>
      </c>
      <c r="J812" s="336">
        <f t="shared" si="216"/>
        <v>480</v>
      </c>
      <c r="K812" s="336">
        <v>120</v>
      </c>
      <c r="L812" s="336">
        <v>360</v>
      </c>
      <c r="M812" s="336"/>
      <c r="N812" s="339">
        <v>1</v>
      </c>
      <c r="O812" s="339">
        <v>6</v>
      </c>
      <c r="P812" s="340">
        <v>1</v>
      </c>
      <c r="Q812" s="53"/>
      <c r="R812" s="54" t="s">
        <v>1142</v>
      </c>
      <c r="S812" s="54" t="s">
        <v>1142</v>
      </c>
      <c r="T812" s="54" t="s">
        <v>1142</v>
      </c>
      <c r="U812" s="54" t="s">
        <v>1142</v>
      </c>
      <c r="V812" s="53" t="s">
        <v>1203</v>
      </c>
      <c r="W812" s="53"/>
      <c r="X812" s="53">
        <f t="shared" si="221"/>
        <v>0</v>
      </c>
      <c r="Y812" s="55"/>
      <c r="Z812" s="55"/>
      <c r="AA812" s="52">
        <f t="shared" si="222"/>
        <v>0</v>
      </c>
      <c r="AB812" s="53">
        <f t="shared" si="223"/>
        <v>0</v>
      </c>
      <c r="AC812" s="53">
        <f t="shared" si="224"/>
        <v>0</v>
      </c>
      <c r="AD812" s="53">
        <f t="shared" si="225"/>
        <v>0</v>
      </c>
      <c r="AE812" s="53">
        <f t="shared" si="226"/>
        <v>0</v>
      </c>
      <c r="AF812" s="53">
        <f t="shared" si="227"/>
        <v>0</v>
      </c>
      <c r="AG812" s="56">
        <f t="shared" si="228"/>
        <v>0</v>
      </c>
      <c r="AH812" s="53">
        <f t="shared" si="229"/>
        <v>0</v>
      </c>
      <c r="AI812" s="55"/>
      <c r="AJ812" s="53">
        <f t="shared" si="230"/>
        <v>0</v>
      </c>
      <c r="AK812" s="53">
        <f t="shared" si="231"/>
        <v>0</v>
      </c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7"/>
      <c r="AW812" s="57"/>
      <c r="AX812" s="57"/>
    </row>
    <row r="813" spans="2:50">
      <c r="B813" s="45">
        <v>787</v>
      </c>
      <c r="C813" s="331" t="s">
        <v>1190</v>
      </c>
      <c r="D813" s="331" t="s">
        <v>1200</v>
      </c>
      <c r="E813" s="331" t="s">
        <v>1208</v>
      </c>
      <c r="F813" s="331" t="s">
        <v>1209</v>
      </c>
      <c r="G813" s="338" t="s">
        <v>618</v>
      </c>
      <c r="H813" s="333">
        <v>42684</v>
      </c>
      <c r="I813" s="164" t="s">
        <v>409</v>
      </c>
      <c r="J813" s="336">
        <f t="shared" si="216"/>
        <v>135</v>
      </c>
      <c r="K813" s="336">
        <v>90</v>
      </c>
      <c r="L813" s="336">
        <v>45</v>
      </c>
      <c r="M813" s="336">
        <v>90</v>
      </c>
      <c r="N813" s="50">
        <v>0.65</v>
      </c>
      <c r="O813" s="50">
        <v>0.25</v>
      </c>
      <c r="P813" s="52">
        <v>1</v>
      </c>
      <c r="Q813" s="53"/>
      <c r="R813" s="54" t="s">
        <v>1142</v>
      </c>
      <c r="S813" s="54" t="s">
        <v>1142</v>
      </c>
      <c r="T813" s="54" t="s">
        <v>1142</v>
      </c>
      <c r="U813" s="54" t="s">
        <v>1142</v>
      </c>
      <c r="V813" s="53" t="s">
        <v>1203</v>
      </c>
      <c r="W813" s="53"/>
      <c r="X813" s="53">
        <f t="shared" si="221"/>
        <v>0</v>
      </c>
      <c r="Y813" s="55"/>
      <c r="Z813" s="55"/>
      <c r="AA813" s="52">
        <f t="shared" si="222"/>
        <v>0</v>
      </c>
      <c r="AB813" s="53">
        <f t="shared" si="223"/>
        <v>0</v>
      </c>
      <c r="AC813" s="53">
        <f t="shared" si="224"/>
        <v>0</v>
      </c>
      <c r="AD813" s="53">
        <f t="shared" si="225"/>
        <v>0</v>
      </c>
      <c r="AE813" s="53">
        <f t="shared" si="226"/>
        <v>0</v>
      </c>
      <c r="AF813" s="53">
        <f t="shared" si="227"/>
        <v>0</v>
      </c>
      <c r="AG813" s="56">
        <f t="shared" si="228"/>
        <v>0</v>
      </c>
      <c r="AH813" s="53">
        <f t="shared" si="229"/>
        <v>0</v>
      </c>
      <c r="AI813" s="55"/>
      <c r="AJ813" s="53">
        <f t="shared" si="230"/>
        <v>0</v>
      </c>
      <c r="AK813" s="53">
        <f t="shared" si="231"/>
        <v>0</v>
      </c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7"/>
      <c r="AW813" s="57"/>
      <c r="AX813" s="57"/>
    </row>
    <row r="814" spans="2:50">
      <c r="B814" s="45">
        <v>788</v>
      </c>
      <c r="C814" s="331" t="s">
        <v>1190</v>
      </c>
      <c r="D814" s="331" t="s">
        <v>1200</v>
      </c>
      <c r="E814" s="331" t="s">
        <v>1210</v>
      </c>
      <c r="F814" s="331" t="s">
        <v>1211</v>
      </c>
      <c r="G814" s="338" t="s">
        <v>618</v>
      </c>
      <c r="H814" s="333">
        <v>43026</v>
      </c>
      <c r="I814" s="164" t="s">
        <v>409</v>
      </c>
      <c r="J814" s="336">
        <f t="shared" si="216"/>
        <v>15</v>
      </c>
      <c r="K814" s="336">
        <v>15</v>
      </c>
      <c r="L814" s="336">
        <v>0</v>
      </c>
      <c r="M814" s="336"/>
      <c r="N814" s="50">
        <v>0.25</v>
      </c>
      <c r="O814" s="50">
        <v>0</v>
      </c>
      <c r="P814" s="52">
        <v>1</v>
      </c>
      <c r="Q814" s="53"/>
      <c r="R814" s="54" t="s">
        <v>1142</v>
      </c>
      <c r="S814" s="54" t="s">
        <v>1142</v>
      </c>
      <c r="T814" s="54" t="s">
        <v>1142</v>
      </c>
      <c r="U814" s="54" t="s">
        <v>1142</v>
      </c>
      <c r="V814" s="53" t="s">
        <v>1203</v>
      </c>
      <c r="W814" s="53"/>
      <c r="X814" s="53">
        <f t="shared" si="221"/>
        <v>0</v>
      </c>
      <c r="Y814" s="55"/>
      <c r="Z814" s="55"/>
      <c r="AA814" s="52">
        <f t="shared" si="222"/>
        <v>0</v>
      </c>
      <c r="AB814" s="53">
        <f t="shared" si="223"/>
        <v>0</v>
      </c>
      <c r="AC814" s="53">
        <f t="shared" si="224"/>
        <v>0</v>
      </c>
      <c r="AD814" s="53">
        <f t="shared" si="225"/>
        <v>0</v>
      </c>
      <c r="AE814" s="53">
        <f t="shared" si="226"/>
        <v>0</v>
      </c>
      <c r="AF814" s="53">
        <f t="shared" si="227"/>
        <v>0</v>
      </c>
      <c r="AG814" s="56">
        <f t="shared" si="228"/>
        <v>0</v>
      </c>
      <c r="AH814" s="53">
        <f t="shared" si="229"/>
        <v>0</v>
      </c>
      <c r="AI814" s="55"/>
      <c r="AJ814" s="53">
        <f t="shared" si="230"/>
        <v>0</v>
      </c>
      <c r="AK814" s="53">
        <f t="shared" si="231"/>
        <v>0</v>
      </c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7"/>
      <c r="AW814" s="57"/>
      <c r="AX814" s="57"/>
    </row>
    <row r="815" spans="2:50">
      <c r="B815" s="45">
        <v>789</v>
      </c>
      <c r="C815" s="331" t="s">
        <v>1190</v>
      </c>
      <c r="D815" s="331" t="s">
        <v>1212</v>
      </c>
      <c r="E815" s="331" t="s">
        <v>1213</v>
      </c>
      <c r="F815" s="331" t="s">
        <v>1214</v>
      </c>
      <c r="G815" s="338" t="s">
        <v>618</v>
      </c>
      <c r="H815" s="333">
        <v>42972</v>
      </c>
      <c r="I815" s="164" t="s">
        <v>409</v>
      </c>
      <c r="J815" s="336">
        <f t="shared" si="216"/>
        <v>30</v>
      </c>
      <c r="K815" s="336">
        <v>15</v>
      </c>
      <c r="L815" s="336">
        <v>15</v>
      </c>
      <c r="M815" s="336"/>
      <c r="N815" s="341">
        <v>0.25</v>
      </c>
      <c r="O815" s="341">
        <v>0.25</v>
      </c>
      <c r="P815" s="342">
        <v>1</v>
      </c>
      <c r="Q815" s="53"/>
      <c r="R815" s="54" t="s">
        <v>1142</v>
      </c>
      <c r="S815" s="54" t="s">
        <v>1142</v>
      </c>
      <c r="T815" s="54" t="s">
        <v>1142</v>
      </c>
      <c r="U815" s="54" t="s">
        <v>1142</v>
      </c>
      <c r="V815" s="53" t="s">
        <v>1203</v>
      </c>
      <c r="W815" s="53"/>
      <c r="X815" s="53">
        <f t="shared" si="221"/>
        <v>0</v>
      </c>
      <c r="Y815" s="55"/>
      <c r="Z815" s="55"/>
      <c r="AA815" s="52">
        <f t="shared" si="222"/>
        <v>0</v>
      </c>
      <c r="AB815" s="53">
        <f t="shared" si="223"/>
        <v>0</v>
      </c>
      <c r="AC815" s="53">
        <f t="shared" si="224"/>
        <v>0</v>
      </c>
      <c r="AD815" s="53">
        <f t="shared" si="225"/>
        <v>0</v>
      </c>
      <c r="AE815" s="53">
        <f t="shared" si="226"/>
        <v>0</v>
      </c>
      <c r="AF815" s="53">
        <f t="shared" si="227"/>
        <v>0</v>
      </c>
      <c r="AG815" s="56">
        <f t="shared" si="228"/>
        <v>0</v>
      </c>
      <c r="AH815" s="53">
        <f t="shared" si="229"/>
        <v>0</v>
      </c>
      <c r="AI815" s="55"/>
      <c r="AJ815" s="53">
        <f t="shared" si="230"/>
        <v>0</v>
      </c>
      <c r="AK815" s="53">
        <f t="shared" si="231"/>
        <v>0</v>
      </c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7"/>
      <c r="AW815" s="57"/>
      <c r="AX815" s="57"/>
    </row>
    <row r="816" spans="2:50">
      <c r="B816" s="45">
        <v>790</v>
      </c>
      <c r="C816" s="343" t="s">
        <v>1215</v>
      </c>
      <c r="D816" s="343" t="s">
        <v>1200</v>
      </c>
      <c r="E816" s="343" t="s">
        <v>1216</v>
      </c>
      <c r="F816" s="343" t="s">
        <v>1217</v>
      </c>
      <c r="G816" s="236" t="s">
        <v>306</v>
      </c>
      <c r="H816" s="333">
        <v>43360</v>
      </c>
      <c r="I816" s="164" t="s">
        <v>409</v>
      </c>
      <c r="J816" s="334">
        <f t="shared" si="216"/>
        <v>90</v>
      </c>
      <c r="K816" s="334">
        <v>18</v>
      </c>
      <c r="L816" s="334">
        <v>72</v>
      </c>
      <c r="M816" s="344"/>
      <c r="N816" s="344">
        <v>0.3</v>
      </c>
      <c r="O816" s="344">
        <v>1.2</v>
      </c>
      <c r="P816" s="345">
        <v>1</v>
      </c>
      <c r="Q816" s="53"/>
      <c r="R816" s="54" t="s">
        <v>1142</v>
      </c>
      <c r="S816" s="54" t="s">
        <v>1142</v>
      </c>
      <c r="T816" s="54" t="s">
        <v>1142</v>
      </c>
      <c r="U816" s="54" t="s">
        <v>1142</v>
      </c>
      <c r="V816" s="53" t="s">
        <v>1203</v>
      </c>
      <c r="W816" s="53"/>
      <c r="X816" s="53">
        <f t="shared" si="221"/>
        <v>0</v>
      </c>
      <c r="Y816" s="55"/>
      <c r="Z816" s="55"/>
      <c r="AA816" s="52">
        <f t="shared" si="222"/>
        <v>0</v>
      </c>
      <c r="AB816" s="53">
        <f t="shared" si="223"/>
        <v>0</v>
      </c>
      <c r="AC816" s="53">
        <f t="shared" si="224"/>
        <v>0</v>
      </c>
      <c r="AD816" s="53">
        <f t="shared" si="225"/>
        <v>0</v>
      </c>
      <c r="AE816" s="53">
        <f t="shared" si="226"/>
        <v>0</v>
      </c>
      <c r="AF816" s="53">
        <f t="shared" si="227"/>
        <v>0</v>
      </c>
      <c r="AG816" s="56">
        <f t="shared" si="228"/>
        <v>0</v>
      </c>
      <c r="AH816" s="53">
        <f t="shared" si="229"/>
        <v>0</v>
      </c>
      <c r="AI816" s="55"/>
      <c r="AJ816" s="53">
        <f t="shared" si="230"/>
        <v>0</v>
      </c>
      <c r="AK816" s="53">
        <f t="shared" si="231"/>
        <v>0</v>
      </c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7"/>
      <c r="AW816" s="57"/>
      <c r="AX816" s="57"/>
    </row>
    <row r="817" spans="2:50">
      <c r="B817" s="45">
        <v>791</v>
      </c>
      <c r="C817" s="331" t="s">
        <v>1190</v>
      </c>
      <c r="D817" s="331" t="s">
        <v>1218</v>
      </c>
      <c r="E817" s="331" t="s">
        <v>1219</v>
      </c>
      <c r="F817" s="331" t="s">
        <v>1220</v>
      </c>
      <c r="G817" s="338" t="s">
        <v>618</v>
      </c>
      <c r="H817" s="333">
        <v>42991</v>
      </c>
      <c r="I817" s="164" t="s">
        <v>409</v>
      </c>
      <c r="J817" s="336">
        <f t="shared" si="216"/>
        <v>8670</v>
      </c>
      <c r="K817" s="336">
        <v>30</v>
      </c>
      <c r="L817" s="336">
        <v>8640</v>
      </c>
      <c r="M817" s="336"/>
      <c r="N817" s="341">
        <v>0.5</v>
      </c>
      <c r="O817" s="341">
        <v>144</v>
      </c>
      <c r="P817" s="342">
        <v>1</v>
      </c>
      <c r="Q817" s="53"/>
      <c r="R817" s="54" t="s">
        <v>1142</v>
      </c>
      <c r="S817" s="54" t="s">
        <v>1142</v>
      </c>
      <c r="T817" s="54" t="s">
        <v>1142</v>
      </c>
      <c r="U817" s="54" t="s">
        <v>1142</v>
      </c>
      <c r="V817" s="53" t="s">
        <v>1203</v>
      </c>
      <c r="W817" s="53"/>
      <c r="X817" s="53">
        <f t="shared" si="221"/>
        <v>0</v>
      </c>
      <c r="Y817" s="55"/>
      <c r="Z817" s="55"/>
      <c r="AA817" s="52">
        <f t="shared" si="222"/>
        <v>0</v>
      </c>
      <c r="AB817" s="53">
        <f t="shared" si="223"/>
        <v>0</v>
      </c>
      <c r="AC817" s="53">
        <f t="shared" si="224"/>
        <v>0</v>
      </c>
      <c r="AD817" s="53">
        <f t="shared" si="225"/>
        <v>0</v>
      </c>
      <c r="AE817" s="53">
        <f t="shared" si="226"/>
        <v>0</v>
      </c>
      <c r="AF817" s="53">
        <f t="shared" si="227"/>
        <v>0</v>
      </c>
      <c r="AG817" s="56">
        <f t="shared" si="228"/>
        <v>0</v>
      </c>
      <c r="AH817" s="53">
        <f t="shared" si="229"/>
        <v>0</v>
      </c>
      <c r="AI817" s="55"/>
      <c r="AJ817" s="53">
        <f t="shared" si="230"/>
        <v>0</v>
      </c>
      <c r="AK817" s="53">
        <f t="shared" si="231"/>
        <v>0</v>
      </c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7"/>
      <c r="AW817" s="57"/>
      <c r="AX817" s="57"/>
    </row>
    <row r="818" spans="2:50">
      <c r="B818" s="45">
        <v>792</v>
      </c>
      <c r="C818" s="331" t="s">
        <v>1190</v>
      </c>
      <c r="D818" s="331" t="s">
        <v>1218</v>
      </c>
      <c r="E818" s="331" t="s">
        <v>1221</v>
      </c>
      <c r="F818" s="331" t="s">
        <v>1222</v>
      </c>
      <c r="G818" s="338" t="s">
        <v>618</v>
      </c>
      <c r="H818" s="333">
        <v>42823</v>
      </c>
      <c r="I818" s="164" t="s">
        <v>409</v>
      </c>
      <c r="J818" s="336">
        <f t="shared" si="216"/>
        <v>7248</v>
      </c>
      <c r="K818" s="336">
        <v>48</v>
      </c>
      <c r="L818" s="336">
        <v>7200</v>
      </c>
      <c r="M818" s="336"/>
      <c r="N818" s="341">
        <v>0.8</v>
      </c>
      <c r="O818" s="341">
        <v>120</v>
      </c>
      <c r="P818" s="342">
        <v>1</v>
      </c>
      <c r="Q818" s="53"/>
      <c r="R818" s="54" t="s">
        <v>1142</v>
      </c>
      <c r="S818" s="54" t="s">
        <v>1142</v>
      </c>
      <c r="T818" s="54" t="s">
        <v>1142</v>
      </c>
      <c r="U818" s="54" t="s">
        <v>1142</v>
      </c>
      <c r="V818" s="53" t="s">
        <v>1203</v>
      </c>
      <c r="W818" s="53"/>
      <c r="X818" s="53">
        <f t="shared" si="221"/>
        <v>0</v>
      </c>
      <c r="Y818" s="55"/>
      <c r="Z818" s="55"/>
      <c r="AA818" s="52">
        <f t="shared" si="222"/>
        <v>0</v>
      </c>
      <c r="AB818" s="53">
        <f t="shared" si="223"/>
        <v>0</v>
      </c>
      <c r="AC818" s="53">
        <f t="shared" si="224"/>
        <v>0</v>
      </c>
      <c r="AD818" s="53">
        <f t="shared" si="225"/>
        <v>0</v>
      </c>
      <c r="AE818" s="53">
        <f t="shared" si="226"/>
        <v>0</v>
      </c>
      <c r="AF818" s="53">
        <f t="shared" si="227"/>
        <v>0</v>
      </c>
      <c r="AG818" s="56">
        <f t="shared" si="228"/>
        <v>0</v>
      </c>
      <c r="AH818" s="53">
        <f t="shared" si="229"/>
        <v>0</v>
      </c>
      <c r="AI818" s="55"/>
      <c r="AJ818" s="53">
        <f t="shared" si="230"/>
        <v>0</v>
      </c>
      <c r="AK818" s="53">
        <f t="shared" si="231"/>
        <v>0</v>
      </c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7"/>
      <c r="AW818" s="57"/>
      <c r="AX818" s="57"/>
    </row>
    <row r="819" spans="2:50">
      <c r="B819" s="45">
        <v>793</v>
      </c>
      <c r="C819" s="331" t="s">
        <v>1190</v>
      </c>
      <c r="D819" s="331" t="s">
        <v>1218</v>
      </c>
      <c r="E819" s="331" t="s">
        <v>1223</v>
      </c>
      <c r="F819" s="331" t="s">
        <v>1224</v>
      </c>
      <c r="G819" s="338" t="s">
        <v>618</v>
      </c>
      <c r="H819" s="333">
        <v>42733</v>
      </c>
      <c r="I819" s="164" t="s">
        <v>409</v>
      </c>
      <c r="J819" s="336">
        <f t="shared" si="216"/>
        <v>36</v>
      </c>
      <c r="K819" s="336">
        <v>24</v>
      </c>
      <c r="L819" s="336">
        <v>12</v>
      </c>
      <c r="M819" s="336"/>
      <c r="N819" s="341">
        <v>0.4</v>
      </c>
      <c r="O819" s="341">
        <v>0.2</v>
      </c>
      <c r="P819" s="342">
        <v>1</v>
      </c>
      <c r="Q819" s="53"/>
      <c r="R819" s="54" t="s">
        <v>1142</v>
      </c>
      <c r="S819" s="54" t="s">
        <v>1142</v>
      </c>
      <c r="T819" s="54" t="s">
        <v>1142</v>
      </c>
      <c r="U819" s="54" t="s">
        <v>1142</v>
      </c>
      <c r="V819" s="53" t="s">
        <v>1203</v>
      </c>
      <c r="W819" s="53"/>
      <c r="X819" s="53">
        <f t="shared" si="221"/>
        <v>0</v>
      </c>
      <c r="Y819" s="55"/>
      <c r="Z819" s="55"/>
      <c r="AA819" s="52">
        <f t="shared" si="222"/>
        <v>0</v>
      </c>
      <c r="AB819" s="53">
        <f t="shared" si="223"/>
        <v>0</v>
      </c>
      <c r="AC819" s="53">
        <f t="shared" si="224"/>
        <v>0</v>
      </c>
      <c r="AD819" s="53">
        <f t="shared" si="225"/>
        <v>0</v>
      </c>
      <c r="AE819" s="53">
        <f t="shared" si="226"/>
        <v>0</v>
      </c>
      <c r="AF819" s="53">
        <f t="shared" si="227"/>
        <v>0</v>
      </c>
      <c r="AG819" s="56">
        <f t="shared" si="228"/>
        <v>0</v>
      </c>
      <c r="AH819" s="53">
        <f t="shared" si="229"/>
        <v>0</v>
      </c>
      <c r="AI819" s="55"/>
      <c r="AJ819" s="53">
        <f t="shared" si="230"/>
        <v>0</v>
      </c>
      <c r="AK819" s="53">
        <f t="shared" si="231"/>
        <v>0</v>
      </c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7"/>
      <c r="AW819" s="57"/>
      <c r="AX819" s="57"/>
    </row>
    <row r="820" spans="2:50">
      <c r="B820" s="45">
        <v>794</v>
      </c>
      <c r="C820" s="331" t="s">
        <v>1190</v>
      </c>
      <c r="D820" s="331" t="s">
        <v>1218</v>
      </c>
      <c r="E820" s="331" t="s">
        <v>1225</v>
      </c>
      <c r="F820" s="331" t="s">
        <v>1226</v>
      </c>
      <c r="G820" s="338" t="s">
        <v>618</v>
      </c>
      <c r="H820" s="333">
        <v>42816</v>
      </c>
      <c r="I820" s="164" t="s">
        <v>409</v>
      </c>
      <c r="J820" s="336">
        <f t="shared" si="216"/>
        <v>12</v>
      </c>
      <c r="K820" s="336">
        <v>12</v>
      </c>
      <c r="L820" s="336">
        <v>0</v>
      </c>
      <c r="M820" s="336"/>
      <c r="N820" s="341">
        <v>0.2</v>
      </c>
      <c r="O820" s="341">
        <v>0</v>
      </c>
      <c r="P820" s="342">
        <v>1</v>
      </c>
      <c r="Q820" s="53"/>
      <c r="R820" s="54" t="s">
        <v>1142</v>
      </c>
      <c r="S820" s="54" t="s">
        <v>1142</v>
      </c>
      <c r="T820" s="54" t="s">
        <v>1142</v>
      </c>
      <c r="U820" s="54" t="s">
        <v>1142</v>
      </c>
      <c r="V820" s="53" t="s">
        <v>1203</v>
      </c>
      <c r="W820" s="53"/>
      <c r="X820" s="53">
        <f t="shared" si="221"/>
        <v>0</v>
      </c>
      <c r="Y820" s="55"/>
      <c r="Z820" s="55"/>
      <c r="AA820" s="52">
        <f t="shared" si="222"/>
        <v>0</v>
      </c>
      <c r="AB820" s="53">
        <f t="shared" si="223"/>
        <v>0</v>
      </c>
      <c r="AC820" s="53">
        <f t="shared" si="224"/>
        <v>0</v>
      </c>
      <c r="AD820" s="53">
        <f t="shared" si="225"/>
        <v>0</v>
      </c>
      <c r="AE820" s="53">
        <f t="shared" si="226"/>
        <v>0</v>
      </c>
      <c r="AF820" s="53">
        <f t="shared" si="227"/>
        <v>0</v>
      </c>
      <c r="AG820" s="56">
        <f t="shared" si="228"/>
        <v>0</v>
      </c>
      <c r="AH820" s="53">
        <f t="shared" si="229"/>
        <v>0</v>
      </c>
      <c r="AI820" s="55"/>
      <c r="AJ820" s="53">
        <f t="shared" si="230"/>
        <v>0</v>
      </c>
      <c r="AK820" s="53">
        <f t="shared" si="231"/>
        <v>0</v>
      </c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7"/>
      <c r="AW820" s="57"/>
      <c r="AX820" s="57"/>
    </row>
    <row r="821" spans="2:50">
      <c r="B821" s="45">
        <v>795</v>
      </c>
      <c r="C821" s="331" t="s">
        <v>1190</v>
      </c>
      <c r="D821" s="331" t="s">
        <v>1218</v>
      </c>
      <c r="E821" s="331" t="s">
        <v>1227</v>
      </c>
      <c r="F821" s="331" t="s">
        <v>1228</v>
      </c>
      <c r="G821" s="338" t="s">
        <v>618</v>
      </c>
      <c r="H821" s="333">
        <v>42748</v>
      </c>
      <c r="I821" s="164" t="s">
        <v>409</v>
      </c>
      <c r="J821" s="336">
        <f t="shared" si="216"/>
        <v>12</v>
      </c>
      <c r="K821" s="336">
        <v>12</v>
      </c>
      <c r="L821" s="336">
        <v>0</v>
      </c>
      <c r="M821" s="336"/>
      <c r="N821" s="341">
        <v>0.2</v>
      </c>
      <c r="O821" s="341">
        <v>0</v>
      </c>
      <c r="P821" s="342">
        <v>1</v>
      </c>
      <c r="Q821" s="53"/>
      <c r="R821" s="54" t="s">
        <v>1142</v>
      </c>
      <c r="S821" s="54" t="s">
        <v>1142</v>
      </c>
      <c r="T821" s="54" t="s">
        <v>1142</v>
      </c>
      <c r="U821" s="54" t="s">
        <v>1142</v>
      </c>
      <c r="V821" s="53" t="s">
        <v>1203</v>
      </c>
      <c r="W821" s="53"/>
      <c r="X821" s="53">
        <f t="shared" si="221"/>
        <v>0</v>
      </c>
      <c r="Y821" s="55"/>
      <c r="Z821" s="55"/>
      <c r="AA821" s="52">
        <f t="shared" si="222"/>
        <v>0</v>
      </c>
      <c r="AB821" s="53">
        <f t="shared" si="223"/>
        <v>0</v>
      </c>
      <c r="AC821" s="53">
        <f t="shared" si="224"/>
        <v>0</v>
      </c>
      <c r="AD821" s="53">
        <f t="shared" si="225"/>
        <v>0</v>
      </c>
      <c r="AE821" s="53">
        <f t="shared" si="226"/>
        <v>0</v>
      </c>
      <c r="AF821" s="53">
        <f t="shared" si="227"/>
        <v>0</v>
      </c>
      <c r="AG821" s="56">
        <f t="shared" si="228"/>
        <v>0</v>
      </c>
      <c r="AH821" s="53">
        <f t="shared" si="229"/>
        <v>0</v>
      </c>
      <c r="AI821" s="55"/>
      <c r="AJ821" s="53">
        <f t="shared" si="230"/>
        <v>0</v>
      </c>
      <c r="AK821" s="53">
        <f t="shared" si="231"/>
        <v>0</v>
      </c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7"/>
      <c r="AW821" s="57"/>
      <c r="AX821" s="57"/>
    </row>
    <row r="822" spans="2:50">
      <c r="B822" s="45">
        <v>796</v>
      </c>
      <c r="C822" s="331" t="s">
        <v>1190</v>
      </c>
      <c r="D822" s="331" t="s">
        <v>1229</v>
      </c>
      <c r="E822" s="331" t="s">
        <v>1230</v>
      </c>
      <c r="F822" s="331" t="s">
        <v>1231</v>
      </c>
      <c r="G822" s="346" t="s">
        <v>1232</v>
      </c>
      <c r="H822" s="333">
        <v>42620</v>
      </c>
      <c r="I822" s="164" t="s">
        <v>409</v>
      </c>
      <c r="J822" s="336">
        <f t="shared" si="216"/>
        <v>216</v>
      </c>
      <c r="K822" s="336">
        <v>42</v>
      </c>
      <c r="L822" s="336">
        <v>174</v>
      </c>
      <c r="M822" s="336"/>
      <c r="N822" s="50">
        <v>0.7</v>
      </c>
      <c r="O822" s="50">
        <v>0.4</v>
      </c>
      <c r="P822" s="52">
        <v>2</v>
      </c>
      <c r="Q822" s="53" t="s">
        <v>257</v>
      </c>
      <c r="R822" s="54" t="s">
        <v>1142</v>
      </c>
      <c r="S822" s="54" t="s">
        <v>1142</v>
      </c>
      <c r="T822" s="54" t="s">
        <v>1142</v>
      </c>
      <c r="U822" s="54" t="s">
        <v>1142</v>
      </c>
      <c r="V822" s="254" t="s">
        <v>1003</v>
      </c>
      <c r="W822" s="53"/>
      <c r="X822" s="53">
        <f t="shared" si="221"/>
        <v>0</v>
      </c>
      <c r="Y822" s="55"/>
      <c r="Z822" s="55"/>
      <c r="AA822" s="52">
        <f t="shared" si="222"/>
        <v>0</v>
      </c>
      <c r="AB822" s="53">
        <f t="shared" si="223"/>
        <v>0</v>
      </c>
      <c r="AC822" s="53">
        <f t="shared" si="224"/>
        <v>0</v>
      </c>
      <c r="AD822" s="53">
        <f t="shared" si="225"/>
        <v>0</v>
      </c>
      <c r="AE822" s="53">
        <f t="shared" si="226"/>
        <v>0</v>
      </c>
      <c r="AF822" s="53">
        <f t="shared" si="227"/>
        <v>0</v>
      </c>
      <c r="AG822" s="56">
        <f t="shared" si="228"/>
        <v>1</v>
      </c>
      <c r="AH822" s="53">
        <f t="shared" si="229"/>
        <v>0</v>
      </c>
      <c r="AI822" s="55"/>
      <c r="AJ822" s="53">
        <f t="shared" si="230"/>
        <v>0</v>
      </c>
      <c r="AK822" s="53">
        <f t="shared" si="231"/>
        <v>0</v>
      </c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7"/>
      <c r="AW822" s="57"/>
      <c r="AX822" s="57"/>
    </row>
    <row r="823" spans="2:50">
      <c r="B823" s="45">
        <v>797</v>
      </c>
      <c r="C823" s="331" t="s">
        <v>1190</v>
      </c>
      <c r="D823" s="331" t="s">
        <v>1229</v>
      </c>
      <c r="E823" s="331" t="s">
        <v>1230</v>
      </c>
      <c r="F823" s="331" t="s">
        <v>1233</v>
      </c>
      <c r="G823" s="346" t="s">
        <v>1232</v>
      </c>
      <c r="H823" s="333">
        <v>42620</v>
      </c>
      <c r="I823" s="164" t="s">
        <v>409</v>
      </c>
      <c r="J823" s="336">
        <f t="shared" si="216"/>
        <v>42</v>
      </c>
      <c r="K823" s="336">
        <v>42</v>
      </c>
      <c r="L823" s="336">
        <v>0</v>
      </c>
      <c r="M823" s="336"/>
      <c r="N823" s="50">
        <v>0.7</v>
      </c>
      <c r="O823" s="50">
        <v>0</v>
      </c>
      <c r="P823" s="52">
        <v>2</v>
      </c>
      <c r="Q823" s="53" t="s">
        <v>257</v>
      </c>
      <c r="R823" s="54" t="s">
        <v>1142</v>
      </c>
      <c r="S823" s="54" t="s">
        <v>1142</v>
      </c>
      <c r="T823" s="54" t="s">
        <v>1142</v>
      </c>
      <c r="U823" s="54" t="s">
        <v>1142</v>
      </c>
      <c r="V823" s="254" t="s">
        <v>1003</v>
      </c>
      <c r="W823" s="53"/>
      <c r="X823" s="53">
        <f t="shared" si="221"/>
        <v>0</v>
      </c>
      <c r="Y823" s="55"/>
      <c r="Z823" s="55"/>
      <c r="AA823" s="52">
        <f t="shared" si="222"/>
        <v>0</v>
      </c>
      <c r="AB823" s="53">
        <f t="shared" si="223"/>
        <v>0</v>
      </c>
      <c r="AC823" s="53">
        <f t="shared" si="224"/>
        <v>0</v>
      </c>
      <c r="AD823" s="53">
        <f t="shared" si="225"/>
        <v>0</v>
      </c>
      <c r="AE823" s="53">
        <f t="shared" si="226"/>
        <v>0</v>
      </c>
      <c r="AF823" s="53">
        <f t="shared" si="227"/>
        <v>0</v>
      </c>
      <c r="AG823" s="56">
        <f t="shared" si="228"/>
        <v>1</v>
      </c>
      <c r="AH823" s="53">
        <f t="shared" si="229"/>
        <v>0</v>
      </c>
      <c r="AI823" s="55"/>
      <c r="AJ823" s="53">
        <f t="shared" si="230"/>
        <v>0</v>
      </c>
      <c r="AK823" s="53">
        <f t="shared" si="231"/>
        <v>0</v>
      </c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7"/>
      <c r="AW823" s="57"/>
      <c r="AX823" s="57"/>
    </row>
    <row r="824" spans="2:50">
      <c r="B824" s="45">
        <v>798</v>
      </c>
      <c r="C824" s="331" t="s">
        <v>1190</v>
      </c>
      <c r="D824" s="331" t="s">
        <v>1229</v>
      </c>
      <c r="E824" s="331" t="s">
        <v>1230</v>
      </c>
      <c r="F824" s="331" t="s">
        <v>1234</v>
      </c>
      <c r="G824" s="346" t="s">
        <v>1232</v>
      </c>
      <c r="H824" s="333">
        <v>42620</v>
      </c>
      <c r="I824" s="164" t="s">
        <v>409</v>
      </c>
      <c r="J824" s="336">
        <f t="shared" si="216"/>
        <v>42</v>
      </c>
      <c r="K824" s="336">
        <v>42</v>
      </c>
      <c r="L824" s="336">
        <v>0</v>
      </c>
      <c r="M824" s="336"/>
      <c r="N824" s="50">
        <v>0.7</v>
      </c>
      <c r="O824" s="50">
        <v>0</v>
      </c>
      <c r="P824" s="52">
        <v>2</v>
      </c>
      <c r="Q824" s="53" t="s">
        <v>257</v>
      </c>
      <c r="R824" s="54" t="s">
        <v>1142</v>
      </c>
      <c r="S824" s="54" t="s">
        <v>1142</v>
      </c>
      <c r="T824" s="54" t="s">
        <v>1142</v>
      </c>
      <c r="U824" s="54" t="s">
        <v>1142</v>
      </c>
      <c r="V824" s="254" t="s">
        <v>1003</v>
      </c>
      <c r="W824" s="53"/>
      <c r="X824" s="53">
        <f t="shared" si="221"/>
        <v>0</v>
      </c>
      <c r="Y824" s="55"/>
      <c r="Z824" s="55"/>
      <c r="AA824" s="52">
        <f t="shared" si="222"/>
        <v>0</v>
      </c>
      <c r="AB824" s="53">
        <f t="shared" si="223"/>
        <v>0</v>
      </c>
      <c r="AC824" s="53">
        <f t="shared" si="224"/>
        <v>0</v>
      </c>
      <c r="AD824" s="53">
        <f t="shared" si="225"/>
        <v>0</v>
      </c>
      <c r="AE824" s="53">
        <f t="shared" si="226"/>
        <v>0</v>
      </c>
      <c r="AF824" s="53">
        <f t="shared" si="227"/>
        <v>0</v>
      </c>
      <c r="AG824" s="56">
        <f t="shared" si="228"/>
        <v>1</v>
      </c>
      <c r="AH824" s="53">
        <f t="shared" si="229"/>
        <v>0</v>
      </c>
      <c r="AI824" s="55"/>
      <c r="AJ824" s="53">
        <f t="shared" si="230"/>
        <v>0</v>
      </c>
      <c r="AK824" s="53">
        <f t="shared" si="231"/>
        <v>0</v>
      </c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7"/>
      <c r="AW824" s="57"/>
      <c r="AX824" s="57"/>
    </row>
    <row r="825" spans="2:50">
      <c r="B825" s="45">
        <v>799</v>
      </c>
      <c r="C825" s="331" t="s">
        <v>1190</v>
      </c>
      <c r="D825" s="331" t="s">
        <v>1229</v>
      </c>
      <c r="E825" s="331" t="s">
        <v>1230</v>
      </c>
      <c r="F825" s="331" t="s">
        <v>1235</v>
      </c>
      <c r="G825" s="346" t="s">
        <v>1232</v>
      </c>
      <c r="H825" s="333">
        <v>42620</v>
      </c>
      <c r="I825" s="164" t="s">
        <v>409</v>
      </c>
      <c r="J825" s="336">
        <f t="shared" si="216"/>
        <v>30</v>
      </c>
      <c r="K825" s="336">
        <v>30</v>
      </c>
      <c r="L825" s="336">
        <v>0</v>
      </c>
      <c r="M825" s="336"/>
      <c r="N825" s="50">
        <v>0.5</v>
      </c>
      <c r="O825" s="50">
        <v>0</v>
      </c>
      <c r="P825" s="52">
        <v>2</v>
      </c>
      <c r="Q825" s="53" t="s">
        <v>257</v>
      </c>
      <c r="R825" s="54" t="s">
        <v>1142</v>
      </c>
      <c r="S825" s="54" t="s">
        <v>1142</v>
      </c>
      <c r="T825" s="54" t="s">
        <v>1142</v>
      </c>
      <c r="U825" s="54" t="s">
        <v>1142</v>
      </c>
      <c r="V825" s="254" t="s">
        <v>1003</v>
      </c>
      <c r="W825" s="53"/>
      <c r="X825" s="53">
        <f t="shared" si="221"/>
        <v>0</v>
      </c>
      <c r="Y825" s="55"/>
      <c r="Z825" s="55"/>
      <c r="AA825" s="52">
        <f t="shared" si="222"/>
        <v>0</v>
      </c>
      <c r="AB825" s="53">
        <f t="shared" si="223"/>
        <v>0</v>
      </c>
      <c r="AC825" s="53">
        <f t="shared" si="224"/>
        <v>0</v>
      </c>
      <c r="AD825" s="53">
        <f t="shared" si="225"/>
        <v>0</v>
      </c>
      <c r="AE825" s="53">
        <f t="shared" si="226"/>
        <v>0</v>
      </c>
      <c r="AF825" s="53">
        <f t="shared" si="227"/>
        <v>0</v>
      </c>
      <c r="AG825" s="56">
        <f t="shared" si="228"/>
        <v>1</v>
      </c>
      <c r="AH825" s="53">
        <f t="shared" si="229"/>
        <v>0</v>
      </c>
      <c r="AI825" s="55"/>
      <c r="AJ825" s="53">
        <f t="shared" si="230"/>
        <v>0</v>
      </c>
      <c r="AK825" s="53">
        <f t="shared" si="231"/>
        <v>0</v>
      </c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7"/>
      <c r="AW825" s="57"/>
      <c r="AX825" s="57"/>
    </row>
    <row r="826" spans="2:50">
      <c r="B826" s="45">
        <v>800</v>
      </c>
      <c r="C826" s="331" t="s">
        <v>1190</v>
      </c>
      <c r="D826" s="331" t="s">
        <v>1229</v>
      </c>
      <c r="E826" s="331" t="s">
        <v>1230</v>
      </c>
      <c r="F826" s="331" t="s">
        <v>1236</v>
      </c>
      <c r="G826" s="346" t="s">
        <v>1232</v>
      </c>
      <c r="H826" s="333">
        <v>42620</v>
      </c>
      <c r="I826" s="164" t="s">
        <v>409</v>
      </c>
      <c r="J826" s="336">
        <f t="shared" si="216"/>
        <v>36</v>
      </c>
      <c r="K826" s="336">
        <v>36</v>
      </c>
      <c r="L826" s="336">
        <v>0</v>
      </c>
      <c r="M826" s="336"/>
      <c r="N826" s="50">
        <v>0.6</v>
      </c>
      <c r="O826" s="50">
        <v>0</v>
      </c>
      <c r="P826" s="52">
        <v>2</v>
      </c>
      <c r="Q826" s="53" t="s">
        <v>257</v>
      </c>
      <c r="R826" s="54" t="s">
        <v>1142</v>
      </c>
      <c r="S826" s="54" t="s">
        <v>1142</v>
      </c>
      <c r="T826" s="54" t="s">
        <v>1142</v>
      </c>
      <c r="U826" s="54" t="s">
        <v>1142</v>
      </c>
      <c r="V826" s="254" t="s">
        <v>1003</v>
      </c>
      <c r="W826" s="53"/>
      <c r="X826" s="53">
        <f t="shared" si="221"/>
        <v>0</v>
      </c>
      <c r="Y826" s="55"/>
      <c r="Z826" s="55"/>
      <c r="AA826" s="52">
        <f t="shared" si="222"/>
        <v>0</v>
      </c>
      <c r="AB826" s="53">
        <f t="shared" si="223"/>
        <v>0</v>
      </c>
      <c r="AC826" s="53">
        <f t="shared" si="224"/>
        <v>0</v>
      </c>
      <c r="AD826" s="53">
        <f t="shared" si="225"/>
        <v>0</v>
      </c>
      <c r="AE826" s="53">
        <f t="shared" si="226"/>
        <v>0</v>
      </c>
      <c r="AF826" s="53">
        <f t="shared" si="227"/>
        <v>0</v>
      </c>
      <c r="AG826" s="56">
        <f t="shared" si="228"/>
        <v>1</v>
      </c>
      <c r="AH826" s="53">
        <f t="shared" si="229"/>
        <v>0</v>
      </c>
      <c r="AI826" s="55"/>
      <c r="AJ826" s="53">
        <f t="shared" si="230"/>
        <v>0</v>
      </c>
      <c r="AK826" s="53">
        <f t="shared" si="231"/>
        <v>0</v>
      </c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7"/>
      <c r="AW826" s="57"/>
      <c r="AX826" s="57"/>
    </row>
    <row r="827" spans="2:50">
      <c r="B827" s="45">
        <v>801</v>
      </c>
      <c r="C827" s="331" t="s">
        <v>1190</v>
      </c>
      <c r="D827" s="331" t="s">
        <v>1229</v>
      </c>
      <c r="E827" s="331" t="s">
        <v>1230</v>
      </c>
      <c r="F827" s="331" t="s">
        <v>1237</v>
      </c>
      <c r="G827" s="346" t="s">
        <v>1232</v>
      </c>
      <c r="H827" s="333">
        <v>42620</v>
      </c>
      <c r="I827" s="164" t="s">
        <v>409</v>
      </c>
      <c r="J827" s="336">
        <f t="shared" si="216"/>
        <v>240</v>
      </c>
      <c r="K827" s="336">
        <v>102</v>
      </c>
      <c r="L827" s="336">
        <v>138</v>
      </c>
      <c r="M827" s="336"/>
      <c r="N827" s="50">
        <v>1.7</v>
      </c>
      <c r="O827" s="50">
        <v>2.2999999999999998</v>
      </c>
      <c r="P827" s="52">
        <v>2</v>
      </c>
      <c r="Q827" s="53" t="s">
        <v>257</v>
      </c>
      <c r="R827" s="54" t="s">
        <v>1142</v>
      </c>
      <c r="S827" s="54" t="s">
        <v>1142</v>
      </c>
      <c r="T827" s="54" t="s">
        <v>1142</v>
      </c>
      <c r="U827" s="54" t="s">
        <v>1142</v>
      </c>
      <c r="V827" s="254" t="s">
        <v>1003</v>
      </c>
      <c r="W827" s="53"/>
      <c r="X827" s="53">
        <f t="shared" si="221"/>
        <v>0</v>
      </c>
      <c r="Y827" s="55"/>
      <c r="Z827" s="55"/>
      <c r="AA827" s="52">
        <f t="shared" si="222"/>
        <v>0</v>
      </c>
      <c r="AB827" s="53">
        <f t="shared" si="223"/>
        <v>0</v>
      </c>
      <c r="AC827" s="53">
        <f t="shared" si="224"/>
        <v>0</v>
      </c>
      <c r="AD827" s="53">
        <f t="shared" si="225"/>
        <v>0</v>
      </c>
      <c r="AE827" s="53">
        <f t="shared" si="226"/>
        <v>0</v>
      </c>
      <c r="AF827" s="53">
        <f t="shared" si="227"/>
        <v>0</v>
      </c>
      <c r="AG827" s="56">
        <f t="shared" si="228"/>
        <v>1</v>
      </c>
      <c r="AH827" s="53">
        <f t="shared" si="229"/>
        <v>0</v>
      </c>
      <c r="AI827" s="55"/>
      <c r="AJ827" s="53">
        <f t="shared" si="230"/>
        <v>0</v>
      </c>
      <c r="AK827" s="53">
        <f t="shared" si="231"/>
        <v>0</v>
      </c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7"/>
      <c r="AW827" s="57"/>
      <c r="AX827" s="57"/>
    </row>
    <row r="828" spans="2:50">
      <c r="B828" s="45">
        <v>802</v>
      </c>
      <c r="C828" s="331" t="s">
        <v>1190</v>
      </c>
      <c r="D828" s="331" t="s">
        <v>1229</v>
      </c>
      <c r="E828" s="331" t="s">
        <v>1230</v>
      </c>
      <c r="F828" s="331" t="s">
        <v>1238</v>
      </c>
      <c r="G828" s="346" t="s">
        <v>1232</v>
      </c>
      <c r="H828" s="333">
        <v>42717</v>
      </c>
      <c r="I828" s="164" t="s">
        <v>409</v>
      </c>
      <c r="J828" s="336">
        <f t="shared" si="216"/>
        <v>48</v>
      </c>
      <c r="K828" s="336">
        <v>42</v>
      </c>
      <c r="L828" s="336">
        <v>6</v>
      </c>
      <c r="M828" s="336"/>
      <c r="N828" s="50">
        <v>0.7</v>
      </c>
      <c r="O828" s="50">
        <v>0.1</v>
      </c>
      <c r="P828" s="52">
        <v>2</v>
      </c>
      <c r="Q828" s="53" t="s">
        <v>257</v>
      </c>
      <c r="R828" s="54" t="s">
        <v>1142</v>
      </c>
      <c r="S828" s="54" t="s">
        <v>1142</v>
      </c>
      <c r="T828" s="54" t="s">
        <v>1142</v>
      </c>
      <c r="U828" s="54" t="s">
        <v>1142</v>
      </c>
      <c r="V828" s="254" t="s">
        <v>1003</v>
      </c>
      <c r="W828" s="53"/>
      <c r="X828" s="53">
        <f t="shared" si="221"/>
        <v>0</v>
      </c>
      <c r="Y828" s="55"/>
      <c r="Z828" s="55"/>
      <c r="AA828" s="52">
        <f t="shared" si="222"/>
        <v>0</v>
      </c>
      <c r="AB828" s="53">
        <f t="shared" si="223"/>
        <v>0</v>
      </c>
      <c r="AC828" s="53">
        <f t="shared" si="224"/>
        <v>0</v>
      </c>
      <c r="AD828" s="53">
        <f t="shared" si="225"/>
        <v>0</v>
      </c>
      <c r="AE828" s="53">
        <f t="shared" si="226"/>
        <v>0</v>
      </c>
      <c r="AF828" s="53">
        <f t="shared" si="227"/>
        <v>0</v>
      </c>
      <c r="AG828" s="56">
        <f t="shared" si="228"/>
        <v>1</v>
      </c>
      <c r="AH828" s="53">
        <f t="shared" si="229"/>
        <v>0</v>
      </c>
      <c r="AI828" s="55"/>
      <c r="AJ828" s="53">
        <f t="shared" si="230"/>
        <v>0</v>
      </c>
      <c r="AK828" s="53">
        <f t="shared" si="231"/>
        <v>0</v>
      </c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7"/>
      <c r="AW828" s="57"/>
      <c r="AX828" s="57"/>
    </row>
    <row r="829" spans="2:50">
      <c r="B829" s="45">
        <v>803</v>
      </c>
      <c r="C829" s="331" t="s">
        <v>1190</v>
      </c>
      <c r="D829" s="331" t="s">
        <v>1229</v>
      </c>
      <c r="E829" s="331" t="s">
        <v>1230</v>
      </c>
      <c r="F829" s="331" t="s">
        <v>1239</v>
      </c>
      <c r="G829" s="346" t="s">
        <v>1232</v>
      </c>
      <c r="H829" s="333">
        <v>42620</v>
      </c>
      <c r="I829" s="164" t="s">
        <v>409</v>
      </c>
      <c r="J829" s="336">
        <f t="shared" si="216"/>
        <v>36</v>
      </c>
      <c r="K829" s="336">
        <v>36</v>
      </c>
      <c r="L829" s="336">
        <v>0</v>
      </c>
      <c r="M829" s="336"/>
      <c r="N829" s="50">
        <v>0.6</v>
      </c>
      <c r="O829" s="50">
        <v>0</v>
      </c>
      <c r="P829" s="52">
        <v>2</v>
      </c>
      <c r="Q829" s="53" t="s">
        <v>257</v>
      </c>
      <c r="R829" s="54" t="s">
        <v>1142</v>
      </c>
      <c r="S829" s="54" t="s">
        <v>1142</v>
      </c>
      <c r="T829" s="54" t="s">
        <v>1142</v>
      </c>
      <c r="U829" s="54" t="s">
        <v>1142</v>
      </c>
      <c r="V829" s="254" t="s">
        <v>1003</v>
      </c>
      <c r="W829" s="53"/>
      <c r="X829" s="53">
        <f t="shared" si="221"/>
        <v>0</v>
      </c>
      <c r="Y829" s="55"/>
      <c r="Z829" s="55"/>
      <c r="AA829" s="52">
        <f t="shared" si="222"/>
        <v>0</v>
      </c>
      <c r="AB829" s="53">
        <f t="shared" si="223"/>
        <v>0</v>
      </c>
      <c r="AC829" s="53">
        <f t="shared" si="224"/>
        <v>0</v>
      </c>
      <c r="AD829" s="53">
        <f t="shared" si="225"/>
        <v>0</v>
      </c>
      <c r="AE829" s="53">
        <f t="shared" si="226"/>
        <v>0</v>
      </c>
      <c r="AF829" s="53">
        <f t="shared" si="227"/>
        <v>0</v>
      </c>
      <c r="AG829" s="56">
        <f t="shared" si="228"/>
        <v>1</v>
      </c>
      <c r="AH829" s="53">
        <f t="shared" si="229"/>
        <v>0</v>
      </c>
      <c r="AI829" s="55"/>
      <c r="AJ829" s="53">
        <f t="shared" si="230"/>
        <v>0</v>
      </c>
      <c r="AK829" s="53">
        <f t="shared" si="231"/>
        <v>0</v>
      </c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7"/>
      <c r="AW829" s="57"/>
      <c r="AX829" s="57"/>
    </row>
    <row r="830" spans="2:50">
      <c r="B830" s="45">
        <v>804</v>
      </c>
      <c r="C830" s="331" t="s">
        <v>1190</v>
      </c>
      <c r="D830" s="331" t="s">
        <v>1240</v>
      </c>
      <c r="E830" s="331" t="s">
        <v>1241</v>
      </c>
      <c r="F830" s="331" t="s">
        <v>1242</v>
      </c>
      <c r="G830" s="347" t="s">
        <v>618</v>
      </c>
      <c r="H830" s="333">
        <v>43612</v>
      </c>
      <c r="I830" s="164" t="s">
        <v>409</v>
      </c>
      <c r="J830" s="336">
        <f t="shared" si="216"/>
        <v>18</v>
      </c>
      <c r="K830" s="336">
        <v>12</v>
      </c>
      <c r="L830" s="336">
        <v>6</v>
      </c>
      <c r="M830" s="336"/>
      <c r="N830" s="348">
        <v>0.2</v>
      </c>
      <c r="O830" s="348">
        <v>0.1</v>
      </c>
      <c r="P830" s="349">
        <v>1</v>
      </c>
      <c r="Q830" s="53"/>
      <c r="R830" s="54" t="s">
        <v>1142</v>
      </c>
      <c r="S830" s="54" t="s">
        <v>1142</v>
      </c>
      <c r="T830" s="54" t="s">
        <v>1142</v>
      </c>
      <c r="U830" s="54" t="s">
        <v>1142</v>
      </c>
      <c r="V830" s="254" t="s">
        <v>1189</v>
      </c>
      <c r="W830" s="53"/>
      <c r="X830" s="53">
        <f t="shared" si="221"/>
        <v>0</v>
      </c>
      <c r="Y830" s="55"/>
      <c r="Z830" s="55"/>
      <c r="AA830" s="52">
        <f t="shared" si="222"/>
        <v>0</v>
      </c>
      <c r="AB830" s="53">
        <f t="shared" si="223"/>
        <v>0</v>
      </c>
      <c r="AC830" s="53">
        <f t="shared" si="224"/>
        <v>0</v>
      </c>
      <c r="AD830" s="53">
        <f t="shared" si="225"/>
        <v>0</v>
      </c>
      <c r="AE830" s="53">
        <f t="shared" si="226"/>
        <v>0</v>
      </c>
      <c r="AF830" s="53">
        <f t="shared" si="227"/>
        <v>0</v>
      </c>
      <c r="AG830" s="56">
        <f t="shared" si="228"/>
        <v>0</v>
      </c>
      <c r="AH830" s="53">
        <f t="shared" si="229"/>
        <v>0</v>
      </c>
      <c r="AI830" s="55"/>
      <c r="AJ830" s="53">
        <f t="shared" si="230"/>
        <v>0</v>
      </c>
      <c r="AK830" s="53">
        <f t="shared" si="231"/>
        <v>0</v>
      </c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7"/>
      <c r="AW830" s="57"/>
      <c r="AX830" s="57"/>
    </row>
    <row r="831" spans="2:50">
      <c r="B831" s="45">
        <v>805</v>
      </c>
      <c r="C831" s="331" t="s">
        <v>1190</v>
      </c>
      <c r="D831" s="331" t="s">
        <v>1240</v>
      </c>
      <c r="E831" s="331" t="s">
        <v>1243</v>
      </c>
      <c r="F831" s="331" t="s">
        <v>1244</v>
      </c>
      <c r="G831" s="347" t="s">
        <v>618</v>
      </c>
      <c r="H831" s="333">
        <v>43612</v>
      </c>
      <c r="I831" s="164" t="s">
        <v>409</v>
      </c>
      <c r="J831" s="336">
        <f t="shared" si="216"/>
        <v>240</v>
      </c>
      <c r="K831" s="336">
        <v>120</v>
      </c>
      <c r="L831" s="336">
        <v>120</v>
      </c>
      <c r="M831" s="336"/>
      <c r="N831" s="348">
        <v>2</v>
      </c>
      <c r="O831" s="348">
        <v>2</v>
      </c>
      <c r="P831" s="349">
        <v>1</v>
      </c>
      <c r="Q831" s="53"/>
      <c r="R831" s="54" t="s">
        <v>1142</v>
      </c>
      <c r="S831" s="54" t="s">
        <v>1142</v>
      </c>
      <c r="T831" s="54" t="s">
        <v>1142</v>
      </c>
      <c r="U831" s="54" t="s">
        <v>1142</v>
      </c>
      <c r="V831" s="254" t="s">
        <v>1189</v>
      </c>
      <c r="W831" s="53"/>
      <c r="X831" s="53">
        <f t="shared" si="221"/>
        <v>0</v>
      </c>
      <c r="Y831" s="55"/>
      <c r="Z831" s="55"/>
      <c r="AA831" s="52">
        <f t="shared" si="222"/>
        <v>0</v>
      </c>
      <c r="AB831" s="53">
        <f t="shared" si="223"/>
        <v>0</v>
      </c>
      <c r="AC831" s="53">
        <f t="shared" si="224"/>
        <v>0</v>
      </c>
      <c r="AD831" s="53">
        <f t="shared" si="225"/>
        <v>0</v>
      </c>
      <c r="AE831" s="53">
        <f t="shared" si="226"/>
        <v>0</v>
      </c>
      <c r="AF831" s="53">
        <f t="shared" si="227"/>
        <v>0</v>
      </c>
      <c r="AG831" s="56">
        <f t="shared" si="228"/>
        <v>0</v>
      </c>
      <c r="AH831" s="53">
        <f t="shared" si="229"/>
        <v>0</v>
      </c>
      <c r="AI831" s="55"/>
      <c r="AJ831" s="53">
        <f t="shared" si="230"/>
        <v>0</v>
      </c>
      <c r="AK831" s="53">
        <f t="shared" si="231"/>
        <v>0</v>
      </c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7"/>
      <c r="AW831" s="57"/>
      <c r="AX831" s="57"/>
    </row>
    <row r="832" spans="2:50">
      <c r="B832" s="138" t="s">
        <v>1245</v>
      </c>
      <c r="C832" s="139"/>
      <c r="D832" s="139"/>
      <c r="E832" s="139"/>
      <c r="F832" s="140"/>
      <c r="G832" s="141"/>
      <c r="H832" s="141"/>
      <c r="I832" s="142" t="s">
        <v>151</v>
      </c>
      <c r="J832" s="143">
        <f t="shared" si="216"/>
        <v>305.39999999999998</v>
      </c>
      <c r="K832" s="143">
        <f>K833/60</f>
        <v>7.4</v>
      </c>
      <c r="L832" s="143">
        <f>L833/60</f>
        <v>298</v>
      </c>
      <c r="M832" s="143">
        <f>M833/60</f>
        <v>54</v>
      </c>
      <c r="N832" s="144">
        <f>SUMIF(I834:I851,"DQA",N834:N851)</f>
        <v>7.3999999999999968</v>
      </c>
      <c r="O832" s="144">
        <f>SUMIF(I834:I851,"DQA",O834:O851)</f>
        <v>298</v>
      </c>
      <c r="P832" s="144"/>
      <c r="Q832" s="144"/>
      <c r="R832" s="144">
        <f>SUMIF(L834:L851,"DQA",R834:R851)</f>
        <v>0</v>
      </c>
      <c r="S832" s="144">
        <f>SUMIF(M834:M851,"DQA",S834:S851)</f>
        <v>0</v>
      </c>
      <c r="T832" s="144">
        <f>SUMIF(N834:N851,"DQA",T834:T851)</f>
        <v>0</v>
      </c>
      <c r="U832" s="144">
        <f>SUMIF(O834:O851,"DQA",U834:U851)</f>
        <v>0</v>
      </c>
      <c r="V832" s="144">
        <f>SUMIF(P834:P851,"DQA",V834:V851)</f>
        <v>0</v>
      </c>
      <c r="W832" s="143"/>
      <c r="X832" s="143">
        <f>X833/60</f>
        <v>0</v>
      </c>
      <c r="Y832" s="143"/>
      <c r="Z832" s="143"/>
      <c r="AA832" s="143"/>
      <c r="AB832" s="143">
        <f t="shared" ref="AB832:AF832" si="232">AB833/60</f>
        <v>0</v>
      </c>
      <c r="AC832" s="143"/>
      <c r="AD832" s="143">
        <f t="shared" si="232"/>
        <v>0</v>
      </c>
      <c r="AE832" s="143"/>
      <c r="AF832" s="143">
        <f t="shared" si="232"/>
        <v>0</v>
      </c>
      <c r="AG832" s="143"/>
      <c r="AH832" s="143">
        <f>AH833/60</f>
        <v>0</v>
      </c>
      <c r="AI832" s="143"/>
      <c r="AJ832" s="143"/>
      <c r="AK832" s="143">
        <f>AK833/60</f>
        <v>0</v>
      </c>
      <c r="AL832" s="143"/>
      <c r="AM832" s="143"/>
      <c r="AN832" s="143"/>
      <c r="AO832" s="143"/>
      <c r="AP832" s="143"/>
      <c r="AQ832" s="143"/>
      <c r="AR832" s="143"/>
      <c r="AS832" s="143"/>
      <c r="AT832" s="143"/>
      <c r="AU832" s="143"/>
      <c r="AV832" s="143"/>
      <c r="AW832" s="143"/>
      <c r="AX832" s="143">
        <f>AX833/60</f>
        <v>0</v>
      </c>
    </row>
    <row r="833" spans="2:50">
      <c r="B833" s="146"/>
      <c r="C833" s="147"/>
      <c r="D833" s="147"/>
      <c r="E833" s="147"/>
      <c r="F833" s="148"/>
      <c r="G833" s="141"/>
      <c r="H833" s="141"/>
      <c r="I833" s="149" t="s">
        <v>153</v>
      </c>
      <c r="J833" s="143">
        <f t="shared" si="216"/>
        <v>18324</v>
      </c>
      <c r="K833" s="143">
        <f>SUMIF($I834:$I851,"DQA",K834:K851)</f>
        <v>444</v>
      </c>
      <c r="L833" s="143">
        <f>SUMIF($I834:$I851,"DQA",L834:L851)</f>
        <v>17880</v>
      </c>
      <c r="M833" s="143">
        <f>SUMIF($I834:$I851,"DQA",M834:M851)</f>
        <v>3240</v>
      </c>
      <c r="N833" s="143">
        <f>N832*60</f>
        <v>443.99999999999983</v>
      </c>
      <c r="O833" s="143">
        <f t="shared" ref="O833:V833" si="233">O832/60</f>
        <v>4.9666666666666668</v>
      </c>
      <c r="P833" s="143"/>
      <c r="Q833" s="143"/>
      <c r="R833" s="143">
        <f t="shared" si="233"/>
        <v>0</v>
      </c>
      <c r="S833" s="143">
        <f t="shared" si="233"/>
        <v>0</v>
      </c>
      <c r="T833" s="143">
        <f t="shared" si="233"/>
        <v>0</v>
      </c>
      <c r="U833" s="143">
        <f t="shared" si="233"/>
        <v>0</v>
      </c>
      <c r="V833" s="143">
        <f t="shared" si="233"/>
        <v>0</v>
      </c>
      <c r="W833" s="143"/>
      <c r="X833" s="143">
        <f>SUM(X834:X851)</f>
        <v>0</v>
      </c>
      <c r="Y833" s="143"/>
      <c r="Z833" s="143"/>
      <c r="AA833" s="143"/>
      <c r="AB833" s="143">
        <f>SUM(AB834:AB851)</f>
        <v>0</v>
      </c>
      <c r="AC833" s="143"/>
      <c r="AD833" s="143">
        <f>SUM(AD834:AD851)</f>
        <v>0</v>
      </c>
      <c r="AE833" s="143"/>
      <c r="AF833" s="143">
        <f>SUM(AF834:AF851)</f>
        <v>0</v>
      </c>
      <c r="AG833" s="143"/>
      <c r="AH833" s="143">
        <f>SUM(AH834:AH851)</f>
        <v>0</v>
      </c>
      <c r="AI833" s="143"/>
      <c r="AJ833" s="143"/>
      <c r="AK833" s="143">
        <f>SUM(AK834:AK851)</f>
        <v>0</v>
      </c>
      <c r="AL833" s="143"/>
      <c r="AM833" s="143"/>
      <c r="AN833" s="143"/>
      <c r="AO833" s="143"/>
      <c r="AP833" s="143"/>
      <c r="AQ833" s="143"/>
      <c r="AR833" s="143"/>
      <c r="AS833" s="143"/>
      <c r="AT833" s="143"/>
      <c r="AU833" s="143"/>
      <c r="AV833" s="143"/>
      <c r="AW833" s="143"/>
      <c r="AX833" s="143">
        <f>SUM(AX834:AX851)</f>
        <v>0</v>
      </c>
    </row>
    <row r="834" spans="2:50">
      <c r="B834" s="45">
        <v>806</v>
      </c>
      <c r="C834" s="250" t="s">
        <v>1245</v>
      </c>
      <c r="D834" s="250" t="s">
        <v>1246</v>
      </c>
      <c r="E834" s="250" t="s">
        <v>1246</v>
      </c>
      <c r="F834" s="250" t="s">
        <v>1247</v>
      </c>
      <c r="G834" s="350" t="s">
        <v>190</v>
      </c>
      <c r="H834" s="351">
        <v>42934</v>
      </c>
      <c r="I834" s="169" t="s">
        <v>409</v>
      </c>
      <c r="J834" s="352">
        <f t="shared" si="216"/>
        <v>240</v>
      </c>
      <c r="K834" s="352">
        <v>240</v>
      </c>
      <c r="L834" s="352">
        <v>0</v>
      </c>
      <c r="M834" s="352"/>
      <c r="N834" s="352">
        <v>4</v>
      </c>
      <c r="O834" s="352">
        <v>0</v>
      </c>
      <c r="P834" s="353">
        <v>2</v>
      </c>
      <c r="Q834" s="53"/>
      <c r="R834" s="54" t="s">
        <v>1142</v>
      </c>
      <c r="S834" s="54" t="s">
        <v>1142</v>
      </c>
      <c r="T834" s="54" t="s">
        <v>1142</v>
      </c>
      <c r="U834" s="54" t="s">
        <v>1142</v>
      </c>
      <c r="V834" s="53" t="s">
        <v>1203</v>
      </c>
      <c r="W834" s="53"/>
      <c r="X834" s="53">
        <f t="shared" ref="X834:X851" si="234">SUMIF(W834,"Y",K834)</f>
        <v>0</v>
      </c>
      <c r="Y834" s="55"/>
      <c r="Z834" s="55"/>
      <c r="AA834" s="52">
        <f t="shared" ref="AA834:AA851" si="235">(COUNTA(AL834:AU834)-COUNTIF(AL834:AU834, "X"))</f>
        <v>0</v>
      </c>
      <c r="AB834" s="53">
        <f t="shared" ref="AB834:AB851" si="236">(COUNTA(AL834:AU834)-COUNTIF(AL834:AU834, "X"))*P834*K834</f>
        <v>0</v>
      </c>
      <c r="AC834" s="53">
        <f t="shared" ref="AC834:AC851" si="237">COUNTIF(AL834:AU834,"A")</f>
        <v>0</v>
      </c>
      <c r="AD834" s="53">
        <f t="shared" ref="AD834:AD851" si="238">COUNTIF(AL834:AU834,"V")*P834*M834</f>
        <v>0</v>
      </c>
      <c r="AE834" s="53">
        <f t="shared" ref="AE834:AE851" si="239">COUNTIF(AL834:AU834,"L")</f>
        <v>0</v>
      </c>
      <c r="AF834" s="53">
        <f t="shared" ref="AF834:AF851" si="240">COUNTIF(AL834:AU834,"L")*K834*P834</f>
        <v>0</v>
      </c>
      <c r="AG834" s="56">
        <f t="shared" ref="AG834:AG851" si="241">IF(Q834="Y",1,0)</f>
        <v>0</v>
      </c>
      <c r="AH834" s="53">
        <f t="shared" ref="AH834:AH851" si="242">IF(Q834="Y", AA834, 0)*K834*P834/2</f>
        <v>0</v>
      </c>
      <c r="AI834" s="55"/>
      <c r="AJ834" s="53">
        <f t="shared" ref="AJ834:AJ851" si="243">COUNTIF(AL834:AU834, "V")</f>
        <v>0</v>
      </c>
      <c r="AK834" s="53">
        <f t="shared" ref="AK834:AK851" si="244">AB834-AD834-AF834-AH834</f>
        <v>0</v>
      </c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7"/>
      <c r="AW834" s="57"/>
      <c r="AX834" s="57"/>
    </row>
    <row r="835" spans="2:50">
      <c r="B835" s="45">
        <v>807</v>
      </c>
      <c r="C835" s="250" t="s">
        <v>1248</v>
      </c>
      <c r="D835" s="250" t="s">
        <v>1249</v>
      </c>
      <c r="E835" s="250" t="s">
        <v>1250</v>
      </c>
      <c r="F835" s="250" t="s">
        <v>1251</v>
      </c>
      <c r="G835" s="354" t="s">
        <v>190</v>
      </c>
      <c r="H835" s="355">
        <v>42653</v>
      </c>
      <c r="I835" s="164" t="s">
        <v>409</v>
      </c>
      <c r="J835" s="356">
        <f t="shared" si="216"/>
        <v>738</v>
      </c>
      <c r="K835" s="356">
        <v>18</v>
      </c>
      <c r="L835" s="356">
        <v>720</v>
      </c>
      <c r="M835" s="356"/>
      <c r="N835" s="356">
        <v>0.3</v>
      </c>
      <c r="O835" s="356">
        <v>12</v>
      </c>
      <c r="P835" s="357">
        <v>2</v>
      </c>
      <c r="Q835" s="53"/>
      <c r="R835" s="54" t="s">
        <v>1142</v>
      </c>
      <c r="S835" s="54" t="s">
        <v>1142</v>
      </c>
      <c r="T835" s="54" t="s">
        <v>1142</v>
      </c>
      <c r="U835" s="54" t="s">
        <v>1142</v>
      </c>
      <c r="V835" s="53" t="s">
        <v>1203</v>
      </c>
      <c r="W835" s="53"/>
      <c r="X835" s="53">
        <f t="shared" si="234"/>
        <v>0</v>
      </c>
      <c r="Y835" s="55"/>
      <c r="Z835" s="55"/>
      <c r="AA835" s="52">
        <f t="shared" si="235"/>
        <v>0</v>
      </c>
      <c r="AB835" s="53">
        <f t="shared" si="236"/>
        <v>0</v>
      </c>
      <c r="AC835" s="53">
        <f t="shared" si="237"/>
        <v>0</v>
      </c>
      <c r="AD835" s="53">
        <f t="shared" si="238"/>
        <v>0</v>
      </c>
      <c r="AE835" s="53">
        <f t="shared" si="239"/>
        <v>0</v>
      </c>
      <c r="AF835" s="53">
        <f t="shared" si="240"/>
        <v>0</v>
      </c>
      <c r="AG835" s="56">
        <f t="shared" si="241"/>
        <v>0</v>
      </c>
      <c r="AH835" s="53">
        <f t="shared" si="242"/>
        <v>0</v>
      </c>
      <c r="AI835" s="55"/>
      <c r="AJ835" s="53">
        <f t="shared" si="243"/>
        <v>0</v>
      </c>
      <c r="AK835" s="53">
        <f t="shared" si="244"/>
        <v>0</v>
      </c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7"/>
      <c r="AW835" s="57"/>
      <c r="AX835" s="57"/>
    </row>
    <row r="836" spans="2:50">
      <c r="B836" s="45">
        <v>808</v>
      </c>
      <c r="C836" s="250" t="s">
        <v>1248</v>
      </c>
      <c r="D836" s="250" t="s">
        <v>1249</v>
      </c>
      <c r="E836" s="250" t="s">
        <v>1250</v>
      </c>
      <c r="F836" s="250" t="s">
        <v>1252</v>
      </c>
      <c r="G836" s="354" t="s">
        <v>190</v>
      </c>
      <c r="H836" s="355">
        <v>43140</v>
      </c>
      <c r="I836" s="164" t="s">
        <v>409</v>
      </c>
      <c r="J836" s="356">
        <f t="shared" si="216"/>
        <v>738</v>
      </c>
      <c r="K836" s="356">
        <v>18</v>
      </c>
      <c r="L836" s="356">
        <v>720</v>
      </c>
      <c r="M836" s="356"/>
      <c r="N836" s="356">
        <v>0.3</v>
      </c>
      <c r="O836" s="356">
        <v>12</v>
      </c>
      <c r="P836" s="357">
        <v>2</v>
      </c>
      <c r="Q836" s="53"/>
      <c r="R836" s="54" t="s">
        <v>1142</v>
      </c>
      <c r="S836" s="54" t="s">
        <v>1142</v>
      </c>
      <c r="T836" s="54" t="s">
        <v>1142</v>
      </c>
      <c r="U836" s="54" t="s">
        <v>1142</v>
      </c>
      <c r="V836" s="53" t="s">
        <v>1203</v>
      </c>
      <c r="W836" s="53"/>
      <c r="X836" s="53">
        <f t="shared" si="234"/>
        <v>0</v>
      </c>
      <c r="Y836" s="55"/>
      <c r="Z836" s="55"/>
      <c r="AA836" s="52">
        <f t="shared" si="235"/>
        <v>0</v>
      </c>
      <c r="AB836" s="53">
        <f t="shared" si="236"/>
        <v>0</v>
      </c>
      <c r="AC836" s="53">
        <f t="shared" si="237"/>
        <v>0</v>
      </c>
      <c r="AD836" s="53">
        <f t="shared" si="238"/>
        <v>0</v>
      </c>
      <c r="AE836" s="53">
        <f t="shared" si="239"/>
        <v>0</v>
      </c>
      <c r="AF836" s="53">
        <f t="shared" si="240"/>
        <v>0</v>
      </c>
      <c r="AG836" s="56">
        <f t="shared" si="241"/>
        <v>0</v>
      </c>
      <c r="AH836" s="53">
        <f t="shared" si="242"/>
        <v>0</v>
      </c>
      <c r="AI836" s="55"/>
      <c r="AJ836" s="53">
        <f t="shared" si="243"/>
        <v>0</v>
      </c>
      <c r="AK836" s="53">
        <f t="shared" si="244"/>
        <v>0</v>
      </c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7"/>
      <c r="AW836" s="57"/>
      <c r="AX836" s="57"/>
    </row>
    <row r="837" spans="2:50">
      <c r="B837" s="45">
        <v>809</v>
      </c>
      <c r="C837" s="250" t="s">
        <v>1248</v>
      </c>
      <c r="D837" s="250" t="s">
        <v>1249</v>
      </c>
      <c r="E837" s="250" t="s">
        <v>1253</v>
      </c>
      <c r="F837" s="250" t="s">
        <v>1254</v>
      </c>
      <c r="G837" s="354" t="s">
        <v>190</v>
      </c>
      <c r="H837" s="355">
        <v>42975</v>
      </c>
      <c r="I837" s="164" t="s">
        <v>409</v>
      </c>
      <c r="J837" s="50">
        <f t="shared" si="216"/>
        <v>2184</v>
      </c>
      <c r="K837" s="50">
        <v>24</v>
      </c>
      <c r="L837" s="50">
        <v>2160</v>
      </c>
      <c r="M837" s="50"/>
      <c r="N837" s="356">
        <v>0.4</v>
      </c>
      <c r="O837" s="356">
        <v>36</v>
      </c>
      <c r="P837" s="357">
        <v>2</v>
      </c>
      <c r="Q837" s="53"/>
      <c r="R837" s="54" t="s">
        <v>1142</v>
      </c>
      <c r="S837" s="54" t="s">
        <v>1142</v>
      </c>
      <c r="T837" s="54" t="s">
        <v>1142</v>
      </c>
      <c r="U837" s="54" t="s">
        <v>1142</v>
      </c>
      <c r="V837" s="53" t="s">
        <v>1203</v>
      </c>
      <c r="W837" s="53"/>
      <c r="X837" s="53">
        <f t="shared" si="234"/>
        <v>0</v>
      </c>
      <c r="Y837" s="55"/>
      <c r="Z837" s="55"/>
      <c r="AA837" s="52">
        <f t="shared" si="235"/>
        <v>0</v>
      </c>
      <c r="AB837" s="53">
        <f t="shared" si="236"/>
        <v>0</v>
      </c>
      <c r="AC837" s="53">
        <f t="shared" si="237"/>
        <v>0</v>
      </c>
      <c r="AD837" s="53">
        <f t="shared" si="238"/>
        <v>0</v>
      </c>
      <c r="AE837" s="53">
        <f t="shared" si="239"/>
        <v>0</v>
      </c>
      <c r="AF837" s="53">
        <f t="shared" si="240"/>
        <v>0</v>
      </c>
      <c r="AG837" s="56">
        <f t="shared" si="241"/>
        <v>0</v>
      </c>
      <c r="AH837" s="53">
        <f t="shared" si="242"/>
        <v>0</v>
      </c>
      <c r="AI837" s="55"/>
      <c r="AJ837" s="53">
        <f t="shared" si="243"/>
        <v>0</v>
      </c>
      <c r="AK837" s="53">
        <f t="shared" si="244"/>
        <v>0</v>
      </c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7"/>
      <c r="AW837" s="57"/>
      <c r="AX837" s="57"/>
    </row>
    <row r="838" spans="2:50">
      <c r="B838" s="45">
        <v>810</v>
      </c>
      <c r="C838" s="250" t="s">
        <v>1248</v>
      </c>
      <c r="D838" s="250" t="s">
        <v>1249</v>
      </c>
      <c r="E838" s="250" t="s">
        <v>1253</v>
      </c>
      <c r="F838" s="250" t="s">
        <v>1255</v>
      </c>
      <c r="G838" s="354" t="s">
        <v>190</v>
      </c>
      <c r="H838" s="355">
        <v>43140</v>
      </c>
      <c r="I838" s="164" t="s">
        <v>409</v>
      </c>
      <c r="J838" s="50">
        <f t="shared" si="216"/>
        <v>3276</v>
      </c>
      <c r="K838" s="50">
        <v>36</v>
      </c>
      <c r="L838" s="50">
        <v>3240</v>
      </c>
      <c r="M838" s="50">
        <v>3240</v>
      </c>
      <c r="N838" s="356">
        <v>0.6</v>
      </c>
      <c r="O838" s="356">
        <v>54</v>
      </c>
      <c r="P838" s="357">
        <v>2</v>
      </c>
      <c r="Q838" s="53"/>
      <c r="R838" s="54" t="s">
        <v>1142</v>
      </c>
      <c r="S838" s="54" t="s">
        <v>1142</v>
      </c>
      <c r="T838" s="54" t="s">
        <v>1142</v>
      </c>
      <c r="U838" s="54" t="s">
        <v>1142</v>
      </c>
      <c r="V838" s="53" t="s">
        <v>1203</v>
      </c>
      <c r="W838" s="53"/>
      <c r="X838" s="53">
        <f t="shared" si="234"/>
        <v>0</v>
      </c>
      <c r="Y838" s="55"/>
      <c r="Z838" s="55"/>
      <c r="AA838" s="52">
        <f t="shared" si="235"/>
        <v>0</v>
      </c>
      <c r="AB838" s="53">
        <f t="shared" si="236"/>
        <v>0</v>
      </c>
      <c r="AC838" s="53">
        <f t="shared" si="237"/>
        <v>0</v>
      </c>
      <c r="AD838" s="53">
        <f t="shared" si="238"/>
        <v>0</v>
      </c>
      <c r="AE838" s="53">
        <f t="shared" si="239"/>
        <v>0</v>
      </c>
      <c r="AF838" s="53">
        <f t="shared" si="240"/>
        <v>0</v>
      </c>
      <c r="AG838" s="56">
        <f t="shared" si="241"/>
        <v>0</v>
      </c>
      <c r="AH838" s="53">
        <f t="shared" si="242"/>
        <v>0</v>
      </c>
      <c r="AI838" s="55"/>
      <c r="AJ838" s="53">
        <f t="shared" si="243"/>
        <v>0</v>
      </c>
      <c r="AK838" s="53">
        <f t="shared" si="244"/>
        <v>0</v>
      </c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7"/>
      <c r="AW838" s="57"/>
      <c r="AX838" s="57"/>
    </row>
    <row r="839" spans="2:50">
      <c r="B839" s="45">
        <v>811</v>
      </c>
      <c r="C839" s="250" t="s">
        <v>1248</v>
      </c>
      <c r="D839" s="250" t="s">
        <v>1249</v>
      </c>
      <c r="E839" s="250" t="s">
        <v>1256</v>
      </c>
      <c r="F839" s="250" t="s">
        <v>1257</v>
      </c>
      <c r="G839" s="354" t="s">
        <v>306</v>
      </c>
      <c r="H839" s="355">
        <v>42939</v>
      </c>
      <c r="I839" s="164" t="s">
        <v>409</v>
      </c>
      <c r="J839" s="356">
        <f t="shared" si="216"/>
        <v>4326</v>
      </c>
      <c r="K839" s="356">
        <v>6</v>
      </c>
      <c r="L839" s="356">
        <v>4320</v>
      </c>
      <c r="M839" s="356"/>
      <c r="N839" s="356">
        <v>0.1</v>
      </c>
      <c r="O839" s="356">
        <v>72</v>
      </c>
      <c r="P839" s="357">
        <v>1</v>
      </c>
      <c r="Q839" s="53"/>
      <c r="R839" s="54" t="s">
        <v>1142</v>
      </c>
      <c r="S839" s="54" t="s">
        <v>1142</v>
      </c>
      <c r="T839" s="54" t="s">
        <v>1142</v>
      </c>
      <c r="U839" s="54" t="s">
        <v>1142</v>
      </c>
      <c r="V839" s="53" t="s">
        <v>1203</v>
      </c>
      <c r="W839" s="53"/>
      <c r="X839" s="53">
        <f t="shared" si="234"/>
        <v>0</v>
      </c>
      <c r="Y839" s="55"/>
      <c r="Z839" s="55"/>
      <c r="AA839" s="52">
        <f t="shared" si="235"/>
        <v>0</v>
      </c>
      <c r="AB839" s="53">
        <f t="shared" si="236"/>
        <v>0</v>
      </c>
      <c r="AC839" s="53">
        <f t="shared" si="237"/>
        <v>0</v>
      </c>
      <c r="AD839" s="53">
        <f t="shared" si="238"/>
        <v>0</v>
      </c>
      <c r="AE839" s="53">
        <f t="shared" si="239"/>
        <v>0</v>
      </c>
      <c r="AF839" s="53">
        <f t="shared" si="240"/>
        <v>0</v>
      </c>
      <c r="AG839" s="56">
        <f t="shared" si="241"/>
        <v>0</v>
      </c>
      <c r="AH839" s="53">
        <f t="shared" si="242"/>
        <v>0</v>
      </c>
      <c r="AI839" s="55"/>
      <c r="AJ839" s="53">
        <f t="shared" si="243"/>
        <v>0</v>
      </c>
      <c r="AK839" s="53">
        <f t="shared" si="244"/>
        <v>0</v>
      </c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7"/>
      <c r="AW839" s="57"/>
      <c r="AX839" s="57"/>
    </row>
    <row r="840" spans="2:50">
      <c r="B840" s="45">
        <v>812</v>
      </c>
      <c r="C840" s="250" t="s">
        <v>1248</v>
      </c>
      <c r="D840" s="250" t="s">
        <v>1249</v>
      </c>
      <c r="E840" s="250" t="s">
        <v>1256</v>
      </c>
      <c r="F840" s="250" t="s">
        <v>1258</v>
      </c>
      <c r="G840" s="354" t="s">
        <v>306</v>
      </c>
      <c r="H840" s="355">
        <v>42939</v>
      </c>
      <c r="I840" s="164" t="s">
        <v>409</v>
      </c>
      <c r="J840" s="356">
        <f t="shared" si="216"/>
        <v>12</v>
      </c>
      <c r="K840" s="356">
        <v>12</v>
      </c>
      <c r="L840" s="356">
        <v>0</v>
      </c>
      <c r="M840" s="356"/>
      <c r="N840" s="356">
        <v>0.2</v>
      </c>
      <c r="O840" s="356">
        <v>0</v>
      </c>
      <c r="P840" s="357">
        <v>2</v>
      </c>
      <c r="Q840" s="53"/>
      <c r="R840" s="54" t="s">
        <v>1142</v>
      </c>
      <c r="S840" s="54" t="s">
        <v>1142</v>
      </c>
      <c r="T840" s="54" t="s">
        <v>1142</v>
      </c>
      <c r="U840" s="54" t="s">
        <v>1142</v>
      </c>
      <c r="V840" s="53" t="s">
        <v>1203</v>
      </c>
      <c r="W840" s="53"/>
      <c r="X840" s="53">
        <f t="shared" si="234"/>
        <v>0</v>
      </c>
      <c r="Y840" s="55"/>
      <c r="Z840" s="55"/>
      <c r="AA840" s="52">
        <f t="shared" si="235"/>
        <v>0</v>
      </c>
      <c r="AB840" s="53">
        <f t="shared" si="236"/>
        <v>0</v>
      </c>
      <c r="AC840" s="53">
        <f t="shared" si="237"/>
        <v>0</v>
      </c>
      <c r="AD840" s="53">
        <f t="shared" si="238"/>
        <v>0</v>
      </c>
      <c r="AE840" s="53">
        <f t="shared" si="239"/>
        <v>0</v>
      </c>
      <c r="AF840" s="53">
        <f t="shared" si="240"/>
        <v>0</v>
      </c>
      <c r="AG840" s="56">
        <f t="shared" si="241"/>
        <v>0</v>
      </c>
      <c r="AH840" s="53">
        <f t="shared" si="242"/>
        <v>0</v>
      </c>
      <c r="AI840" s="55"/>
      <c r="AJ840" s="53">
        <f t="shared" si="243"/>
        <v>0</v>
      </c>
      <c r="AK840" s="53">
        <f t="shared" si="244"/>
        <v>0</v>
      </c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7"/>
      <c r="AW840" s="57"/>
      <c r="AX840" s="57"/>
    </row>
    <row r="841" spans="2:50">
      <c r="B841" s="45">
        <v>813</v>
      </c>
      <c r="C841" s="250" t="s">
        <v>1248</v>
      </c>
      <c r="D841" s="250" t="s">
        <v>1249</v>
      </c>
      <c r="E841" s="250" t="s">
        <v>1259</v>
      </c>
      <c r="F841" s="250" t="s">
        <v>1260</v>
      </c>
      <c r="G841" s="354" t="s">
        <v>306</v>
      </c>
      <c r="H841" s="355">
        <v>43112</v>
      </c>
      <c r="I841" s="164" t="s">
        <v>409</v>
      </c>
      <c r="J841" s="356">
        <f t="shared" si="216"/>
        <v>723</v>
      </c>
      <c r="K841" s="356">
        <v>3</v>
      </c>
      <c r="L841" s="356">
        <v>720</v>
      </c>
      <c r="M841" s="356"/>
      <c r="N841" s="356">
        <v>0.05</v>
      </c>
      <c r="O841" s="356">
        <v>12</v>
      </c>
      <c r="P841" s="357">
        <v>2</v>
      </c>
      <c r="Q841" s="53"/>
      <c r="R841" s="54" t="s">
        <v>1142</v>
      </c>
      <c r="S841" s="54" t="s">
        <v>1142</v>
      </c>
      <c r="T841" s="54" t="s">
        <v>1142</v>
      </c>
      <c r="U841" s="54" t="s">
        <v>1142</v>
      </c>
      <c r="V841" s="53" t="s">
        <v>1203</v>
      </c>
      <c r="W841" s="53"/>
      <c r="X841" s="53">
        <f t="shared" si="234"/>
        <v>0</v>
      </c>
      <c r="Y841" s="55"/>
      <c r="Z841" s="55"/>
      <c r="AA841" s="52">
        <f t="shared" si="235"/>
        <v>0</v>
      </c>
      <c r="AB841" s="53">
        <f t="shared" si="236"/>
        <v>0</v>
      </c>
      <c r="AC841" s="53">
        <f t="shared" si="237"/>
        <v>0</v>
      </c>
      <c r="AD841" s="53">
        <f t="shared" si="238"/>
        <v>0</v>
      </c>
      <c r="AE841" s="53">
        <f t="shared" si="239"/>
        <v>0</v>
      </c>
      <c r="AF841" s="53">
        <f t="shared" si="240"/>
        <v>0</v>
      </c>
      <c r="AG841" s="56">
        <f t="shared" si="241"/>
        <v>0</v>
      </c>
      <c r="AH841" s="53">
        <f t="shared" si="242"/>
        <v>0</v>
      </c>
      <c r="AI841" s="55"/>
      <c r="AJ841" s="53">
        <f t="shared" si="243"/>
        <v>0</v>
      </c>
      <c r="AK841" s="53">
        <f t="shared" si="244"/>
        <v>0</v>
      </c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7"/>
      <c r="AW841" s="57"/>
      <c r="AX841" s="57"/>
    </row>
    <row r="842" spans="2:50">
      <c r="B842" s="45">
        <v>814</v>
      </c>
      <c r="C842" s="250" t="s">
        <v>1248</v>
      </c>
      <c r="D842" s="250" t="s">
        <v>1249</v>
      </c>
      <c r="E842" s="250" t="s">
        <v>1259</v>
      </c>
      <c r="F842" s="250" t="s">
        <v>1261</v>
      </c>
      <c r="G842" s="354" t="s">
        <v>306</v>
      </c>
      <c r="H842" s="355">
        <v>43112</v>
      </c>
      <c r="I842" s="164" t="s">
        <v>409</v>
      </c>
      <c r="J842" s="356">
        <f t="shared" si="216"/>
        <v>723</v>
      </c>
      <c r="K842" s="356">
        <v>3</v>
      </c>
      <c r="L842" s="356">
        <v>720</v>
      </c>
      <c r="M842" s="356"/>
      <c r="N842" s="356">
        <v>0.05</v>
      </c>
      <c r="O842" s="356">
        <v>12</v>
      </c>
      <c r="P842" s="357">
        <v>2</v>
      </c>
      <c r="Q842" s="53"/>
      <c r="R842" s="54" t="s">
        <v>1142</v>
      </c>
      <c r="S842" s="54" t="s">
        <v>1142</v>
      </c>
      <c r="T842" s="54" t="s">
        <v>1142</v>
      </c>
      <c r="U842" s="54" t="s">
        <v>1142</v>
      </c>
      <c r="V842" s="53" t="s">
        <v>1203</v>
      </c>
      <c r="W842" s="53"/>
      <c r="X842" s="53">
        <f t="shared" si="234"/>
        <v>0</v>
      </c>
      <c r="Y842" s="55"/>
      <c r="Z842" s="55"/>
      <c r="AA842" s="52">
        <f t="shared" si="235"/>
        <v>0</v>
      </c>
      <c r="AB842" s="53">
        <f t="shared" si="236"/>
        <v>0</v>
      </c>
      <c r="AC842" s="53">
        <f t="shared" si="237"/>
        <v>0</v>
      </c>
      <c r="AD842" s="53">
        <f t="shared" si="238"/>
        <v>0</v>
      </c>
      <c r="AE842" s="53">
        <f t="shared" si="239"/>
        <v>0</v>
      </c>
      <c r="AF842" s="53">
        <f t="shared" si="240"/>
        <v>0</v>
      </c>
      <c r="AG842" s="56">
        <f t="shared" si="241"/>
        <v>0</v>
      </c>
      <c r="AH842" s="53">
        <f t="shared" si="242"/>
        <v>0</v>
      </c>
      <c r="AI842" s="55"/>
      <c r="AJ842" s="53">
        <f t="shared" si="243"/>
        <v>0</v>
      </c>
      <c r="AK842" s="53">
        <f t="shared" si="244"/>
        <v>0</v>
      </c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7"/>
      <c r="AW842" s="57"/>
      <c r="AX842" s="57"/>
    </row>
    <row r="843" spans="2:50">
      <c r="B843" s="45">
        <v>815</v>
      </c>
      <c r="C843" s="250" t="s">
        <v>1248</v>
      </c>
      <c r="D843" s="250" t="s">
        <v>1249</v>
      </c>
      <c r="E843" s="250" t="s">
        <v>1259</v>
      </c>
      <c r="F843" s="250" t="s">
        <v>1262</v>
      </c>
      <c r="G843" s="354" t="s">
        <v>306</v>
      </c>
      <c r="H843" s="355">
        <v>43140</v>
      </c>
      <c r="I843" s="164" t="s">
        <v>409</v>
      </c>
      <c r="J843" s="356">
        <f t="shared" ref="J843:J906" si="245">SUM(K843:L843)</f>
        <v>723</v>
      </c>
      <c r="K843" s="356">
        <v>3</v>
      </c>
      <c r="L843" s="356">
        <v>720</v>
      </c>
      <c r="M843" s="356"/>
      <c r="N843" s="356">
        <v>0.05</v>
      </c>
      <c r="O843" s="356">
        <v>12</v>
      </c>
      <c r="P843" s="357">
        <v>2</v>
      </c>
      <c r="Q843" s="53"/>
      <c r="R843" s="54" t="s">
        <v>1142</v>
      </c>
      <c r="S843" s="54" t="s">
        <v>1142</v>
      </c>
      <c r="T843" s="54" t="s">
        <v>1142</v>
      </c>
      <c r="U843" s="54" t="s">
        <v>1142</v>
      </c>
      <c r="V843" s="53" t="s">
        <v>1203</v>
      </c>
      <c r="W843" s="53"/>
      <c r="X843" s="53">
        <f t="shared" si="234"/>
        <v>0</v>
      </c>
      <c r="Y843" s="55"/>
      <c r="Z843" s="55"/>
      <c r="AA843" s="52">
        <f t="shared" si="235"/>
        <v>0</v>
      </c>
      <c r="AB843" s="53">
        <f t="shared" si="236"/>
        <v>0</v>
      </c>
      <c r="AC843" s="53">
        <f t="shared" si="237"/>
        <v>0</v>
      </c>
      <c r="AD843" s="53">
        <f t="shared" si="238"/>
        <v>0</v>
      </c>
      <c r="AE843" s="53">
        <f t="shared" si="239"/>
        <v>0</v>
      </c>
      <c r="AF843" s="53">
        <f t="shared" si="240"/>
        <v>0</v>
      </c>
      <c r="AG843" s="56">
        <f t="shared" si="241"/>
        <v>0</v>
      </c>
      <c r="AH843" s="53">
        <f t="shared" si="242"/>
        <v>0</v>
      </c>
      <c r="AI843" s="55"/>
      <c r="AJ843" s="53">
        <f t="shared" si="243"/>
        <v>0</v>
      </c>
      <c r="AK843" s="53">
        <f t="shared" si="244"/>
        <v>0</v>
      </c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7"/>
      <c r="AW843" s="57"/>
      <c r="AX843" s="57"/>
    </row>
    <row r="844" spans="2:50">
      <c r="B844" s="45">
        <v>816</v>
      </c>
      <c r="C844" s="250" t="s">
        <v>1248</v>
      </c>
      <c r="D844" s="250" t="s">
        <v>1249</v>
      </c>
      <c r="E844" s="250" t="s">
        <v>1259</v>
      </c>
      <c r="F844" s="250" t="s">
        <v>1263</v>
      </c>
      <c r="G844" s="354" t="s">
        <v>306</v>
      </c>
      <c r="H844" s="355">
        <v>43766</v>
      </c>
      <c r="I844" s="164" t="s">
        <v>409</v>
      </c>
      <c r="J844" s="356">
        <f t="shared" si="245"/>
        <v>738</v>
      </c>
      <c r="K844" s="356">
        <v>18</v>
      </c>
      <c r="L844" s="356">
        <v>720</v>
      </c>
      <c r="M844" s="356"/>
      <c r="N844" s="356">
        <v>0.3</v>
      </c>
      <c r="O844" s="356">
        <v>12</v>
      </c>
      <c r="P844" s="357">
        <v>2</v>
      </c>
      <c r="Q844" s="53"/>
      <c r="R844" s="54" t="s">
        <v>1142</v>
      </c>
      <c r="S844" s="54" t="s">
        <v>1142</v>
      </c>
      <c r="T844" s="54" t="s">
        <v>1142</v>
      </c>
      <c r="U844" s="54" t="s">
        <v>1142</v>
      </c>
      <c r="V844" s="53" t="s">
        <v>1203</v>
      </c>
      <c r="W844" s="53"/>
      <c r="X844" s="53">
        <f t="shared" si="234"/>
        <v>0</v>
      </c>
      <c r="Y844" s="55"/>
      <c r="Z844" s="55"/>
      <c r="AA844" s="52">
        <f t="shared" si="235"/>
        <v>0</v>
      </c>
      <c r="AB844" s="53">
        <f t="shared" si="236"/>
        <v>0</v>
      </c>
      <c r="AC844" s="53">
        <f t="shared" si="237"/>
        <v>0</v>
      </c>
      <c r="AD844" s="53">
        <f t="shared" si="238"/>
        <v>0</v>
      </c>
      <c r="AE844" s="53">
        <f t="shared" si="239"/>
        <v>0</v>
      </c>
      <c r="AF844" s="53">
        <f t="shared" si="240"/>
        <v>0</v>
      </c>
      <c r="AG844" s="56">
        <f t="shared" si="241"/>
        <v>0</v>
      </c>
      <c r="AH844" s="53">
        <f t="shared" si="242"/>
        <v>0</v>
      </c>
      <c r="AI844" s="55"/>
      <c r="AJ844" s="53">
        <f t="shared" si="243"/>
        <v>0</v>
      </c>
      <c r="AK844" s="53">
        <f t="shared" si="244"/>
        <v>0</v>
      </c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7"/>
      <c r="AW844" s="57"/>
      <c r="AX844" s="57"/>
    </row>
    <row r="845" spans="2:50">
      <c r="B845" s="45">
        <v>817</v>
      </c>
      <c r="C845" s="250" t="s">
        <v>1248</v>
      </c>
      <c r="D845" s="250" t="s">
        <v>1249</v>
      </c>
      <c r="E845" s="250" t="s">
        <v>1259</v>
      </c>
      <c r="F845" s="250" t="s">
        <v>1264</v>
      </c>
      <c r="G845" s="354" t="s">
        <v>306</v>
      </c>
      <c r="H845" s="355">
        <v>43766</v>
      </c>
      <c r="I845" s="164" t="s">
        <v>409</v>
      </c>
      <c r="J845" s="356">
        <f t="shared" si="245"/>
        <v>738</v>
      </c>
      <c r="K845" s="356">
        <v>18</v>
      </c>
      <c r="L845" s="356">
        <v>720</v>
      </c>
      <c r="M845" s="356"/>
      <c r="N845" s="356">
        <v>0.3</v>
      </c>
      <c r="O845" s="356">
        <v>12</v>
      </c>
      <c r="P845" s="357">
        <v>2</v>
      </c>
      <c r="Q845" s="53"/>
      <c r="R845" s="54" t="s">
        <v>1142</v>
      </c>
      <c r="S845" s="54" t="s">
        <v>1142</v>
      </c>
      <c r="T845" s="54" t="s">
        <v>1142</v>
      </c>
      <c r="U845" s="54" t="s">
        <v>1142</v>
      </c>
      <c r="V845" s="53" t="s">
        <v>1203</v>
      </c>
      <c r="W845" s="53"/>
      <c r="X845" s="53">
        <f t="shared" si="234"/>
        <v>0</v>
      </c>
      <c r="Y845" s="55"/>
      <c r="Z845" s="55"/>
      <c r="AA845" s="52">
        <f t="shared" si="235"/>
        <v>0</v>
      </c>
      <c r="AB845" s="53">
        <f t="shared" si="236"/>
        <v>0</v>
      </c>
      <c r="AC845" s="53">
        <f t="shared" si="237"/>
        <v>0</v>
      </c>
      <c r="AD845" s="53">
        <f t="shared" si="238"/>
        <v>0</v>
      </c>
      <c r="AE845" s="53">
        <f t="shared" si="239"/>
        <v>0</v>
      </c>
      <c r="AF845" s="53">
        <f t="shared" si="240"/>
        <v>0</v>
      </c>
      <c r="AG845" s="56">
        <f t="shared" si="241"/>
        <v>0</v>
      </c>
      <c r="AH845" s="53">
        <f t="shared" si="242"/>
        <v>0</v>
      </c>
      <c r="AI845" s="55"/>
      <c r="AJ845" s="53">
        <f t="shared" si="243"/>
        <v>0</v>
      </c>
      <c r="AK845" s="53">
        <f t="shared" si="244"/>
        <v>0</v>
      </c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7"/>
      <c r="AW845" s="57"/>
      <c r="AX845" s="57"/>
    </row>
    <row r="846" spans="2:50">
      <c r="B846" s="45">
        <v>818</v>
      </c>
      <c r="C846" s="250" t="s">
        <v>1248</v>
      </c>
      <c r="D846" s="250" t="s">
        <v>1249</v>
      </c>
      <c r="E846" s="250" t="s">
        <v>1259</v>
      </c>
      <c r="F846" s="250" t="s">
        <v>1265</v>
      </c>
      <c r="G846" s="354" t="s">
        <v>306</v>
      </c>
      <c r="H846" s="355">
        <v>43140</v>
      </c>
      <c r="I846" s="164" t="s">
        <v>409</v>
      </c>
      <c r="J846" s="356">
        <f t="shared" si="245"/>
        <v>726</v>
      </c>
      <c r="K846" s="356">
        <v>6</v>
      </c>
      <c r="L846" s="356">
        <v>720</v>
      </c>
      <c r="M846" s="356"/>
      <c r="N846" s="356">
        <v>0.1</v>
      </c>
      <c r="O846" s="356">
        <v>12</v>
      </c>
      <c r="P846" s="357">
        <v>2</v>
      </c>
      <c r="Q846" s="53"/>
      <c r="R846" s="54" t="s">
        <v>1142</v>
      </c>
      <c r="S846" s="54" t="s">
        <v>1142</v>
      </c>
      <c r="T846" s="54" t="s">
        <v>1142</v>
      </c>
      <c r="U846" s="54" t="s">
        <v>1142</v>
      </c>
      <c r="V846" s="53" t="s">
        <v>1203</v>
      </c>
      <c r="W846" s="53"/>
      <c r="X846" s="53">
        <f t="shared" si="234"/>
        <v>0</v>
      </c>
      <c r="Y846" s="55"/>
      <c r="Z846" s="55"/>
      <c r="AA846" s="52">
        <f t="shared" si="235"/>
        <v>0</v>
      </c>
      <c r="AB846" s="254">
        <f t="shared" si="236"/>
        <v>0</v>
      </c>
      <c r="AC846" s="53">
        <f t="shared" si="237"/>
        <v>0</v>
      </c>
      <c r="AD846" s="53">
        <f t="shared" si="238"/>
        <v>0</v>
      </c>
      <c r="AE846" s="53">
        <f t="shared" si="239"/>
        <v>0</v>
      </c>
      <c r="AF846" s="53">
        <f t="shared" si="240"/>
        <v>0</v>
      </c>
      <c r="AG846" s="56">
        <f t="shared" si="241"/>
        <v>0</v>
      </c>
      <c r="AH846" s="53">
        <f t="shared" si="242"/>
        <v>0</v>
      </c>
      <c r="AI846" s="55"/>
      <c r="AJ846" s="53">
        <f t="shared" si="243"/>
        <v>0</v>
      </c>
      <c r="AK846" s="53">
        <f t="shared" si="244"/>
        <v>0</v>
      </c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7"/>
      <c r="AW846" s="57"/>
      <c r="AX846" s="57"/>
    </row>
    <row r="847" spans="2:50">
      <c r="B847" s="45">
        <v>819</v>
      </c>
      <c r="C847" s="250" t="s">
        <v>1248</v>
      </c>
      <c r="D847" s="250" t="s">
        <v>1249</v>
      </c>
      <c r="E847" s="250" t="s">
        <v>1259</v>
      </c>
      <c r="F847" s="250" t="s">
        <v>1266</v>
      </c>
      <c r="G847" s="354" t="s">
        <v>306</v>
      </c>
      <c r="H847" s="355">
        <v>43140</v>
      </c>
      <c r="I847" s="164" t="s">
        <v>409</v>
      </c>
      <c r="J847" s="356">
        <f t="shared" si="245"/>
        <v>726</v>
      </c>
      <c r="K847" s="356">
        <v>6</v>
      </c>
      <c r="L847" s="356">
        <v>720</v>
      </c>
      <c r="M847" s="356"/>
      <c r="N847" s="356">
        <v>0.1</v>
      </c>
      <c r="O847" s="356">
        <v>12</v>
      </c>
      <c r="P847" s="357">
        <v>2</v>
      </c>
      <c r="Q847" s="53"/>
      <c r="R847" s="54" t="s">
        <v>1142</v>
      </c>
      <c r="S847" s="54" t="s">
        <v>1142</v>
      </c>
      <c r="T847" s="54" t="s">
        <v>1142</v>
      </c>
      <c r="U847" s="54" t="s">
        <v>1142</v>
      </c>
      <c r="V847" s="53" t="s">
        <v>1203</v>
      </c>
      <c r="W847" s="53"/>
      <c r="X847" s="53">
        <f t="shared" si="234"/>
        <v>0</v>
      </c>
      <c r="Y847" s="55"/>
      <c r="Z847" s="55"/>
      <c r="AA847" s="52">
        <f t="shared" si="235"/>
        <v>0</v>
      </c>
      <c r="AB847" s="254">
        <f t="shared" si="236"/>
        <v>0</v>
      </c>
      <c r="AC847" s="53">
        <f t="shared" si="237"/>
        <v>0</v>
      </c>
      <c r="AD847" s="53">
        <f t="shared" si="238"/>
        <v>0</v>
      </c>
      <c r="AE847" s="53">
        <f t="shared" si="239"/>
        <v>0</v>
      </c>
      <c r="AF847" s="53">
        <f t="shared" si="240"/>
        <v>0</v>
      </c>
      <c r="AG847" s="56">
        <f t="shared" si="241"/>
        <v>0</v>
      </c>
      <c r="AH847" s="53">
        <f t="shared" si="242"/>
        <v>0</v>
      </c>
      <c r="AI847" s="55"/>
      <c r="AJ847" s="53">
        <f t="shared" si="243"/>
        <v>0</v>
      </c>
      <c r="AK847" s="53">
        <f t="shared" si="244"/>
        <v>0</v>
      </c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7"/>
      <c r="AW847" s="57"/>
      <c r="AX847" s="57"/>
    </row>
    <row r="848" spans="2:50">
      <c r="B848" s="45">
        <v>820</v>
      </c>
      <c r="C848" s="250" t="s">
        <v>1248</v>
      </c>
      <c r="D848" s="250" t="s">
        <v>1249</v>
      </c>
      <c r="E848" s="250" t="s">
        <v>1259</v>
      </c>
      <c r="F848" s="250" t="s">
        <v>1267</v>
      </c>
      <c r="G848" s="354" t="s">
        <v>306</v>
      </c>
      <c r="H848" s="355">
        <v>43140</v>
      </c>
      <c r="I848" s="164" t="s">
        <v>409</v>
      </c>
      <c r="J848" s="356">
        <f t="shared" si="245"/>
        <v>738</v>
      </c>
      <c r="K848" s="356">
        <v>18</v>
      </c>
      <c r="L848" s="356">
        <v>720</v>
      </c>
      <c r="M848" s="356"/>
      <c r="N848" s="356">
        <v>0.3</v>
      </c>
      <c r="O848" s="356">
        <v>12</v>
      </c>
      <c r="P848" s="357">
        <v>2</v>
      </c>
      <c r="Q848" s="53"/>
      <c r="R848" s="54" t="s">
        <v>1142</v>
      </c>
      <c r="S848" s="54" t="s">
        <v>1142</v>
      </c>
      <c r="T848" s="54" t="s">
        <v>1142</v>
      </c>
      <c r="U848" s="54" t="s">
        <v>1142</v>
      </c>
      <c r="V848" s="53" t="s">
        <v>1203</v>
      </c>
      <c r="W848" s="53"/>
      <c r="X848" s="53">
        <f t="shared" si="234"/>
        <v>0</v>
      </c>
      <c r="Y848" s="55"/>
      <c r="Z848" s="55"/>
      <c r="AA848" s="52">
        <f t="shared" si="235"/>
        <v>0</v>
      </c>
      <c r="AB848" s="254">
        <f t="shared" si="236"/>
        <v>0</v>
      </c>
      <c r="AC848" s="53">
        <f t="shared" si="237"/>
        <v>0</v>
      </c>
      <c r="AD848" s="53">
        <f t="shared" si="238"/>
        <v>0</v>
      </c>
      <c r="AE848" s="53">
        <f t="shared" si="239"/>
        <v>0</v>
      </c>
      <c r="AF848" s="53">
        <f t="shared" si="240"/>
        <v>0</v>
      </c>
      <c r="AG848" s="56">
        <f t="shared" si="241"/>
        <v>0</v>
      </c>
      <c r="AH848" s="53">
        <f t="shared" si="242"/>
        <v>0</v>
      </c>
      <c r="AI848" s="55"/>
      <c r="AJ848" s="53">
        <f t="shared" si="243"/>
        <v>0</v>
      </c>
      <c r="AK848" s="53">
        <f t="shared" si="244"/>
        <v>0</v>
      </c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7"/>
      <c r="AW848" s="57"/>
      <c r="AX848" s="57"/>
    </row>
    <row r="849" spans="2:50">
      <c r="B849" s="45">
        <v>821</v>
      </c>
      <c r="C849" s="250" t="s">
        <v>1248</v>
      </c>
      <c r="D849" s="250" t="s">
        <v>1249</v>
      </c>
      <c r="E849" s="250" t="s">
        <v>1268</v>
      </c>
      <c r="F849" s="250" t="s">
        <v>1269</v>
      </c>
      <c r="G849" s="354" t="s">
        <v>306</v>
      </c>
      <c r="H849" s="355">
        <v>42939</v>
      </c>
      <c r="I849" s="164" t="s">
        <v>409</v>
      </c>
      <c r="J849" s="356">
        <f t="shared" si="245"/>
        <v>726</v>
      </c>
      <c r="K849" s="356">
        <v>6</v>
      </c>
      <c r="L849" s="356">
        <v>720</v>
      </c>
      <c r="M849" s="356"/>
      <c r="N849" s="356">
        <v>0.1</v>
      </c>
      <c r="O849" s="356">
        <v>12</v>
      </c>
      <c r="P849" s="357">
        <v>2</v>
      </c>
      <c r="Q849" s="53"/>
      <c r="R849" s="54" t="s">
        <v>1142</v>
      </c>
      <c r="S849" s="54" t="s">
        <v>1142</v>
      </c>
      <c r="T849" s="54" t="s">
        <v>1142</v>
      </c>
      <c r="U849" s="54" t="s">
        <v>1142</v>
      </c>
      <c r="V849" s="53" t="s">
        <v>1203</v>
      </c>
      <c r="W849" s="53"/>
      <c r="X849" s="53">
        <f t="shared" si="234"/>
        <v>0</v>
      </c>
      <c r="Y849" s="55"/>
      <c r="Z849" s="55"/>
      <c r="AA849" s="52">
        <f t="shared" si="235"/>
        <v>0</v>
      </c>
      <c r="AB849" s="254">
        <f t="shared" si="236"/>
        <v>0</v>
      </c>
      <c r="AC849" s="53">
        <f t="shared" si="237"/>
        <v>0</v>
      </c>
      <c r="AD849" s="53">
        <f t="shared" si="238"/>
        <v>0</v>
      </c>
      <c r="AE849" s="53">
        <f t="shared" si="239"/>
        <v>0</v>
      </c>
      <c r="AF849" s="53">
        <f t="shared" si="240"/>
        <v>0</v>
      </c>
      <c r="AG849" s="56">
        <f t="shared" si="241"/>
        <v>0</v>
      </c>
      <c r="AH849" s="53">
        <f t="shared" si="242"/>
        <v>0</v>
      </c>
      <c r="AI849" s="55"/>
      <c r="AJ849" s="53">
        <f t="shared" si="243"/>
        <v>0</v>
      </c>
      <c r="AK849" s="53">
        <f t="shared" si="244"/>
        <v>0</v>
      </c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7"/>
      <c r="AW849" s="57"/>
      <c r="AX849" s="57"/>
    </row>
    <row r="850" spans="2:50">
      <c r="B850" s="45">
        <v>822</v>
      </c>
      <c r="C850" s="250" t="s">
        <v>1248</v>
      </c>
      <c r="D850" s="250" t="s">
        <v>1249</v>
      </c>
      <c r="E850" s="250" t="s">
        <v>1268</v>
      </c>
      <c r="F850" s="250" t="s">
        <v>1270</v>
      </c>
      <c r="G850" s="354" t="s">
        <v>306</v>
      </c>
      <c r="H850" s="355">
        <v>42576</v>
      </c>
      <c r="I850" s="164" t="s">
        <v>409</v>
      </c>
      <c r="J850" s="356">
        <f t="shared" si="245"/>
        <v>123</v>
      </c>
      <c r="K850" s="356">
        <v>3</v>
      </c>
      <c r="L850" s="356">
        <v>120</v>
      </c>
      <c r="M850" s="356"/>
      <c r="N850" s="356">
        <v>0.05</v>
      </c>
      <c r="O850" s="356">
        <v>2</v>
      </c>
      <c r="P850" s="357">
        <v>2</v>
      </c>
      <c r="Q850" s="53"/>
      <c r="R850" s="54" t="s">
        <v>1142</v>
      </c>
      <c r="S850" s="54" t="s">
        <v>1142</v>
      </c>
      <c r="T850" s="54" t="s">
        <v>1142</v>
      </c>
      <c r="U850" s="54" t="s">
        <v>1142</v>
      </c>
      <c r="V850" s="53" t="s">
        <v>1203</v>
      </c>
      <c r="W850" s="53"/>
      <c r="X850" s="53">
        <f t="shared" si="234"/>
        <v>0</v>
      </c>
      <c r="Y850" s="55"/>
      <c r="Z850" s="55"/>
      <c r="AA850" s="52">
        <f t="shared" si="235"/>
        <v>0</v>
      </c>
      <c r="AB850" s="254">
        <f t="shared" si="236"/>
        <v>0</v>
      </c>
      <c r="AC850" s="53">
        <f t="shared" si="237"/>
        <v>0</v>
      </c>
      <c r="AD850" s="53">
        <f t="shared" si="238"/>
        <v>0</v>
      </c>
      <c r="AE850" s="53">
        <f t="shared" si="239"/>
        <v>0</v>
      </c>
      <c r="AF850" s="53">
        <f t="shared" si="240"/>
        <v>0</v>
      </c>
      <c r="AG850" s="56">
        <f t="shared" si="241"/>
        <v>0</v>
      </c>
      <c r="AH850" s="53">
        <f t="shared" si="242"/>
        <v>0</v>
      </c>
      <c r="AI850" s="55"/>
      <c r="AJ850" s="53">
        <f t="shared" si="243"/>
        <v>0</v>
      </c>
      <c r="AK850" s="53">
        <f t="shared" si="244"/>
        <v>0</v>
      </c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7"/>
      <c r="AW850" s="57"/>
      <c r="AX850" s="57"/>
    </row>
    <row r="851" spans="2:50">
      <c r="B851" s="45">
        <v>823</v>
      </c>
      <c r="C851" s="250" t="s">
        <v>1248</v>
      </c>
      <c r="D851" s="250" t="s">
        <v>1249</v>
      </c>
      <c r="E851" s="250" t="s">
        <v>1271</v>
      </c>
      <c r="F851" s="250" t="s">
        <v>637</v>
      </c>
      <c r="G851" s="354" t="s">
        <v>306</v>
      </c>
      <c r="H851" s="355">
        <v>42576</v>
      </c>
      <c r="I851" s="164" t="s">
        <v>409</v>
      </c>
      <c r="J851" s="356">
        <f t="shared" si="245"/>
        <v>126</v>
      </c>
      <c r="K851" s="356">
        <v>6</v>
      </c>
      <c r="L851" s="356">
        <v>120</v>
      </c>
      <c r="M851" s="356"/>
      <c r="N851" s="356">
        <v>0.1</v>
      </c>
      <c r="O851" s="356">
        <v>2</v>
      </c>
      <c r="P851" s="357">
        <v>2</v>
      </c>
      <c r="Q851" s="53"/>
      <c r="R851" s="54" t="s">
        <v>1142</v>
      </c>
      <c r="S851" s="54" t="s">
        <v>1142</v>
      </c>
      <c r="T851" s="54" t="s">
        <v>1142</v>
      </c>
      <c r="U851" s="54" t="s">
        <v>1142</v>
      </c>
      <c r="V851" s="53" t="s">
        <v>1203</v>
      </c>
      <c r="W851" s="53"/>
      <c r="X851" s="53">
        <f t="shared" si="234"/>
        <v>0</v>
      </c>
      <c r="Y851" s="55"/>
      <c r="Z851" s="55"/>
      <c r="AA851" s="52">
        <f t="shared" si="235"/>
        <v>0</v>
      </c>
      <c r="AB851" s="254">
        <f t="shared" si="236"/>
        <v>0</v>
      </c>
      <c r="AC851" s="53">
        <f t="shared" si="237"/>
        <v>0</v>
      </c>
      <c r="AD851" s="53">
        <f t="shared" si="238"/>
        <v>0</v>
      </c>
      <c r="AE851" s="53">
        <f t="shared" si="239"/>
        <v>0</v>
      </c>
      <c r="AF851" s="53">
        <f t="shared" si="240"/>
        <v>0</v>
      </c>
      <c r="AG851" s="56">
        <f t="shared" si="241"/>
        <v>0</v>
      </c>
      <c r="AH851" s="53">
        <f t="shared" si="242"/>
        <v>0</v>
      </c>
      <c r="AI851" s="55"/>
      <c r="AJ851" s="53">
        <f t="shared" si="243"/>
        <v>0</v>
      </c>
      <c r="AK851" s="53">
        <f t="shared" si="244"/>
        <v>0</v>
      </c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7"/>
      <c r="AW851" s="57"/>
      <c r="AX851" s="57"/>
    </row>
    <row r="852" spans="2:50">
      <c r="B852" s="138" t="s">
        <v>1272</v>
      </c>
      <c r="C852" s="139"/>
      <c r="D852" s="139"/>
      <c r="E852" s="139"/>
      <c r="F852" s="140"/>
      <c r="G852" s="141"/>
      <c r="H852" s="141"/>
      <c r="I852" s="142" t="s">
        <v>151</v>
      </c>
      <c r="J852" s="143">
        <f t="shared" si="245"/>
        <v>150.51666666666665</v>
      </c>
      <c r="K852" s="143">
        <f>K853/60</f>
        <v>65.966666666666669</v>
      </c>
      <c r="L852" s="143">
        <f t="shared" ref="L852:O852" si="246">L853/60</f>
        <v>84.55</v>
      </c>
      <c r="M852" s="143">
        <f t="shared" si="246"/>
        <v>0</v>
      </c>
      <c r="N852" s="143">
        <f t="shared" si="246"/>
        <v>0.85999999999999965</v>
      </c>
      <c r="O852" s="143">
        <f t="shared" si="246"/>
        <v>1.2108333333333332</v>
      </c>
      <c r="P852" s="150"/>
      <c r="Q852" s="143"/>
      <c r="R852" s="358"/>
      <c r="S852" s="358"/>
      <c r="T852" s="358"/>
      <c r="U852" s="358"/>
      <c r="V852" s="143"/>
      <c r="W852" s="143"/>
      <c r="X852" s="143">
        <f>X853/60</f>
        <v>0</v>
      </c>
      <c r="Y852" s="143"/>
      <c r="Z852" s="143"/>
      <c r="AA852" s="143"/>
      <c r="AB852" s="143">
        <f t="shared" ref="AB852:AF852" si="247">AB853/60</f>
        <v>0</v>
      </c>
      <c r="AC852" s="143"/>
      <c r="AD852" s="143">
        <f t="shared" si="247"/>
        <v>0</v>
      </c>
      <c r="AE852" s="143"/>
      <c r="AF852" s="143">
        <f t="shared" si="247"/>
        <v>0</v>
      </c>
      <c r="AG852" s="143"/>
      <c r="AH852" s="143">
        <f>AH853/60</f>
        <v>0</v>
      </c>
      <c r="AI852" s="143"/>
      <c r="AJ852" s="143"/>
      <c r="AK852" s="143">
        <f>AK853/60</f>
        <v>0</v>
      </c>
      <c r="AL852" s="143"/>
      <c r="AM852" s="143"/>
      <c r="AN852" s="143"/>
      <c r="AO852" s="143"/>
      <c r="AP852" s="143"/>
      <c r="AQ852" s="143"/>
      <c r="AR852" s="143"/>
      <c r="AS852" s="143"/>
      <c r="AT852" s="143"/>
      <c r="AU852" s="143"/>
      <c r="AV852" s="143"/>
      <c r="AW852" s="143"/>
      <c r="AX852" s="143">
        <f>AX853/60</f>
        <v>0</v>
      </c>
    </row>
    <row r="853" spans="2:50">
      <c r="B853" s="146"/>
      <c r="C853" s="147"/>
      <c r="D853" s="147"/>
      <c r="E853" s="147"/>
      <c r="F853" s="148"/>
      <c r="G853" s="141"/>
      <c r="H853" s="141"/>
      <c r="I853" s="149" t="s">
        <v>153</v>
      </c>
      <c r="J853" s="143">
        <f t="shared" si="245"/>
        <v>9031</v>
      </c>
      <c r="K853" s="143">
        <f>SUMIF($I854:$I925,"DQA",K854:K925)</f>
        <v>3958</v>
      </c>
      <c r="L853" s="143">
        <f t="shared" ref="L853:O853" si="248">SUMIF($I854:$I925,"DQA",L854:L925)</f>
        <v>5073</v>
      </c>
      <c r="M853" s="143">
        <f t="shared" si="248"/>
        <v>0</v>
      </c>
      <c r="N853" s="143">
        <f t="shared" si="248"/>
        <v>51.59999999999998</v>
      </c>
      <c r="O853" s="143">
        <f t="shared" si="248"/>
        <v>72.649999999999991</v>
      </c>
      <c r="P853" s="150"/>
      <c r="Q853" s="143"/>
      <c r="R853" s="358"/>
      <c r="S853" s="358"/>
      <c r="T853" s="358"/>
      <c r="U853" s="358"/>
      <c r="V853" s="143"/>
      <c r="W853" s="143"/>
      <c r="X853" s="143">
        <f>SUM(X854:X925)</f>
        <v>0</v>
      </c>
      <c r="Y853" s="143"/>
      <c r="Z853" s="143"/>
      <c r="AA853" s="143"/>
      <c r="AB853" s="143">
        <f t="shared" ref="AB853:AK853" si="249">SUM(AB854:AB925)</f>
        <v>0</v>
      </c>
      <c r="AC853" s="143"/>
      <c r="AD853" s="143">
        <f t="shared" si="249"/>
        <v>0</v>
      </c>
      <c r="AE853" s="143"/>
      <c r="AF853" s="143">
        <f t="shared" si="249"/>
        <v>0</v>
      </c>
      <c r="AG853" s="143"/>
      <c r="AH853" s="143">
        <f t="shared" si="249"/>
        <v>0</v>
      </c>
      <c r="AI853" s="143"/>
      <c r="AJ853" s="143"/>
      <c r="AK853" s="143">
        <f t="shared" si="249"/>
        <v>0</v>
      </c>
      <c r="AL853" s="143"/>
      <c r="AM853" s="143"/>
      <c r="AN853" s="143"/>
      <c r="AO853" s="143"/>
      <c r="AP853" s="143"/>
      <c r="AQ853" s="143"/>
      <c r="AR853" s="143"/>
      <c r="AS853" s="143"/>
      <c r="AT853" s="143"/>
      <c r="AU853" s="143"/>
      <c r="AV853" s="143"/>
      <c r="AW853" s="143"/>
      <c r="AX853" s="143">
        <f>SUM(AX854:AX925)</f>
        <v>0</v>
      </c>
    </row>
    <row r="854" spans="2:50">
      <c r="B854" s="45">
        <v>925</v>
      </c>
      <c r="C854" s="46" t="s">
        <v>1273</v>
      </c>
      <c r="D854" s="46" t="s">
        <v>1274</v>
      </c>
      <c r="E854" s="47" t="s">
        <v>1275</v>
      </c>
      <c r="F854" s="47" t="s">
        <v>1276</v>
      </c>
      <c r="G854" s="49" t="s">
        <v>795</v>
      </c>
      <c r="H854" s="359" t="s">
        <v>1277</v>
      </c>
      <c r="I854" s="50" t="s">
        <v>1278</v>
      </c>
      <c r="J854" s="50">
        <f t="shared" si="245"/>
        <v>25</v>
      </c>
      <c r="K854" s="50">
        <v>25</v>
      </c>
      <c r="L854" s="50">
        <v>0</v>
      </c>
      <c r="M854" s="50"/>
      <c r="N854" s="50">
        <v>0.3</v>
      </c>
      <c r="O854" s="50">
        <v>0</v>
      </c>
      <c r="P854" s="52">
        <v>2</v>
      </c>
      <c r="Q854" s="53"/>
      <c r="R854" s="56" t="s">
        <v>158</v>
      </c>
      <c r="S854" s="56" t="s">
        <v>158</v>
      </c>
      <c r="T854" s="56" t="s">
        <v>158</v>
      </c>
      <c r="U854" s="56" t="s">
        <v>158</v>
      </c>
      <c r="V854" s="360" t="s">
        <v>1279</v>
      </c>
      <c r="W854" s="53"/>
      <c r="X854" s="53">
        <f t="shared" ref="X854:X917" si="250">SUMIF(W854,"Y",K854)</f>
        <v>0</v>
      </c>
      <c r="Y854" s="55"/>
      <c r="Z854" s="55"/>
      <c r="AA854" s="52">
        <f t="shared" ref="AA854:AA917" si="251">(COUNTA(AL854:AU854)-COUNTIF(AL854:AU854, "X"))</f>
        <v>0</v>
      </c>
      <c r="AB854" s="53">
        <f t="shared" ref="AB854:AB917" si="252">(COUNTA(AL854:AU854)-COUNTIF(AL854:AU854, "X"))*P854*K854</f>
        <v>0</v>
      </c>
      <c r="AC854" s="53">
        <f t="shared" ref="AC854:AC917" si="253">COUNTIF(AL854:AU854,"A")</f>
        <v>0</v>
      </c>
      <c r="AD854" s="53">
        <f t="shared" ref="AD854:AD917" si="254">COUNTIF(AL854:AU854,"V")*P854*M854</f>
        <v>0</v>
      </c>
      <c r="AE854" s="53">
        <f t="shared" ref="AE854:AE917" si="255">COUNTIF(AL854:AU854,"L")</f>
        <v>0</v>
      </c>
      <c r="AF854" s="53">
        <f t="shared" ref="AF854:AF917" si="256">COUNTIF(AL854:AU854,"L")*K854*P854</f>
        <v>0</v>
      </c>
      <c r="AG854" s="56">
        <f t="shared" ref="AG854:AG917" si="257">IF(Q854="Y",1,0)</f>
        <v>0</v>
      </c>
      <c r="AH854" s="53">
        <f t="shared" ref="AH854:AH917" si="258">IF(Q854="Y", AA854, 0)*K854*P854/2</f>
        <v>0</v>
      </c>
      <c r="AI854" s="55"/>
      <c r="AJ854" s="53">
        <f t="shared" ref="AJ854:AJ917" si="259">COUNTIF(AL854:AU854, "V")</f>
        <v>0</v>
      </c>
      <c r="AK854" s="53">
        <f t="shared" ref="AK854:AK917" si="260">AB854-AD854-AF854-AH854</f>
        <v>0</v>
      </c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7"/>
      <c r="AW854" s="57"/>
      <c r="AX854" s="57"/>
    </row>
    <row r="855" spans="2:50">
      <c r="B855" s="45">
        <v>926</v>
      </c>
      <c r="C855" s="46" t="s">
        <v>1272</v>
      </c>
      <c r="D855" s="46" t="s">
        <v>1274</v>
      </c>
      <c r="E855" s="47" t="s">
        <v>1275</v>
      </c>
      <c r="F855" s="48" t="s">
        <v>1280</v>
      </c>
      <c r="G855" s="49" t="s">
        <v>306</v>
      </c>
      <c r="H855" s="359" t="s">
        <v>1281</v>
      </c>
      <c r="I855" s="50" t="s">
        <v>1278</v>
      </c>
      <c r="J855" s="50">
        <f t="shared" si="245"/>
        <v>100</v>
      </c>
      <c r="K855" s="50">
        <v>100</v>
      </c>
      <c r="L855" s="50">
        <v>0</v>
      </c>
      <c r="M855" s="50"/>
      <c r="N855" s="50">
        <v>1.05</v>
      </c>
      <c r="O855" s="50">
        <v>0</v>
      </c>
      <c r="P855" s="52">
        <v>2</v>
      </c>
      <c r="Q855" s="53"/>
      <c r="R855" s="56" t="s">
        <v>158</v>
      </c>
      <c r="S855" s="56" t="s">
        <v>158</v>
      </c>
      <c r="T855" s="56" t="s">
        <v>158</v>
      </c>
      <c r="U855" s="56" t="s">
        <v>158</v>
      </c>
      <c r="V855" s="360" t="s">
        <v>1282</v>
      </c>
      <c r="W855" s="53"/>
      <c r="X855" s="53">
        <f t="shared" si="250"/>
        <v>0</v>
      </c>
      <c r="Y855" s="55"/>
      <c r="Z855" s="55"/>
      <c r="AA855" s="52">
        <f t="shared" si="251"/>
        <v>0</v>
      </c>
      <c r="AB855" s="53">
        <f t="shared" si="252"/>
        <v>0</v>
      </c>
      <c r="AC855" s="53">
        <f t="shared" si="253"/>
        <v>0</v>
      </c>
      <c r="AD855" s="53">
        <f t="shared" si="254"/>
        <v>0</v>
      </c>
      <c r="AE855" s="53">
        <f t="shared" si="255"/>
        <v>0</v>
      </c>
      <c r="AF855" s="53">
        <f t="shared" si="256"/>
        <v>0</v>
      </c>
      <c r="AG855" s="56">
        <f t="shared" si="257"/>
        <v>0</v>
      </c>
      <c r="AH855" s="53">
        <f t="shared" si="258"/>
        <v>0</v>
      </c>
      <c r="AI855" s="55"/>
      <c r="AJ855" s="53">
        <f t="shared" si="259"/>
        <v>0</v>
      </c>
      <c r="AK855" s="53">
        <f t="shared" si="260"/>
        <v>0</v>
      </c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7"/>
      <c r="AW855" s="57"/>
      <c r="AX855" s="57"/>
    </row>
    <row r="856" spans="2:50">
      <c r="B856" s="45">
        <v>927</v>
      </c>
      <c r="C856" s="46" t="s">
        <v>1272</v>
      </c>
      <c r="D856" s="46" t="s">
        <v>1274</v>
      </c>
      <c r="E856" s="47" t="s">
        <v>1275</v>
      </c>
      <c r="F856" s="48" t="s">
        <v>1283</v>
      </c>
      <c r="G856" s="49" t="s">
        <v>306</v>
      </c>
      <c r="H856" s="359" t="s">
        <v>1284</v>
      </c>
      <c r="I856" s="50" t="s">
        <v>1278</v>
      </c>
      <c r="J856" s="50">
        <f t="shared" si="245"/>
        <v>10</v>
      </c>
      <c r="K856" s="50">
        <v>10</v>
      </c>
      <c r="L856" s="50">
        <v>0</v>
      </c>
      <c r="M856" s="50"/>
      <c r="N856" s="50">
        <v>0.05</v>
      </c>
      <c r="O856" s="50">
        <v>0</v>
      </c>
      <c r="P856" s="52">
        <v>2</v>
      </c>
      <c r="Q856" s="53"/>
      <c r="R856" s="56" t="s">
        <v>158</v>
      </c>
      <c r="S856" s="56" t="s">
        <v>158</v>
      </c>
      <c r="T856" s="56" t="s">
        <v>158</v>
      </c>
      <c r="U856" s="56" t="s">
        <v>158</v>
      </c>
      <c r="V856" s="360" t="s">
        <v>1279</v>
      </c>
      <c r="W856" s="53"/>
      <c r="X856" s="53">
        <f t="shared" si="250"/>
        <v>0</v>
      </c>
      <c r="Y856" s="55"/>
      <c r="Z856" s="55"/>
      <c r="AA856" s="52">
        <f t="shared" si="251"/>
        <v>0</v>
      </c>
      <c r="AB856" s="53">
        <f t="shared" si="252"/>
        <v>0</v>
      </c>
      <c r="AC856" s="53">
        <f t="shared" si="253"/>
        <v>0</v>
      </c>
      <c r="AD856" s="53">
        <f t="shared" si="254"/>
        <v>0</v>
      </c>
      <c r="AE856" s="53">
        <f t="shared" si="255"/>
        <v>0</v>
      </c>
      <c r="AF856" s="53">
        <f t="shared" si="256"/>
        <v>0</v>
      </c>
      <c r="AG856" s="56">
        <f t="shared" si="257"/>
        <v>0</v>
      </c>
      <c r="AH856" s="53">
        <f t="shared" si="258"/>
        <v>0</v>
      </c>
      <c r="AI856" s="55"/>
      <c r="AJ856" s="53">
        <f t="shared" si="259"/>
        <v>0</v>
      </c>
      <c r="AK856" s="53">
        <f t="shared" si="260"/>
        <v>0</v>
      </c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7"/>
      <c r="AW856" s="57"/>
      <c r="AX856" s="57"/>
    </row>
    <row r="857" spans="2:50">
      <c r="B857" s="45">
        <v>928</v>
      </c>
      <c r="C857" s="46" t="s">
        <v>1272</v>
      </c>
      <c r="D857" s="46" t="s">
        <v>1274</v>
      </c>
      <c r="E857" s="47" t="s">
        <v>1275</v>
      </c>
      <c r="F857" s="48" t="s">
        <v>1285</v>
      </c>
      <c r="G857" s="49" t="s">
        <v>306</v>
      </c>
      <c r="H857" s="359" t="s">
        <v>1281</v>
      </c>
      <c r="I857" s="50" t="s">
        <v>1278</v>
      </c>
      <c r="J857" s="50">
        <f t="shared" si="245"/>
        <v>15</v>
      </c>
      <c r="K857" s="50">
        <v>15</v>
      </c>
      <c r="L857" s="50">
        <v>0</v>
      </c>
      <c r="M857" s="50"/>
      <c r="N857" s="50">
        <v>0.2</v>
      </c>
      <c r="O857" s="50">
        <v>0</v>
      </c>
      <c r="P857" s="52">
        <v>2</v>
      </c>
      <c r="Q857" s="53"/>
      <c r="R857" s="56" t="s">
        <v>158</v>
      </c>
      <c r="S857" s="56" t="s">
        <v>158</v>
      </c>
      <c r="T857" s="56" t="s">
        <v>158</v>
      </c>
      <c r="U857" s="56" t="s">
        <v>158</v>
      </c>
      <c r="V857" s="360" t="s">
        <v>1279</v>
      </c>
      <c r="W857" s="53"/>
      <c r="X857" s="53">
        <f t="shared" si="250"/>
        <v>0</v>
      </c>
      <c r="Y857" s="55"/>
      <c r="Z857" s="55"/>
      <c r="AA857" s="52">
        <f t="shared" si="251"/>
        <v>0</v>
      </c>
      <c r="AB857" s="53">
        <f t="shared" si="252"/>
        <v>0</v>
      </c>
      <c r="AC857" s="53">
        <f t="shared" si="253"/>
        <v>0</v>
      </c>
      <c r="AD857" s="53">
        <f t="shared" si="254"/>
        <v>0</v>
      </c>
      <c r="AE857" s="53">
        <f t="shared" si="255"/>
        <v>0</v>
      </c>
      <c r="AF857" s="53">
        <f t="shared" si="256"/>
        <v>0</v>
      </c>
      <c r="AG857" s="56">
        <f t="shared" si="257"/>
        <v>0</v>
      </c>
      <c r="AH857" s="53">
        <f t="shared" si="258"/>
        <v>0</v>
      </c>
      <c r="AI857" s="55"/>
      <c r="AJ857" s="53">
        <f t="shared" si="259"/>
        <v>0</v>
      </c>
      <c r="AK857" s="53">
        <f t="shared" si="260"/>
        <v>0</v>
      </c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7"/>
      <c r="AW857" s="57"/>
      <c r="AX857" s="57"/>
    </row>
    <row r="858" spans="2:50">
      <c r="B858" s="45">
        <v>929</v>
      </c>
      <c r="C858" s="46" t="s">
        <v>1272</v>
      </c>
      <c r="D858" s="46" t="s">
        <v>1274</v>
      </c>
      <c r="E858" s="47" t="s">
        <v>1275</v>
      </c>
      <c r="F858" s="48" t="s">
        <v>1286</v>
      </c>
      <c r="G858" s="49" t="s">
        <v>306</v>
      </c>
      <c r="H858" s="359" t="s">
        <v>1281</v>
      </c>
      <c r="I858" s="50" t="s">
        <v>1278</v>
      </c>
      <c r="J858" s="50">
        <f t="shared" si="245"/>
        <v>60</v>
      </c>
      <c r="K858" s="50">
        <v>60</v>
      </c>
      <c r="L858" s="50">
        <v>0</v>
      </c>
      <c r="M858" s="50"/>
      <c r="N858" s="50">
        <v>0.2</v>
      </c>
      <c r="O858" s="50">
        <v>0</v>
      </c>
      <c r="P858" s="52">
        <v>2</v>
      </c>
      <c r="Q858" s="53"/>
      <c r="R858" s="56" t="s">
        <v>158</v>
      </c>
      <c r="S858" s="56" t="s">
        <v>158</v>
      </c>
      <c r="T858" s="56" t="s">
        <v>158</v>
      </c>
      <c r="U858" s="56" t="s">
        <v>158</v>
      </c>
      <c r="V858" s="360" t="s">
        <v>1279</v>
      </c>
      <c r="W858" s="53"/>
      <c r="X858" s="53">
        <f t="shared" si="250"/>
        <v>0</v>
      </c>
      <c r="Y858" s="55"/>
      <c r="Z858" s="55"/>
      <c r="AA858" s="52">
        <f t="shared" si="251"/>
        <v>0</v>
      </c>
      <c r="AB858" s="53">
        <f t="shared" si="252"/>
        <v>0</v>
      </c>
      <c r="AC858" s="53">
        <f t="shared" si="253"/>
        <v>0</v>
      </c>
      <c r="AD858" s="53">
        <f t="shared" si="254"/>
        <v>0</v>
      </c>
      <c r="AE858" s="53">
        <f t="shared" si="255"/>
        <v>0</v>
      </c>
      <c r="AF858" s="53">
        <f t="shared" si="256"/>
        <v>0</v>
      </c>
      <c r="AG858" s="56">
        <f t="shared" si="257"/>
        <v>0</v>
      </c>
      <c r="AH858" s="53">
        <f t="shared" si="258"/>
        <v>0</v>
      </c>
      <c r="AI858" s="55"/>
      <c r="AJ858" s="53">
        <f t="shared" si="259"/>
        <v>0</v>
      </c>
      <c r="AK858" s="53">
        <f t="shared" si="260"/>
        <v>0</v>
      </c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7"/>
      <c r="AW858" s="57"/>
      <c r="AX858" s="57"/>
    </row>
    <row r="859" spans="2:50">
      <c r="B859" s="45">
        <v>930</v>
      </c>
      <c r="C859" s="46" t="s">
        <v>1272</v>
      </c>
      <c r="D859" s="46" t="s">
        <v>1274</v>
      </c>
      <c r="E859" s="47" t="s">
        <v>1275</v>
      </c>
      <c r="F859" s="48" t="s">
        <v>1287</v>
      </c>
      <c r="G859" s="49" t="s">
        <v>306</v>
      </c>
      <c r="H859" s="359" t="s">
        <v>1288</v>
      </c>
      <c r="I859" s="50" t="s">
        <v>1278</v>
      </c>
      <c r="J859" s="50">
        <f t="shared" si="245"/>
        <v>30</v>
      </c>
      <c r="K859" s="50">
        <v>30</v>
      </c>
      <c r="L859" s="50">
        <v>0</v>
      </c>
      <c r="M859" s="50"/>
      <c r="N859" s="50">
        <v>0.5</v>
      </c>
      <c r="O859" s="50">
        <v>0</v>
      </c>
      <c r="P859" s="52">
        <v>2</v>
      </c>
      <c r="Q859" s="53"/>
      <c r="R859" s="56" t="s">
        <v>158</v>
      </c>
      <c r="S859" s="56" t="s">
        <v>158</v>
      </c>
      <c r="T859" s="56" t="s">
        <v>158</v>
      </c>
      <c r="U859" s="56" t="s">
        <v>158</v>
      </c>
      <c r="V859" s="360" t="s">
        <v>1279</v>
      </c>
      <c r="W859" s="53"/>
      <c r="X859" s="53">
        <f t="shared" si="250"/>
        <v>0</v>
      </c>
      <c r="Y859" s="55"/>
      <c r="Z859" s="55"/>
      <c r="AA859" s="52">
        <f t="shared" si="251"/>
        <v>0</v>
      </c>
      <c r="AB859" s="53">
        <f t="shared" si="252"/>
        <v>0</v>
      </c>
      <c r="AC859" s="53">
        <f t="shared" si="253"/>
        <v>0</v>
      </c>
      <c r="AD859" s="53">
        <f t="shared" si="254"/>
        <v>0</v>
      </c>
      <c r="AE859" s="53">
        <f t="shared" si="255"/>
        <v>0</v>
      </c>
      <c r="AF859" s="53">
        <f t="shared" si="256"/>
        <v>0</v>
      </c>
      <c r="AG859" s="56">
        <f t="shared" si="257"/>
        <v>0</v>
      </c>
      <c r="AH859" s="53">
        <f t="shared" si="258"/>
        <v>0</v>
      </c>
      <c r="AI859" s="55"/>
      <c r="AJ859" s="53">
        <f t="shared" si="259"/>
        <v>0</v>
      </c>
      <c r="AK859" s="53">
        <f t="shared" si="260"/>
        <v>0</v>
      </c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7"/>
      <c r="AW859" s="57"/>
      <c r="AX859" s="57"/>
    </row>
    <row r="860" spans="2:50">
      <c r="B860" s="45">
        <v>931</v>
      </c>
      <c r="C860" s="46" t="s">
        <v>1272</v>
      </c>
      <c r="D860" s="46" t="s">
        <v>1289</v>
      </c>
      <c r="E860" s="361" t="s">
        <v>1290</v>
      </c>
      <c r="F860" s="48" t="s">
        <v>1291</v>
      </c>
      <c r="G860" s="49" t="s">
        <v>780</v>
      </c>
      <c r="H860" s="359" t="s">
        <v>1292</v>
      </c>
      <c r="I860" s="50" t="s">
        <v>1278</v>
      </c>
      <c r="J860" s="50">
        <f t="shared" si="245"/>
        <v>120</v>
      </c>
      <c r="K860" s="50">
        <v>120</v>
      </c>
      <c r="L860" s="50">
        <v>0</v>
      </c>
      <c r="M860" s="50"/>
      <c r="N860" s="50">
        <v>0.38</v>
      </c>
      <c r="O860" s="50">
        <v>0</v>
      </c>
      <c r="P860" s="52">
        <v>2</v>
      </c>
      <c r="Q860" s="53"/>
      <c r="R860" s="56" t="s">
        <v>158</v>
      </c>
      <c r="S860" s="56" t="s">
        <v>158</v>
      </c>
      <c r="T860" s="56" t="s">
        <v>158</v>
      </c>
      <c r="U860" s="56" t="s">
        <v>158</v>
      </c>
      <c r="V860" s="360" t="s">
        <v>1279</v>
      </c>
      <c r="W860" s="53"/>
      <c r="X860" s="53">
        <f t="shared" si="250"/>
        <v>0</v>
      </c>
      <c r="Y860" s="55"/>
      <c r="Z860" s="55"/>
      <c r="AA860" s="52">
        <f t="shared" si="251"/>
        <v>0</v>
      </c>
      <c r="AB860" s="53">
        <f t="shared" si="252"/>
        <v>0</v>
      </c>
      <c r="AC860" s="53">
        <f t="shared" si="253"/>
        <v>0</v>
      </c>
      <c r="AD860" s="53">
        <f t="shared" si="254"/>
        <v>0</v>
      </c>
      <c r="AE860" s="53">
        <f t="shared" si="255"/>
        <v>0</v>
      </c>
      <c r="AF860" s="53">
        <f t="shared" si="256"/>
        <v>0</v>
      </c>
      <c r="AG860" s="56">
        <f t="shared" si="257"/>
        <v>0</v>
      </c>
      <c r="AH860" s="53">
        <f t="shared" si="258"/>
        <v>0</v>
      </c>
      <c r="AI860" s="55"/>
      <c r="AJ860" s="53">
        <f t="shared" si="259"/>
        <v>0</v>
      </c>
      <c r="AK860" s="53">
        <f t="shared" si="260"/>
        <v>0</v>
      </c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7"/>
      <c r="AW860" s="57"/>
      <c r="AX860" s="57"/>
    </row>
    <row r="861" spans="2:50">
      <c r="B861" s="45">
        <v>932</v>
      </c>
      <c r="C861" s="46" t="s">
        <v>1272</v>
      </c>
      <c r="D861" s="46" t="s">
        <v>1289</v>
      </c>
      <c r="E861" s="361" t="s">
        <v>1290</v>
      </c>
      <c r="F861" s="48" t="s">
        <v>1293</v>
      </c>
      <c r="G861" s="49" t="s">
        <v>190</v>
      </c>
      <c r="H861" s="359" t="s">
        <v>1294</v>
      </c>
      <c r="I861" s="50" t="s">
        <v>302</v>
      </c>
      <c r="J861" s="50">
        <f t="shared" si="245"/>
        <v>172</v>
      </c>
      <c r="K861" s="50">
        <v>172</v>
      </c>
      <c r="L861" s="50">
        <v>0</v>
      </c>
      <c r="M861" s="50"/>
      <c r="N861" s="50">
        <v>2.29</v>
      </c>
      <c r="O861" s="50">
        <v>0</v>
      </c>
      <c r="P861" s="52">
        <v>2</v>
      </c>
      <c r="Q861" s="53"/>
      <c r="R861" s="56" t="s">
        <v>1295</v>
      </c>
      <c r="S861" s="56" t="s">
        <v>1295</v>
      </c>
      <c r="T861" s="56" t="s">
        <v>1295</v>
      </c>
      <c r="U861" s="56" t="s">
        <v>1295</v>
      </c>
      <c r="V861" s="360" t="s">
        <v>1296</v>
      </c>
      <c r="W861" s="53"/>
      <c r="X861" s="53">
        <f t="shared" si="250"/>
        <v>0</v>
      </c>
      <c r="Y861" s="55"/>
      <c r="Z861" s="55"/>
      <c r="AA861" s="52">
        <f t="shared" si="251"/>
        <v>0</v>
      </c>
      <c r="AB861" s="53">
        <f t="shared" si="252"/>
        <v>0</v>
      </c>
      <c r="AC861" s="53">
        <f t="shared" si="253"/>
        <v>0</v>
      </c>
      <c r="AD861" s="53">
        <f t="shared" si="254"/>
        <v>0</v>
      </c>
      <c r="AE861" s="53">
        <f t="shared" si="255"/>
        <v>0</v>
      </c>
      <c r="AF861" s="53">
        <f t="shared" si="256"/>
        <v>0</v>
      </c>
      <c r="AG861" s="56">
        <f t="shared" si="257"/>
        <v>0</v>
      </c>
      <c r="AH861" s="53">
        <f t="shared" si="258"/>
        <v>0</v>
      </c>
      <c r="AI861" s="55"/>
      <c r="AJ861" s="53">
        <f t="shared" si="259"/>
        <v>0</v>
      </c>
      <c r="AK861" s="53">
        <f t="shared" si="260"/>
        <v>0</v>
      </c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7"/>
      <c r="AW861" s="57"/>
      <c r="AX861" s="57"/>
    </row>
    <row r="862" spans="2:50">
      <c r="B862" s="45">
        <v>933</v>
      </c>
      <c r="C862" s="46" t="s">
        <v>1272</v>
      </c>
      <c r="D862" s="46" t="s">
        <v>1289</v>
      </c>
      <c r="E862" s="47" t="s">
        <v>1297</v>
      </c>
      <c r="F862" s="48" t="s">
        <v>1298</v>
      </c>
      <c r="G862" s="49" t="s">
        <v>190</v>
      </c>
      <c r="H862" s="359" t="s">
        <v>1299</v>
      </c>
      <c r="I862" s="50" t="s">
        <v>302</v>
      </c>
      <c r="J862" s="50">
        <f t="shared" si="245"/>
        <v>60</v>
      </c>
      <c r="K862" s="50">
        <v>60</v>
      </c>
      <c r="L862" s="50">
        <v>0</v>
      </c>
      <c r="M862" s="50"/>
      <c r="N862" s="50">
        <v>0.65</v>
      </c>
      <c r="O862" s="50">
        <v>0</v>
      </c>
      <c r="P862" s="52">
        <v>2</v>
      </c>
      <c r="Q862" s="53"/>
      <c r="R862" s="56" t="s">
        <v>1295</v>
      </c>
      <c r="S862" s="56" t="s">
        <v>1295</v>
      </c>
      <c r="T862" s="56" t="s">
        <v>1295</v>
      </c>
      <c r="U862" s="56" t="s">
        <v>1295</v>
      </c>
      <c r="V862" s="360" t="s">
        <v>1300</v>
      </c>
      <c r="W862" s="53"/>
      <c r="X862" s="53">
        <f t="shared" si="250"/>
        <v>0</v>
      </c>
      <c r="Y862" s="55"/>
      <c r="Z862" s="55"/>
      <c r="AA862" s="52">
        <f t="shared" si="251"/>
        <v>0</v>
      </c>
      <c r="AB862" s="53">
        <f t="shared" si="252"/>
        <v>0</v>
      </c>
      <c r="AC862" s="53">
        <f t="shared" si="253"/>
        <v>0</v>
      </c>
      <c r="AD862" s="53">
        <f t="shared" si="254"/>
        <v>0</v>
      </c>
      <c r="AE862" s="53">
        <f t="shared" si="255"/>
        <v>0</v>
      </c>
      <c r="AF862" s="53">
        <f t="shared" si="256"/>
        <v>0</v>
      </c>
      <c r="AG862" s="56">
        <f t="shared" si="257"/>
        <v>0</v>
      </c>
      <c r="AH862" s="53">
        <f t="shared" si="258"/>
        <v>0</v>
      </c>
      <c r="AI862" s="55"/>
      <c r="AJ862" s="53">
        <f t="shared" si="259"/>
        <v>0</v>
      </c>
      <c r="AK862" s="53">
        <f t="shared" si="260"/>
        <v>0</v>
      </c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7"/>
      <c r="AW862" s="57"/>
      <c r="AX862" s="57"/>
    </row>
    <row r="863" spans="2:50">
      <c r="B863" s="45">
        <v>934</v>
      </c>
      <c r="C863" s="46" t="s">
        <v>1272</v>
      </c>
      <c r="D863" s="46" t="s">
        <v>1289</v>
      </c>
      <c r="E863" s="47" t="s">
        <v>1301</v>
      </c>
      <c r="F863" s="48" t="s">
        <v>1302</v>
      </c>
      <c r="G863" s="49" t="s">
        <v>373</v>
      </c>
      <c r="H863" s="359" t="s">
        <v>1303</v>
      </c>
      <c r="I863" s="50" t="s">
        <v>302</v>
      </c>
      <c r="J863" s="50">
        <f t="shared" si="245"/>
        <v>30</v>
      </c>
      <c r="K863" s="50">
        <v>30</v>
      </c>
      <c r="L863" s="50">
        <v>0</v>
      </c>
      <c r="M863" s="50"/>
      <c r="N863" s="50">
        <v>0.2</v>
      </c>
      <c r="O863" s="50">
        <v>0</v>
      </c>
      <c r="P863" s="52">
        <v>2</v>
      </c>
      <c r="Q863" s="53"/>
      <c r="R863" s="56" t="s">
        <v>1295</v>
      </c>
      <c r="S863" s="56" t="s">
        <v>1295</v>
      </c>
      <c r="T863" s="56" t="s">
        <v>1295</v>
      </c>
      <c r="U863" s="56" t="s">
        <v>1295</v>
      </c>
      <c r="V863" s="360" t="s">
        <v>1300</v>
      </c>
      <c r="W863" s="53"/>
      <c r="X863" s="53">
        <f t="shared" si="250"/>
        <v>0</v>
      </c>
      <c r="Y863" s="55"/>
      <c r="Z863" s="55"/>
      <c r="AA863" s="52">
        <f t="shared" si="251"/>
        <v>0</v>
      </c>
      <c r="AB863" s="53">
        <f t="shared" si="252"/>
        <v>0</v>
      </c>
      <c r="AC863" s="53">
        <f t="shared" si="253"/>
        <v>0</v>
      </c>
      <c r="AD863" s="53">
        <f t="shared" si="254"/>
        <v>0</v>
      </c>
      <c r="AE863" s="53">
        <f t="shared" si="255"/>
        <v>0</v>
      </c>
      <c r="AF863" s="53">
        <f t="shared" si="256"/>
        <v>0</v>
      </c>
      <c r="AG863" s="56">
        <f t="shared" si="257"/>
        <v>0</v>
      </c>
      <c r="AH863" s="53">
        <f t="shared" si="258"/>
        <v>0</v>
      </c>
      <c r="AI863" s="55"/>
      <c r="AJ863" s="53">
        <f t="shared" si="259"/>
        <v>0</v>
      </c>
      <c r="AK863" s="53">
        <f t="shared" si="260"/>
        <v>0</v>
      </c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7"/>
      <c r="AW863" s="57"/>
      <c r="AX863" s="57"/>
    </row>
    <row r="864" spans="2:50">
      <c r="B864" s="45">
        <v>935</v>
      </c>
      <c r="C864" s="46" t="s">
        <v>1272</v>
      </c>
      <c r="D864" s="46" t="s">
        <v>1289</v>
      </c>
      <c r="E864" s="173" t="s">
        <v>1304</v>
      </c>
      <c r="F864" s="48" t="s">
        <v>1305</v>
      </c>
      <c r="G864" s="49" t="s">
        <v>306</v>
      </c>
      <c r="H864" s="359" t="s">
        <v>1306</v>
      </c>
      <c r="I864" s="50" t="s">
        <v>302</v>
      </c>
      <c r="J864" s="50">
        <f t="shared" si="245"/>
        <v>315</v>
      </c>
      <c r="K864" s="50">
        <v>240</v>
      </c>
      <c r="L864" s="50">
        <v>75</v>
      </c>
      <c r="M864" s="50"/>
      <c r="N864" s="50">
        <v>1.25</v>
      </c>
      <c r="O864" s="50">
        <v>1.25</v>
      </c>
      <c r="P864" s="52">
        <v>2</v>
      </c>
      <c r="Q864" s="53"/>
      <c r="R864" s="56" t="s">
        <v>1295</v>
      </c>
      <c r="S864" s="56"/>
      <c r="T864" s="56" t="s">
        <v>1295</v>
      </c>
      <c r="U864" s="56" t="s">
        <v>1295</v>
      </c>
      <c r="V864" s="360" t="s">
        <v>1307</v>
      </c>
      <c r="W864" s="53"/>
      <c r="X864" s="53">
        <f t="shared" si="250"/>
        <v>0</v>
      </c>
      <c r="Y864" s="55"/>
      <c r="Z864" s="55"/>
      <c r="AA864" s="52">
        <f t="shared" si="251"/>
        <v>0</v>
      </c>
      <c r="AB864" s="53">
        <f t="shared" si="252"/>
        <v>0</v>
      </c>
      <c r="AC864" s="53">
        <f t="shared" si="253"/>
        <v>0</v>
      </c>
      <c r="AD864" s="53">
        <f t="shared" si="254"/>
        <v>0</v>
      </c>
      <c r="AE864" s="53">
        <f t="shared" si="255"/>
        <v>0</v>
      </c>
      <c r="AF864" s="53">
        <f t="shared" si="256"/>
        <v>0</v>
      </c>
      <c r="AG864" s="56">
        <f t="shared" si="257"/>
        <v>0</v>
      </c>
      <c r="AH864" s="53">
        <f t="shared" si="258"/>
        <v>0</v>
      </c>
      <c r="AI864" s="55"/>
      <c r="AJ864" s="53">
        <f t="shared" si="259"/>
        <v>0</v>
      </c>
      <c r="AK864" s="53">
        <f t="shared" si="260"/>
        <v>0</v>
      </c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7"/>
      <c r="AW864" s="57"/>
      <c r="AX864" s="57"/>
    </row>
    <row r="865" spans="2:50">
      <c r="B865" s="45">
        <v>936</v>
      </c>
      <c r="C865" s="46" t="s">
        <v>1272</v>
      </c>
      <c r="D865" s="46" t="s">
        <v>1289</v>
      </c>
      <c r="E865" s="173" t="s">
        <v>1308</v>
      </c>
      <c r="F865" s="48" t="s">
        <v>1309</v>
      </c>
      <c r="G865" s="49" t="s">
        <v>306</v>
      </c>
      <c r="H865" s="359" t="s">
        <v>1306</v>
      </c>
      <c r="I865" s="50" t="s">
        <v>302</v>
      </c>
      <c r="J865" s="50">
        <f t="shared" si="245"/>
        <v>840</v>
      </c>
      <c r="K865" s="50">
        <v>120</v>
      </c>
      <c r="L865" s="50">
        <v>720</v>
      </c>
      <c r="M865" s="50"/>
      <c r="N865" s="50">
        <v>0.54</v>
      </c>
      <c r="O865" s="50">
        <v>0</v>
      </c>
      <c r="P865" s="52">
        <v>2</v>
      </c>
      <c r="Q865" s="53"/>
      <c r="R865" s="56" t="s">
        <v>1295</v>
      </c>
      <c r="S865" s="56"/>
      <c r="T865" s="56" t="s">
        <v>1295</v>
      </c>
      <c r="U865" s="56" t="s">
        <v>1295</v>
      </c>
      <c r="V865" s="360" t="s">
        <v>1307</v>
      </c>
      <c r="W865" s="53"/>
      <c r="X865" s="53">
        <f t="shared" si="250"/>
        <v>0</v>
      </c>
      <c r="Y865" s="55"/>
      <c r="Z865" s="55"/>
      <c r="AA865" s="52">
        <f t="shared" si="251"/>
        <v>0</v>
      </c>
      <c r="AB865" s="53">
        <f t="shared" si="252"/>
        <v>0</v>
      </c>
      <c r="AC865" s="53">
        <f t="shared" si="253"/>
        <v>0</v>
      </c>
      <c r="AD865" s="53">
        <f t="shared" si="254"/>
        <v>0</v>
      </c>
      <c r="AE865" s="53">
        <f t="shared" si="255"/>
        <v>0</v>
      </c>
      <c r="AF865" s="53">
        <f t="shared" si="256"/>
        <v>0</v>
      </c>
      <c r="AG865" s="56">
        <f t="shared" si="257"/>
        <v>0</v>
      </c>
      <c r="AH865" s="53">
        <f t="shared" si="258"/>
        <v>0</v>
      </c>
      <c r="AI865" s="55"/>
      <c r="AJ865" s="53">
        <f t="shared" si="259"/>
        <v>0</v>
      </c>
      <c r="AK865" s="53">
        <f t="shared" si="260"/>
        <v>0</v>
      </c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7"/>
      <c r="AW865" s="57"/>
      <c r="AX865" s="57"/>
    </row>
    <row r="866" spans="2:50">
      <c r="B866" s="45">
        <v>937</v>
      </c>
      <c r="C866" s="46" t="s">
        <v>1272</v>
      </c>
      <c r="D866" s="46" t="s">
        <v>1289</v>
      </c>
      <c r="E866" s="173" t="s">
        <v>1310</v>
      </c>
      <c r="F866" s="173" t="s">
        <v>1311</v>
      </c>
      <c r="G866" s="49" t="s">
        <v>306</v>
      </c>
      <c r="H866" s="359" t="s">
        <v>1312</v>
      </c>
      <c r="I866" s="50" t="s">
        <v>302</v>
      </c>
      <c r="J866" s="50">
        <f t="shared" si="245"/>
        <v>30</v>
      </c>
      <c r="K866" s="50">
        <v>30</v>
      </c>
      <c r="L866" s="50">
        <v>0</v>
      </c>
      <c r="M866" s="50"/>
      <c r="N866" s="50">
        <v>0</v>
      </c>
      <c r="O866" s="50">
        <v>0</v>
      </c>
      <c r="P866" s="52">
        <v>2</v>
      </c>
      <c r="Q866" s="53"/>
      <c r="R866" s="56" t="s">
        <v>1295</v>
      </c>
      <c r="S866" s="56" t="s">
        <v>1295</v>
      </c>
      <c r="T866" s="56" t="s">
        <v>1295</v>
      </c>
      <c r="U866" s="56" t="s">
        <v>1295</v>
      </c>
      <c r="V866" s="360" t="s">
        <v>1307</v>
      </c>
      <c r="W866" s="53"/>
      <c r="X866" s="53">
        <f t="shared" si="250"/>
        <v>0</v>
      </c>
      <c r="Y866" s="55"/>
      <c r="Z866" s="55"/>
      <c r="AA866" s="52">
        <f t="shared" si="251"/>
        <v>0</v>
      </c>
      <c r="AB866" s="53">
        <f t="shared" si="252"/>
        <v>0</v>
      </c>
      <c r="AC866" s="53">
        <f t="shared" si="253"/>
        <v>0</v>
      </c>
      <c r="AD866" s="53">
        <f t="shared" si="254"/>
        <v>0</v>
      </c>
      <c r="AE866" s="53">
        <f t="shared" si="255"/>
        <v>0</v>
      </c>
      <c r="AF866" s="53">
        <f t="shared" si="256"/>
        <v>0</v>
      </c>
      <c r="AG866" s="56">
        <f t="shared" si="257"/>
        <v>0</v>
      </c>
      <c r="AH866" s="53">
        <f t="shared" si="258"/>
        <v>0</v>
      </c>
      <c r="AI866" s="55"/>
      <c r="AJ866" s="53">
        <f t="shared" si="259"/>
        <v>0</v>
      </c>
      <c r="AK866" s="53">
        <f t="shared" si="260"/>
        <v>0</v>
      </c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7"/>
      <c r="AW866" s="57"/>
      <c r="AX866" s="57"/>
    </row>
    <row r="867" spans="2:50">
      <c r="B867" s="45">
        <v>938</v>
      </c>
      <c r="C867" s="46" t="s">
        <v>1272</v>
      </c>
      <c r="D867" s="46" t="s">
        <v>1289</v>
      </c>
      <c r="E867" s="173" t="s">
        <v>1313</v>
      </c>
      <c r="F867" s="48" t="s">
        <v>1314</v>
      </c>
      <c r="G867" s="49" t="s">
        <v>1315</v>
      </c>
      <c r="H867" s="359" t="s">
        <v>1316</v>
      </c>
      <c r="I867" s="50" t="s">
        <v>302</v>
      </c>
      <c r="J867" s="50">
        <f t="shared" si="245"/>
        <v>50</v>
      </c>
      <c r="K867" s="50">
        <v>40</v>
      </c>
      <c r="L867" s="50">
        <v>10</v>
      </c>
      <c r="M867" s="50"/>
      <c r="N867" s="50">
        <v>0.6</v>
      </c>
      <c r="O867" s="50">
        <v>0</v>
      </c>
      <c r="P867" s="52">
        <v>2</v>
      </c>
      <c r="Q867" s="53"/>
      <c r="R867" s="56" t="s">
        <v>1295</v>
      </c>
      <c r="S867" s="56"/>
      <c r="T867" s="56" t="s">
        <v>1295</v>
      </c>
      <c r="U867" s="56" t="s">
        <v>1295</v>
      </c>
      <c r="V867" s="360" t="s">
        <v>1300</v>
      </c>
      <c r="W867" s="53"/>
      <c r="X867" s="53">
        <f t="shared" si="250"/>
        <v>0</v>
      </c>
      <c r="Y867" s="55"/>
      <c r="Z867" s="55"/>
      <c r="AA867" s="52">
        <f t="shared" si="251"/>
        <v>0</v>
      </c>
      <c r="AB867" s="53">
        <f t="shared" si="252"/>
        <v>0</v>
      </c>
      <c r="AC867" s="53">
        <f t="shared" si="253"/>
        <v>0</v>
      </c>
      <c r="AD867" s="53">
        <f t="shared" si="254"/>
        <v>0</v>
      </c>
      <c r="AE867" s="53">
        <f t="shared" si="255"/>
        <v>0</v>
      </c>
      <c r="AF867" s="53">
        <f t="shared" si="256"/>
        <v>0</v>
      </c>
      <c r="AG867" s="56">
        <f t="shared" si="257"/>
        <v>0</v>
      </c>
      <c r="AH867" s="53">
        <f t="shared" si="258"/>
        <v>0</v>
      </c>
      <c r="AI867" s="55"/>
      <c r="AJ867" s="53">
        <f t="shared" si="259"/>
        <v>0</v>
      </c>
      <c r="AK867" s="53">
        <f t="shared" si="260"/>
        <v>0</v>
      </c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7"/>
      <c r="AW867" s="57"/>
      <c r="AX867" s="57"/>
    </row>
    <row r="868" spans="2:50">
      <c r="B868" s="45">
        <v>939</v>
      </c>
      <c r="C868" s="46" t="s">
        <v>1272</v>
      </c>
      <c r="D868" s="46" t="s">
        <v>1289</v>
      </c>
      <c r="E868" s="173" t="s">
        <v>1313</v>
      </c>
      <c r="F868" s="48" t="s">
        <v>1317</v>
      </c>
      <c r="G868" s="49" t="s">
        <v>190</v>
      </c>
      <c r="H868" s="359" t="s">
        <v>1318</v>
      </c>
      <c r="I868" s="50" t="s">
        <v>302</v>
      </c>
      <c r="J868" s="344">
        <f t="shared" si="245"/>
        <v>10</v>
      </c>
      <c r="K868" s="344">
        <v>10</v>
      </c>
      <c r="L868" s="50">
        <v>0</v>
      </c>
      <c r="M868" s="50"/>
      <c r="N868" s="50">
        <v>0.5</v>
      </c>
      <c r="O868" s="50">
        <v>0</v>
      </c>
      <c r="P868" s="52">
        <v>2</v>
      </c>
      <c r="Q868" s="53"/>
      <c r="R868" s="56" t="s">
        <v>1295</v>
      </c>
      <c r="S868" s="56"/>
      <c r="T868" s="56" t="s">
        <v>1295</v>
      </c>
      <c r="U868" s="56" t="s">
        <v>1295</v>
      </c>
      <c r="V868" s="360" t="s">
        <v>1300</v>
      </c>
      <c r="W868" s="53"/>
      <c r="X868" s="53">
        <f t="shared" si="250"/>
        <v>0</v>
      </c>
      <c r="Y868" s="55"/>
      <c r="Z868" s="55"/>
      <c r="AA868" s="52">
        <f t="shared" si="251"/>
        <v>0</v>
      </c>
      <c r="AB868" s="53">
        <f t="shared" si="252"/>
        <v>0</v>
      </c>
      <c r="AC868" s="53">
        <f t="shared" si="253"/>
        <v>0</v>
      </c>
      <c r="AD868" s="53">
        <f t="shared" si="254"/>
        <v>0</v>
      </c>
      <c r="AE868" s="53">
        <f t="shared" si="255"/>
        <v>0</v>
      </c>
      <c r="AF868" s="53">
        <f t="shared" si="256"/>
        <v>0</v>
      </c>
      <c r="AG868" s="56">
        <f t="shared" si="257"/>
        <v>0</v>
      </c>
      <c r="AH868" s="53">
        <f t="shared" si="258"/>
        <v>0</v>
      </c>
      <c r="AI868" s="55"/>
      <c r="AJ868" s="53">
        <f t="shared" si="259"/>
        <v>0</v>
      </c>
      <c r="AK868" s="53">
        <f t="shared" si="260"/>
        <v>0</v>
      </c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7"/>
      <c r="AW868" s="57"/>
      <c r="AX868" s="57"/>
    </row>
    <row r="869" spans="2:50">
      <c r="B869" s="45">
        <v>940</v>
      </c>
      <c r="C869" s="46" t="s">
        <v>1272</v>
      </c>
      <c r="D869" s="46" t="s">
        <v>1289</v>
      </c>
      <c r="E869" s="173" t="s">
        <v>1313</v>
      </c>
      <c r="F869" s="48" t="s">
        <v>1319</v>
      </c>
      <c r="G869" s="49" t="s">
        <v>190</v>
      </c>
      <c r="H869" s="359" t="s">
        <v>1318</v>
      </c>
      <c r="I869" s="50" t="s">
        <v>302</v>
      </c>
      <c r="J869" s="50">
        <f t="shared" si="245"/>
        <v>160</v>
      </c>
      <c r="K869" s="50">
        <v>150</v>
      </c>
      <c r="L869" s="50">
        <v>10</v>
      </c>
      <c r="M869" s="50"/>
      <c r="N869" s="50" t="s">
        <v>1320</v>
      </c>
      <c r="O869" s="50">
        <v>0</v>
      </c>
      <c r="P869" s="52">
        <v>2</v>
      </c>
      <c r="Q869" s="53"/>
      <c r="R869" s="56" t="s">
        <v>1295</v>
      </c>
      <c r="S869" s="56"/>
      <c r="T869" s="56" t="s">
        <v>1295</v>
      </c>
      <c r="U869" s="56" t="s">
        <v>1295</v>
      </c>
      <c r="V869" s="360" t="s">
        <v>1300</v>
      </c>
      <c r="W869" s="53"/>
      <c r="X869" s="53">
        <f t="shared" si="250"/>
        <v>0</v>
      </c>
      <c r="Y869" s="55"/>
      <c r="Z869" s="55"/>
      <c r="AA869" s="52">
        <f t="shared" si="251"/>
        <v>0</v>
      </c>
      <c r="AB869" s="53">
        <f t="shared" si="252"/>
        <v>0</v>
      </c>
      <c r="AC869" s="53">
        <f t="shared" si="253"/>
        <v>0</v>
      </c>
      <c r="AD869" s="53">
        <f t="shared" si="254"/>
        <v>0</v>
      </c>
      <c r="AE869" s="53">
        <f t="shared" si="255"/>
        <v>0</v>
      </c>
      <c r="AF869" s="53">
        <f t="shared" si="256"/>
        <v>0</v>
      </c>
      <c r="AG869" s="56">
        <f t="shared" si="257"/>
        <v>0</v>
      </c>
      <c r="AH869" s="53">
        <f t="shared" si="258"/>
        <v>0</v>
      </c>
      <c r="AI869" s="55"/>
      <c r="AJ869" s="53">
        <f t="shared" si="259"/>
        <v>0</v>
      </c>
      <c r="AK869" s="53">
        <f t="shared" si="260"/>
        <v>0</v>
      </c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7"/>
      <c r="AW869" s="57"/>
      <c r="AX869" s="57"/>
    </row>
    <row r="870" spans="2:50">
      <c r="B870" s="45">
        <v>941</v>
      </c>
      <c r="C870" s="46" t="s">
        <v>1272</v>
      </c>
      <c r="D870" s="46" t="s">
        <v>1289</v>
      </c>
      <c r="E870" s="173" t="s">
        <v>1313</v>
      </c>
      <c r="F870" s="48" t="s">
        <v>1321</v>
      </c>
      <c r="G870" s="49" t="s">
        <v>190</v>
      </c>
      <c r="H870" s="359" t="s">
        <v>1322</v>
      </c>
      <c r="I870" s="50" t="s">
        <v>302</v>
      </c>
      <c r="J870" s="50">
        <f t="shared" si="245"/>
        <v>10</v>
      </c>
      <c r="K870" s="50">
        <v>10</v>
      </c>
      <c r="L870" s="50">
        <v>0</v>
      </c>
      <c r="M870" s="50"/>
      <c r="N870" s="50">
        <v>0.2</v>
      </c>
      <c r="O870" s="50">
        <v>0</v>
      </c>
      <c r="P870" s="52">
        <v>2</v>
      </c>
      <c r="Q870" s="53"/>
      <c r="R870" s="56" t="s">
        <v>1295</v>
      </c>
      <c r="S870" s="56"/>
      <c r="T870" s="56" t="s">
        <v>1295</v>
      </c>
      <c r="U870" s="56" t="s">
        <v>1295</v>
      </c>
      <c r="V870" s="360" t="s">
        <v>1300</v>
      </c>
      <c r="W870" s="53"/>
      <c r="X870" s="53">
        <f t="shared" si="250"/>
        <v>0</v>
      </c>
      <c r="Y870" s="55"/>
      <c r="Z870" s="55"/>
      <c r="AA870" s="52">
        <f t="shared" si="251"/>
        <v>0</v>
      </c>
      <c r="AB870" s="53">
        <f t="shared" si="252"/>
        <v>0</v>
      </c>
      <c r="AC870" s="53">
        <f t="shared" si="253"/>
        <v>0</v>
      </c>
      <c r="AD870" s="53">
        <f t="shared" si="254"/>
        <v>0</v>
      </c>
      <c r="AE870" s="53">
        <f t="shared" si="255"/>
        <v>0</v>
      </c>
      <c r="AF870" s="53">
        <f t="shared" si="256"/>
        <v>0</v>
      </c>
      <c r="AG870" s="56">
        <f t="shared" si="257"/>
        <v>0</v>
      </c>
      <c r="AH870" s="53">
        <f t="shared" si="258"/>
        <v>0</v>
      </c>
      <c r="AI870" s="55"/>
      <c r="AJ870" s="53">
        <f t="shared" si="259"/>
        <v>0</v>
      </c>
      <c r="AK870" s="53">
        <f t="shared" si="260"/>
        <v>0</v>
      </c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7"/>
      <c r="AW870" s="57"/>
      <c r="AX870" s="57"/>
    </row>
    <row r="871" spans="2:50">
      <c r="B871" s="45">
        <v>942</v>
      </c>
      <c r="C871" s="46" t="s">
        <v>1272</v>
      </c>
      <c r="D871" s="46" t="s">
        <v>1289</v>
      </c>
      <c r="E871" s="173" t="s">
        <v>1323</v>
      </c>
      <c r="F871" s="48" t="s">
        <v>1324</v>
      </c>
      <c r="G871" s="49" t="s">
        <v>190</v>
      </c>
      <c r="H871" s="359" t="s">
        <v>1318</v>
      </c>
      <c r="I871" s="50" t="s">
        <v>302</v>
      </c>
      <c r="J871" s="50">
        <f t="shared" si="245"/>
        <v>10</v>
      </c>
      <c r="K871" s="50">
        <v>10</v>
      </c>
      <c r="L871" s="50">
        <v>0</v>
      </c>
      <c r="M871" s="50"/>
      <c r="N871" s="50">
        <v>0.5</v>
      </c>
      <c r="O871" s="50">
        <v>0</v>
      </c>
      <c r="P871" s="52">
        <v>2</v>
      </c>
      <c r="Q871" s="53"/>
      <c r="R871" s="56"/>
      <c r="S871" s="56" t="s">
        <v>1295</v>
      </c>
      <c r="T871" s="56" t="s">
        <v>1295</v>
      </c>
      <c r="U871" s="56" t="s">
        <v>1295</v>
      </c>
      <c r="V871" s="360" t="s">
        <v>1300</v>
      </c>
      <c r="W871" s="53"/>
      <c r="X871" s="53">
        <f t="shared" si="250"/>
        <v>0</v>
      </c>
      <c r="Y871" s="55"/>
      <c r="Z871" s="55"/>
      <c r="AA871" s="52">
        <f t="shared" si="251"/>
        <v>0</v>
      </c>
      <c r="AB871" s="53">
        <f t="shared" si="252"/>
        <v>0</v>
      </c>
      <c r="AC871" s="53">
        <f t="shared" si="253"/>
        <v>0</v>
      </c>
      <c r="AD871" s="53">
        <f t="shared" si="254"/>
        <v>0</v>
      </c>
      <c r="AE871" s="53">
        <f t="shared" si="255"/>
        <v>0</v>
      </c>
      <c r="AF871" s="53">
        <f t="shared" si="256"/>
        <v>0</v>
      </c>
      <c r="AG871" s="56">
        <f t="shared" si="257"/>
        <v>0</v>
      </c>
      <c r="AH871" s="53">
        <f t="shared" si="258"/>
        <v>0</v>
      </c>
      <c r="AI871" s="55"/>
      <c r="AJ871" s="53">
        <f t="shared" si="259"/>
        <v>0</v>
      </c>
      <c r="AK871" s="53">
        <f t="shared" si="260"/>
        <v>0</v>
      </c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7"/>
      <c r="AW871" s="57"/>
      <c r="AX871" s="57"/>
    </row>
    <row r="872" spans="2:50">
      <c r="B872" s="45">
        <v>943</v>
      </c>
      <c r="C872" s="46" t="s">
        <v>1272</v>
      </c>
      <c r="D872" s="46" t="s">
        <v>1289</v>
      </c>
      <c r="E872" s="173" t="s">
        <v>1323</v>
      </c>
      <c r="F872" s="48" t="s">
        <v>1325</v>
      </c>
      <c r="G872" s="49" t="s">
        <v>190</v>
      </c>
      <c r="H872" s="359" t="s">
        <v>1318</v>
      </c>
      <c r="I872" s="50" t="s">
        <v>302</v>
      </c>
      <c r="J872" s="50">
        <f t="shared" si="245"/>
        <v>500</v>
      </c>
      <c r="K872" s="50">
        <v>490</v>
      </c>
      <c r="L872" s="50">
        <v>10</v>
      </c>
      <c r="M872" s="50"/>
      <c r="N872" s="50">
        <v>3.45</v>
      </c>
      <c r="O872" s="50">
        <v>0</v>
      </c>
      <c r="P872" s="52">
        <v>2</v>
      </c>
      <c r="Q872" s="53"/>
      <c r="R872" s="56"/>
      <c r="S872" s="56" t="s">
        <v>1295</v>
      </c>
      <c r="T872" s="56" t="s">
        <v>1295</v>
      </c>
      <c r="U872" s="56" t="s">
        <v>1295</v>
      </c>
      <c r="V872" s="360" t="s">
        <v>1300</v>
      </c>
      <c r="W872" s="53"/>
      <c r="X872" s="53">
        <f t="shared" si="250"/>
        <v>0</v>
      </c>
      <c r="Y872" s="55"/>
      <c r="Z872" s="55"/>
      <c r="AA872" s="52">
        <f t="shared" si="251"/>
        <v>0</v>
      </c>
      <c r="AB872" s="53">
        <f t="shared" si="252"/>
        <v>0</v>
      </c>
      <c r="AC872" s="53">
        <f t="shared" si="253"/>
        <v>0</v>
      </c>
      <c r="AD872" s="53">
        <f t="shared" si="254"/>
        <v>0</v>
      </c>
      <c r="AE872" s="53">
        <f t="shared" si="255"/>
        <v>0</v>
      </c>
      <c r="AF872" s="53">
        <f t="shared" si="256"/>
        <v>0</v>
      </c>
      <c r="AG872" s="56">
        <f t="shared" si="257"/>
        <v>0</v>
      </c>
      <c r="AH872" s="53">
        <f t="shared" si="258"/>
        <v>0</v>
      </c>
      <c r="AI872" s="55"/>
      <c r="AJ872" s="53">
        <f t="shared" si="259"/>
        <v>0</v>
      </c>
      <c r="AK872" s="53">
        <f t="shared" si="260"/>
        <v>0</v>
      </c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7"/>
      <c r="AW872" s="57"/>
      <c r="AX872" s="57"/>
    </row>
    <row r="873" spans="2:50">
      <c r="B873" s="45">
        <v>944</v>
      </c>
      <c r="C873" s="46" t="s">
        <v>1272</v>
      </c>
      <c r="D873" s="46" t="s">
        <v>1289</v>
      </c>
      <c r="E873" s="173" t="s">
        <v>1323</v>
      </c>
      <c r="F873" s="48" t="s">
        <v>1321</v>
      </c>
      <c r="G873" s="49" t="s">
        <v>190</v>
      </c>
      <c r="H873" s="359" t="s">
        <v>1322</v>
      </c>
      <c r="I873" s="50" t="s">
        <v>302</v>
      </c>
      <c r="J873" s="50">
        <f t="shared" si="245"/>
        <v>10</v>
      </c>
      <c r="K873" s="50">
        <v>10</v>
      </c>
      <c r="L873" s="50">
        <v>0</v>
      </c>
      <c r="M873" s="50"/>
      <c r="N873" s="50">
        <v>0.2</v>
      </c>
      <c r="O873" s="50">
        <v>0</v>
      </c>
      <c r="P873" s="52">
        <v>2</v>
      </c>
      <c r="Q873" s="53"/>
      <c r="R873" s="56"/>
      <c r="S873" s="56" t="s">
        <v>1295</v>
      </c>
      <c r="T873" s="56" t="s">
        <v>1295</v>
      </c>
      <c r="U873" s="56" t="s">
        <v>1295</v>
      </c>
      <c r="V873" s="360" t="s">
        <v>1300</v>
      </c>
      <c r="W873" s="53"/>
      <c r="X873" s="53">
        <f t="shared" si="250"/>
        <v>0</v>
      </c>
      <c r="Y873" s="55"/>
      <c r="Z873" s="55"/>
      <c r="AA873" s="52">
        <f t="shared" si="251"/>
        <v>0</v>
      </c>
      <c r="AB873" s="53">
        <f t="shared" si="252"/>
        <v>0</v>
      </c>
      <c r="AC873" s="53">
        <f t="shared" si="253"/>
        <v>0</v>
      </c>
      <c r="AD873" s="53">
        <f t="shared" si="254"/>
        <v>0</v>
      </c>
      <c r="AE873" s="53">
        <f t="shared" si="255"/>
        <v>0</v>
      </c>
      <c r="AF873" s="53">
        <f t="shared" si="256"/>
        <v>0</v>
      </c>
      <c r="AG873" s="56">
        <f t="shared" si="257"/>
        <v>0</v>
      </c>
      <c r="AH873" s="53">
        <f t="shared" si="258"/>
        <v>0</v>
      </c>
      <c r="AI873" s="55"/>
      <c r="AJ873" s="53">
        <f t="shared" si="259"/>
        <v>0</v>
      </c>
      <c r="AK873" s="53">
        <f t="shared" si="260"/>
        <v>0</v>
      </c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7"/>
      <c r="AW873" s="57"/>
      <c r="AX873" s="57"/>
    </row>
    <row r="874" spans="2:50">
      <c r="B874" s="45">
        <v>945</v>
      </c>
      <c r="C874" s="46" t="s">
        <v>1272</v>
      </c>
      <c r="D874" s="46" t="s">
        <v>1289</v>
      </c>
      <c r="E874" s="173" t="s">
        <v>1326</v>
      </c>
      <c r="F874" s="48" t="s">
        <v>1327</v>
      </c>
      <c r="G874" s="49" t="s">
        <v>190</v>
      </c>
      <c r="H874" s="359" t="s">
        <v>1328</v>
      </c>
      <c r="I874" s="50" t="s">
        <v>302</v>
      </c>
      <c r="J874" s="50">
        <f t="shared" si="245"/>
        <v>6</v>
      </c>
      <c r="K874" s="50">
        <v>6</v>
      </c>
      <c r="L874" s="50">
        <v>0</v>
      </c>
      <c r="M874" s="50"/>
      <c r="N874" s="50">
        <v>0.1</v>
      </c>
      <c r="O874" s="50">
        <v>0</v>
      </c>
      <c r="P874" s="52">
        <v>2</v>
      </c>
      <c r="Q874" s="53"/>
      <c r="R874" s="56"/>
      <c r="S874" s="56" t="s">
        <v>1295</v>
      </c>
      <c r="T874" s="56" t="s">
        <v>1295</v>
      </c>
      <c r="U874" s="56" t="s">
        <v>1295</v>
      </c>
      <c r="V874" s="360" t="s">
        <v>1300</v>
      </c>
      <c r="W874" s="53"/>
      <c r="X874" s="53">
        <f t="shared" si="250"/>
        <v>0</v>
      </c>
      <c r="Y874" s="55"/>
      <c r="Z874" s="55"/>
      <c r="AA874" s="52">
        <f t="shared" si="251"/>
        <v>0</v>
      </c>
      <c r="AB874" s="53">
        <f t="shared" si="252"/>
        <v>0</v>
      </c>
      <c r="AC874" s="53">
        <f t="shared" si="253"/>
        <v>0</v>
      </c>
      <c r="AD874" s="53">
        <f t="shared" si="254"/>
        <v>0</v>
      </c>
      <c r="AE874" s="53">
        <f t="shared" si="255"/>
        <v>0</v>
      </c>
      <c r="AF874" s="53">
        <f t="shared" si="256"/>
        <v>0</v>
      </c>
      <c r="AG874" s="56">
        <f t="shared" si="257"/>
        <v>0</v>
      </c>
      <c r="AH874" s="53">
        <f t="shared" si="258"/>
        <v>0</v>
      </c>
      <c r="AI874" s="55"/>
      <c r="AJ874" s="53">
        <f t="shared" si="259"/>
        <v>0</v>
      </c>
      <c r="AK874" s="53">
        <f t="shared" si="260"/>
        <v>0</v>
      </c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7"/>
      <c r="AW874" s="57"/>
      <c r="AX874" s="57"/>
    </row>
    <row r="875" spans="2:50">
      <c r="B875" s="45">
        <v>946</v>
      </c>
      <c r="C875" s="46" t="s">
        <v>1272</v>
      </c>
      <c r="D875" s="46" t="s">
        <v>1289</v>
      </c>
      <c r="E875" s="173" t="s">
        <v>1329</v>
      </c>
      <c r="F875" s="48" t="s">
        <v>1330</v>
      </c>
      <c r="G875" s="49" t="s">
        <v>373</v>
      </c>
      <c r="H875" s="359" t="s">
        <v>1331</v>
      </c>
      <c r="I875" s="50" t="s">
        <v>302</v>
      </c>
      <c r="J875" s="50">
        <f t="shared" si="245"/>
        <v>10</v>
      </c>
      <c r="K875" s="50">
        <v>10</v>
      </c>
      <c r="L875" s="50">
        <v>0</v>
      </c>
      <c r="M875" s="50"/>
      <c r="N875" s="50">
        <v>0.1</v>
      </c>
      <c r="O875" s="50">
        <v>0</v>
      </c>
      <c r="P875" s="52">
        <v>2</v>
      </c>
      <c r="Q875" s="53"/>
      <c r="R875" s="56" t="s">
        <v>1295</v>
      </c>
      <c r="S875" s="56"/>
      <c r="T875" s="56" t="s">
        <v>1295</v>
      </c>
      <c r="U875" s="56" t="s">
        <v>1295</v>
      </c>
      <c r="V875" s="360" t="s">
        <v>1300</v>
      </c>
      <c r="W875" s="53"/>
      <c r="X875" s="53">
        <f t="shared" si="250"/>
        <v>0</v>
      </c>
      <c r="Y875" s="55"/>
      <c r="Z875" s="55"/>
      <c r="AA875" s="52">
        <f t="shared" si="251"/>
        <v>0</v>
      </c>
      <c r="AB875" s="53">
        <f t="shared" si="252"/>
        <v>0</v>
      </c>
      <c r="AC875" s="53">
        <f t="shared" si="253"/>
        <v>0</v>
      </c>
      <c r="AD875" s="53">
        <f t="shared" si="254"/>
        <v>0</v>
      </c>
      <c r="AE875" s="53">
        <f t="shared" si="255"/>
        <v>0</v>
      </c>
      <c r="AF875" s="53">
        <f t="shared" si="256"/>
        <v>0</v>
      </c>
      <c r="AG875" s="56">
        <f t="shared" si="257"/>
        <v>0</v>
      </c>
      <c r="AH875" s="53">
        <f t="shared" si="258"/>
        <v>0</v>
      </c>
      <c r="AI875" s="55"/>
      <c r="AJ875" s="53">
        <f t="shared" si="259"/>
        <v>0</v>
      </c>
      <c r="AK875" s="53">
        <f t="shared" si="260"/>
        <v>0</v>
      </c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7"/>
      <c r="AW875" s="57"/>
      <c r="AX875" s="57"/>
    </row>
    <row r="876" spans="2:50">
      <c r="B876" s="45">
        <v>947</v>
      </c>
      <c r="C876" s="46" t="s">
        <v>1272</v>
      </c>
      <c r="D876" s="46" t="s">
        <v>1289</v>
      </c>
      <c r="E876" s="173" t="s">
        <v>1329</v>
      </c>
      <c r="F876" s="48" t="s">
        <v>1332</v>
      </c>
      <c r="G876" s="49" t="s">
        <v>373</v>
      </c>
      <c r="H876" s="359" t="s">
        <v>1333</v>
      </c>
      <c r="I876" s="50" t="s">
        <v>302</v>
      </c>
      <c r="J876" s="50">
        <f t="shared" si="245"/>
        <v>30</v>
      </c>
      <c r="K876" s="50">
        <v>30</v>
      </c>
      <c r="L876" s="50">
        <v>0</v>
      </c>
      <c r="M876" s="50"/>
      <c r="N876" s="50">
        <v>0.1</v>
      </c>
      <c r="O876" s="50">
        <v>0</v>
      </c>
      <c r="P876" s="52">
        <v>2</v>
      </c>
      <c r="Q876" s="53"/>
      <c r="R876" s="56" t="s">
        <v>1295</v>
      </c>
      <c r="S876" s="56"/>
      <c r="T876" s="56" t="s">
        <v>1295</v>
      </c>
      <c r="U876" s="56" t="s">
        <v>1295</v>
      </c>
      <c r="V876" s="360" t="s">
        <v>1300</v>
      </c>
      <c r="W876" s="53"/>
      <c r="X876" s="53">
        <f t="shared" si="250"/>
        <v>0</v>
      </c>
      <c r="Y876" s="55"/>
      <c r="Z876" s="55"/>
      <c r="AA876" s="52">
        <f t="shared" si="251"/>
        <v>0</v>
      </c>
      <c r="AB876" s="53">
        <f t="shared" si="252"/>
        <v>0</v>
      </c>
      <c r="AC876" s="53">
        <f t="shared" si="253"/>
        <v>0</v>
      </c>
      <c r="AD876" s="53">
        <f t="shared" si="254"/>
        <v>0</v>
      </c>
      <c r="AE876" s="53">
        <f t="shared" si="255"/>
        <v>0</v>
      </c>
      <c r="AF876" s="53">
        <f t="shared" si="256"/>
        <v>0</v>
      </c>
      <c r="AG876" s="56">
        <f t="shared" si="257"/>
        <v>0</v>
      </c>
      <c r="AH876" s="53">
        <f t="shared" si="258"/>
        <v>0</v>
      </c>
      <c r="AI876" s="55"/>
      <c r="AJ876" s="53">
        <f t="shared" si="259"/>
        <v>0</v>
      </c>
      <c r="AK876" s="53">
        <f t="shared" si="260"/>
        <v>0</v>
      </c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7"/>
      <c r="AW876" s="57"/>
      <c r="AX876" s="57"/>
    </row>
    <row r="877" spans="2:50">
      <c r="B877" s="45">
        <v>948</v>
      </c>
      <c r="C877" s="46" t="s">
        <v>1272</v>
      </c>
      <c r="D877" s="46" t="s">
        <v>1289</v>
      </c>
      <c r="E877" s="173" t="s">
        <v>1329</v>
      </c>
      <c r="F877" s="48" t="s">
        <v>1334</v>
      </c>
      <c r="G877" s="49" t="s">
        <v>373</v>
      </c>
      <c r="H877" s="359" t="s">
        <v>1335</v>
      </c>
      <c r="I877" s="50" t="s">
        <v>302</v>
      </c>
      <c r="J877" s="50">
        <f t="shared" si="245"/>
        <v>5</v>
      </c>
      <c r="K877" s="50">
        <v>5</v>
      </c>
      <c r="L877" s="50">
        <v>0</v>
      </c>
      <c r="M877" s="50"/>
      <c r="N877" s="50">
        <v>0.01</v>
      </c>
      <c r="O877" s="50">
        <v>0</v>
      </c>
      <c r="P877" s="52">
        <v>2</v>
      </c>
      <c r="Q877" s="53"/>
      <c r="R877" s="56" t="s">
        <v>1295</v>
      </c>
      <c r="S877" s="56"/>
      <c r="T877" s="56" t="s">
        <v>1295</v>
      </c>
      <c r="U877" s="56" t="s">
        <v>1295</v>
      </c>
      <c r="V877" s="360" t="s">
        <v>1300</v>
      </c>
      <c r="W877" s="53"/>
      <c r="X877" s="53">
        <f t="shared" si="250"/>
        <v>0</v>
      </c>
      <c r="Y877" s="55"/>
      <c r="Z877" s="55"/>
      <c r="AA877" s="52">
        <f t="shared" si="251"/>
        <v>0</v>
      </c>
      <c r="AB877" s="53">
        <f t="shared" si="252"/>
        <v>0</v>
      </c>
      <c r="AC877" s="53">
        <f t="shared" si="253"/>
        <v>0</v>
      </c>
      <c r="AD877" s="53">
        <f t="shared" si="254"/>
        <v>0</v>
      </c>
      <c r="AE877" s="53">
        <f t="shared" si="255"/>
        <v>0</v>
      </c>
      <c r="AF877" s="53">
        <f t="shared" si="256"/>
        <v>0</v>
      </c>
      <c r="AG877" s="56">
        <f t="shared" si="257"/>
        <v>0</v>
      </c>
      <c r="AH877" s="53">
        <f t="shared" si="258"/>
        <v>0</v>
      </c>
      <c r="AI877" s="55"/>
      <c r="AJ877" s="53">
        <f t="shared" si="259"/>
        <v>0</v>
      </c>
      <c r="AK877" s="53">
        <f t="shared" si="260"/>
        <v>0</v>
      </c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7"/>
      <c r="AW877" s="57"/>
      <c r="AX877" s="57"/>
    </row>
    <row r="878" spans="2:50">
      <c r="B878" s="45">
        <v>949</v>
      </c>
      <c r="C878" s="46" t="s">
        <v>1272</v>
      </c>
      <c r="D878" s="46" t="s">
        <v>1289</v>
      </c>
      <c r="E878" s="173" t="s">
        <v>1329</v>
      </c>
      <c r="F878" s="48" t="s">
        <v>1336</v>
      </c>
      <c r="G878" s="49" t="s">
        <v>373</v>
      </c>
      <c r="H878" s="359" t="s">
        <v>1335</v>
      </c>
      <c r="I878" s="50" t="s">
        <v>302</v>
      </c>
      <c r="J878" s="50">
        <f t="shared" si="245"/>
        <v>65</v>
      </c>
      <c r="K878" s="50">
        <v>65</v>
      </c>
      <c r="L878" s="50">
        <v>0</v>
      </c>
      <c r="M878" s="50"/>
      <c r="N878" s="50">
        <v>0.45</v>
      </c>
      <c r="O878" s="50">
        <v>0</v>
      </c>
      <c r="P878" s="52">
        <v>2</v>
      </c>
      <c r="Q878" s="53"/>
      <c r="R878" s="56" t="s">
        <v>1295</v>
      </c>
      <c r="S878" s="56"/>
      <c r="T878" s="56" t="s">
        <v>1295</v>
      </c>
      <c r="U878" s="56" t="s">
        <v>1295</v>
      </c>
      <c r="V878" s="360" t="s">
        <v>1300</v>
      </c>
      <c r="W878" s="53"/>
      <c r="X878" s="53">
        <f t="shared" si="250"/>
        <v>0</v>
      </c>
      <c r="Y878" s="55"/>
      <c r="Z878" s="55"/>
      <c r="AA878" s="52">
        <f t="shared" si="251"/>
        <v>0</v>
      </c>
      <c r="AB878" s="53">
        <f t="shared" si="252"/>
        <v>0</v>
      </c>
      <c r="AC878" s="53">
        <f t="shared" si="253"/>
        <v>0</v>
      </c>
      <c r="AD878" s="53">
        <f t="shared" si="254"/>
        <v>0</v>
      </c>
      <c r="AE878" s="53">
        <f t="shared" si="255"/>
        <v>0</v>
      </c>
      <c r="AF878" s="53">
        <f t="shared" si="256"/>
        <v>0</v>
      </c>
      <c r="AG878" s="56">
        <f t="shared" si="257"/>
        <v>0</v>
      </c>
      <c r="AH878" s="53">
        <f t="shared" si="258"/>
        <v>0</v>
      </c>
      <c r="AI878" s="55"/>
      <c r="AJ878" s="53">
        <f t="shared" si="259"/>
        <v>0</v>
      </c>
      <c r="AK878" s="53">
        <f t="shared" si="260"/>
        <v>0</v>
      </c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7"/>
      <c r="AW878" s="57"/>
      <c r="AX878" s="57"/>
    </row>
    <row r="879" spans="2:50">
      <c r="B879" s="45">
        <v>950</v>
      </c>
      <c r="C879" s="46" t="s">
        <v>1272</v>
      </c>
      <c r="D879" s="46" t="s">
        <v>1289</v>
      </c>
      <c r="E879" s="173" t="s">
        <v>1329</v>
      </c>
      <c r="F879" s="48" t="s">
        <v>1337</v>
      </c>
      <c r="G879" s="49" t="s">
        <v>373</v>
      </c>
      <c r="H879" s="359" t="s">
        <v>1335</v>
      </c>
      <c r="I879" s="50" t="s">
        <v>302</v>
      </c>
      <c r="J879" s="50">
        <f t="shared" si="245"/>
        <v>510</v>
      </c>
      <c r="K879" s="50">
        <v>510</v>
      </c>
      <c r="L879" s="50">
        <v>0</v>
      </c>
      <c r="M879" s="50"/>
      <c r="N879" s="359">
        <v>1.2</v>
      </c>
      <c r="O879" s="50">
        <v>0</v>
      </c>
      <c r="P879" s="52">
        <v>2</v>
      </c>
      <c r="Q879" s="53"/>
      <c r="R879" s="56" t="s">
        <v>1295</v>
      </c>
      <c r="S879" s="56"/>
      <c r="T879" s="56" t="s">
        <v>1295</v>
      </c>
      <c r="U879" s="56" t="s">
        <v>1295</v>
      </c>
      <c r="V879" s="360" t="s">
        <v>1300</v>
      </c>
      <c r="W879" s="53"/>
      <c r="X879" s="53">
        <f t="shared" si="250"/>
        <v>0</v>
      </c>
      <c r="Y879" s="55"/>
      <c r="Z879" s="55"/>
      <c r="AA879" s="52">
        <f t="shared" si="251"/>
        <v>0</v>
      </c>
      <c r="AB879" s="53">
        <f t="shared" si="252"/>
        <v>0</v>
      </c>
      <c r="AC879" s="53">
        <f t="shared" si="253"/>
        <v>0</v>
      </c>
      <c r="AD879" s="53">
        <f t="shared" si="254"/>
        <v>0</v>
      </c>
      <c r="AE879" s="53">
        <f t="shared" si="255"/>
        <v>0</v>
      </c>
      <c r="AF879" s="53">
        <f t="shared" si="256"/>
        <v>0</v>
      </c>
      <c r="AG879" s="56">
        <f t="shared" si="257"/>
        <v>0</v>
      </c>
      <c r="AH879" s="53">
        <f t="shared" si="258"/>
        <v>0</v>
      </c>
      <c r="AI879" s="55"/>
      <c r="AJ879" s="53">
        <f t="shared" si="259"/>
        <v>0</v>
      </c>
      <c r="AK879" s="53">
        <f t="shared" si="260"/>
        <v>0</v>
      </c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7"/>
      <c r="AW879" s="57"/>
      <c r="AX879" s="57"/>
    </row>
    <row r="880" spans="2:50">
      <c r="B880" s="45">
        <v>951</v>
      </c>
      <c r="C880" s="46" t="s">
        <v>1272</v>
      </c>
      <c r="D880" s="46" t="s">
        <v>1289</v>
      </c>
      <c r="E880" s="173" t="s">
        <v>1329</v>
      </c>
      <c r="F880" s="48" t="s">
        <v>1338</v>
      </c>
      <c r="G880" s="49" t="s">
        <v>373</v>
      </c>
      <c r="H880" s="359" t="s">
        <v>1339</v>
      </c>
      <c r="I880" s="50" t="s">
        <v>302</v>
      </c>
      <c r="J880" s="50">
        <f t="shared" si="245"/>
        <v>20</v>
      </c>
      <c r="K880" s="50">
        <v>20</v>
      </c>
      <c r="L880" s="50">
        <v>0</v>
      </c>
      <c r="M880" s="50"/>
      <c r="N880" s="50">
        <v>20.3</v>
      </c>
      <c r="O880" s="50">
        <v>0</v>
      </c>
      <c r="P880" s="52">
        <v>2</v>
      </c>
      <c r="Q880" s="53"/>
      <c r="R880" s="56" t="s">
        <v>1295</v>
      </c>
      <c r="S880" s="56"/>
      <c r="T880" s="56" t="s">
        <v>1295</v>
      </c>
      <c r="U880" s="56" t="s">
        <v>1295</v>
      </c>
      <c r="V880" s="360" t="s">
        <v>1300</v>
      </c>
      <c r="W880" s="53"/>
      <c r="X880" s="53">
        <f t="shared" si="250"/>
        <v>0</v>
      </c>
      <c r="Y880" s="55"/>
      <c r="Z880" s="55"/>
      <c r="AA880" s="52">
        <f t="shared" si="251"/>
        <v>0</v>
      </c>
      <c r="AB880" s="53">
        <f t="shared" si="252"/>
        <v>0</v>
      </c>
      <c r="AC880" s="53">
        <f t="shared" si="253"/>
        <v>0</v>
      </c>
      <c r="AD880" s="53">
        <f t="shared" si="254"/>
        <v>0</v>
      </c>
      <c r="AE880" s="53">
        <f t="shared" si="255"/>
        <v>0</v>
      </c>
      <c r="AF880" s="53">
        <f t="shared" si="256"/>
        <v>0</v>
      </c>
      <c r="AG880" s="56">
        <f t="shared" si="257"/>
        <v>0</v>
      </c>
      <c r="AH880" s="53">
        <f t="shared" si="258"/>
        <v>0</v>
      </c>
      <c r="AI880" s="55"/>
      <c r="AJ880" s="53">
        <f t="shared" si="259"/>
        <v>0</v>
      </c>
      <c r="AK880" s="53">
        <f t="shared" si="260"/>
        <v>0</v>
      </c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7"/>
      <c r="AW880" s="57"/>
      <c r="AX880" s="57"/>
    </row>
    <row r="881" spans="2:50">
      <c r="B881" s="45">
        <v>952</v>
      </c>
      <c r="C881" s="46" t="s">
        <v>1272</v>
      </c>
      <c r="D881" s="46" t="s">
        <v>1289</v>
      </c>
      <c r="E881" s="173" t="s">
        <v>1329</v>
      </c>
      <c r="F881" s="48" t="s">
        <v>1340</v>
      </c>
      <c r="G881" s="49" t="s">
        <v>373</v>
      </c>
      <c r="H881" s="359" t="s">
        <v>1306</v>
      </c>
      <c r="I881" s="50" t="s">
        <v>302</v>
      </c>
      <c r="J881" s="344">
        <f t="shared" si="245"/>
        <v>20</v>
      </c>
      <c r="K881" s="344">
        <v>20</v>
      </c>
      <c r="L881" s="50">
        <v>0</v>
      </c>
      <c r="M881" s="50"/>
      <c r="N881" s="344">
        <v>0.2</v>
      </c>
      <c r="O881" s="50">
        <v>0</v>
      </c>
      <c r="P881" s="52">
        <v>2</v>
      </c>
      <c r="Q881" s="53"/>
      <c r="R881" s="56" t="s">
        <v>1295</v>
      </c>
      <c r="S881" s="56"/>
      <c r="T881" s="56" t="s">
        <v>1295</v>
      </c>
      <c r="U881" s="56" t="s">
        <v>1295</v>
      </c>
      <c r="V881" s="360" t="s">
        <v>1300</v>
      </c>
      <c r="W881" s="53"/>
      <c r="X881" s="53">
        <f t="shared" si="250"/>
        <v>0</v>
      </c>
      <c r="Y881" s="55"/>
      <c r="Z881" s="55"/>
      <c r="AA881" s="52">
        <f t="shared" si="251"/>
        <v>0</v>
      </c>
      <c r="AB881" s="53">
        <f t="shared" si="252"/>
        <v>0</v>
      </c>
      <c r="AC881" s="53">
        <f t="shared" si="253"/>
        <v>0</v>
      </c>
      <c r="AD881" s="53">
        <f t="shared" si="254"/>
        <v>0</v>
      </c>
      <c r="AE881" s="53">
        <f t="shared" si="255"/>
        <v>0</v>
      </c>
      <c r="AF881" s="53">
        <f t="shared" si="256"/>
        <v>0</v>
      </c>
      <c r="AG881" s="56">
        <f t="shared" si="257"/>
        <v>0</v>
      </c>
      <c r="AH881" s="53">
        <f t="shared" si="258"/>
        <v>0</v>
      </c>
      <c r="AI881" s="55"/>
      <c r="AJ881" s="53">
        <f t="shared" si="259"/>
        <v>0</v>
      </c>
      <c r="AK881" s="53">
        <f t="shared" si="260"/>
        <v>0</v>
      </c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7"/>
      <c r="AW881" s="57"/>
      <c r="AX881" s="57"/>
    </row>
    <row r="882" spans="2:50">
      <c r="B882" s="45">
        <v>953</v>
      </c>
      <c r="C882" s="46" t="s">
        <v>1272</v>
      </c>
      <c r="D882" s="46" t="s">
        <v>1289</v>
      </c>
      <c r="E882" s="173" t="s">
        <v>1329</v>
      </c>
      <c r="F882" s="48" t="s">
        <v>1341</v>
      </c>
      <c r="G882" s="49" t="s">
        <v>373</v>
      </c>
      <c r="H882" s="359" t="s">
        <v>1335</v>
      </c>
      <c r="I882" s="50" t="s">
        <v>302</v>
      </c>
      <c r="J882" s="344">
        <f t="shared" si="245"/>
        <v>5</v>
      </c>
      <c r="K882" s="344">
        <v>5</v>
      </c>
      <c r="L882" s="50">
        <v>0</v>
      </c>
      <c r="M882" s="50"/>
      <c r="N882" s="344">
        <v>0.05</v>
      </c>
      <c r="O882" s="50">
        <v>0</v>
      </c>
      <c r="P882" s="52">
        <v>2</v>
      </c>
      <c r="Q882" s="53"/>
      <c r="R882" s="56" t="s">
        <v>1295</v>
      </c>
      <c r="S882" s="56"/>
      <c r="T882" s="56" t="s">
        <v>1295</v>
      </c>
      <c r="U882" s="56" t="s">
        <v>1295</v>
      </c>
      <c r="V882" s="360" t="s">
        <v>1300</v>
      </c>
      <c r="W882" s="53"/>
      <c r="X882" s="53">
        <f t="shared" si="250"/>
        <v>0</v>
      </c>
      <c r="Y882" s="55"/>
      <c r="Z882" s="55"/>
      <c r="AA882" s="52">
        <f t="shared" si="251"/>
        <v>0</v>
      </c>
      <c r="AB882" s="53">
        <f t="shared" si="252"/>
        <v>0</v>
      </c>
      <c r="AC882" s="53">
        <f t="shared" si="253"/>
        <v>0</v>
      </c>
      <c r="AD882" s="53">
        <f t="shared" si="254"/>
        <v>0</v>
      </c>
      <c r="AE882" s="53">
        <f t="shared" si="255"/>
        <v>0</v>
      </c>
      <c r="AF882" s="53">
        <f t="shared" si="256"/>
        <v>0</v>
      </c>
      <c r="AG882" s="56">
        <f t="shared" si="257"/>
        <v>0</v>
      </c>
      <c r="AH882" s="53">
        <f t="shared" si="258"/>
        <v>0</v>
      </c>
      <c r="AI882" s="55"/>
      <c r="AJ882" s="53">
        <f t="shared" si="259"/>
        <v>0</v>
      </c>
      <c r="AK882" s="53">
        <f t="shared" si="260"/>
        <v>0</v>
      </c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7"/>
      <c r="AW882" s="57"/>
      <c r="AX882" s="57"/>
    </row>
    <row r="883" spans="2:50">
      <c r="B883" s="45">
        <v>954</v>
      </c>
      <c r="C883" s="46" t="s">
        <v>1272</v>
      </c>
      <c r="D883" s="46" t="s">
        <v>1289</v>
      </c>
      <c r="E883" s="173" t="s">
        <v>1329</v>
      </c>
      <c r="F883" s="48" t="s">
        <v>1342</v>
      </c>
      <c r="G883" s="49" t="s">
        <v>373</v>
      </c>
      <c r="H883" s="359" t="s">
        <v>1306</v>
      </c>
      <c r="I883" s="50" t="s">
        <v>302</v>
      </c>
      <c r="J883" s="50">
        <f t="shared" si="245"/>
        <v>30</v>
      </c>
      <c r="K883" s="50">
        <v>30</v>
      </c>
      <c r="L883" s="50">
        <v>0</v>
      </c>
      <c r="M883" s="50"/>
      <c r="N883" s="50">
        <v>0.5</v>
      </c>
      <c r="O883" s="50">
        <v>0</v>
      </c>
      <c r="P883" s="52">
        <v>2</v>
      </c>
      <c r="Q883" s="53"/>
      <c r="R883" s="56" t="s">
        <v>1295</v>
      </c>
      <c r="S883" s="56"/>
      <c r="T883" s="56" t="s">
        <v>1295</v>
      </c>
      <c r="U883" s="56" t="s">
        <v>1295</v>
      </c>
      <c r="V883" s="360" t="s">
        <v>1300</v>
      </c>
      <c r="W883" s="53"/>
      <c r="X883" s="53">
        <f t="shared" si="250"/>
        <v>0</v>
      </c>
      <c r="Y883" s="55"/>
      <c r="Z883" s="55"/>
      <c r="AA883" s="52">
        <f t="shared" si="251"/>
        <v>0</v>
      </c>
      <c r="AB883" s="53">
        <f t="shared" si="252"/>
        <v>0</v>
      </c>
      <c r="AC883" s="53">
        <f t="shared" si="253"/>
        <v>0</v>
      </c>
      <c r="AD883" s="53">
        <f t="shared" si="254"/>
        <v>0</v>
      </c>
      <c r="AE883" s="53">
        <f t="shared" si="255"/>
        <v>0</v>
      </c>
      <c r="AF883" s="53">
        <f t="shared" si="256"/>
        <v>0</v>
      </c>
      <c r="AG883" s="56">
        <f t="shared" si="257"/>
        <v>0</v>
      </c>
      <c r="AH883" s="53">
        <f t="shared" si="258"/>
        <v>0</v>
      </c>
      <c r="AI883" s="55"/>
      <c r="AJ883" s="53">
        <f t="shared" si="259"/>
        <v>0</v>
      </c>
      <c r="AK883" s="53">
        <f t="shared" si="260"/>
        <v>0</v>
      </c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7"/>
      <c r="AW883" s="57"/>
      <c r="AX883" s="57"/>
    </row>
    <row r="884" spans="2:50">
      <c r="B884" s="45">
        <v>955</v>
      </c>
      <c r="C884" s="46" t="s">
        <v>1272</v>
      </c>
      <c r="D884" s="46" t="s">
        <v>1289</v>
      </c>
      <c r="E884" s="173" t="s">
        <v>1329</v>
      </c>
      <c r="F884" s="48" t="s">
        <v>1343</v>
      </c>
      <c r="G884" s="49" t="s">
        <v>357</v>
      </c>
      <c r="H884" s="359" t="s">
        <v>1335</v>
      </c>
      <c r="I884" s="50" t="s">
        <v>302</v>
      </c>
      <c r="J884" s="344">
        <f t="shared" si="245"/>
        <v>1450</v>
      </c>
      <c r="K884" s="344">
        <v>10</v>
      </c>
      <c r="L884" s="344">
        <v>1440</v>
      </c>
      <c r="M884" s="50"/>
      <c r="N884" s="344">
        <v>0.1</v>
      </c>
      <c r="O884" s="344">
        <v>24</v>
      </c>
      <c r="P884" s="345">
        <v>2</v>
      </c>
      <c r="Q884" s="53"/>
      <c r="R884" s="56" t="s">
        <v>1295</v>
      </c>
      <c r="S884" s="56"/>
      <c r="T884" s="56" t="s">
        <v>1295</v>
      </c>
      <c r="U884" s="56" t="s">
        <v>1295</v>
      </c>
      <c r="V884" s="360" t="s">
        <v>1296</v>
      </c>
      <c r="W884" s="53"/>
      <c r="X884" s="53">
        <f t="shared" si="250"/>
        <v>0</v>
      </c>
      <c r="Y884" s="55"/>
      <c r="Z884" s="55"/>
      <c r="AA884" s="52">
        <f t="shared" si="251"/>
        <v>0</v>
      </c>
      <c r="AB884" s="53">
        <f t="shared" si="252"/>
        <v>0</v>
      </c>
      <c r="AC884" s="53">
        <f t="shared" si="253"/>
        <v>0</v>
      </c>
      <c r="AD884" s="53">
        <f t="shared" si="254"/>
        <v>0</v>
      </c>
      <c r="AE884" s="53">
        <f t="shared" si="255"/>
        <v>0</v>
      </c>
      <c r="AF884" s="53">
        <f t="shared" si="256"/>
        <v>0</v>
      </c>
      <c r="AG884" s="56">
        <f t="shared" si="257"/>
        <v>0</v>
      </c>
      <c r="AH884" s="53">
        <f t="shared" si="258"/>
        <v>0</v>
      </c>
      <c r="AI884" s="55"/>
      <c r="AJ884" s="53">
        <f t="shared" si="259"/>
        <v>0</v>
      </c>
      <c r="AK884" s="53">
        <f t="shared" si="260"/>
        <v>0</v>
      </c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7"/>
      <c r="AW884" s="57"/>
      <c r="AX884" s="57"/>
    </row>
    <row r="885" spans="2:50">
      <c r="B885" s="45">
        <v>956</v>
      </c>
      <c r="C885" s="46" t="s">
        <v>1272</v>
      </c>
      <c r="D885" s="46" t="s">
        <v>1289</v>
      </c>
      <c r="E885" s="173" t="s">
        <v>1329</v>
      </c>
      <c r="F885" s="48" t="s">
        <v>1344</v>
      </c>
      <c r="G885" s="49" t="s">
        <v>357</v>
      </c>
      <c r="H885" s="359" t="s">
        <v>1335</v>
      </c>
      <c r="I885" s="50" t="s">
        <v>302</v>
      </c>
      <c r="J885" s="50">
        <f t="shared" si="245"/>
        <v>10</v>
      </c>
      <c r="K885" s="50">
        <v>10</v>
      </c>
      <c r="L885" s="50">
        <v>0</v>
      </c>
      <c r="M885" s="50"/>
      <c r="N885" s="50">
        <v>0.2</v>
      </c>
      <c r="O885" s="50">
        <v>0</v>
      </c>
      <c r="P885" s="52">
        <v>2</v>
      </c>
      <c r="Q885" s="53"/>
      <c r="R885" s="56" t="s">
        <v>1295</v>
      </c>
      <c r="S885" s="56"/>
      <c r="T885" s="56" t="s">
        <v>1295</v>
      </c>
      <c r="U885" s="56" t="s">
        <v>1295</v>
      </c>
      <c r="V885" s="360" t="s">
        <v>1296</v>
      </c>
      <c r="W885" s="53"/>
      <c r="X885" s="53">
        <f t="shared" si="250"/>
        <v>0</v>
      </c>
      <c r="Y885" s="55"/>
      <c r="Z885" s="55"/>
      <c r="AA885" s="52">
        <f t="shared" si="251"/>
        <v>0</v>
      </c>
      <c r="AB885" s="53">
        <f t="shared" si="252"/>
        <v>0</v>
      </c>
      <c r="AC885" s="53">
        <f t="shared" si="253"/>
        <v>0</v>
      </c>
      <c r="AD885" s="53">
        <f t="shared" si="254"/>
        <v>0</v>
      </c>
      <c r="AE885" s="53">
        <f t="shared" si="255"/>
        <v>0</v>
      </c>
      <c r="AF885" s="53">
        <f t="shared" si="256"/>
        <v>0</v>
      </c>
      <c r="AG885" s="56">
        <f t="shared" si="257"/>
        <v>0</v>
      </c>
      <c r="AH885" s="53">
        <f t="shared" si="258"/>
        <v>0</v>
      </c>
      <c r="AI885" s="55"/>
      <c r="AJ885" s="53">
        <f t="shared" si="259"/>
        <v>0</v>
      </c>
      <c r="AK885" s="53">
        <f t="shared" si="260"/>
        <v>0</v>
      </c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7"/>
      <c r="AW885" s="57"/>
      <c r="AX885" s="57"/>
    </row>
    <row r="886" spans="2:50">
      <c r="B886" s="45">
        <v>957</v>
      </c>
      <c r="C886" s="46" t="s">
        <v>1272</v>
      </c>
      <c r="D886" s="46" t="s">
        <v>1289</v>
      </c>
      <c r="E886" s="173" t="s">
        <v>1329</v>
      </c>
      <c r="F886" s="48" t="s">
        <v>1345</v>
      </c>
      <c r="G886" s="49" t="s">
        <v>357</v>
      </c>
      <c r="H886" s="359" t="s">
        <v>1346</v>
      </c>
      <c r="I886" s="50" t="s">
        <v>302</v>
      </c>
      <c r="J886" s="50">
        <f t="shared" si="245"/>
        <v>5</v>
      </c>
      <c r="K886" s="50">
        <v>5</v>
      </c>
      <c r="L886" s="50">
        <v>0</v>
      </c>
      <c r="M886" s="50"/>
      <c r="N886" s="50">
        <v>0.5</v>
      </c>
      <c r="O886" s="50">
        <v>0</v>
      </c>
      <c r="P886" s="52">
        <v>2</v>
      </c>
      <c r="Q886" s="53"/>
      <c r="R886" s="56" t="s">
        <v>1295</v>
      </c>
      <c r="S886" s="56"/>
      <c r="T886" s="56" t="s">
        <v>1295</v>
      </c>
      <c r="U886" s="56" t="s">
        <v>1295</v>
      </c>
      <c r="V886" s="360" t="s">
        <v>1296</v>
      </c>
      <c r="W886" s="53"/>
      <c r="X886" s="53">
        <f t="shared" si="250"/>
        <v>0</v>
      </c>
      <c r="Y886" s="55"/>
      <c r="Z886" s="55"/>
      <c r="AA886" s="52">
        <f t="shared" si="251"/>
        <v>0</v>
      </c>
      <c r="AB886" s="53">
        <f t="shared" si="252"/>
        <v>0</v>
      </c>
      <c r="AC886" s="53">
        <f t="shared" si="253"/>
        <v>0</v>
      </c>
      <c r="AD886" s="53">
        <f t="shared" si="254"/>
        <v>0</v>
      </c>
      <c r="AE886" s="53">
        <f t="shared" si="255"/>
        <v>0</v>
      </c>
      <c r="AF886" s="53">
        <f t="shared" si="256"/>
        <v>0</v>
      </c>
      <c r="AG886" s="56">
        <f t="shared" si="257"/>
        <v>0</v>
      </c>
      <c r="AH886" s="53">
        <f t="shared" si="258"/>
        <v>0</v>
      </c>
      <c r="AI886" s="55"/>
      <c r="AJ886" s="53">
        <f t="shared" si="259"/>
        <v>0</v>
      </c>
      <c r="AK886" s="53">
        <f t="shared" si="260"/>
        <v>0</v>
      </c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7"/>
      <c r="AW886" s="57"/>
      <c r="AX886" s="57"/>
    </row>
    <row r="887" spans="2:50" ht="25.8">
      <c r="B887" s="45">
        <v>958</v>
      </c>
      <c r="C887" s="46" t="s">
        <v>1347</v>
      </c>
      <c r="D887" s="172" t="s">
        <v>1348</v>
      </c>
      <c r="E887" s="362" t="s">
        <v>1349</v>
      </c>
      <c r="F887" s="363" t="s">
        <v>1350</v>
      </c>
      <c r="G887" s="49" t="s">
        <v>190</v>
      </c>
      <c r="H887" s="364" t="s">
        <v>1351</v>
      </c>
      <c r="I887" s="50" t="s">
        <v>1278</v>
      </c>
      <c r="J887" s="344">
        <f t="shared" si="245"/>
        <v>240</v>
      </c>
      <c r="K887" s="344">
        <v>240</v>
      </c>
      <c r="L887" s="344">
        <v>0</v>
      </c>
      <c r="M887" s="344"/>
      <c r="N887" s="344">
        <v>1</v>
      </c>
      <c r="O887" s="344">
        <v>0.5</v>
      </c>
      <c r="P887" s="345">
        <v>2</v>
      </c>
      <c r="Q887" s="53"/>
      <c r="R887" s="56" t="s">
        <v>1295</v>
      </c>
      <c r="S887" s="56" t="s">
        <v>1295</v>
      </c>
      <c r="T887" s="56" t="s">
        <v>1295</v>
      </c>
      <c r="U887" s="56" t="s">
        <v>1295</v>
      </c>
      <c r="V887" s="360" t="s">
        <v>1279</v>
      </c>
      <c r="W887" s="53"/>
      <c r="X887" s="53">
        <f t="shared" si="250"/>
        <v>0</v>
      </c>
      <c r="Y887" s="55"/>
      <c r="Z887" s="55"/>
      <c r="AA887" s="52">
        <f t="shared" si="251"/>
        <v>0</v>
      </c>
      <c r="AB887" s="53">
        <f t="shared" si="252"/>
        <v>0</v>
      </c>
      <c r="AC887" s="53">
        <f t="shared" si="253"/>
        <v>0</v>
      </c>
      <c r="AD887" s="53">
        <f t="shared" si="254"/>
        <v>0</v>
      </c>
      <c r="AE887" s="53">
        <f t="shared" si="255"/>
        <v>0</v>
      </c>
      <c r="AF887" s="53">
        <f t="shared" si="256"/>
        <v>0</v>
      </c>
      <c r="AG887" s="56">
        <f t="shared" si="257"/>
        <v>0</v>
      </c>
      <c r="AH887" s="53">
        <f t="shared" si="258"/>
        <v>0</v>
      </c>
      <c r="AI887" s="55"/>
      <c r="AJ887" s="53">
        <f t="shared" si="259"/>
        <v>0</v>
      </c>
      <c r="AK887" s="53">
        <f t="shared" si="260"/>
        <v>0</v>
      </c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7"/>
      <c r="AW887" s="57"/>
      <c r="AX887" s="57"/>
    </row>
    <row r="888" spans="2:50">
      <c r="B888" s="45">
        <v>959</v>
      </c>
      <c r="C888" s="46" t="s">
        <v>1272</v>
      </c>
      <c r="D888" s="172" t="s">
        <v>1348</v>
      </c>
      <c r="E888" s="173" t="s">
        <v>1352</v>
      </c>
      <c r="F888" s="48" t="s">
        <v>1353</v>
      </c>
      <c r="G888" s="49" t="s">
        <v>190</v>
      </c>
      <c r="H888" s="359" t="s">
        <v>1354</v>
      </c>
      <c r="I888" s="50" t="s">
        <v>302</v>
      </c>
      <c r="J888" s="346">
        <f t="shared" si="245"/>
        <v>10</v>
      </c>
      <c r="K888" s="346">
        <v>10</v>
      </c>
      <c r="L888" s="344">
        <v>0</v>
      </c>
      <c r="M888" s="346"/>
      <c r="N888" s="50">
        <v>0.1</v>
      </c>
      <c r="O888" s="50">
        <v>0</v>
      </c>
      <c r="P888" s="52">
        <v>2</v>
      </c>
      <c r="Q888" s="53"/>
      <c r="R888" s="56" t="s">
        <v>1295</v>
      </c>
      <c r="S888" s="56"/>
      <c r="T888" s="56" t="s">
        <v>1295</v>
      </c>
      <c r="U888" s="56" t="s">
        <v>1295</v>
      </c>
      <c r="V888" s="360" t="s">
        <v>1300</v>
      </c>
      <c r="W888" s="53"/>
      <c r="X888" s="53">
        <f t="shared" si="250"/>
        <v>0</v>
      </c>
      <c r="Y888" s="55"/>
      <c r="Z888" s="55"/>
      <c r="AA888" s="52">
        <f t="shared" si="251"/>
        <v>0</v>
      </c>
      <c r="AB888" s="53">
        <f t="shared" si="252"/>
        <v>0</v>
      </c>
      <c r="AC888" s="53">
        <f t="shared" si="253"/>
        <v>0</v>
      </c>
      <c r="AD888" s="53">
        <f t="shared" si="254"/>
        <v>0</v>
      </c>
      <c r="AE888" s="53">
        <f t="shared" si="255"/>
        <v>0</v>
      </c>
      <c r="AF888" s="53">
        <f t="shared" si="256"/>
        <v>0</v>
      </c>
      <c r="AG888" s="56">
        <f t="shared" si="257"/>
        <v>0</v>
      </c>
      <c r="AH888" s="53">
        <f t="shared" si="258"/>
        <v>0</v>
      </c>
      <c r="AI888" s="55"/>
      <c r="AJ888" s="53">
        <f t="shared" si="259"/>
        <v>0</v>
      </c>
      <c r="AK888" s="53">
        <f t="shared" si="260"/>
        <v>0</v>
      </c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7"/>
      <c r="AW888" s="57"/>
      <c r="AX888" s="57"/>
    </row>
    <row r="889" spans="2:50">
      <c r="B889" s="45">
        <v>960</v>
      </c>
      <c r="C889" s="46" t="s">
        <v>1272</v>
      </c>
      <c r="D889" s="172" t="s">
        <v>1348</v>
      </c>
      <c r="E889" s="173" t="s">
        <v>1352</v>
      </c>
      <c r="F889" s="48" t="s">
        <v>1355</v>
      </c>
      <c r="G889" s="49" t="s">
        <v>190</v>
      </c>
      <c r="H889" s="359" t="s">
        <v>1356</v>
      </c>
      <c r="I889" s="50" t="s">
        <v>302</v>
      </c>
      <c r="J889" s="50">
        <f t="shared" si="245"/>
        <v>17</v>
      </c>
      <c r="K889" s="50">
        <v>17</v>
      </c>
      <c r="L889" s="50">
        <v>0</v>
      </c>
      <c r="M889" s="50"/>
      <c r="N889" s="50">
        <v>0.3</v>
      </c>
      <c r="O889" s="50">
        <v>0.1</v>
      </c>
      <c r="P889" s="52">
        <v>2</v>
      </c>
      <c r="Q889" s="53"/>
      <c r="R889" s="56" t="s">
        <v>1295</v>
      </c>
      <c r="S889" s="56"/>
      <c r="T889" s="56" t="s">
        <v>1295</v>
      </c>
      <c r="U889" s="56" t="s">
        <v>1295</v>
      </c>
      <c r="V889" s="360" t="s">
        <v>1300</v>
      </c>
      <c r="W889" s="53"/>
      <c r="X889" s="53">
        <f t="shared" si="250"/>
        <v>0</v>
      </c>
      <c r="Y889" s="55"/>
      <c r="Z889" s="55"/>
      <c r="AA889" s="52">
        <f t="shared" si="251"/>
        <v>0</v>
      </c>
      <c r="AB889" s="53">
        <f t="shared" si="252"/>
        <v>0</v>
      </c>
      <c r="AC889" s="53">
        <f t="shared" si="253"/>
        <v>0</v>
      </c>
      <c r="AD889" s="53">
        <f t="shared" si="254"/>
        <v>0</v>
      </c>
      <c r="AE889" s="53">
        <f t="shared" si="255"/>
        <v>0</v>
      </c>
      <c r="AF889" s="53">
        <f t="shared" si="256"/>
        <v>0</v>
      </c>
      <c r="AG889" s="56">
        <f t="shared" si="257"/>
        <v>0</v>
      </c>
      <c r="AH889" s="53">
        <f t="shared" si="258"/>
        <v>0</v>
      </c>
      <c r="AI889" s="55"/>
      <c r="AJ889" s="53">
        <f t="shared" si="259"/>
        <v>0</v>
      </c>
      <c r="AK889" s="53">
        <f t="shared" si="260"/>
        <v>0</v>
      </c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7"/>
      <c r="AW889" s="57"/>
      <c r="AX889" s="57"/>
    </row>
    <row r="890" spans="2:50">
      <c r="B890" s="45">
        <v>961</v>
      </c>
      <c r="C890" s="46" t="s">
        <v>1272</v>
      </c>
      <c r="D890" s="172" t="s">
        <v>1348</v>
      </c>
      <c r="E890" s="173" t="s">
        <v>1352</v>
      </c>
      <c r="F890" s="48" t="s">
        <v>1357</v>
      </c>
      <c r="G890" s="49" t="s">
        <v>190</v>
      </c>
      <c r="H890" s="359" t="s">
        <v>1358</v>
      </c>
      <c r="I890" s="50" t="s">
        <v>302</v>
      </c>
      <c r="J890" s="344">
        <f t="shared" si="245"/>
        <v>3</v>
      </c>
      <c r="K890" s="344">
        <v>3</v>
      </c>
      <c r="L890" s="344">
        <v>0</v>
      </c>
      <c r="M890" s="50"/>
      <c r="N890" s="344">
        <v>0.05</v>
      </c>
      <c r="O890" s="344">
        <v>0</v>
      </c>
      <c r="P890" s="345">
        <v>2</v>
      </c>
      <c r="Q890" s="53"/>
      <c r="R890" s="56" t="s">
        <v>1295</v>
      </c>
      <c r="S890" s="56"/>
      <c r="T890" s="56" t="s">
        <v>1295</v>
      </c>
      <c r="U890" s="56" t="s">
        <v>1295</v>
      </c>
      <c r="V890" s="360" t="s">
        <v>1300</v>
      </c>
      <c r="W890" s="53"/>
      <c r="X890" s="53">
        <f t="shared" si="250"/>
        <v>0</v>
      </c>
      <c r="Y890" s="55"/>
      <c r="Z890" s="55"/>
      <c r="AA890" s="52">
        <f t="shared" si="251"/>
        <v>0</v>
      </c>
      <c r="AB890" s="53">
        <f t="shared" si="252"/>
        <v>0</v>
      </c>
      <c r="AC890" s="53">
        <f t="shared" si="253"/>
        <v>0</v>
      </c>
      <c r="AD890" s="53">
        <f t="shared" si="254"/>
        <v>0</v>
      </c>
      <c r="AE890" s="53">
        <f t="shared" si="255"/>
        <v>0</v>
      </c>
      <c r="AF890" s="53">
        <f t="shared" si="256"/>
        <v>0</v>
      </c>
      <c r="AG890" s="56">
        <f t="shared" si="257"/>
        <v>0</v>
      </c>
      <c r="AH890" s="53">
        <f t="shared" si="258"/>
        <v>0</v>
      </c>
      <c r="AI890" s="55"/>
      <c r="AJ890" s="53">
        <f t="shared" si="259"/>
        <v>0</v>
      </c>
      <c r="AK890" s="53">
        <f t="shared" si="260"/>
        <v>0</v>
      </c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7"/>
      <c r="AW890" s="57"/>
      <c r="AX890" s="57"/>
    </row>
    <row r="891" spans="2:50">
      <c r="B891" s="45">
        <v>962</v>
      </c>
      <c r="C891" s="46" t="s">
        <v>1272</v>
      </c>
      <c r="D891" s="172" t="s">
        <v>1348</v>
      </c>
      <c r="E891" s="173" t="s">
        <v>1359</v>
      </c>
      <c r="F891" s="48" t="s">
        <v>1360</v>
      </c>
      <c r="G891" s="49" t="s">
        <v>373</v>
      </c>
      <c r="H891" s="359" t="s">
        <v>1361</v>
      </c>
      <c r="I891" s="50" t="s">
        <v>302</v>
      </c>
      <c r="J891" s="50">
        <f t="shared" si="245"/>
        <v>240</v>
      </c>
      <c r="K891" s="50">
        <v>240</v>
      </c>
      <c r="L891" s="50">
        <v>0</v>
      </c>
      <c r="M891" s="50"/>
      <c r="N891" s="50">
        <v>0.5</v>
      </c>
      <c r="O891" s="50">
        <v>0</v>
      </c>
      <c r="P891" s="52">
        <v>2</v>
      </c>
      <c r="Q891" s="53"/>
      <c r="R891" s="56" t="s">
        <v>1295</v>
      </c>
      <c r="S891" s="56" t="s">
        <v>1295</v>
      </c>
      <c r="T891" s="56" t="s">
        <v>1295</v>
      </c>
      <c r="U891" s="56" t="s">
        <v>1295</v>
      </c>
      <c r="V891" s="360" t="s">
        <v>1300</v>
      </c>
      <c r="W891" s="53"/>
      <c r="X891" s="53">
        <f t="shared" si="250"/>
        <v>0</v>
      </c>
      <c r="Y891" s="55"/>
      <c r="Z891" s="55"/>
      <c r="AA891" s="52">
        <f t="shared" si="251"/>
        <v>0</v>
      </c>
      <c r="AB891" s="53">
        <f t="shared" si="252"/>
        <v>0</v>
      </c>
      <c r="AC891" s="53">
        <f t="shared" si="253"/>
        <v>0</v>
      </c>
      <c r="AD891" s="53">
        <f t="shared" si="254"/>
        <v>0</v>
      </c>
      <c r="AE891" s="53">
        <f t="shared" si="255"/>
        <v>0</v>
      </c>
      <c r="AF891" s="53">
        <f t="shared" si="256"/>
        <v>0</v>
      </c>
      <c r="AG891" s="56">
        <f t="shared" si="257"/>
        <v>0</v>
      </c>
      <c r="AH891" s="53">
        <f t="shared" si="258"/>
        <v>0</v>
      </c>
      <c r="AI891" s="55"/>
      <c r="AJ891" s="53">
        <f t="shared" si="259"/>
        <v>0</v>
      </c>
      <c r="AK891" s="53">
        <f t="shared" si="260"/>
        <v>0</v>
      </c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7"/>
      <c r="AW891" s="57"/>
      <c r="AX891" s="57"/>
    </row>
    <row r="892" spans="2:50">
      <c r="B892" s="45">
        <v>963</v>
      </c>
      <c r="C892" s="46" t="s">
        <v>1272</v>
      </c>
      <c r="D892" s="172" t="s">
        <v>1348</v>
      </c>
      <c r="E892" s="173" t="s">
        <v>1362</v>
      </c>
      <c r="F892" s="48" t="s">
        <v>1363</v>
      </c>
      <c r="G892" s="49" t="s">
        <v>1315</v>
      </c>
      <c r="H892" s="359" t="s">
        <v>1364</v>
      </c>
      <c r="I892" s="50" t="s">
        <v>302</v>
      </c>
      <c r="J892" s="344">
        <f t="shared" si="245"/>
        <v>3</v>
      </c>
      <c r="K892" s="344">
        <v>3</v>
      </c>
      <c r="L892" s="344">
        <v>0</v>
      </c>
      <c r="M892" s="50"/>
      <c r="N892" s="344">
        <v>0.1</v>
      </c>
      <c r="O892" s="344">
        <v>0</v>
      </c>
      <c r="P892" s="345">
        <v>2</v>
      </c>
      <c r="Q892" s="53"/>
      <c r="R892" s="56" t="s">
        <v>1295</v>
      </c>
      <c r="S892" s="56" t="s">
        <v>1295</v>
      </c>
      <c r="T892" s="56" t="s">
        <v>1295</v>
      </c>
      <c r="U892" s="56" t="s">
        <v>1295</v>
      </c>
      <c r="V892" s="360" t="s">
        <v>1300</v>
      </c>
      <c r="W892" s="53"/>
      <c r="X892" s="53">
        <f t="shared" si="250"/>
        <v>0</v>
      </c>
      <c r="Y892" s="55"/>
      <c r="Z892" s="55"/>
      <c r="AA892" s="52">
        <f t="shared" si="251"/>
        <v>0</v>
      </c>
      <c r="AB892" s="53">
        <f t="shared" si="252"/>
        <v>0</v>
      </c>
      <c r="AC892" s="53">
        <f t="shared" si="253"/>
        <v>0</v>
      </c>
      <c r="AD892" s="53">
        <f t="shared" si="254"/>
        <v>0</v>
      </c>
      <c r="AE892" s="53">
        <f t="shared" si="255"/>
        <v>0</v>
      </c>
      <c r="AF892" s="53">
        <f t="shared" si="256"/>
        <v>0</v>
      </c>
      <c r="AG892" s="56">
        <f t="shared" si="257"/>
        <v>0</v>
      </c>
      <c r="AH892" s="53">
        <f t="shared" si="258"/>
        <v>0</v>
      </c>
      <c r="AI892" s="55"/>
      <c r="AJ892" s="53">
        <f t="shared" si="259"/>
        <v>0</v>
      </c>
      <c r="AK892" s="53">
        <f t="shared" si="260"/>
        <v>0</v>
      </c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7"/>
      <c r="AW892" s="57"/>
      <c r="AX892" s="57"/>
    </row>
    <row r="893" spans="2:50">
      <c r="B893" s="45">
        <v>964</v>
      </c>
      <c r="C893" s="46" t="s">
        <v>1272</v>
      </c>
      <c r="D893" s="172" t="s">
        <v>1348</v>
      </c>
      <c r="E893" s="173" t="s">
        <v>1362</v>
      </c>
      <c r="F893" s="48" t="s">
        <v>1365</v>
      </c>
      <c r="G893" s="49" t="s">
        <v>1315</v>
      </c>
      <c r="H893" s="359" t="s">
        <v>1366</v>
      </c>
      <c r="I893" s="50" t="s">
        <v>302</v>
      </c>
      <c r="J893" s="344">
        <f t="shared" si="245"/>
        <v>5</v>
      </c>
      <c r="K893" s="344">
        <v>5</v>
      </c>
      <c r="L893" s="344">
        <v>0</v>
      </c>
      <c r="M893" s="50"/>
      <c r="N893" s="344">
        <v>0.1</v>
      </c>
      <c r="O893" s="344">
        <v>0</v>
      </c>
      <c r="P893" s="345">
        <v>2</v>
      </c>
      <c r="Q893" s="53"/>
      <c r="R893" s="56" t="s">
        <v>1295</v>
      </c>
      <c r="S893" s="56" t="s">
        <v>1295</v>
      </c>
      <c r="T893" s="56" t="s">
        <v>1295</v>
      </c>
      <c r="U893" s="56" t="s">
        <v>1295</v>
      </c>
      <c r="V893" s="360" t="s">
        <v>1300</v>
      </c>
      <c r="W893" s="53"/>
      <c r="X893" s="53">
        <f t="shared" si="250"/>
        <v>0</v>
      </c>
      <c r="Y893" s="55"/>
      <c r="Z893" s="55"/>
      <c r="AA893" s="52">
        <f t="shared" si="251"/>
        <v>0</v>
      </c>
      <c r="AB893" s="53">
        <f t="shared" si="252"/>
        <v>0</v>
      </c>
      <c r="AC893" s="53">
        <f t="shared" si="253"/>
        <v>0</v>
      </c>
      <c r="AD893" s="53">
        <f t="shared" si="254"/>
        <v>0</v>
      </c>
      <c r="AE893" s="53">
        <f t="shared" si="255"/>
        <v>0</v>
      </c>
      <c r="AF893" s="53">
        <f t="shared" si="256"/>
        <v>0</v>
      </c>
      <c r="AG893" s="56">
        <f t="shared" si="257"/>
        <v>0</v>
      </c>
      <c r="AH893" s="53">
        <f t="shared" si="258"/>
        <v>0</v>
      </c>
      <c r="AI893" s="55"/>
      <c r="AJ893" s="53">
        <f t="shared" si="259"/>
        <v>0</v>
      </c>
      <c r="AK893" s="53">
        <f t="shared" si="260"/>
        <v>0</v>
      </c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7"/>
      <c r="AW893" s="57"/>
      <c r="AX893" s="57"/>
    </row>
    <row r="894" spans="2:50">
      <c r="B894" s="45">
        <v>965</v>
      </c>
      <c r="C894" s="46" t="s">
        <v>1272</v>
      </c>
      <c r="D894" s="172" t="s">
        <v>1348</v>
      </c>
      <c r="E894" s="173" t="s">
        <v>1362</v>
      </c>
      <c r="F894" s="48" t="s">
        <v>1367</v>
      </c>
      <c r="G894" s="49" t="s">
        <v>1315</v>
      </c>
      <c r="H894" s="359" t="s">
        <v>1368</v>
      </c>
      <c r="I894" s="50" t="s">
        <v>302</v>
      </c>
      <c r="J894" s="344">
        <f t="shared" si="245"/>
        <v>30</v>
      </c>
      <c r="K894" s="344">
        <v>30</v>
      </c>
      <c r="L894" s="344">
        <v>0</v>
      </c>
      <c r="M894" s="50"/>
      <c r="N894" s="344">
        <v>0.1</v>
      </c>
      <c r="O894" s="344">
        <v>0</v>
      </c>
      <c r="P894" s="345">
        <v>2</v>
      </c>
      <c r="Q894" s="53"/>
      <c r="R894" s="56" t="s">
        <v>1295</v>
      </c>
      <c r="S894" s="56" t="s">
        <v>1295</v>
      </c>
      <c r="T894" s="56" t="s">
        <v>1295</v>
      </c>
      <c r="U894" s="56" t="s">
        <v>1295</v>
      </c>
      <c r="V894" s="360" t="s">
        <v>1300</v>
      </c>
      <c r="W894" s="53"/>
      <c r="X894" s="53">
        <f t="shared" si="250"/>
        <v>0</v>
      </c>
      <c r="Y894" s="55"/>
      <c r="Z894" s="55"/>
      <c r="AA894" s="52">
        <f t="shared" si="251"/>
        <v>0</v>
      </c>
      <c r="AB894" s="53">
        <f t="shared" si="252"/>
        <v>0</v>
      </c>
      <c r="AC894" s="53">
        <f t="shared" si="253"/>
        <v>0</v>
      </c>
      <c r="AD894" s="53">
        <f t="shared" si="254"/>
        <v>0</v>
      </c>
      <c r="AE894" s="53">
        <f t="shared" si="255"/>
        <v>0</v>
      </c>
      <c r="AF894" s="53">
        <f t="shared" si="256"/>
        <v>0</v>
      </c>
      <c r="AG894" s="56">
        <f t="shared" si="257"/>
        <v>0</v>
      </c>
      <c r="AH894" s="53">
        <f t="shared" si="258"/>
        <v>0</v>
      </c>
      <c r="AI894" s="55"/>
      <c r="AJ894" s="53">
        <f t="shared" si="259"/>
        <v>0</v>
      </c>
      <c r="AK894" s="53">
        <f t="shared" si="260"/>
        <v>0</v>
      </c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7"/>
      <c r="AW894" s="57"/>
      <c r="AX894" s="57"/>
    </row>
    <row r="895" spans="2:50">
      <c r="B895" s="45">
        <v>966</v>
      </c>
      <c r="C895" s="46" t="s">
        <v>1272</v>
      </c>
      <c r="D895" s="172" t="s">
        <v>1348</v>
      </c>
      <c r="E895" s="173" t="s">
        <v>1362</v>
      </c>
      <c r="F895" s="48" t="s">
        <v>1369</v>
      </c>
      <c r="G895" s="49" t="s">
        <v>1315</v>
      </c>
      <c r="H895" s="359" t="s">
        <v>1284</v>
      </c>
      <c r="I895" s="50" t="s">
        <v>302</v>
      </c>
      <c r="J895" s="344">
        <f t="shared" si="245"/>
        <v>50</v>
      </c>
      <c r="K895" s="344">
        <v>20</v>
      </c>
      <c r="L895" s="344">
        <v>30</v>
      </c>
      <c r="M895" s="50"/>
      <c r="N895" s="344">
        <v>0.25</v>
      </c>
      <c r="O895" s="344">
        <v>0.5</v>
      </c>
      <c r="P895" s="345">
        <v>2</v>
      </c>
      <c r="Q895" s="53"/>
      <c r="R895" s="56" t="s">
        <v>1295</v>
      </c>
      <c r="S895" s="56" t="s">
        <v>1295</v>
      </c>
      <c r="T895" s="56" t="s">
        <v>1295</v>
      </c>
      <c r="U895" s="56" t="s">
        <v>1295</v>
      </c>
      <c r="V895" s="360" t="s">
        <v>1300</v>
      </c>
      <c r="W895" s="53"/>
      <c r="X895" s="53">
        <f t="shared" si="250"/>
        <v>0</v>
      </c>
      <c r="Y895" s="55"/>
      <c r="Z895" s="55"/>
      <c r="AA895" s="52">
        <f t="shared" si="251"/>
        <v>0</v>
      </c>
      <c r="AB895" s="53">
        <f t="shared" si="252"/>
        <v>0</v>
      </c>
      <c r="AC895" s="53">
        <f t="shared" si="253"/>
        <v>0</v>
      </c>
      <c r="AD895" s="53">
        <f t="shared" si="254"/>
        <v>0</v>
      </c>
      <c r="AE895" s="53">
        <f t="shared" si="255"/>
        <v>0</v>
      </c>
      <c r="AF895" s="53">
        <f t="shared" si="256"/>
        <v>0</v>
      </c>
      <c r="AG895" s="56">
        <f t="shared" si="257"/>
        <v>0</v>
      </c>
      <c r="AH895" s="53">
        <f t="shared" si="258"/>
        <v>0</v>
      </c>
      <c r="AI895" s="55"/>
      <c r="AJ895" s="53">
        <f t="shared" si="259"/>
        <v>0</v>
      </c>
      <c r="AK895" s="53">
        <f t="shared" si="260"/>
        <v>0</v>
      </c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7"/>
      <c r="AW895" s="57"/>
      <c r="AX895" s="57"/>
    </row>
    <row r="896" spans="2:50">
      <c r="B896" s="45">
        <v>967</v>
      </c>
      <c r="C896" s="46" t="s">
        <v>1272</v>
      </c>
      <c r="D896" s="172" t="s">
        <v>1348</v>
      </c>
      <c r="E896" s="173" t="s">
        <v>1362</v>
      </c>
      <c r="F896" s="48" t="s">
        <v>1370</v>
      </c>
      <c r="G896" s="49" t="s">
        <v>190</v>
      </c>
      <c r="H896" s="359" t="s">
        <v>1371</v>
      </c>
      <c r="I896" s="50" t="s">
        <v>302</v>
      </c>
      <c r="J896" s="344">
        <f t="shared" si="245"/>
        <v>2</v>
      </c>
      <c r="K896" s="344">
        <v>2</v>
      </c>
      <c r="L896" s="344">
        <v>0</v>
      </c>
      <c r="M896" s="50"/>
      <c r="N896" s="344">
        <v>0.1</v>
      </c>
      <c r="O896" s="344">
        <v>0</v>
      </c>
      <c r="P896" s="345">
        <v>2</v>
      </c>
      <c r="Q896" s="53"/>
      <c r="R896" s="56" t="s">
        <v>1295</v>
      </c>
      <c r="S896" s="56" t="s">
        <v>1295</v>
      </c>
      <c r="T896" s="56" t="s">
        <v>1295</v>
      </c>
      <c r="U896" s="56" t="s">
        <v>1295</v>
      </c>
      <c r="V896" s="360" t="s">
        <v>1300</v>
      </c>
      <c r="W896" s="53"/>
      <c r="X896" s="53">
        <f t="shared" si="250"/>
        <v>0</v>
      </c>
      <c r="Y896" s="55"/>
      <c r="Z896" s="55"/>
      <c r="AA896" s="52">
        <f t="shared" si="251"/>
        <v>0</v>
      </c>
      <c r="AB896" s="53">
        <f t="shared" si="252"/>
        <v>0</v>
      </c>
      <c r="AC896" s="53">
        <f t="shared" si="253"/>
        <v>0</v>
      </c>
      <c r="AD896" s="53">
        <f t="shared" si="254"/>
        <v>0</v>
      </c>
      <c r="AE896" s="53">
        <f t="shared" si="255"/>
        <v>0</v>
      </c>
      <c r="AF896" s="53">
        <f t="shared" si="256"/>
        <v>0</v>
      </c>
      <c r="AG896" s="56">
        <f t="shared" si="257"/>
        <v>0</v>
      </c>
      <c r="AH896" s="53">
        <f t="shared" si="258"/>
        <v>0</v>
      </c>
      <c r="AI896" s="55"/>
      <c r="AJ896" s="53">
        <f t="shared" si="259"/>
        <v>0</v>
      </c>
      <c r="AK896" s="53">
        <f t="shared" si="260"/>
        <v>0</v>
      </c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7"/>
      <c r="AW896" s="57"/>
      <c r="AX896" s="57"/>
    </row>
    <row r="897" spans="2:50">
      <c r="B897" s="45">
        <v>968</v>
      </c>
      <c r="C897" s="46" t="s">
        <v>1272</v>
      </c>
      <c r="D897" s="172" t="s">
        <v>1348</v>
      </c>
      <c r="E897" s="173" t="s">
        <v>1372</v>
      </c>
      <c r="F897" s="173" t="s">
        <v>1373</v>
      </c>
      <c r="G897" s="49" t="s">
        <v>373</v>
      </c>
      <c r="H897" s="359" t="s">
        <v>1374</v>
      </c>
      <c r="I897" s="50" t="s">
        <v>302</v>
      </c>
      <c r="J897" s="50">
        <f t="shared" si="245"/>
        <v>210</v>
      </c>
      <c r="K897" s="50">
        <v>90</v>
      </c>
      <c r="L897" s="50">
        <v>120</v>
      </c>
      <c r="M897" s="50"/>
      <c r="N897" s="50">
        <v>1.5</v>
      </c>
      <c r="O897" s="50">
        <v>2</v>
      </c>
      <c r="P897" s="52">
        <v>2</v>
      </c>
      <c r="Q897" s="53"/>
      <c r="R897" s="56" t="s">
        <v>1295</v>
      </c>
      <c r="S897" s="56" t="s">
        <v>1295</v>
      </c>
      <c r="T897" s="56" t="s">
        <v>1295</v>
      </c>
      <c r="U897" s="56" t="s">
        <v>1295</v>
      </c>
      <c r="V897" s="360" t="s">
        <v>1300</v>
      </c>
      <c r="W897" s="53"/>
      <c r="X897" s="53">
        <f t="shared" si="250"/>
        <v>0</v>
      </c>
      <c r="Y897" s="55"/>
      <c r="Z897" s="55"/>
      <c r="AA897" s="52">
        <f t="shared" si="251"/>
        <v>0</v>
      </c>
      <c r="AB897" s="53">
        <f t="shared" si="252"/>
        <v>0</v>
      </c>
      <c r="AC897" s="53">
        <f t="shared" si="253"/>
        <v>0</v>
      </c>
      <c r="AD897" s="53">
        <f t="shared" si="254"/>
        <v>0</v>
      </c>
      <c r="AE897" s="53">
        <f t="shared" si="255"/>
        <v>0</v>
      </c>
      <c r="AF897" s="53">
        <f t="shared" si="256"/>
        <v>0</v>
      </c>
      <c r="AG897" s="56">
        <f t="shared" si="257"/>
        <v>0</v>
      </c>
      <c r="AH897" s="53">
        <f t="shared" si="258"/>
        <v>0</v>
      </c>
      <c r="AI897" s="55"/>
      <c r="AJ897" s="53">
        <f t="shared" si="259"/>
        <v>0</v>
      </c>
      <c r="AK897" s="53">
        <f t="shared" si="260"/>
        <v>0</v>
      </c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7"/>
      <c r="AW897" s="57"/>
      <c r="AX897" s="57"/>
    </row>
    <row r="898" spans="2:50">
      <c r="B898" s="45">
        <v>969</v>
      </c>
      <c r="C898" s="46" t="s">
        <v>1272</v>
      </c>
      <c r="D898" s="172" t="s">
        <v>1348</v>
      </c>
      <c r="E898" s="173" t="s">
        <v>1375</v>
      </c>
      <c r="F898" s="173" t="s">
        <v>1376</v>
      </c>
      <c r="G898" s="49" t="s">
        <v>373</v>
      </c>
      <c r="H898" s="359" t="s">
        <v>1377</v>
      </c>
      <c r="I898" s="50" t="s">
        <v>302</v>
      </c>
      <c r="J898" s="50">
        <f t="shared" si="245"/>
        <v>30</v>
      </c>
      <c r="K898" s="50">
        <v>30</v>
      </c>
      <c r="L898" s="50">
        <v>0</v>
      </c>
      <c r="M898" s="50"/>
      <c r="N898" s="50">
        <v>0.68</v>
      </c>
      <c r="O898" s="50">
        <v>0</v>
      </c>
      <c r="P898" s="52">
        <v>2</v>
      </c>
      <c r="Q898" s="53"/>
      <c r="R898" s="56" t="s">
        <v>1295</v>
      </c>
      <c r="S898" s="56"/>
      <c r="T898" s="56" t="s">
        <v>1295</v>
      </c>
      <c r="U898" s="56" t="s">
        <v>1295</v>
      </c>
      <c r="V898" s="360" t="s">
        <v>1300</v>
      </c>
      <c r="W898" s="53"/>
      <c r="X898" s="53">
        <f t="shared" si="250"/>
        <v>0</v>
      </c>
      <c r="Y898" s="55"/>
      <c r="Z898" s="55"/>
      <c r="AA898" s="52">
        <f t="shared" si="251"/>
        <v>0</v>
      </c>
      <c r="AB898" s="53">
        <f t="shared" si="252"/>
        <v>0</v>
      </c>
      <c r="AC898" s="53">
        <f t="shared" si="253"/>
        <v>0</v>
      </c>
      <c r="AD898" s="53">
        <f t="shared" si="254"/>
        <v>0</v>
      </c>
      <c r="AE898" s="53">
        <f t="shared" si="255"/>
        <v>0</v>
      </c>
      <c r="AF898" s="53">
        <f t="shared" si="256"/>
        <v>0</v>
      </c>
      <c r="AG898" s="56">
        <f t="shared" si="257"/>
        <v>0</v>
      </c>
      <c r="AH898" s="53">
        <f t="shared" si="258"/>
        <v>0</v>
      </c>
      <c r="AI898" s="55"/>
      <c r="AJ898" s="53">
        <f t="shared" si="259"/>
        <v>0</v>
      </c>
      <c r="AK898" s="53">
        <f t="shared" si="260"/>
        <v>0</v>
      </c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7"/>
      <c r="AW898" s="57"/>
      <c r="AX898" s="57"/>
    </row>
    <row r="899" spans="2:50">
      <c r="B899" s="45">
        <v>970</v>
      </c>
      <c r="C899" s="46" t="s">
        <v>1272</v>
      </c>
      <c r="D899" s="172" t="s">
        <v>1348</v>
      </c>
      <c r="E899" s="173" t="s">
        <v>1378</v>
      </c>
      <c r="F899" s="173" t="s">
        <v>1379</v>
      </c>
      <c r="G899" s="49" t="s">
        <v>306</v>
      </c>
      <c r="H899" s="359" t="s">
        <v>1380</v>
      </c>
      <c r="I899" s="50" t="s">
        <v>302</v>
      </c>
      <c r="J899" s="50">
        <f t="shared" si="245"/>
        <v>30</v>
      </c>
      <c r="K899" s="50">
        <v>30</v>
      </c>
      <c r="L899" s="50">
        <v>0</v>
      </c>
      <c r="M899" s="50"/>
      <c r="N899" s="50">
        <v>0.8</v>
      </c>
      <c r="O899" s="50">
        <v>0</v>
      </c>
      <c r="P899" s="52">
        <v>2</v>
      </c>
      <c r="Q899" s="53"/>
      <c r="R899" s="56" t="s">
        <v>1295</v>
      </c>
      <c r="S899" s="56"/>
      <c r="T899" s="56" t="s">
        <v>1295</v>
      </c>
      <c r="U899" s="56" t="s">
        <v>1295</v>
      </c>
      <c r="V899" s="360" t="s">
        <v>1300</v>
      </c>
      <c r="W899" s="53"/>
      <c r="X899" s="53">
        <f t="shared" si="250"/>
        <v>0</v>
      </c>
      <c r="Y899" s="55"/>
      <c r="Z899" s="55"/>
      <c r="AA899" s="52">
        <f t="shared" si="251"/>
        <v>0</v>
      </c>
      <c r="AB899" s="53">
        <f t="shared" si="252"/>
        <v>0</v>
      </c>
      <c r="AC899" s="53">
        <f t="shared" si="253"/>
        <v>0</v>
      </c>
      <c r="AD899" s="53">
        <f t="shared" si="254"/>
        <v>0</v>
      </c>
      <c r="AE899" s="53">
        <f t="shared" si="255"/>
        <v>0</v>
      </c>
      <c r="AF899" s="53">
        <f t="shared" si="256"/>
        <v>0</v>
      </c>
      <c r="AG899" s="56">
        <f t="shared" si="257"/>
        <v>0</v>
      </c>
      <c r="AH899" s="53">
        <f t="shared" si="258"/>
        <v>0</v>
      </c>
      <c r="AI899" s="55"/>
      <c r="AJ899" s="53">
        <f t="shared" si="259"/>
        <v>0</v>
      </c>
      <c r="AK899" s="53">
        <f t="shared" si="260"/>
        <v>0</v>
      </c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7"/>
      <c r="AW899" s="57"/>
      <c r="AX899" s="57"/>
    </row>
    <row r="900" spans="2:50">
      <c r="B900" s="45">
        <v>971</v>
      </c>
      <c r="C900" s="46" t="s">
        <v>1272</v>
      </c>
      <c r="D900" s="172" t="s">
        <v>1348</v>
      </c>
      <c r="E900" s="365" t="s">
        <v>1381</v>
      </c>
      <c r="F900" s="174" t="s">
        <v>1382</v>
      </c>
      <c r="G900" s="49" t="s">
        <v>306</v>
      </c>
      <c r="H900" s="359" t="s">
        <v>1380</v>
      </c>
      <c r="I900" s="50" t="s">
        <v>302</v>
      </c>
      <c r="J900" s="50">
        <f t="shared" si="245"/>
        <v>30</v>
      </c>
      <c r="K900" s="50">
        <v>30</v>
      </c>
      <c r="L900" s="50">
        <v>0</v>
      </c>
      <c r="M900" s="50"/>
      <c r="N900" s="50">
        <v>0.8</v>
      </c>
      <c r="O900" s="50">
        <v>0</v>
      </c>
      <c r="P900" s="52">
        <v>2</v>
      </c>
      <c r="Q900" s="53"/>
      <c r="R900" s="56" t="s">
        <v>1295</v>
      </c>
      <c r="S900" s="56"/>
      <c r="T900" s="56" t="s">
        <v>1295</v>
      </c>
      <c r="U900" s="56" t="s">
        <v>1295</v>
      </c>
      <c r="V900" s="360" t="s">
        <v>1300</v>
      </c>
      <c r="W900" s="53"/>
      <c r="X900" s="53">
        <f t="shared" si="250"/>
        <v>0</v>
      </c>
      <c r="Y900" s="55"/>
      <c r="Z900" s="55"/>
      <c r="AA900" s="52">
        <f t="shared" si="251"/>
        <v>0</v>
      </c>
      <c r="AB900" s="53">
        <f t="shared" si="252"/>
        <v>0</v>
      </c>
      <c r="AC900" s="53">
        <f t="shared" si="253"/>
        <v>0</v>
      </c>
      <c r="AD900" s="53">
        <f t="shared" si="254"/>
        <v>0</v>
      </c>
      <c r="AE900" s="53">
        <f t="shared" si="255"/>
        <v>0</v>
      </c>
      <c r="AF900" s="53">
        <f t="shared" si="256"/>
        <v>0</v>
      </c>
      <c r="AG900" s="56">
        <f t="shared" si="257"/>
        <v>0</v>
      </c>
      <c r="AH900" s="53">
        <f t="shared" si="258"/>
        <v>0</v>
      </c>
      <c r="AI900" s="55"/>
      <c r="AJ900" s="53">
        <f t="shared" si="259"/>
        <v>0</v>
      </c>
      <c r="AK900" s="53">
        <f t="shared" si="260"/>
        <v>0</v>
      </c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7"/>
      <c r="AW900" s="57"/>
      <c r="AX900" s="57"/>
    </row>
    <row r="901" spans="2:50">
      <c r="B901" s="45">
        <v>972</v>
      </c>
      <c r="C901" s="46" t="s">
        <v>1272</v>
      </c>
      <c r="D901" s="172" t="s">
        <v>1348</v>
      </c>
      <c r="E901" s="173" t="s">
        <v>1383</v>
      </c>
      <c r="F901" s="48" t="s">
        <v>1384</v>
      </c>
      <c r="G901" s="49" t="s">
        <v>306</v>
      </c>
      <c r="H901" s="359" t="s">
        <v>1385</v>
      </c>
      <c r="I901" s="50" t="s">
        <v>302</v>
      </c>
      <c r="J901" s="344">
        <f t="shared" si="245"/>
        <v>3</v>
      </c>
      <c r="K901" s="344">
        <v>3</v>
      </c>
      <c r="L901" s="344">
        <v>0</v>
      </c>
      <c r="M901" s="50"/>
      <c r="N901" s="344">
        <v>0.05</v>
      </c>
      <c r="O901" s="344">
        <v>0</v>
      </c>
      <c r="P901" s="345">
        <v>2</v>
      </c>
      <c r="Q901" s="53"/>
      <c r="R901" s="56" t="s">
        <v>1295</v>
      </c>
      <c r="S901" s="56"/>
      <c r="T901" s="56" t="s">
        <v>1295</v>
      </c>
      <c r="U901" s="56" t="s">
        <v>1295</v>
      </c>
      <c r="V901" s="360" t="s">
        <v>1300</v>
      </c>
      <c r="W901" s="53"/>
      <c r="X901" s="53">
        <f t="shared" si="250"/>
        <v>0</v>
      </c>
      <c r="Y901" s="55"/>
      <c r="Z901" s="55"/>
      <c r="AA901" s="52">
        <f t="shared" si="251"/>
        <v>0</v>
      </c>
      <c r="AB901" s="53">
        <f t="shared" si="252"/>
        <v>0</v>
      </c>
      <c r="AC901" s="53">
        <f t="shared" si="253"/>
        <v>0</v>
      </c>
      <c r="AD901" s="53">
        <f t="shared" si="254"/>
        <v>0</v>
      </c>
      <c r="AE901" s="53">
        <f t="shared" si="255"/>
        <v>0</v>
      </c>
      <c r="AF901" s="53">
        <f t="shared" si="256"/>
        <v>0</v>
      </c>
      <c r="AG901" s="56">
        <f t="shared" si="257"/>
        <v>0</v>
      </c>
      <c r="AH901" s="53">
        <f t="shared" si="258"/>
        <v>0</v>
      </c>
      <c r="AI901" s="55"/>
      <c r="AJ901" s="53">
        <f t="shared" si="259"/>
        <v>0</v>
      </c>
      <c r="AK901" s="53">
        <f t="shared" si="260"/>
        <v>0</v>
      </c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7"/>
      <c r="AW901" s="57"/>
      <c r="AX901" s="57"/>
    </row>
    <row r="902" spans="2:50">
      <c r="B902" s="45">
        <v>973</v>
      </c>
      <c r="C902" s="46" t="s">
        <v>1272</v>
      </c>
      <c r="D902" s="172" t="s">
        <v>1348</v>
      </c>
      <c r="E902" s="173" t="s">
        <v>1383</v>
      </c>
      <c r="F902" s="48" t="s">
        <v>1386</v>
      </c>
      <c r="G902" s="49" t="s">
        <v>306</v>
      </c>
      <c r="H902" s="359" t="s">
        <v>1385</v>
      </c>
      <c r="I902" s="50" t="s">
        <v>302</v>
      </c>
      <c r="J902" s="344">
        <f t="shared" si="245"/>
        <v>10</v>
      </c>
      <c r="K902" s="344">
        <v>10</v>
      </c>
      <c r="L902" s="344">
        <v>0</v>
      </c>
      <c r="M902" s="50"/>
      <c r="N902" s="344">
        <v>0.05</v>
      </c>
      <c r="O902" s="344">
        <v>0</v>
      </c>
      <c r="P902" s="345">
        <v>2</v>
      </c>
      <c r="Q902" s="53"/>
      <c r="R902" s="56" t="s">
        <v>1295</v>
      </c>
      <c r="S902" s="56"/>
      <c r="T902" s="56" t="s">
        <v>1295</v>
      </c>
      <c r="U902" s="56" t="s">
        <v>1295</v>
      </c>
      <c r="V902" s="360" t="s">
        <v>1300</v>
      </c>
      <c r="W902" s="53"/>
      <c r="X902" s="53">
        <f t="shared" si="250"/>
        <v>0</v>
      </c>
      <c r="Y902" s="55"/>
      <c r="Z902" s="55"/>
      <c r="AA902" s="52">
        <f t="shared" si="251"/>
        <v>0</v>
      </c>
      <c r="AB902" s="53">
        <f t="shared" si="252"/>
        <v>0</v>
      </c>
      <c r="AC902" s="53">
        <f t="shared" si="253"/>
        <v>0</v>
      </c>
      <c r="AD902" s="53">
        <f t="shared" si="254"/>
        <v>0</v>
      </c>
      <c r="AE902" s="53">
        <f t="shared" si="255"/>
        <v>0</v>
      </c>
      <c r="AF902" s="53">
        <f t="shared" si="256"/>
        <v>0</v>
      </c>
      <c r="AG902" s="56">
        <f t="shared" si="257"/>
        <v>0</v>
      </c>
      <c r="AH902" s="53">
        <f t="shared" si="258"/>
        <v>0</v>
      </c>
      <c r="AI902" s="55"/>
      <c r="AJ902" s="53">
        <f t="shared" si="259"/>
        <v>0</v>
      </c>
      <c r="AK902" s="53">
        <f t="shared" si="260"/>
        <v>0</v>
      </c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7"/>
      <c r="AW902" s="57"/>
      <c r="AX902" s="57"/>
    </row>
    <row r="903" spans="2:50">
      <c r="B903" s="45">
        <v>974</v>
      </c>
      <c r="C903" s="46" t="s">
        <v>1272</v>
      </c>
      <c r="D903" s="172" t="s">
        <v>1348</v>
      </c>
      <c r="E903" s="173" t="s">
        <v>1383</v>
      </c>
      <c r="F903" s="48" t="s">
        <v>1387</v>
      </c>
      <c r="G903" s="49" t="s">
        <v>306</v>
      </c>
      <c r="H903" s="359" t="s">
        <v>1385</v>
      </c>
      <c r="I903" s="50" t="s">
        <v>302</v>
      </c>
      <c r="J903" s="344">
        <f t="shared" si="245"/>
        <v>15</v>
      </c>
      <c r="K903" s="344">
        <v>15</v>
      </c>
      <c r="L903" s="344">
        <v>0</v>
      </c>
      <c r="M903" s="50"/>
      <c r="N903" s="344">
        <v>0.1</v>
      </c>
      <c r="O903" s="344">
        <v>0</v>
      </c>
      <c r="P903" s="345">
        <v>2</v>
      </c>
      <c r="Q903" s="53"/>
      <c r="R903" s="56" t="s">
        <v>1295</v>
      </c>
      <c r="S903" s="56"/>
      <c r="T903" s="56" t="s">
        <v>1295</v>
      </c>
      <c r="U903" s="56" t="s">
        <v>1295</v>
      </c>
      <c r="V903" s="360" t="s">
        <v>1300</v>
      </c>
      <c r="W903" s="53"/>
      <c r="X903" s="53">
        <f t="shared" si="250"/>
        <v>0</v>
      </c>
      <c r="Y903" s="55"/>
      <c r="Z903" s="55"/>
      <c r="AA903" s="52">
        <f t="shared" si="251"/>
        <v>0</v>
      </c>
      <c r="AB903" s="53">
        <f t="shared" si="252"/>
        <v>0</v>
      </c>
      <c r="AC903" s="53">
        <f t="shared" si="253"/>
        <v>0</v>
      </c>
      <c r="AD903" s="53">
        <f t="shared" si="254"/>
        <v>0</v>
      </c>
      <c r="AE903" s="53">
        <f t="shared" si="255"/>
        <v>0</v>
      </c>
      <c r="AF903" s="53">
        <f t="shared" si="256"/>
        <v>0</v>
      </c>
      <c r="AG903" s="56">
        <f t="shared" si="257"/>
        <v>0</v>
      </c>
      <c r="AH903" s="53">
        <f t="shared" si="258"/>
        <v>0</v>
      </c>
      <c r="AI903" s="55"/>
      <c r="AJ903" s="53">
        <f t="shared" si="259"/>
        <v>0</v>
      </c>
      <c r="AK903" s="53">
        <f t="shared" si="260"/>
        <v>0</v>
      </c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7"/>
      <c r="AW903" s="57"/>
      <c r="AX903" s="57"/>
    </row>
    <row r="904" spans="2:50">
      <c r="B904" s="45">
        <v>975</v>
      </c>
      <c r="C904" s="46" t="s">
        <v>1272</v>
      </c>
      <c r="D904" s="172" t="s">
        <v>1348</v>
      </c>
      <c r="E904" s="173" t="s">
        <v>1383</v>
      </c>
      <c r="F904" s="48" t="s">
        <v>1388</v>
      </c>
      <c r="G904" s="49" t="s">
        <v>306</v>
      </c>
      <c r="H904" s="359" t="s">
        <v>1385</v>
      </c>
      <c r="I904" s="50" t="s">
        <v>302</v>
      </c>
      <c r="J904" s="50">
        <f t="shared" si="245"/>
        <v>30</v>
      </c>
      <c r="K904" s="50">
        <v>30</v>
      </c>
      <c r="L904" s="50">
        <v>0</v>
      </c>
      <c r="M904" s="50"/>
      <c r="N904" s="50">
        <v>0.2</v>
      </c>
      <c r="O904" s="50">
        <v>0</v>
      </c>
      <c r="P904" s="52">
        <v>2</v>
      </c>
      <c r="Q904" s="53"/>
      <c r="R904" s="56" t="s">
        <v>1295</v>
      </c>
      <c r="S904" s="56"/>
      <c r="T904" s="56" t="s">
        <v>1295</v>
      </c>
      <c r="U904" s="56" t="s">
        <v>1295</v>
      </c>
      <c r="V904" s="360" t="s">
        <v>1300</v>
      </c>
      <c r="W904" s="53"/>
      <c r="X904" s="53">
        <f t="shared" si="250"/>
        <v>0</v>
      </c>
      <c r="Y904" s="55"/>
      <c r="Z904" s="55"/>
      <c r="AA904" s="52">
        <f t="shared" si="251"/>
        <v>0</v>
      </c>
      <c r="AB904" s="53">
        <f t="shared" si="252"/>
        <v>0</v>
      </c>
      <c r="AC904" s="53">
        <f t="shared" si="253"/>
        <v>0</v>
      </c>
      <c r="AD904" s="53">
        <f t="shared" si="254"/>
        <v>0</v>
      </c>
      <c r="AE904" s="53">
        <f t="shared" si="255"/>
        <v>0</v>
      </c>
      <c r="AF904" s="53">
        <f t="shared" si="256"/>
        <v>0</v>
      </c>
      <c r="AG904" s="56">
        <f t="shared" si="257"/>
        <v>0</v>
      </c>
      <c r="AH904" s="53">
        <f t="shared" si="258"/>
        <v>0</v>
      </c>
      <c r="AI904" s="55"/>
      <c r="AJ904" s="53">
        <f t="shared" si="259"/>
        <v>0</v>
      </c>
      <c r="AK904" s="53">
        <f t="shared" si="260"/>
        <v>0</v>
      </c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7"/>
      <c r="AW904" s="57"/>
      <c r="AX904" s="57"/>
    </row>
    <row r="905" spans="2:50">
      <c r="B905" s="45">
        <v>976</v>
      </c>
      <c r="C905" s="46" t="s">
        <v>1272</v>
      </c>
      <c r="D905" s="172" t="s">
        <v>1348</v>
      </c>
      <c r="E905" s="173" t="s">
        <v>1383</v>
      </c>
      <c r="F905" s="48" t="s">
        <v>1389</v>
      </c>
      <c r="G905" s="49" t="s">
        <v>306</v>
      </c>
      <c r="H905" s="359" t="s">
        <v>1284</v>
      </c>
      <c r="I905" s="50" t="s">
        <v>302</v>
      </c>
      <c r="J905" s="344">
        <f t="shared" si="245"/>
        <v>2</v>
      </c>
      <c r="K905" s="344">
        <v>2</v>
      </c>
      <c r="L905" s="50">
        <v>0</v>
      </c>
      <c r="M905" s="50"/>
      <c r="N905" s="50">
        <v>0.05</v>
      </c>
      <c r="O905" s="50">
        <v>0</v>
      </c>
      <c r="P905" s="52">
        <v>2</v>
      </c>
      <c r="Q905" s="53"/>
      <c r="R905" s="56" t="s">
        <v>1295</v>
      </c>
      <c r="S905" s="56"/>
      <c r="T905" s="56" t="s">
        <v>1295</v>
      </c>
      <c r="U905" s="56" t="s">
        <v>1295</v>
      </c>
      <c r="V905" s="360" t="s">
        <v>1300</v>
      </c>
      <c r="W905" s="53"/>
      <c r="X905" s="53">
        <f t="shared" si="250"/>
        <v>0</v>
      </c>
      <c r="Y905" s="55"/>
      <c r="Z905" s="55"/>
      <c r="AA905" s="52">
        <f t="shared" si="251"/>
        <v>0</v>
      </c>
      <c r="AB905" s="53">
        <f t="shared" si="252"/>
        <v>0</v>
      </c>
      <c r="AC905" s="53">
        <f t="shared" si="253"/>
        <v>0</v>
      </c>
      <c r="AD905" s="53">
        <f t="shared" si="254"/>
        <v>0</v>
      </c>
      <c r="AE905" s="53">
        <f t="shared" si="255"/>
        <v>0</v>
      </c>
      <c r="AF905" s="53">
        <f t="shared" si="256"/>
        <v>0</v>
      </c>
      <c r="AG905" s="56">
        <f t="shared" si="257"/>
        <v>0</v>
      </c>
      <c r="AH905" s="53">
        <f t="shared" si="258"/>
        <v>0</v>
      </c>
      <c r="AI905" s="55"/>
      <c r="AJ905" s="53">
        <f t="shared" si="259"/>
        <v>0</v>
      </c>
      <c r="AK905" s="53">
        <f t="shared" si="260"/>
        <v>0</v>
      </c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7"/>
      <c r="AW905" s="57"/>
      <c r="AX905" s="57"/>
    </row>
    <row r="906" spans="2:50">
      <c r="B906" s="45">
        <v>977</v>
      </c>
      <c r="C906" s="46" t="s">
        <v>1272</v>
      </c>
      <c r="D906" s="172" t="s">
        <v>1348</v>
      </c>
      <c r="E906" s="173" t="s">
        <v>1390</v>
      </c>
      <c r="F906" s="48" t="s">
        <v>1330</v>
      </c>
      <c r="G906" s="49" t="s">
        <v>306</v>
      </c>
      <c r="H906" s="359" t="s">
        <v>1391</v>
      </c>
      <c r="I906" s="50" t="s">
        <v>302</v>
      </c>
      <c r="J906" s="344">
        <f t="shared" si="245"/>
        <v>3</v>
      </c>
      <c r="K906" s="344">
        <v>3</v>
      </c>
      <c r="L906" s="344">
        <v>0</v>
      </c>
      <c r="M906" s="50"/>
      <c r="N906" s="50">
        <v>0.05</v>
      </c>
      <c r="O906" s="50">
        <v>0</v>
      </c>
      <c r="P906" s="52">
        <v>2</v>
      </c>
      <c r="Q906" s="53"/>
      <c r="R906" s="56" t="s">
        <v>1295</v>
      </c>
      <c r="S906" s="56"/>
      <c r="T906" s="56" t="s">
        <v>1295</v>
      </c>
      <c r="U906" s="56" t="s">
        <v>1295</v>
      </c>
      <c r="V906" s="360" t="s">
        <v>1300</v>
      </c>
      <c r="W906" s="53"/>
      <c r="X906" s="53">
        <f t="shared" si="250"/>
        <v>0</v>
      </c>
      <c r="Y906" s="55"/>
      <c r="Z906" s="55"/>
      <c r="AA906" s="52">
        <f t="shared" si="251"/>
        <v>0</v>
      </c>
      <c r="AB906" s="53">
        <f t="shared" si="252"/>
        <v>0</v>
      </c>
      <c r="AC906" s="53">
        <f t="shared" si="253"/>
        <v>0</v>
      </c>
      <c r="AD906" s="53">
        <f t="shared" si="254"/>
        <v>0</v>
      </c>
      <c r="AE906" s="53">
        <f t="shared" si="255"/>
        <v>0</v>
      </c>
      <c r="AF906" s="53">
        <f t="shared" si="256"/>
        <v>0</v>
      </c>
      <c r="AG906" s="56">
        <f t="shared" si="257"/>
        <v>0</v>
      </c>
      <c r="AH906" s="53">
        <f t="shared" si="258"/>
        <v>0</v>
      </c>
      <c r="AI906" s="55"/>
      <c r="AJ906" s="53">
        <f t="shared" si="259"/>
        <v>0</v>
      </c>
      <c r="AK906" s="53">
        <f t="shared" si="260"/>
        <v>0</v>
      </c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7"/>
      <c r="AW906" s="57"/>
      <c r="AX906" s="57"/>
    </row>
    <row r="907" spans="2:50">
      <c r="B907" s="45">
        <v>978</v>
      </c>
      <c r="C907" s="46" t="s">
        <v>1272</v>
      </c>
      <c r="D907" s="172" t="s">
        <v>1348</v>
      </c>
      <c r="E907" s="173" t="s">
        <v>1390</v>
      </c>
      <c r="F907" s="48" t="s">
        <v>1392</v>
      </c>
      <c r="G907" s="49" t="s">
        <v>306</v>
      </c>
      <c r="H907" s="359" t="s">
        <v>1393</v>
      </c>
      <c r="I907" s="50" t="s">
        <v>302</v>
      </c>
      <c r="J907" s="344">
        <f t="shared" ref="J907:J970" si="261">SUM(K907:L907)</f>
        <v>4</v>
      </c>
      <c r="K907" s="344">
        <v>4</v>
      </c>
      <c r="L907" s="344">
        <v>0</v>
      </c>
      <c r="M907" s="50"/>
      <c r="N907" s="50">
        <v>0.05</v>
      </c>
      <c r="O907" s="50">
        <v>0</v>
      </c>
      <c r="P907" s="52">
        <v>2</v>
      </c>
      <c r="Q907" s="53"/>
      <c r="R907" s="56" t="s">
        <v>1295</v>
      </c>
      <c r="S907" s="56"/>
      <c r="T907" s="56" t="s">
        <v>1295</v>
      </c>
      <c r="U907" s="56" t="s">
        <v>1295</v>
      </c>
      <c r="V907" s="360" t="s">
        <v>1300</v>
      </c>
      <c r="W907" s="53"/>
      <c r="X907" s="53">
        <f t="shared" si="250"/>
        <v>0</v>
      </c>
      <c r="Y907" s="55"/>
      <c r="Z907" s="55"/>
      <c r="AA907" s="52">
        <f t="shared" si="251"/>
        <v>0</v>
      </c>
      <c r="AB907" s="53">
        <f t="shared" si="252"/>
        <v>0</v>
      </c>
      <c r="AC907" s="53">
        <f t="shared" si="253"/>
        <v>0</v>
      </c>
      <c r="AD907" s="53">
        <f t="shared" si="254"/>
        <v>0</v>
      </c>
      <c r="AE907" s="53">
        <f t="shared" si="255"/>
        <v>0</v>
      </c>
      <c r="AF907" s="53">
        <f t="shared" si="256"/>
        <v>0</v>
      </c>
      <c r="AG907" s="56">
        <f t="shared" si="257"/>
        <v>0</v>
      </c>
      <c r="AH907" s="53">
        <f t="shared" si="258"/>
        <v>0</v>
      </c>
      <c r="AI907" s="55"/>
      <c r="AJ907" s="53">
        <f t="shared" si="259"/>
        <v>0</v>
      </c>
      <c r="AK907" s="53">
        <f t="shared" si="260"/>
        <v>0</v>
      </c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7"/>
      <c r="AW907" s="57"/>
      <c r="AX907" s="57"/>
    </row>
    <row r="908" spans="2:50">
      <c r="B908" s="45">
        <v>979</v>
      </c>
      <c r="C908" s="46" t="s">
        <v>1272</v>
      </c>
      <c r="D908" s="172" t="s">
        <v>1348</v>
      </c>
      <c r="E908" s="173" t="s">
        <v>1390</v>
      </c>
      <c r="F908" s="48" t="s">
        <v>1394</v>
      </c>
      <c r="G908" s="49" t="s">
        <v>306</v>
      </c>
      <c r="H908" s="359" t="s">
        <v>1391</v>
      </c>
      <c r="I908" s="50" t="s">
        <v>302</v>
      </c>
      <c r="J908" s="344">
        <f t="shared" si="261"/>
        <v>20</v>
      </c>
      <c r="K908" s="344">
        <v>20</v>
      </c>
      <c r="L908" s="344">
        <v>0</v>
      </c>
      <c r="M908" s="50"/>
      <c r="N908" s="50">
        <v>0.2</v>
      </c>
      <c r="O908" s="50">
        <v>0</v>
      </c>
      <c r="P908" s="52">
        <v>2</v>
      </c>
      <c r="Q908" s="53"/>
      <c r="R908" s="56" t="s">
        <v>1295</v>
      </c>
      <c r="S908" s="56"/>
      <c r="T908" s="56" t="s">
        <v>1295</v>
      </c>
      <c r="U908" s="56" t="s">
        <v>1295</v>
      </c>
      <c r="V908" s="360" t="s">
        <v>1300</v>
      </c>
      <c r="W908" s="53"/>
      <c r="X908" s="53">
        <f t="shared" si="250"/>
        <v>0</v>
      </c>
      <c r="Y908" s="55"/>
      <c r="Z908" s="55"/>
      <c r="AA908" s="52">
        <f t="shared" si="251"/>
        <v>0</v>
      </c>
      <c r="AB908" s="53">
        <f t="shared" si="252"/>
        <v>0</v>
      </c>
      <c r="AC908" s="53">
        <f t="shared" si="253"/>
        <v>0</v>
      </c>
      <c r="AD908" s="53">
        <f t="shared" si="254"/>
        <v>0</v>
      </c>
      <c r="AE908" s="53">
        <f t="shared" si="255"/>
        <v>0</v>
      </c>
      <c r="AF908" s="53">
        <f t="shared" si="256"/>
        <v>0</v>
      </c>
      <c r="AG908" s="56">
        <f t="shared" si="257"/>
        <v>0</v>
      </c>
      <c r="AH908" s="53">
        <f t="shared" si="258"/>
        <v>0</v>
      </c>
      <c r="AI908" s="55"/>
      <c r="AJ908" s="53">
        <f t="shared" si="259"/>
        <v>0</v>
      </c>
      <c r="AK908" s="53">
        <f t="shared" si="260"/>
        <v>0</v>
      </c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7"/>
      <c r="AW908" s="57"/>
      <c r="AX908" s="57"/>
    </row>
    <row r="909" spans="2:50">
      <c r="B909" s="45">
        <v>980</v>
      </c>
      <c r="C909" s="46" t="s">
        <v>1272</v>
      </c>
      <c r="D909" s="172" t="s">
        <v>1348</v>
      </c>
      <c r="E909" s="173" t="s">
        <v>1390</v>
      </c>
      <c r="F909" s="48" t="s">
        <v>1395</v>
      </c>
      <c r="G909" s="49" t="s">
        <v>306</v>
      </c>
      <c r="H909" s="359" t="s">
        <v>1391</v>
      </c>
      <c r="I909" s="50" t="s">
        <v>302</v>
      </c>
      <c r="J909" s="50">
        <f t="shared" si="261"/>
        <v>33</v>
      </c>
      <c r="K909" s="50">
        <v>33</v>
      </c>
      <c r="L909" s="50">
        <v>0</v>
      </c>
      <c r="M909" s="50"/>
      <c r="N909" s="50">
        <v>0.3</v>
      </c>
      <c r="O909" s="50">
        <v>0</v>
      </c>
      <c r="P909" s="52">
        <v>2</v>
      </c>
      <c r="Q909" s="53"/>
      <c r="R909" s="56" t="s">
        <v>1295</v>
      </c>
      <c r="S909" s="56"/>
      <c r="T909" s="56" t="s">
        <v>1295</v>
      </c>
      <c r="U909" s="56" t="s">
        <v>1295</v>
      </c>
      <c r="V909" s="360" t="s">
        <v>1300</v>
      </c>
      <c r="W909" s="53"/>
      <c r="X909" s="53">
        <f t="shared" si="250"/>
        <v>0</v>
      </c>
      <c r="Y909" s="55"/>
      <c r="Z909" s="55"/>
      <c r="AA909" s="52">
        <f t="shared" si="251"/>
        <v>0</v>
      </c>
      <c r="AB909" s="53">
        <f t="shared" si="252"/>
        <v>0</v>
      </c>
      <c r="AC909" s="53">
        <f t="shared" si="253"/>
        <v>0</v>
      </c>
      <c r="AD909" s="53">
        <f t="shared" si="254"/>
        <v>0</v>
      </c>
      <c r="AE909" s="53">
        <f t="shared" si="255"/>
        <v>0</v>
      </c>
      <c r="AF909" s="53">
        <f t="shared" si="256"/>
        <v>0</v>
      </c>
      <c r="AG909" s="56">
        <f t="shared" si="257"/>
        <v>0</v>
      </c>
      <c r="AH909" s="53">
        <f t="shared" si="258"/>
        <v>0</v>
      </c>
      <c r="AI909" s="55"/>
      <c r="AJ909" s="53">
        <f t="shared" si="259"/>
        <v>0</v>
      </c>
      <c r="AK909" s="53">
        <f t="shared" si="260"/>
        <v>0</v>
      </c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7"/>
      <c r="AW909" s="57"/>
      <c r="AX909" s="57"/>
    </row>
    <row r="910" spans="2:50">
      <c r="B910" s="45">
        <v>981</v>
      </c>
      <c r="C910" s="46" t="s">
        <v>1272</v>
      </c>
      <c r="D910" s="172" t="s">
        <v>1348</v>
      </c>
      <c r="E910" s="173" t="s">
        <v>1390</v>
      </c>
      <c r="F910" s="48" t="s">
        <v>1396</v>
      </c>
      <c r="G910" s="49" t="s">
        <v>306</v>
      </c>
      <c r="H910" s="359" t="s">
        <v>1391</v>
      </c>
      <c r="I910" s="50" t="s">
        <v>302</v>
      </c>
      <c r="J910" s="344">
        <f t="shared" si="261"/>
        <v>15</v>
      </c>
      <c r="K910" s="344">
        <v>15</v>
      </c>
      <c r="L910" s="344">
        <v>0</v>
      </c>
      <c r="M910" s="50"/>
      <c r="N910" s="50">
        <v>0.15</v>
      </c>
      <c r="O910" s="50">
        <v>0</v>
      </c>
      <c r="P910" s="52">
        <v>2</v>
      </c>
      <c r="Q910" s="53"/>
      <c r="R910" s="56" t="s">
        <v>1295</v>
      </c>
      <c r="S910" s="56"/>
      <c r="T910" s="56" t="s">
        <v>1295</v>
      </c>
      <c r="U910" s="56" t="s">
        <v>1295</v>
      </c>
      <c r="V910" s="360" t="s">
        <v>1300</v>
      </c>
      <c r="W910" s="53"/>
      <c r="X910" s="53">
        <f t="shared" si="250"/>
        <v>0</v>
      </c>
      <c r="Y910" s="55"/>
      <c r="Z910" s="55"/>
      <c r="AA910" s="52">
        <f t="shared" si="251"/>
        <v>0</v>
      </c>
      <c r="AB910" s="53">
        <f t="shared" si="252"/>
        <v>0</v>
      </c>
      <c r="AC910" s="53">
        <f t="shared" si="253"/>
        <v>0</v>
      </c>
      <c r="AD910" s="53">
        <f t="shared" si="254"/>
        <v>0</v>
      </c>
      <c r="AE910" s="53">
        <f t="shared" si="255"/>
        <v>0</v>
      </c>
      <c r="AF910" s="53">
        <f t="shared" si="256"/>
        <v>0</v>
      </c>
      <c r="AG910" s="56">
        <f t="shared" si="257"/>
        <v>0</v>
      </c>
      <c r="AH910" s="53">
        <f t="shared" si="258"/>
        <v>0</v>
      </c>
      <c r="AI910" s="55"/>
      <c r="AJ910" s="53">
        <f t="shared" si="259"/>
        <v>0</v>
      </c>
      <c r="AK910" s="53">
        <f t="shared" si="260"/>
        <v>0</v>
      </c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7"/>
      <c r="AW910" s="57"/>
      <c r="AX910" s="57"/>
    </row>
    <row r="911" spans="2:50">
      <c r="B911" s="45">
        <v>982</v>
      </c>
      <c r="C911" s="46" t="s">
        <v>1272</v>
      </c>
      <c r="D911" s="172" t="s">
        <v>1348</v>
      </c>
      <c r="E911" s="173" t="s">
        <v>1390</v>
      </c>
      <c r="F911" s="48" t="s">
        <v>1343</v>
      </c>
      <c r="G911" s="49" t="s">
        <v>306</v>
      </c>
      <c r="H911" s="359" t="s">
        <v>1391</v>
      </c>
      <c r="I911" s="50" t="s">
        <v>302</v>
      </c>
      <c r="J911" s="50">
        <f t="shared" si="261"/>
        <v>880</v>
      </c>
      <c r="K911" s="50">
        <v>10</v>
      </c>
      <c r="L911" s="50">
        <v>870</v>
      </c>
      <c r="M911" s="50"/>
      <c r="N911" s="50">
        <v>0.2</v>
      </c>
      <c r="O911" s="50">
        <v>14.5</v>
      </c>
      <c r="P911" s="52">
        <v>2</v>
      </c>
      <c r="Q911" s="53"/>
      <c r="R911" s="56" t="s">
        <v>1295</v>
      </c>
      <c r="S911" s="56"/>
      <c r="T911" s="56" t="s">
        <v>1295</v>
      </c>
      <c r="U911" s="56" t="s">
        <v>1295</v>
      </c>
      <c r="V911" s="360" t="s">
        <v>1300</v>
      </c>
      <c r="W911" s="53"/>
      <c r="X911" s="53">
        <f t="shared" si="250"/>
        <v>0</v>
      </c>
      <c r="Y911" s="55"/>
      <c r="Z911" s="55"/>
      <c r="AA911" s="52">
        <f t="shared" si="251"/>
        <v>0</v>
      </c>
      <c r="AB911" s="53">
        <f t="shared" si="252"/>
        <v>0</v>
      </c>
      <c r="AC911" s="53">
        <f t="shared" si="253"/>
        <v>0</v>
      </c>
      <c r="AD911" s="53">
        <f t="shared" si="254"/>
        <v>0</v>
      </c>
      <c r="AE911" s="53">
        <f t="shared" si="255"/>
        <v>0</v>
      </c>
      <c r="AF911" s="53">
        <f t="shared" si="256"/>
        <v>0</v>
      </c>
      <c r="AG911" s="56">
        <f t="shared" si="257"/>
        <v>0</v>
      </c>
      <c r="AH911" s="53">
        <f t="shared" si="258"/>
        <v>0</v>
      </c>
      <c r="AI911" s="55"/>
      <c r="AJ911" s="53">
        <f t="shared" si="259"/>
        <v>0</v>
      </c>
      <c r="AK911" s="53">
        <f t="shared" si="260"/>
        <v>0</v>
      </c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7"/>
      <c r="AW911" s="57"/>
      <c r="AX911" s="57"/>
    </row>
    <row r="912" spans="2:50">
      <c r="B912" s="45">
        <v>983</v>
      </c>
      <c r="C912" s="46" t="s">
        <v>1272</v>
      </c>
      <c r="D912" s="172" t="s">
        <v>1348</v>
      </c>
      <c r="E912" s="173" t="s">
        <v>1390</v>
      </c>
      <c r="F912" s="48" t="s">
        <v>1344</v>
      </c>
      <c r="G912" s="49" t="s">
        <v>306</v>
      </c>
      <c r="H912" s="359" t="s">
        <v>1391</v>
      </c>
      <c r="I912" s="50" t="s">
        <v>302</v>
      </c>
      <c r="J912" s="50">
        <f t="shared" si="261"/>
        <v>5</v>
      </c>
      <c r="K912" s="50">
        <v>5</v>
      </c>
      <c r="L912" s="50">
        <v>0</v>
      </c>
      <c r="M912" s="50"/>
      <c r="N912" s="50">
        <v>0.2</v>
      </c>
      <c r="O912" s="50">
        <v>0</v>
      </c>
      <c r="P912" s="52">
        <v>2</v>
      </c>
      <c r="Q912" s="53"/>
      <c r="R912" s="56" t="s">
        <v>1295</v>
      </c>
      <c r="S912" s="56"/>
      <c r="T912" s="56" t="s">
        <v>1295</v>
      </c>
      <c r="U912" s="56" t="s">
        <v>1295</v>
      </c>
      <c r="V912" s="360" t="s">
        <v>1300</v>
      </c>
      <c r="W912" s="53"/>
      <c r="X912" s="53">
        <f t="shared" si="250"/>
        <v>0</v>
      </c>
      <c r="Y912" s="55"/>
      <c r="Z912" s="55"/>
      <c r="AA912" s="52">
        <f t="shared" si="251"/>
        <v>0</v>
      </c>
      <c r="AB912" s="53">
        <f t="shared" si="252"/>
        <v>0</v>
      </c>
      <c r="AC912" s="53">
        <f t="shared" si="253"/>
        <v>0</v>
      </c>
      <c r="AD912" s="53">
        <f t="shared" si="254"/>
        <v>0</v>
      </c>
      <c r="AE912" s="53">
        <f t="shared" si="255"/>
        <v>0</v>
      </c>
      <c r="AF912" s="53">
        <f t="shared" si="256"/>
        <v>0</v>
      </c>
      <c r="AG912" s="56">
        <f t="shared" si="257"/>
        <v>0</v>
      </c>
      <c r="AH912" s="53">
        <f t="shared" si="258"/>
        <v>0</v>
      </c>
      <c r="AI912" s="55"/>
      <c r="AJ912" s="53">
        <f t="shared" si="259"/>
        <v>0</v>
      </c>
      <c r="AK912" s="53">
        <f t="shared" si="260"/>
        <v>0</v>
      </c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7"/>
      <c r="AW912" s="57"/>
      <c r="AX912" s="57"/>
    </row>
    <row r="913" spans="2:50">
      <c r="B913" s="45">
        <v>984</v>
      </c>
      <c r="C913" s="46" t="s">
        <v>1272</v>
      </c>
      <c r="D913" s="172" t="s">
        <v>1348</v>
      </c>
      <c r="E913" s="173" t="s">
        <v>1397</v>
      </c>
      <c r="F913" s="48" t="s">
        <v>1353</v>
      </c>
      <c r="G913" s="49" t="s">
        <v>306</v>
      </c>
      <c r="H913" s="359" t="s">
        <v>1398</v>
      </c>
      <c r="I913" s="50" t="s">
        <v>302</v>
      </c>
      <c r="J913" s="344">
        <f t="shared" si="261"/>
        <v>1.5</v>
      </c>
      <c r="K913" s="344">
        <v>1.5</v>
      </c>
      <c r="L913" s="50">
        <v>0</v>
      </c>
      <c r="M913" s="50"/>
      <c r="N913" s="50">
        <v>0.05</v>
      </c>
      <c r="O913" s="50">
        <v>0</v>
      </c>
      <c r="P913" s="52">
        <v>2</v>
      </c>
      <c r="Q913" s="53"/>
      <c r="R913" s="56" t="s">
        <v>1295</v>
      </c>
      <c r="S913" s="56"/>
      <c r="T913" s="56" t="s">
        <v>1295</v>
      </c>
      <c r="U913" s="56" t="s">
        <v>1295</v>
      </c>
      <c r="V913" s="360" t="s">
        <v>1282</v>
      </c>
      <c r="W913" s="53"/>
      <c r="X913" s="53">
        <f t="shared" si="250"/>
        <v>0</v>
      </c>
      <c r="Y913" s="55"/>
      <c r="Z913" s="55"/>
      <c r="AA913" s="52">
        <f t="shared" si="251"/>
        <v>0</v>
      </c>
      <c r="AB913" s="53">
        <f t="shared" si="252"/>
        <v>0</v>
      </c>
      <c r="AC913" s="53">
        <f t="shared" si="253"/>
        <v>0</v>
      </c>
      <c r="AD913" s="53">
        <f t="shared" si="254"/>
        <v>0</v>
      </c>
      <c r="AE913" s="53">
        <f t="shared" si="255"/>
        <v>0</v>
      </c>
      <c r="AF913" s="53">
        <f t="shared" si="256"/>
        <v>0</v>
      </c>
      <c r="AG913" s="56">
        <f t="shared" si="257"/>
        <v>0</v>
      </c>
      <c r="AH913" s="53">
        <f t="shared" si="258"/>
        <v>0</v>
      </c>
      <c r="AI913" s="55"/>
      <c r="AJ913" s="53">
        <f t="shared" si="259"/>
        <v>0</v>
      </c>
      <c r="AK913" s="53">
        <f t="shared" si="260"/>
        <v>0</v>
      </c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7"/>
      <c r="AW913" s="57"/>
      <c r="AX913" s="57"/>
    </row>
    <row r="914" spans="2:50">
      <c r="B914" s="45">
        <v>985</v>
      </c>
      <c r="C914" s="46" t="s">
        <v>1272</v>
      </c>
      <c r="D914" s="172" t="s">
        <v>1348</v>
      </c>
      <c r="E914" s="173" t="s">
        <v>1397</v>
      </c>
      <c r="F914" s="48" t="s">
        <v>1399</v>
      </c>
      <c r="G914" s="49" t="s">
        <v>306</v>
      </c>
      <c r="H914" s="359" t="s">
        <v>1364</v>
      </c>
      <c r="I914" s="50" t="s">
        <v>302</v>
      </c>
      <c r="J914" s="50">
        <f t="shared" si="261"/>
        <v>10.5</v>
      </c>
      <c r="K914" s="50">
        <v>10.5</v>
      </c>
      <c r="L914" s="50">
        <v>0</v>
      </c>
      <c r="M914" s="50"/>
      <c r="N914" s="50">
        <v>0.3</v>
      </c>
      <c r="O914" s="50">
        <v>0</v>
      </c>
      <c r="P914" s="52">
        <v>2</v>
      </c>
      <c r="Q914" s="53"/>
      <c r="R914" s="56" t="s">
        <v>1295</v>
      </c>
      <c r="S914" s="56"/>
      <c r="T914" s="56" t="s">
        <v>1295</v>
      </c>
      <c r="U914" s="56" t="s">
        <v>1295</v>
      </c>
      <c r="V914" s="360" t="s">
        <v>1282</v>
      </c>
      <c r="W914" s="53"/>
      <c r="X914" s="53">
        <f t="shared" si="250"/>
        <v>0</v>
      </c>
      <c r="Y914" s="55"/>
      <c r="Z914" s="55"/>
      <c r="AA914" s="52">
        <f t="shared" si="251"/>
        <v>0</v>
      </c>
      <c r="AB914" s="53">
        <f t="shared" si="252"/>
        <v>0</v>
      </c>
      <c r="AC914" s="53">
        <f t="shared" si="253"/>
        <v>0</v>
      </c>
      <c r="AD914" s="53">
        <f t="shared" si="254"/>
        <v>0</v>
      </c>
      <c r="AE914" s="53">
        <f t="shared" si="255"/>
        <v>0</v>
      </c>
      <c r="AF914" s="53">
        <f t="shared" si="256"/>
        <v>0</v>
      </c>
      <c r="AG914" s="56">
        <f t="shared" si="257"/>
        <v>0</v>
      </c>
      <c r="AH914" s="53">
        <f t="shared" si="258"/>
        <v>0</v>
      </c>
      <c r="AI914" s="55"/>
      <c r="AJ914" s="53">
        <f t="shared" si="259"/>
        <v>0</v>
      </c>
      <c r="AK914" s="53">
        <f t="shared" si="260"/>
        <v>0</v>
      </c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7"/>
      <c r="AW914" s="57"/>
      <c r="AX914" s="57"/>
    </row>
    <row r="915" spans="2:50">
      <c r="B915" s="45">
        <v>986</v>
      </c>
      <c r="C915" s="46" t="s">
        <v>1272</v>
      </c>
      <c r="D915" s="172" t="s">
        <v>1348</v>
      </c>
      <c r="E915" s="173" t="s">
        <v>1397</v>
      </c>
      <c r="F915" s="48" t="s">
        <v>1400</v>
      </c>
      <c r="G915" s="49" t="s">
        <v>306</v>
      </c>
      <c r="H915" s="359" t="s">
        <v>1398</v>
      </c>
      <c r="I915" s="50" t="s">
        <v>302</v>
      </c>
      <c r="J915" s="50">
        <f t="shared" si="261"/>
        <v>60</v>
      </c>
      <c r="K915" s="50">
        <v>60</v>
      </c>
      <c r="L915" s="50">
        <v>0</v>
      </c>
      <c r="M915" s="50"/>
      <c r="N915" s="50">
        <v>0.6</v>
      </c>
      <c r="O915" s="50">
        <v>0</v>
      </c>
      <c r="P915" s="52">
        <v>2</v>
      </c>
      <c r="Q915" s="53"/>
      <c r="R915" s="56" t="s">
        <v>1295</v>
      </c>
      <c r="S915" s="56"/>
      <c r="T915" s="56" t="s">
        <v>1295</v>
      </c>
      <c r="U915" s="56" t="s">
        <v>1295</v>
      </c>
      <c r="V915" s="360" t="s">
        <v>1282</v>
      </c>
      <c r="W915" s="53"/>
      <c r="X915" s="53">
        <f t="shared" si="250"/>
        <v>0</v>
      </c>
      <c r="Y915" s="55"/>
      <c r="Z915" s="55"/>
      <c r="AA915" s="52">
        <f t="shared" si="251"/>
        <v>0</v>
      </c>
      <c r="AB915" s="53">
        <f t="shared" si="252"/>
        <v>0</v>
      </c>
      <c r="AC915" s="53">
        <f t="shared" si="253"/>
        <v>0</v>
      </c>
      <c r="AD915" s="53">
        <f t="shared" si="254"/>
        <v>0</v>
      </c>
      <c r="AE915" s="53">
        <f t="shared" si="255"/>
        <v>0</v>
      </c>
      <c r="AF915" s="53">
        <f t="shared" si="256"/>
        <v>0</v>
      </c>
      <c r="AG915" s="56">
        <f t="shared" si="257"/>
        <v>0</v>
      </c>
      <c r="AH915" s="53">
        <f t="shared" si="258"/>
        <v>0</v>
      </c>
      <c r="AI915" s="55"/>
      <c r="AJ915" s="53">
        <f t="shared" si="259"/>
        <v>0</v>
      </c>
      <c r="AK915" s="53">
        <f t="shared" si="260"/>
        <v>0</v>
      </c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7"/>
      <c r="AW915" s="57"/>
      <c r="AX915" s="57"/>
    </row>
    <row r="916" spans="2:50">
      <c r="B916" s="45">
        <v>987</v>
      </c>
      <c r="C916" s="46" t="s">
        <v>1272</v>
      </c>
      <c r="D916" s="172" t="s">
        <v>1348</v>
      </c>
      <c r="E916" s="173" t="s">
        <v>1397</v>
      </c>
      <c r="F916" s="48" t="s">
        <v>1401</v>
      </c>
      <c r="G916" s="49" t="s">
        <v>306</v>
      </c>
      <c r="H916" s="359" t="s">
        <v>1398</v>
      </c>
      <c r="I916" s="50" t="s">
        <v>302</v>
      </c>
      <c r="J916" s="50">
        <f t="shared" si="261"/>
        <v>55</v>
      </c>
      <c r="K916" s="50">
        <v>55</v>
      </c>
      <c r="L916" s="50">
        <v>0</v>
      </c>
      <c r="M916" s="50"/>
      <c r="N916" s="50">
        <v>0.7</v>
      </c>
      <c r="O916" s="50">
        <v>0</v>
      </c>
      <c r="P916" s="52">
        <v>2</v>
      </c>
      <c r="Q916" s="53"/>
      <c r="R916" s="56" t="s">
        <v>1295</v>
      </c>
      <c r="S916" s="56"/>
      <c r="T916" s="56" t="s">
        <v>1295</v>
      </c>
      <c r="U916" s="56" t="s">
        <v>1295</v>
      </c>
      <c r="V916" s="360" t="s">
        <v>1282</v>
      </c>
      <c r="W916" s="53"/>
      <c r="X916" s="53">
        <f t="shared" si="250"/>
        <v>0</v>
      </c>
      <c r="Y916" s="55"/>
      <c r="Z916" s="55"/>
      <c r="AA916" s="52">
        <f t="shared" si="251"/>
        <v>0</v>
      </c>
      <c r="AB916" s="53">
        <f t="shared" si="252"/>
        <v>0</v>
      </c>
      <c r="AC916" s="53">
        <f t="shared" si="253"/>
        <v>0</v>
      </c>
      <c r="AD916" s="53">
        <f t="shared" si="254"/>
        <v>0</v>
      </c>
      <c r="AE916" s="53">
        <f t="shared" si="255"/>
        <v>0</v>
      </c>
      <c r="AF916" s="53">
        <f t="shared" si="256"/>
        <v>0</v>
      </c>
      <c r="AG916" s="56">
        <f t="shared" si="257"/>
        <v>0</v>
      </c>
      <c r="AH916" s="53">
        <f t="shared" si="258"/>
        <v>0</v>
      </c>
      <c r="AI916" s="55"/>
      <c r="AJ916" s="53">
        <f t="shared" si="259"/>
        <v>0</v>
      </c>
      <c r="AK916" s="53">
        <f t="shared" si="260"/>
        <v>0</v>
      </c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7"/>
      <c r="AW916" s="57"/>
      <c r="AX916" s="57"/>
    </row>
    <row r="917" spans="2:50">
      <c r="B917" s="45">
        <v>988</v>
      </c>
      <c r="C917" s="46" t="s">
        <v>1272</v>
      </c>
      <c r="D917" s="172" t="s">
        <v>1348</v>
      </c>
      <c r="E917" s="173" t="s">
        <v>1397</v>
      </c>
      <c r="F917" s="48" t="s">
        <v>1402</v>
      </c>
      <c r="G917" s="49" t="s">
        <v>306</v>
      </c>
      <c r="H917" s="359" t="s">
        <v>1398</v>
      </c>
      <c r="I917" s="50" t="s">
        <v>302</v>
      </c>
      <c r="J917" s="50">
        <f t="shared" si="261"/>
        <v>25</v>
      </c>
      <c r="K917" s="50">
        <v>25</v>
      </c>
      <c r="L917" s="50">
        <v>0</v>
      </c>
      <c r="M917" s="50"/>
      <c r="N917" s="50">
        <v>0.4</v>
      </c>
      <c r="O917" s="50">
        <v>0</v>
      </c>
      <c r="P917" s="52">
        <v>2</v>
      </c>
      <c r="Q917" s="53"/>
      <c r="R917" s="56" t="s">
        <v>1295</v>
      </c>
      <c r="S917" s="56"/>
      <c r="T917" s="56" t="s">
        <v>1295</v>
      </c>
      <c r="U917" s="56" t="s">
        <v>1295</v>
      </c>
      <c r="V917" s="360" t="s">
        <v>1282</v>
      </c>
      <c r="W917" s="53"/>
      <c r="X917" s="53">
        <f t="shared" si="250"/>
        <v>0</v>
      </c>
      <c r="Y917" s="55"/>
      <c r="Z917" s="55"/>
      <c r="AA917" s="52">
        <f t="shared" si="251"/>
        <v>0</v>
      </c>
      <c r="AB917" s="53">
        <f t="shared" si="252"/>
        <v>0</v>
      </c>
      <c r="AC917" s="53">
        <f t="shared" si="253"/>
        <v>0</v>
      </c>
      <c r="AD917" s="53">
        <f t="shared" si="254"/>
        <v>0</v>
      </c>
      <c r="AE917" s="53">
        <f t="shared" si="255"/>
        <v>0</v>
      </c>
      <c r="AF917" s="53">
        <f t="shared" si="256"/>
        <v>0</v>
      </c>
      <c r="AG917" s="56">
        <f t="shared" si="257"/>
        <v>0</v>
      </c>
      <c r="AH917" s="53">
        <f t="shared" si="258"/>
        <v>0</v>
      </c>
      <c r="AI917" s="55"/>
      <c r="AJ917" s="53">
        <f t="shared" si="259"/>
        <v>0</v>
      </c>
      <c r="AK917" s="53">
        <f t="shared" si="260"/>
        <v>0</v>
      </c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7"/>
      <c r="AW917" s="57"/>
      <c r="AX917" s="57"/>
    </row>
    <row r="918" spans="2:50">
      <c r="B918" s="45">
        <v>989</v>
      </c>
      <c r="C918" s="46" t="s">
        <v>1272</v>
      </c>
      <c r="D918" s="172" t="s">
        <v>1348</v>
      </c>
      <c r="E918" s="173" t="s">
        <v>1397</v>
      </c>
      <c r="F918" s="48" t="s">
        <v>1403</v>
      </c>
      <c r="G918" s="49" t="s">
        <v>306</v>
      </c>
      <c r="H918" s="359" t="s">
        <v>1398</v>
      </c>
      <c r="I918" s="50" t="s">
        <v>302</v>
      </c>
      <c r="J918" s="50">
        <f t="shared" si="261"/>
        <v>20</v>
      </c>
      <c r="K918" s="50">
        <v>20</v>
      </c>
      <c r="L918" s="50">
        <v>0</v>
      </c>
      <c r="M918" s="50"/>
      <c r="N918" s="50">
        <v>0.3</v>
      </c>
      <c r="O918" s="50">
        <v>0</v>
      </c>
      <c r="P918" s="52">
        <v>2</v>
      </c>
      <c r="Q918" s="53"/>
      <c r="R918" s="56" t="s">
        <v>1295</v>
      </c>
      <c r="S918" s="56"/>
      <c r="T918" s="56" t="s">
        <v>1295</v>
      </c>
      <c r="U918" s="56" t="s">
        <v>1295</v>
      </c>
      <c r="V918" s="360" t="s">
        <v>1282</v>
      </c>
      <c r="W918" s="53"/>
      <c r="X918" s="53">
        <f t="shared" ref="X918:X925" si="262">SUMIF(W918,"Y",K918)</f>
        <v>0</v>
      </c>
      <c r="Y918" s="55"/>
      <c r="Z918" s="55"/>
      <c r="AA918" s="52">
        <f t="shared" ref="AA918:AA925" si="263">(COUNTA(AL918:AU918)-COUNTIF(AL918:AU918, "X"))</f>
        <v>0</v>
      </c>
      <c r="AB918" s="53">
        <f t="shared" ref="AB918:AB925" si="264">(COUNTA(AL918:AU918)-COUNTIF(AL918:AU918, "X"))*P918*K918</f>
        <v>0</v>
      </c>
      <c r="AC918" s="53">
        <f t="shared" ref="AC918:AC925" si="265">COUNTIF(AL918:AU918,"A")</f>
        <v>0</v>
      </c>
      <c r="AD918" s="53">
        <f t="shared" ref="AD918:AD925" si="266">COUNTIF(AL918:AU918,"V")*P918*M918</f>
        <v>0</v>
      </c>
      <c r="AE918" s="53">
        <f t="shared" ref="AE918:AE925" si="267">COUNTIF(AL918:AU918,"L")</f>
        <v>0</v>
      </c>
      <c r="AF918" s="53">
        <f t="shared" ref="AF918:AF925" si="268">COUNTIF(AL918:AU918,"L")*K918*P918</f>
        <v>0</v>
      </c>
      <c r="AG918" s="56">
        <f t="shared" ref="AG918:AG925" si="269">IF(Q918="Y",1,0)</f>
        <v>0</v>
      </c>
      <c r="AH918" s="53">
        <f t="shared" ref="AH918:AH925" si="270">IF(Q918="Y", AA918, 0)*K918*P918/2</f>
        <v>0</v>
      </c>
      <c r="AI918" s="55"/>
      <c r="AJ918" s="53">
        <f t="shared" ref="AJ918:AJ925" si="271">COUNTIF(AL918:AU918, "V")</f>
        <v>0</v>
      </c>
      <c r="AK918" s="53">
        <f t="shared" ref="AK918:AK925" si="272">AB918-AD918-AF918-AH918</f>
        <v>0</v>
      </c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7"/>
      <c r="AW918" s="57"/>
      <c r="AX918" s="57"/>
    </row>
    <row r="919" spans="2:50">
      <c r="B919" s="45">
        <v>990</v>
      </c>
      <c r="C919" s="46" t="s">
        <v>1272</v>
      </c>
      <c r="D919" s="172" t="s">
        <v>1348</v>
      </c>
      <c r="E919" s="173" t="s">
        <v>1397</v>
      </c>
      <c r="F919" s="48" t="s">
        <v>1404</v>
      </c>
      <c r="G919" s="49" t="s">
        <v>306</v>
      </c>
      <c r="H919" s="359" t="s">
        <v>1398</v>
      </c>
      <c r="I919" s="50" t="s">
        <v>302</v>
      </c>
      <c r="J919" s="50">
        <f t="shared" si="261"/>
        <v>15</v>
      </c>
      <c r="K919" s="50">
        <v>15</v>
      </c>
      <c r="L919" s="50">
        <v>0</v>
      </c>
      <c r="M919" s="50"/>
      <c r="N919" s="50">
        <v>0.3</v>
      </c>
      <c r="O919" s="50">
        <v>0</v>
      </c>
      <c r="P919" s="52">
        <v>2</v>
      </c>
      <c r="Q919" s="53"/>
      <c r="R919" s="56" t="s">
        <v>1295</v>
      </c>
      <c r="S919" s="56"/>
      <c r="T919" s="56" t="s">
        <v>1295</v>
      </c>
      <c r="U919" s="56" t="s">
        <v>1295</v>
      </c>
      <c r="V919" s="360" t="s">
        <v>1282</v>
      </c>
      <c r="W919" s="53"/>
      <c r="X919" s="53">
        <f t="shared" si="262"/>
        <v>0</v>
      </c>
      <c r="Y919" s="55"/>
      <c r="Z919" s="55"/>
      <c r="AA919" s="52">
        <f t="shared" si="263"/>
        <v>0</v>
      </c>
      <c r="AB919" s="53">
        <f t="shared" si="264"/>
        <v>0</v>
      </c>
      <c r="AC919" s="53">
        <f t="shared" si="265"/>
        <v>0</v>
      </c>
      <c r="AD919" s="53">
        <f t="shared" si="266"/>
        <v>0</v>
      </c>
      <c r="AE919" s="53">
        <f t="shared" si="267"/>
        <v>0</v>
      </c>
      <c r="AF919" s="53">
        <f t="shared" si="268"/>
        <v>0</v>
      </c>
      <c r="AG919" s="56">
        <f t="shared" si="269"/>
        <v>0</v>
      </c>
      <c r="AH919" s="53">
        <f t="shared" si="270"/>
        <v>0</v>
      </c>
      <c r="AI919" s="55"/>
      <c r="AJ919" s="53">
        <f t="shared" si="271"/>
        <v>0</v>
      </c>
      <c r="AK919" s="53">
        <f t="shared" si="272"/>
        <v>0</v>
      </c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7"/>
      <c r="AW919" s="57"/>
      <c r="AX919" s="57"/>
    </row>
    <row r="920" spans="2:50">
      <c r="B920" s="45">
        <v>991</v>
      </c>
      <c r="C920" s="46" t="s">
        <v>1272</v>
      </c>
      <c r="D920" s="172" t="s">
        <v>1348</v>
      </c>
      <c r="E920" s="173" t="s">
        <v>1397</v>
      </c>
      <c r="F920" s="48" t="s">
        <v>1405</v>
      </c>
      <c r="G920" s="49" t="s">
        <v>306</v>
      </c>
      <c r="H920" s="359" t="s">
        <v>1398</v>
      </c>
      <c r="I920" s="50" t="s">
        <v>302</v>
      </c>
      <c r="J920" s="344">
        <f t="shared" si="261"/>
        <v>13</v>
      </c>
      <c r="K920" s="344">
        <v>13</v>
      </c>
      <c r="L920" s="50">
        <v>0</v>
      </c>
      <c r="M920" s="50"/>
      <c r="N920" s="50">
        <v>0.2</v>
      </c>
      <c r="O920" s="50">
        <v>0</v>
      </c>
      <c r="P920" s="52">
        <v>2</v>
      </c>
      <c r="Q920" s="53"/>
      <c r="R920" s="56" t="s">
        <v>1295</v>
      </c>
      <c r="S920" s="56"/>
      <c r="T920" s="56" t="s">
        <v>1295</v>
      </c>
      <c r="U920" s="56" t="s">
        <v>1295</v>
      </c>
      <c r="V920" s="360" t="s">
        <v>1282</v>
      </c>
      <c r="W920" s="53"/>
      <c r="X920" s="53">
        <f t="shared" si="262"/>
        <v>0</v>
      </c>
      <c r="Y920" s="55"/>
      <c r="Z920" s="55"/>
      <c r="AA920" s="52">
        <f t="shared" si="263"/>
        <v>0</v>
      </c>
      <c r="AB920" s="53">
        <f t="shared" si="264"/>
        <v>0</v>
      </c>
      <c r="AC920" s="53">
        <f t="shared" si="265"/>
        <v>0</v>
      </c>
      <c r="AD920" s="53">
        <f t="shared" si="266"/>
        <v>0</v>
      </c>
      <c r="AE920" s="53">
        <f t="shared" si="267"/>
        <v>0</v>
      </c>
      <c r="AF920" s="53">
        <f t="shared" si="268"/>
        <v>0</v>
      </c>
      <c r="AG920" s="56">
        <f t="shared" si="269"/>
        <v>0</v>
      </c>
      <c r="AH920" s="53">
        <f t="shared" si="270"/>
        <v>0</v>
      </c>
      <c r="AI920" s="55"/>
      <c r="AJ920" s="53">
        <f t="shared" si="271"/>
        <v>0</v>
      </c>
      <c r="AK920" s="53">
        <f t="shared" si="272"/>
        <v>0</v>
      </c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7"/>
      <c r="AW920" s="57"/>
      <c r="AX920" s="57"/>
    </row>
    <row r="921" spans="2:50">
      <c r="B921" s="45">
        <v>992</v>
      </c>
      <c r="C921" s="46" t="s">
        <v>1272</v>
      </c>
      <c r="D921" s="172" t="s">
        <v>1348</v>
      </c>
      <c r="E921" s="173" t="s">
        <v>1397</v>
      </c>
      <c r="F921" s="48" t="s">
        <v>1406</v>
      </c>
      <c r="G921" s="49" t="s">
        <v>306</v>
      </c>
      <c r="H921" s="359" t="s">
        <v>1398</v>
      </c>
      <c r="I921" s="50" t="s">
        <v>302</v>
      </c>
      <c r="J921" s="50">
        <f t="shared" si="261"/>
        <v>27</v>
      </c>
      <c r="K921" s="50">
        <v>27</v>
      </c>
      <c r="L921" s="50">
        <v>0</v>
      </c>
      <c r="M921" s="50"/>
      <c r="N921" s="50">
        <v>0.4</v>
      </c>
      <c r="O921" s="50">
        <v>0</v>
      </c>
      <c r="P921" s="52">
        <v>2</v>
      </c>
      <c r="Q921" s="53"/>
      <c r="R921" s="56" t="s">
        <v>1295</v>
      </c>
      <c r="S921" s="56"/>
      <c r="T921" s="56" t="s">
        <v>1295</v>
      </c>
      <c r="U921" s="56" t="s">
        <v>1295</v>
      </c>
      <c r="V921" s="360" t="s">
        <v>1282</v>
      </c>
      <c r="W921" s="53"/>
      <c r="X921" s="53">
        <f t="shared" si="262"/>
        <v>0</v>
      </c>
      <c r="Y921" s="55"/>
      <c r="Z921" s="55"/>
      <c r="AA921" s="52">
        <f t="shared" si="263"/>
        <v>0</v>
      </c>
      <c r="AB921" s="53">
        <f t="shared" si="264"/>
        <v>0</v>
      </c>
      <c r="AC921" s="53">
        <f t="shared" si="265"/>
        <v>0</v>
      </c>
      <c r="AD921" s="53">
        <f t="shared" si="266"/>
        <v>0</v>
      </c>
      <c r="AE921" s="53">
        <f t="shared" si="267"/>
        <v>0</v>
      </c>
      <c r="AF921" s="53">
        <f t="shared" si="268"/>
        <v>0</v>
      </c>
      <c r="AG921" s="56">
        <f t="shared" si="269"/>
        <v>0</v>
      </c>
      <c r="AH921" s="53">
        <f t="shared" si="270"/>
        <v>0</v>
      </c>
      <c r="AI921" s="55"/>
      <c r="AJ921" s="53">
        <f t="shared" si="271"/>
        <v>0</v>
      </c>
      <c r="AK921" s="53">
        <f t="shared" si="272"/>
        <v>0</v>
      </c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7"/>
      <c r="AW921" s="57"/>
      <c r="AX921" s="57"/>
    </row>
    <row r="922" spans="2:50">
      <c r="B922" s="45">
        <v>993</v>
      </c>
      <c r="C922" s="46" t="s">
        <v>1272</v>
      </c>
      <c r="D922" s="172" t="s">
        <v>1348</v>
      </c>
      <c r="E922" s="173" t="s">
        <v>1397</v>
      </c>
      <c r="F922" s="48" t="s">
        <v>1407</v>
      </c>
      <c r="G922" s="49" t="s">
        <v>306</v>
      </c>
      <c r="H922" s="359" t="s">
        <v>1398</v>
      </c>
      <c r="I922" s="50" t="s">
        <v>302</v>
      </c>
      <c r="J922" s="344">
        <f t="shared" si="261"/>
        <v>5</v>
      </c>
      <c r="K922" s="344">
        <v>5</v>
      </c>
      <c r="L922" s="344">
        <v>0</v>
      </c>
      <c r="M922" s="50"/>
      <c r="N922" s="344">
        <v>0.1</v>
      </c>
      <c r="O922" s="344">
        <v>0</v>
      </c>
      <c r="P922" s="345">
        <v>2</v>
      </c>
      <c r="Q922" s="53"/>
      <c r="R922" s="56" t="s">
        <v>1295</v>
      </c>
      <c r="S922" s="56"/>
      <c r="T922" s="56" t="s">
        <v>1295</v>
      </c>
      <c r="U922" s="56" t="s">
        <v>1295</v>
      </c>
      <c r="V922" s="360" t="s">
        <v>1282</v>
      </c>
      <c r="W922" s="53"/>
      <c r="X922" s="53">
        <f t="shared" si="262"/>
        <v>0</v>
      </c>
      <c r="Y922" s="55"/>
      <c r="Z922" s="55"/>
      <c r="AA922" s="52">
        <f t="shared" si="263"/>
        <v>0</v>
      </c>
      <c r="AB922" s="53">
        <f t="shared" si="264"/>
        <v>0</v>
      </c>
      <c r="AC922" s="53">
        <f t="shared" si="265"/>
        <v>0</v>
      </c>
      <c r="AD922" s="53">
        <f t="shared" si="266"/>
        <v>0</v>
      </c>
      <c r="AE922" s="53">
        <f t="shared" si="267"/>
        <v>0</v>
      </c>
      <c r="AF922" s="53">
        <f t="shared" si="268"/>
        <v>0</v>
      </c>
      <c r="AG922" s="56">
        <f t="shared" si="269"/>
        <v>0</v>
      </c>
      <c r="AH922" s="53">
        <f t="shared" si="270"/>
        <v>0</v>
      </c>
      <c r="AI922" s="55"/>
      <c r="AJ922" s="53">
        <f t="shared" si="271"/>
        <v>0</v>
      </c>
      <c r="AK922" s="53">
        <f t="shared" si="272"/>
        <v>0</v>
      </c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7"/>
      <c r="AW922" s="57"/>
      <c r="AX922" s="57"/>
    </row>
    <row r="923" spans="2:50">
      <c r="B923" s="45">
        <v>994</v>
      </c>
      <c r="C923" s="46" t="s">
        <v>1272</v>
      </c>
      <c r="D923" s="172" t="s">
        <v>1348</v>
      </c>
      <c r="E923" s="173" t="s">
        <v>1397</v>
      </c>
      <c r="F923" s="48" t="s">
        <v>1408</v>
      </c>
      <c r="G923" s="49" t="s">
        <v>306</v>
      </c>
      <c r="H923" s="359" t="s">
        <v>1398</v>
      </c>
      <c r="I923" s="50" t="s">
        <v>302</v>
      </c>
      <c r="J923" s="344">
        <f t="shared" si="261"/>
        <v>1445</v>
      </c>
      <c r="K923" s="344">
        <v>5</v>
      </c>
      <c r="L923" s="344">
        <v>1440</v>
      </c>
      <c r="M923" s="50"/>
      <c r="N923" s="344">
        <v>0.1</v>
      </c>
      <c r="O923" s="344">
        <v>24</v>
      </c>
      <c r="P923" s="345">
        <v>2</v>
      </c>
      <c r="Q923" s="53"/>
      <c r="R923" s="56" t="s">
        <v>1295</v>
      </c>
      <c r="S923" s="56"/>
      <c r="T923" s="56" t="s">
        <v>1295</v>
      </c>
      <c r="U923" s="56" t="s">
        <v>1295</v>
      </c>
      <c r="V923" s="360" t="s">
        <v>1282</v>
      </c>
      <c r="W923" s="53"/>
      <c r="X923" s="53">
        <f t="shared" si="262"/>
        <v>0</v>
      </c>
      <c r="Y923" s="55"/>
      <c r="Z923" s="55"/>
      <c r="AA923" s="52">
        <f t="shared" si="263"/>
        <v>0</v>
      </c>
      <c r="AB923" s="53">
        <f t="shared" si="264"/>
        <v>0</v>
      </c>
      <c r="AC923" s="53">
        <f t="shared" si="265"/>
        <v>0</v>
      </c>
      <c r="AD923" s="53">
        <f t="shared" si="266"/>
        <v>0</v>
      </c>
      <c r="AE923" s="53">
        <f t="shared" si="267"/>
        <v>0</v>
      </c>
      <c r="AF923" s="53">
        <f t="shared" si="268"/>
        <v>0</v>
      </c>
      <c r="AG923" s="56">
        <f t="shared" si="269"/>
        <v>0</v>
      </c>
      <c r="AH923" s="53">
        <f t="shared" si="270"/>
        <v>0</v>
      </c>
      <c r="AI923" s="55"/>
      <c r="AJ923" s="53">
        <f t="shared" si="271"/>
        <v>0</v>
      </c>
      <c r="AK923" s="53">
        <f t="shared" si="272"/>
        <v>0</v>
      </c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7"/>
      <c r="AW923" s="57"/>
      <c r="AX923" s="57"/>
    </row>
    <row r="924" spans="2:50">
      <c r="B924" s="45">
        <v>995</v>
      </c>
      <c r="C924" s="46" t="s">
        <v>1272</v>
      </c>
      <c r="D924" s="172" t="s">
        <v>1348</v>
      </c>
      <c r="E924" s="173" t="s">
        <v>1397</v>
      </c>
      <c r="F924" s="48" t="s">
        <v>1357</v>
      </c>
      <c r="G924" s="49" t="s">
        <v>306</v>
      </c>
      <c r="H924" s="359" t="s">
        <v>1398</v>
      </c>
      <c r="I924" s="50" t="s">
        <v>302</v>
      </c>
      <c r="J924" s="344">
        <f t="shared" si="261"/>
        <v>3</v>
      </c>
      <c r="K924" s="344">
        <v>3</v>
      </c>
      <c r="L924" s="344">
        <v>0</v>
      </c>
      <c r="M924" s="50"/>
      <c r="N924" s="344">
        <v>0.05</v>
      </c>
      <c r="O924" s="344">
        <v>0</v>
      </c>
      <c r="P924" s="345">
        <v>2</v>
      </c>
      <c r="Q924" s="53"/>
      <c r="R924" s="56" t="s">
        <v>1295</v>
      </c>
      <c r="S924" s="56"/>
      <c r="T924" s="56" t="s">
        <v>1295</v>
      </c>
      <c r="U924" s="56" t="s">
        <v>1295</v>
      </c>
      <c r="V924" s="360" t="s">
        <v>1282</v>
      </c>
      <c r="W924" s="53"/>
      <c r="X924" s="53">
        <f t="shared" si="262"/>
        <v>0</v>
      </c>
      <c r="Y924" s="55"/>
      <c r="Z924" s="55"/>
      <c r="AA924" s="52">
        <f t="shared" si="263"/>
        <v>0</v>
      </c>
      <c r="AB924" s="53">
        <f t="shared" si="264"/>
        <v>0</v>
      </c>
      <c r="AC924" s="53">
        <f t="shared" si="265"/>
        <v>0</v>
      </c>
      <c r="AD924" s="53">
        <f t="shared" si="266"/>
        <v>0</v>
      </c>
      <c r="AE924" s="53">
        <f t="shared" si="267"/>
        <v>0</v>
      </c>
      <c r="AF924" s="53">
        <f t="shared" si="268"/>
        <v>0</v>
      </c>
      <c r="AG924" s="56">
        <f t="shared" si="269"/>
        <v>0</v>
      </c>
      <c r="AH924" s="53">
        <f t="shared" si="270"/>
        <v>0</v>
      </c>
      <c r="AI924" s="55"/>
      <c r="AJ924" s="53">
        <f t="shared" si="271"/>
        <v>0</v>
      </c>
      <c r="AK924" s="53">
        <f t="shared" si="272"/>
        <v>0</v>
      </c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7"/>
      <c r="AW924" s="57"/>
      <c r="AX924" s="57"/>
    </row>
    <row r="925" spans="2:50">
      <c r="B925" s="45">
        <v>996</v>
      </c>
      <c r="C925" s="46" t="s">
        <v>1272</v>
      </c>
      <c r="D925" s="366" t="s">
        <v>1409</v>
      </c>
      <c r="E925" s="367" t="s">
        <v>1410</v>
      </c>
      <c r="F925" s="48" t="s">
        <v>1411</v>
      </c>
      <c r="G925" s="49" t="s">
        <v>1412</v>
      </c>
      <c r="H925" s="364" t="s">
        <v>1413</v>
      </c>
      <c r="I925" s="344" t="s">
        <v>1278</v>
      </c>
      <c r="J925" s="344">
        <f t="shared" si="261"/>
        <v>708</v>
      </c>
      <c r="K925" s="344">
        <v>360</v>
      </c>
      <c r="L925" s="344">
        <v>348</v>
      </c>
      <c r="M925" s="50"/>
      <c r="N925" s="344">
        <v>3.25</v>
      </c>
      <c r="O925" s="344">
        <v>5.8</v>
      </c>
      <c r="P925" s="345">
        <v>2</v>
      </c>
      <c r="Q925" s="53"/>
      <c r="R925" s="56"/>
      <c r="S925" s="56" t="s">
        <v>1295</v>
      </c>
      <c r="T925" s="56" t="s">
        <v>1295</v>
      </c>
      <c r="U925" s="56" t="s">
        <v>1295</v>
      </c>
      <c r="V925" s="360" t="s">
        <v>1279</v>
      </c>
      <c r="W925" s="53"/>
      <c r="X925" s="53">
        <f t="shared" si="262"/>
        <v>0</v>
      </c>
      <c r="Y925" s="55"/>
      <c r="Z925" s="55"/>
      <c r="AA925" s="52">
        <f t="shared" si="263"/>
        <v>0</v>
      </c>
      <c r="AB925" s="53">
        <f t="shared" si="264"/>
        <v>0</v>
      </c>
      <c r="AC925" s="53">
        <f t="shared" si="265"/>
        <v>0</v>
      </c>
      <c r="AD925" s="53">
        <f t="shared" si="266"/>
        <v>0</v>
      </c>
      <c r="AE925" s="53">
        <f t="shared" si="267"/>
        <v>0</v>
      </c>
      <c r="AF925" s="53">
        <f t="shared" si="268"/>
        <v>0</v>
      </c>
      <c r="AG925" s="56">
        <f t="shared" si="269"/>
        <v>0</v>
      </c>
      <c r="AH925" s="53">
        <f t="shared" si="270"/>
        <v>0</v>
      </c>
      <c r="AI925" s="55"/>
      <c r="AJ925" s="53">
        <f t="shared" si="271"/>
        <v>0</v>
      </c>
      <c r="AK925" s="53">
        <f t="shared" si="272"/>
        <v>0</v>
      </c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7"/>
      <c r="AW925" s="57"/>
      <c r="AX925" s="57"/>
    </row>
    <row r="926" spans="2:50">
      <c r="B926" s="138" t="s">
        <v>1414</v>
      </c>
      <c r="C926" s="139"/>
      <c r="D926" s="139"/>
      <c r="E926" s="139"/>
      <c r="F926" s="140"/>
      <c r="G926" s="141"/>
      <c r="H926" s="141"/>
      <c r="I926" s="142" t="s">
        <v>151</v>
      </c>
      <c r="J926" s="143">
        <f t="shared" si="261"/>
        <v>114.325</v>
      </c>
      <c r="K926" s="143">
        <f>K927/60</f>
        <v>0.27500000000000002</v>
      </c>
      <c r="L926" s="143">
        <f t="shared" ref="L926:O926" si="273">L927/60</f>
        <v>114.05</v>
      </c>
      <c r="M926" s="143">
        <f t="shared" si="273"/>
        <v>0</v>
      </c>
      <c r="N926" s="143">
        <f t="shared" si="273"/>
        <v>0</v>
      </c>
      <c r="O926" s="143">
        <f t="shared" si="273"/>
        <v>0</v>
      </c>
      <c r="P926" s="150"/>
      <c r="Q926" s="143"/>
      <c r="R926" s="358"/>
      <c r="S926" s="358"/>
      <c r="T926" s="358"/>
      <c r="U926" s="358"/>
      <c r="V926" s="143"/>
      <c r="W926" s="143"/>
      <c r="X926" s="143">
        <f>X927/60</f>
        <v>0</v>
      </c>
      <c r="Y926" s="143"/>
      <c r="Z926" s="143"/>
      <c r="AA926" s="143"/>
      <c r="AB926" s="143">
        <f t="shared" ref="AB926:AF926" si="274">AB927/60</f>
        <v>0</v>
      </c>
      <c r="AC926" s="143"/>
      <c r="AD926" s="143">
        <f t="shared" si="274"/>
        <v>0</v>
      </c>
      <c r="AE926" s="143"/>
      <c r="AF926" s="143">
        <f t="shared" si="274"/>
        <v>0</v>
      </c>
      <c r="AG926" s="143"/>
      <c r="AH926" s="143">
        <f>AH927/60</f>
        <v>0</v>
      </c>
      <c r="AI926" s="143"/>
      <c r="AJ926" s="143"/>
      <c r="AK926" s="143">
        <f>AK927/60</f>
        <v>0</v>
      </c>
      <c r="AL926" s="143"/>
      <c r="AM926" s="143"/>
      <c r="AN926" s="143"/>
      <c r="AO926" s="143"/>
      <c r="AP926" s="143"/>
      <c r="AQ926" s="143"/>
      <c r="AR926" s="143"/>
      <c r="AS926" s="143"/>
      <c r="AT926" s="143"/>
      <c r="AU926" s="143"/>
      <c r="AV926" s="143"/>
      <c r="AW926" s="143"/>
      <c r="AX926" s="143">
        <f>AX927/60</f>
        <v>0</v>
      </c>
    </row>
    <row r="927" spans="2:50">
      <c r="B927" s="146"/>
      <c r="C927" s="147"/>
      <c r="D927" s="147"/>
      <c r="E927" s="147"/>
      <c r="F927" s="148"/>
      <c r="G927" s="141"/>
      <c r="H927" s="141"/>
      <c r="I927" s="149" t="s">
        <v>153</v>
      </c>
      <c r="J927" s="143">
        <f t="shared" si="261"/>
        <v>6859.5</v>
      </c>
      <c r="K927" s="143">
        <f>SUMIF($I928:$I938,"DQA",K928:K938)</f>
        <v>16.5</v>
      </c>
      <c r="L927" s="143">
        <f t="shared" ref="L927:O927" si="275">SUMIF($I928:$I938,"DQA",L928:L938)</f>
        <v>6843</v>
      </c>
      <c r="M927" s="143">
        <f t="shared" si="275"/>
        <v>0</v>
      </c>
      <c r="N927" s="143">
        <f t="shared" si="275"/>
        <v>0</v>
      </c>
      <c r="O927" s="143">
        <f t="shared" si="275"/>
        <v>0</v>
      </c>
      <c r="P927" s="150"/>
      <c r="Q927" s="143"/>
      <c r="R927" s="358"/>
      <c r="S927" s="358"/>
      <c r="T927" s="358"/>
      <c r="U927" s="358"/>
      <c r="V927" s="143"/>
      <c r="W927" s="143"/>
      <c r="X927" s="143">
        <f>SUM(X928:X938)</f>
        <v>0</v>
      </c>
      <c r="Y927" s="143"/>
      <c r="Z927" s="143"/>
      <c r="AA927" s="143"/>
      <c r="AB927" s="143">
        <f t="shared" ref="AB927:AK927" si="276">SUM(AB928:AB938)</f>
        <v>0</v>
      </c>
      <c r="AC927" s="143"/>
      <c r="AD927" s="143">
        <f t="shared" si="276"/>
        <v>0</v>
      </c>
      <c r="AE927" s="143"/>
      <c r="AF927" s="143">
        <f t="shared" si="276"/>
        <v>0</v>
      </c>
      <c r="AG927" s="143"/>
      <c r="AH927" s="143">
        <f t="shared" si="276"/>
        <v>0</v>
      </c>
      <c r="AI927" s="143"/>
      <c r="AJ927" s="143"/>
      <c r="AK927" s="143">
        <f t="shared" si="276"/>
        <v>0</v>
      </c>
      <c r="AL927" s="143"/>
      <c r="AM927" s="143"/>
      <c r="AN927" s="143"/>
      <c r="AO927" s="143"/>
      <c r="AP927" s="143"/>
      <c r="AQ927" s="143"/>
      <c r="AR927" s="143"/>
      <c r="AS927" s="143"/>
      <c r="AT927" s="143"/>
      <c r="AU927" s="143"/>
      <c r="AV927" s="143"/>
      <c r="AW927" s="143"/>
      <c r="AX927" s="143">
        <f>SUM(AX928:AX938)</f>
        <v>0</v>
      </c>
    </row>
    <row r="928" spans="2:50">
      <c r="B928" s="45">
        <v>997</v>
      </c>
      <c r="C928" s="368" t="s">
        <v>1415</v>
      </c>
      <c r="D928" s="369" t="s">
        <v>1416</v>
      </c>
      <c r="E928" s="369" t="s">
        <v>1416</v>
      </c>
      <c r="F928" s="370" t="s">
        <v>1416</v>
      </c>
      <c r="G928" s="371" t="s">
        <v>780</v>
      </c>
      <c r="H928" s="364" t="s">
        <v>1417</v>
      </c>
      <c r="I928" s="344" t="s">
        <v>1278</v>
      </c>
      <c r="J928" s="344">
        <f t="shared" si="261"/>
        <v>6</v>
      </c>
      <c r="K928" s="344">
        <v>3</v>
      </c>
      <c r="L928" s="344">
        <v>3</v>
      </c>
      <c r="M928" s="344"/>
      <c r="N928" s="344"/>
      <c r="O928" s="344"/>
      <c r="P928" s="345">
        <v>3</v>
      </c>
      <c r="Q928" s="372"/>
      <c r="R928" s="373" t="s">
        <v>158</v>
      </c>
      <c r="S928" s="373" t="s">
        <v>158</v>
      </c>
      <c r="T928" s="373" t="s">
        <v>158</v>
      </c>
      <c r="U928" s="373" t="s">
        <v>158</v>
      </c>
      <c r="V928" s="344" t="s">
        <v>1418</v>
      </c>
      <c r="W928" s="372"/>
      <c r="X928" s="53">
        <f t="shared" ref="X928:X938" si="277">SUMIF(W928,"Y",K928)</f>
        <v>0</v>
      </c>
      <c r="Y928" s="55"/>
      <c r="Z928" s="55"/>
      <c r="AA928" s="52">
        <f t="shared" ref="AA928:AA938" si="278">(COUNTA(AL928:AU928)-COUNTIF(AL928:AU928, "X"))</f>
        <v>0</v>
      </c>
      <c r="AB928" s="53">
        <f t="shared" ref="AB928:AB938" si="279">(COUNTA(AL928:AU928)-COUNTIF(AL928:AU928, "X"))*P928*K928</f>
        <v>0</v>
      </c>
      <c r="AC928" s="53">
        <f t="shared" ref="AC928:AC938" si="280">COUNTIF(AL928:AU928,"A")</f>
        <v>0</v>
      </c>
      <c r="AD928" s="53">
        <f t="shared" ref="AD928:AD938" si="281">COUNTIF(AL928:AU928,"V")*P928*M928</f>
        <v>0</v>
      </c>
      <c r="AE928" s="53">
        <f t="shared" ref="AE928:AE938" si="282">COUNTIF(AL928:AU928,"L")</f>
        <v>0</v>
      </c>
      <c r="AF928" s="53">
        <f t="shared" ref="AF928:AF938" si="283">COUNTIF(AL928:AU928,"L")*K928*P928</f>
        <v>0</v>
      </c>
      <c r="AG928" s="56">
        <f t="shared" ref="AG928:AG938" si="284">IF(Q928="Y",1,0)</f>
        <v>0</v>
      </c>
      <c r="AH928" s="53">
        <f t="shared" ref="AH928:AH938" si="285">IF(Q928="Y", AA928, 0)*K928*P928/2</f>
        <v>0</v>
      </c>
      <c r="AI928" s="55"/>
      <c r="AJ928" s="53">
        <f t="shared" ref="AJ928:AJ938" si="286">COUNTIF(AL928:AU928, "V")</f>
        <v>0</v>
      </c>
      <c r="AK928" s="53">
        <f t="shared" ref="AK928:AK938" si="287">AB928-AD928-AF928-AH928</f>
        <v>0</v>
      </c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7"/>
      <c r="AW928" s="57"/>
      <c r="AX928" s="57"/>
    </row>
    <row r="929" spans="2:50">
      <c r="B929" s="45">
        <v>998</v>
      </c>
      <c r="C929" s="368" t="s">
        <v>1414</v>
      </c>
      <c r="D929" s="369" t="s">
        <v>1419</v>
      </c>
      <c r="E929" s="369" t="s">
        <v>1419</v>
      </c>
      <c r="F929" s="370" t="s">
        <v>1420</v>
      </c>
      <c r="G929" s="371" t="s">
        <v>780</v>
      </c>
      <c r="H929" s="364" t="s">
        <v>1421</v>
      </c>
      <c r="I929" s="344" t="s">
        <v>1278</v>
      </c>
      <c r="J929" s="344">
        <f t="shared" si="261"/>
        <v>961</v>
      </c>
      <c r="K929" s="344">
        <v>1</v>
      </c>
      <c r="L929" s="344">
        <v>960</v>
      </c>
      <c r="M929" s="344"/>
      <c r="N929" s="344"/>
      <c r="O929" s="344"/>
      <c r="P929" s="345">
        <v>3</v>
      </c>
      <c r="Q929" s="372"/>
      <c r="R929" s="373" t="s">
        <v>158</v>
      </c>
      <c r="S929" s="373" t="s">
        <v>158</v>
      </c>
      <c r="T929" s="373" t="s">
        <v>158</v>
      </c>
      <c r="U929" s="373" t="s">
        <v>158</v>
      </c>
      <c r="V929" s="344" t="s">
        <v>1418</v>
      </c>
      <c r="W929" s="372"/>
      <c r="X929" s="53">
        <f t="shared" si="277"/>
        <v>0</v>
      </c>
      <c r="Y929" s="55"/>
      <c r="Z929" s="55"/>
      <c r="AA929" s="52">
        <f t="shared" si="278"/>
        <v>0</v>
      </c>
      <c r="AB929" s="53">
        <f t="shared" si="279"/>
        <v>0</v>
      </c>
      <c r="AC929" s="53">
        <f t="shared" si="280"/>
        <v>0</v>
      </c>
      <c r="AD929" s="53">
        <f t="shared" si="281"/>
        <v>0</v>
      </c>
      <c r="AE929" s="53">
        <f t="shared" si="282"/>
        <v>0</v>
      </c>
      <c r="AF929" s="53">
        <f t="shared" si="283"/>
        <v>0</v>
      </c>
      <c r="AG929" s="56">
        <f t="shared" si="284"/>
        <v>0</v>
      </c>
      <c r="AH929" s="53">
        <f t="shared" si="285"/>
        <v>0</v>
      </c>
      <c r="AI929" s="55"/>
      <c r="AJ929" s="53">
        <f t="shared" si="286"/>
        <v>0</v>
      </c>
      <c r="AK929" s="53">
        <f t="shared" si="287"/>
        <v>0</v>
      </c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7"/>
      <c r="AW929" s="57"/>
      <c r="AX929" s="57"/>
    </row>
    <row r="930" spans="2:50">
      <c r="B930" s="45">
        <v>999</v>
      </c>
      <c r="C930" s="368" t="s">
        <v>1414</v>
      </c>
      <c r="D930" s="369" t="s">
        <v>1419</v>
      </c>
      <c r="E930" s="369" t="s">
        <v>1419</v>
      </c>
      <c r="F930" s="370" t="s">
        <v>1422</v>
      </c>
      <c r="G930" s="371" t="s">
        <v>780</v>
      </c>
      <c r="H930" s="364" t="s">
        <v>1421</v>
      </c>
      <c r="I930" s="344" t="s">
        <v>1278</v>
      </c>
      <c r="J930" s="344">
        <f t="shared" si="261"/>
        <v>781</v>
      </c>
      <c r="K930" s="344">
        <v>1</v>
      </c>
      <c r="L930" s="344">
        <v>780</v>
      </c>
      <c r="M930" s="344"/>
      <c r="N930" s="344"/>
      <c r="O930" s="344"/>
      <c r="P930" s="345">
        <v>3</v>
      </c>
      <c r="Q930" s="372"/>
      <c r="R930" s="373" t="s">
        <v>158</v>
      </c>
      <c r="S930" s="373" t="s">
        <v>158</v>
      </c>
      <c r="T930" s="373" t="s">
        <v>158</v>
      </c>
      <c r="U930" s="373" t="s">
        <v>158</v>
      </c>
      <c r="V930" s="344" t="s">
        <v>1418</v>
      </c>
      <c r="W930" s="372"/>
      <c r="X930" s="53">
        <f t="shared" si="277"/>
        <v>0</v>
      </c>
      <c r="Y930" s="55"/>
      <c r="Z930" s="55"/>
      <c r="AA930" s="52">
        <f t="shared" si="278"/>
        <v>0</v>
      </c>
      <c r="AB930" s="53">
        <f t="shared" si="279"/>
        <v>0</v>
      </c>
      <c r="AC930" s="53">
        <f t="shared" si="280"/>
        <v>0</v>
      </c>
      <c r="AD930" s="53">
        <f t="shared" si="281"/>
        <v>0</v>
      </c>
      <c r="AE930" s="53">
        <f t="shared" si="282"/>
        <v>0</v>
      </c>
      <c r="AF930" s="53">
        <f t="shared" si="283"/>
        <v>0</v>
      </c>
      <c r="AG930" s="56">
        <f t="shared" si="284"/>
        <v>0</v>
      </c>
      <c r="AH930" s="53">
        <f t="shared" si="285"/>
        <v>0</v>
      </c>
      <c r="AI930" s="55"/>
      <c r="AJ930" s="53">
        <f t="shared" si="286"/>
        <v>0</v>
      </c>
      <c r="AK930" s="53">
        <f t="shared" si="287"/>
        <v>0</v>
      </c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7"/>
      <c r="AW930" s="57"/>
      <c r="AX930" s="57"/>
    </row>
    <row r="931" spans="2:50">
      <c r="B931" s="45">
        <v>1000</v>
      </c>
      <c r="C931" s="368" t="s">
        <v>1414</v>
      </c>
      <c r="D931" s="369" t="s">
        <v>1419</v>
      </c>
      <c r="E931" s="369" t="s">
        <v>1419</v>
      </c>
      <c r="F931" s="370" t="s">
        <v>1423</v>
      </c>
      <c r="G931" s="371" t="s">
        <v>780</v>
      </c>
      <c r="H931" s="364" t="s">
        <v>1421</v>
      </c>
      <c r="I931" s="344" t="s">
        <v>1278</v>
      </c>
      <c r="J931" s="344">
        <f t="shared" si="261"/>
        <v>721</v>
      </c>
      <c r="K931" s="344">
        <v>1</v>
      </c>
      <c r="L931" s="344">
        <v>720</v>
      </c>
      <c r="M931" s="344"/>
      <c r="N931" s="344"/>
      <c r="O931" s="344"/>
      <c r="P931" s="345">
        <v>3</v>
      </c>
      <c r="Q931" s="372"/>
      <c r="R931" s="373" t="s">
        <v>158</v>
      </c>
      <c r="S931" s="373" t="s">
        <v>158</v>
      </c>
      <c r="T931" s="373" t="s">
        <v>158</v>
      </c>
      <c r="U931" s="373" t="s">
        <v>158</v>
      </c>
      <c r="V931" s="344" t="s">
        <v>1418</v>
      </c>
      <c r="W931" s="372"/>
      <c r="X931" s="53">
        <f t="shared" si="277"/>
        <v>0</v>
      </c>
      <c r="Y931" s="55"/>
      <c r="Z931" s="55"/>
      <c r="AA931" s="52">
        <f t="shared" si="278"/>
        <v>0</v>
      </c>
      <c r="AB931" s="53">
        <f t="shared" si="279"/>
        <v>0</v>
      </c>
      <c r="AC931" s="53">
        <f t="shared" si="280"/>
        <v>0</v>
      </c>
      <c r="AD931" s="53">
        <f t="shared" si="281"/>
        <v>0</v>
      </c>
      <c r="AE931" s="53">
        <f t="shared" si="282"/>
        <v>0</v>
      </c>
      <c r="AF931" s="53">
        <f t="shared" si="283"/>
        <v>0</v>
      </c>
      <c r="AG931" s="56">
        <f t="shared" si="284"/>
        <v>0</v>
      </c>
      <c r="AH931" s="53">
        <f t="shared" si="285"/>
        <v>0</v>
      </c>
      <c r="AI931" s="55"/>
      <c r="AJ931" s="53">
        <f t="shared" si="286"/>
        <v>0</v>
      </c>
      <c r="AK931" s="53">
        <f t="shared" si="287"/>
        <v>0</v>
      </c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7"/>
      <c r="AW931" s="57"/>
      <c r="AX931" s="57"/>
    </row>
    <row r="932" spans="2:50">
      <c r="B932" s="45">
        <v>1001</v>
      </c>
      <c r="C932" s="368" t="s">
        <v>1414</v>
      </c>
      <c r="D932" s="369" t="s">
        <v>1419</v>
      </c>
      <c r="E932" s="369" t="s">
        <v>1419</v>
      </c>
      <c r="F932" s="370" t="s">
        <v>1424</v>
      </c>
      <c r="G932" s="371" t="s">
        <v>780</v>
      </c>
      <c r="H932" s="364" t="s">
        <v>1421</v>
      </c>
      <c r="I932" s="344" t="s">
        <v>1278</v>
      </c>
      <c r="J932" s="344">
        <f t="shared" si="261"/>
        <v>841</v>
      </c>
      <c r="K932" s="344">
        <v>1</v>
      </c>
      <c r="L932" s="344">
        <v>840</v>
      </c>
      <c r="M932" s="344"/>
      <c r="N932" s="344"/>
      <c r="O932" s="344"/>
      <c r="P932" s="345">
        <v>3</v>
      </c>
      <c r="Q932" s="372"/>
      <c r="R932" s="373" t="s">
        <v>158</v>
      </c>
      <c r="S932" s="373" t="s">
        <v>158</v>
      </c>
      <c r="T932" s="373" t="s">
        <v>158</v>
      </c>
      <c r="U932" s="373" t="s">
        <v>158</v>
      </c>
      <c r="V932" s="344" t="s">
        <v>1418</v>
      </c>
      <c r="W932" s="372"/>
      <c r="X932" s="53">
        <f t="shared" si="277"/>
        <v>0</v>
      </c>
      <c r="Y932" s="55"/>
      <c r="Z932" s="55"/>
      <c r="AA932" s="52">
        <f t="shared" si="278"/>
        <v>0</v>
      </c>
      <c r="AB932" s="53">
        <f t="shared" si="279"/>
        <v>0</v>
      </c>
      <c r="AC932" s="53">
        <f t="shared" si="280"/>
        <v>0</v>
      </c>
      <c r="AD932" s="53">
        <f t="shared" si="281"/>
        <v>0</v>
      </c>
      <c r="AE932" s="53">
        <f t="shared" si="282"/>
        <v>0</v>
      </c>
      <c r="AF932" s="53">
        <f t="shared" si="283"/>
        <v>0</v>
      </c>
      <c r="AG932" s="56">
        <f t="shared" si="284"/>
        <v>0</v>
      </c>
      <c r="AH932" s="53">
        <f t="shared" si="285"/>
        <v>0</v>
      </c>
      <c r="AI932" s="55"/>
      <c r="AJ932" s="53">
        <f t="shared" si="286"/>
        <v>0</v>
      </c>
      <c r="AK932" s="53">
        <f t="shared" si="287"/>
        <v>0</v>
      </c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7"/>
      <c r="AW932" s="57"/>
      <c r="AX932" s="57"/>
    </row>
    <row r="933" spans="2:50">
      <c r="B933" s="45">
        <v>1002</v>
      </c>
      <c r="C933" s="368" t="s">
        <v>1414</v>
      </c>
      <c r="D933" s="369" t="s">
        <v>1419</v>
      </c>
      <c r="E933" s="369" t="s">
        <v>1419</v>
      </c>
      <c r="F933" s="370" t="s">
        <v>1425</v>
      </c>
      <c r="G933" s="371" t="s">
        <v>780</v>
      </c>
      <c r="H933" s="364" t="s">
        <v>1421</v>
      </c>
      <c r="I933" s="344" t="s">
        <v>1278</v>
      </c>
      <c r="J933" s="344">
        <f t="shared" si="261"/>
        <v>901</v>
      </c>
      <c r="K933" s="344">
        <v>1</v>
      </c>
      <c r="L933" s="344">
        <v>900</v>
      </c>
      <c r="M933" s="344"/>
      <c r="N933" s="344"/>
      <c r="O933" s="344"/>
      <c r="P933" s="345">
        <v>3</v>
      </c>
      <c r="Q933" s="372"/>
      <c r="R933" s="373" t="s">
        <v>158</v>
      </c>
      <c r="S933" s="373" t="s">
        <v>158</v>
      </c>
      <c r="T933" s="373" t="s">
        <v>158</v>
      </c>
      <c r="U933" s="373" t="s">
        <v>158</v>
      </c>
      <c r="V933" s="344" t="s">
        <v>1418</v>
      </c>
      <c r="W933" s="372"/>
      <c r="X933" s="53">
        <f t="shared" si="277"/>
        <v>0</v>
      </c>
      <c r="Y933" s="55"/>
      <c r="Z933" s="55"/>
      <c r="AA933" s="52">
        <f t="shared" si="278"/>
        <v>0</v>
      </c>
      <c r="AB933" s="53">
        <f t="shared" si="279"/>
        <v>0</v>
      </c>
      <c r="AC933" s="53">
        <f t="shared" si="280"/>
        <v>0</v>
      </c>
      <c r="AD933" s="53">
        <f t="shared" si="281"/>
        <v>0</v>
      </c>
      <c r="AE933" s="53">
        <f t="shared" si="282"/>
        <v>0</v>
      </c>
      <c r="AF933" s="53">
        <f t="shared" si="283"/>
        <v>0</v>
      </c>
      <c r="AG933" s="56">
        <f t="shared" si="284"/>
        <v>0</v>
      </c>
      <c r="AH933" s="53">
        <f t="shared" si="285"/>
        <v>0</v>
      </c>
      <c r="AI933" s="55"/>
      <c r="AJ933" s="53">
        <f t="shared" si="286"/>
        <v>0</v>
      </c>
      <c r="AK933" s="53">
        <f t="shared" si="287"/>
        <v>0</v>
      </c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7"/>
      <c r="AW933" s="57"/>
      <c r="AX933" s="57"/>
    </row>
    <row r="934" spans="2:50">
      <c r="B934" s="45">
        <v>1003</v>
      </c>
      <c r="C934" s="368" t="s">
        <v>1414</v>
      </c>
      <c r="D934" s="369" t="s">
        <v>1419</v>
      </c>
      <c r="E934" s="369" t="s">
        <v>1419</v>
      </c>
      <c r="F934" s="370" t="s">
        <v>1426</v>
      </c>
      <c r="G934" s="371" t="s">
        <v>780</v>
      </c>
      <c r="H934" s="364" t="s">
        <v>1421</v>
      </c>
      <c r="I934" s="344" t="s">
        <v>1278</v>
      </c>
      <c r="J934" s="344">
        <f t="shared" si="261"/>
        <v>721</v>
      </c>
      <c r="K934" s="344">
        <v>1</v>
      </c>
      <c r="L934" s="344">
        <v>720</v>
      </c>
      <c r="M934" s="344"/>
      <c r="N934" s="344"/>
      <c r="O934" s="344"/>
      <c r="P934" s="345">
        <v>3</v>
      </c>
      <c r="Q934" s="372"/>
      <c r="R934" s="373" t="s">
        <v>158</v>
      </c>
      <c r="S934" s="373" t="s">
        <v>158</v>
      </c>
      <c r="T934" s="373" t="s">
        <v>158</v>
      </c>
      <c r="U934" s="373" t="s">
        <v>158</v>
      </c>
      <c r="V934" s="344" t="s">
        <v>1418</v>
      </c>
      <c r="W934" s="372"/>
      <c r="X934" s="53">
        <f t="shared" si="277"/>
        <v>0</v>
      </c>
      <c r="Y934" s="55"/>
      <c r="Z934" s="55"/>
      <c r="AA934" s="52">
        <f t="shared" si="278"/>
        <v>0</v>
      </c>
      <c r="AB934" s="53">
        <f t="shared" si="279"/>
        <v>0</v>
      </c>
      <c r="AC934" s="53">
        <f t="shared" si="280"/>
        <v>0</v>
      </c>
      <c r="AD934" s="53">
        <f t="shared" si="281"/>
        <v>0</v>
      </c>
      <c r="AE934" s="53">
        <f t="shared" si="282"/>
        <v>0</v>
      </c>
      <c r="AF934" s="53">
        <f t="shared" si="283"/>
        <v>0</v>
      </c>
      <c r="AG934" s="56">
        <f t="shared" si="284"/>
        <v>0</v>
      </c>
      <c r="AH934" s="53">
        <f t="shared" si="285"/>
        <v>0</v>
      </c>
      <c r="AI934" s="55"/>
      <c r="AJ934" s="53">
        <f t="shared" si="286"/>
        <v>0</v>
      </c>
      <c r="AK934" s="53">
        <f t="shared" si="287"/>
        <v>0</v>
      </c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7"/>
      <c r="AW934" s="57"/>
      <c r="AX934" s="57"/>
    </row>
    <row r="935" spans="2:50">
      <c r="B935" s="45">
        <v>1004</v>
      </c>
      <c r="C935" s="368" t="s">
        <v>1414</v>
      </c>
      <c r="D935" s="369" t="s">
        <v>1419</v>
      </c>
      <c r="E935" s="369" t="s">
        <v>1419</v>
      </c>
      <c r="F935" s="370" t="s">
        <v>1427</v>
      </c>
      <c r="G935" s="371" t="s">
        <v>780</v>
      </c>
      <c r="H935" s="364" t="s">
        <v>1421</v>
      </c>
      <c r="I935" s="344" t="s">
        <v>1278</v>
      </c>
      <c r="J935" s="344">
        <f t="shared" si="261"/>
        <v>483</v>
      </c>
      <c r="K935" s="344">
        <v>3</v>
      </c>
      <c r="L935" s="344">
        <v>480</v>
      </c>
      <c r="M935" s="344"/>
      <c r="N935" s="344"/>
      <c r="O935" s="344"/>
      <c r="P935" s="345">
        <v>3</v>
      </c>
      <c r="Q935" s="372"/>
      <c r="R935" s="373" t="s">
        <v>158</v>
      </c>
      <c r="S935" s="373" t="s">
        <v>158</v>
      </c>
      <c r="T935" s="373" t="s">
        <v>158</v>
      </c>
      <c r="U935" s="373" t="s">
        <v>158</v>
      </c>
      <c r="V935" s="344" t="s">
        <v>1418</v>
      </c>
      <c r="W935" s="372"/>
      <c r="X935" s="53">
        <f t="shared" si="277"/>
        <v>0</v>
      </c>
      <c r="Y935" s="55"/>
      <c r="Z935" s="55"/>
      <c r="AA935" s="52">
        <f t="shared" si="278"/>
        <v>0</v>
      </c>
      <c r="AB935" s="53">
        <f t="shared" si="279"/>
        <v>0</v>
      </c>
      <c r="AC935" s="53">
        <f t="shared" si="280"/>
        <v>0</v>
      </c>
      <c r="AD935" s="53">
        <f t="shared" si="281"/>
        <v>0</v>
      </c>
      <c r="AE935" s="53">
        <f t="shared" si="282"/>
        <v>0</v>
      </c>
      <c r="AF935" s="53">
        <f t="shared" si="283"/>
        <v>0</v>
      </c>
      <c r="AG935" s="56">
        <f t="shared" si="284"/>
        <v>0</v>
      </c>
      <c r="AH935" s="53">
        <f t="shared" si="285"/>
        <v>0</v>
      </c>
      <c r="AI935" s="55"/>
      <c r="AJ935" s="53">
        <f t="shared" si="286"/>
        <v>0</v>
      </c>
      <c r="AK935" s="53">
        <f t="shared" si="287"/>
        <v>0</v>
      </c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7"/>
      <c r="AW935" s="57"/>
      <c r="AX935" s="57"/>
    </row>
    <row r="936" spans="2:50">
      <c r="B936" s="45">
        <v>1005</v>
      </c>
      <c r="C936" s="368" t="s">
        <v>1414</v>
      </c>
      <c r="D936" s="369" t="s">
        <v>1419</v>
      </c>
      <c r="E936" s="369" t="s">
        <v>1419</v>
      </c>
      <c r="F936" s="370" t="s">
        <v>1428</v>
      </c>
      <c r="G936" s="371" t="s">
        <v>795</v>
      </c>
      <c r="H936" s="364" t="s">
        <v>1429</v>
      </c>
      <c r="I936" s="344" t="s">
        <v>1278</v>
      </c>
      <c r="J936" s="344">
        <f t="shared" si="261"/>
        <v>482</v>
      </c>
      <c r="K936" s="344">
        <v>2</v>
      </c>
      <c r="L936" s="344">
        <v>480</v>
      </c>
      <c r="M936" s="344"/>
      <c r="N936" s="344"/>
      <c r="O936" s="344"/>
      <c r="P936" s="345">
        <v>3</v>
      </c>
      <c r="Q936" s="372"/>
      <c r="R936" s="373" t="s">
        <v>158</v>
      </c>
      <c r="S936" s="373" t="s">
        <v>158</v>
      </c>
      <c r="T936" s="373" t="s">
        <v>158</v>
      </c>
      <c r="U936" s="373" t="s">
        <v>158</v>
      </c>
      <c r="V936" s="344" t="s">
        <v>1418</v>
      </c>
      <c r="W936" s="372"/>
      <c r="X936" s="53">
        <f t="shared" si="277"/>
        <v>0</v>
      </c>
      <c r="Y936" s="55"/>
      <c r="Z936" s="55"/>
      <c r="AA936" s="52">
        <f t="shared" si="278"/>
        <v>0</v>
      </c>
      <c r="AB936" s="53">
        <f t="shared" si="279"/>
        <v>0</v>
      </c>
      <c r="AC936" s="53">
        <f t="shared" si="280"/>
        <v>0</v>
      </c>
      <c r="AD936" s="53">
        <f t="shared" si="281"/>
        <v>0</v>
      </c>
      <c r="AE936" s="53">
        <f t="shared" si="282"/>
        <v>0</v>
      </c>
      <c r="AF936" s="53">
        <f t="shared" si="283"/>
        <v>0</v>
      </c>
      <c r="AG936" s="56">
        <f t="shared" si="284"/>
        <v>0</v>
      </c>
      <c r="AH936" s="53">
        <f t="shared" si="285"/>
        <v>0</v>
      </c>
      <c r="AI936" s="55"/>
      <c r="AJ936" s="53">
        <f t="shared" si="286"/>
        <v>0</v>
      </c>
      <c r="AK936" s="53">
        <f t="shared" si="287"/>
        <v>0</v>
      </c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7"/>
      <c r="AW936" s="57"/>
      <c r="AX936" s="57"/>
    </row>
    <row r="937" spans="2:50">
      <c r="B937" s="45">
        <v>1006</v>
      </c>
      <c r="C937" s="368" t="s">
        <v>1414</v>
      </c>
      <c r="D937" s="369" t="s">
        <v>1419</v>
      </c>
      <c r="E937" s="369" t="s">
        <v>1419</v>
      </c>
      <c r="F937" s="370" t="s">
        <v>1430</v>
      </c>
      <c r="G937" s="371" t="s">
        <v>795</v>
      </c>
      <c r="H937" s="364" t="s">
        <v>1431</v>
      </c>
      <c r="I937" s="344" t="s">
        <v>1278</v>
      </c>
      <c r="J937" s="344">
        <f t="shared" si="261"/>
        <v>481.5</v>
      </c>
      <c r="K937" s="344">
        <v>1.5</v>
      </c>
      <c r="L937" s="344">
        <v>480</v>
      </c>
      <c r="M937" s="344"/>
      <c r="N937" s="344"/>
      <c r="O937" s="344"/>
      <c r="P937" s="345">
        <v>3</v>
      </c>
      <c r="Q937" s="372"/>
      <c r="R937" s="373" t="s">
        <v>158</v>
      </c>
      <c r="S937" s="373" t="s">
        <v>158</v>
      </c>
      <c r="T937" s="373" t="s">
        <v>158</v>
      </c>
      <c r="U937" s="373" t="s">
        <v>158</v>
      </c>
      <c r="V937" s="344" t="s">
        <v>1418</v>
      </c>
      <c r="W937" s="372"/>
      <c r="X937" s="53">
        <f t="shared" si="277"/>
        <v>0</v>
      </c>
      <c r="Y937" s="55"/>
      <c r="Z937" s="55"/>
      <c r="AA937" s="52">
        <f t="shared" si="278"/>
        <v>0</v>
      </c>
      <c r="AB937" s="53">
        <f t="shared" si="279"/>
        <v>0</v>
      </c>
      <c r="AC937" s="53">
        <f t="shared" si="280"/>
        <v>0</v>
      </c>
      <c r="AD937" s="53">
        <f t="shared" si="281"/>
        <v>0</v>
      </c>
      <c r="AE937" s="53">
        <f t="shared" si="282"/>
        <v>0</v>
      </c>
      <c r="AF937" s="53">
        <f t="shared" si="283"/>
        <v>0</v>
      </c>
      <c r="AG937" s="56">
        <f t="shared" si="284"/>
        <v>0</v>
      </c>
      <c r="AH937" s="53">
        <f t="shared" si="285"/>
        <v>0</v>
      </c>
      <c r="AI937" s="55"/>
      <c r="AJ937" s="53">
        <f t="shared" si="286"/>
        <v>0</v>
      </c>
      <c r="AK937" s="53">
        <f t="shared" si="287"/>
        <v>0</v>
      </c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7"/>
      <c r="AW937" s="57"/>
      <c r="AX937" s="57"/>
    </row>
    <row r="938" spans="2:50">
      <c r="B938" s="45">
        <v>1007</v>
      </c>
      <c r="C938" s="368" t="s">
        <v>1414</v>
      </c>
      <c r="D938" s="369" t="s">
        <v>1419</v>
      </c>
      <c r="E938" s="369" t="s">
        <v>1419</v>
      </c>
      <c r="F938" s="370" t="s">
        <v>1432</v>
      </c>
      <c r="G938" s="371" t="s">
        <v>795</v>
      </c>
      <c r="H938" s="364" t="s">
        <v>1417</v>
      </c>
      <c r="I938" s="344" t="s">
        <v>1278</v>
      </c>
      <c r="J938" s="344">
        <f t="shared" si="261"/>
        <v>481</v>
      </c>
      <c r="K938" s="344">
        <v>1</v>
      </c>
      <c r="L938" s="344">
        <v>480</v>
      </c>
      <c r="M938" s="344"/>
      <c r="N938" s="344"/>
      <c r="O938" s="344"/>
      <c r="P938" s="345">
        <v>3</v>
      </c>
      <c r="Q938" s="372"/>
      <c r="R938" s="373" t="s">
        <v>158</v>
      </c>
      <c r="S938" s="373" t="s">
        <v>158</v>
      </c>
      <c r="T938" s="373" t="s">
        <v>158</v>
      </c>
      <c r="U938" s="373" t="s">
        <v>158</v>
      </c>
      <c r="V938" s="344" t="s">
        <v>1418</v>
      </c>
      <c r="W938" s="372"/>
      <c r="X938" s="53">
        <f t="shared" si="277"/>
        <v>0</v>
      </c>
      <c r="Y938" s="55"/>
      <c r="Z938" s="55"/>
      <c r="AA938" s="52">
        <f t="shared" si="278"/>
        <v>0</v>
      </c>
      <c r="AB938" s="53">
        <f t="shared" si="279"/>
        <v>0</v>
      </c>
      <c r="AC938" s="53">
        <f t="shared" si="280"/>
        <v>0</v>
      </c>
      <c r="AD938" s="53">
        <f t="shared" si="281"/>
        <v>0</v>
      </c>
      <c r="AE938" s="53">
        <f t="shared" si="282"/>
        <v>0</v>
      </c>
      <c r="AF938" s="53">
        <f t="shared" si="283"/>
        <v>0</v>
      </c>
      <c r="AG938" s="56">
        <f t="shared" si="284"/>
        <v>0</v>
      </c>
      <c r="AH938" s="53">
        <f t="shared" si="285"/>
        <v>0</v>
      </c>
      <c r="AI938" s="55"/>
      <c r="AJ938" s="53">
        <f t="shared" si="286"/>
        <v>0</v>
      </c>
      <c r="AK938" s="53">
        <f t="shared" si="287"/>
        <v>0</v>
      </c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7"/>
      <c r="AW938" s="57"/>
      <c r="AX938" s="57"/>
    </row>
    <row r="939" spans="2:50">
      <c r="B939" s="138" t="s">
        <v>1433</v>
      </c>
      <c r="C939" s="139"/>
      <c r="D939" s="139"/>
      <c r="E939" s="139"/>
      <c r="F939" s="140"/>
      <c r="G939" s="141"/>
      <c r="H939" s="141"/>
      <c r="I939" s="142" t="s">
        <v>151</v>
      </c>
      <c r="J939" s="143">
        <f t="shared" ca="1" si="261"/>
        <v>106.16666666666667</v>
      </c>
      <c r="K939" s="143">
        <f ca="1">K940/60</f>
        <v>0.91666666666666663</v>
      </c>
      <c r="L939" s="143">
        <f t="shared" ref="L939:O939" ca="1" si="288">L940/60</f>
        <v>105.25</v>
      </c>
      <c r="M939" s="143">
        <f t="shared" ca="1" si="288"/>
        <v>0</v>
      </c>
      <c r="N939" s="143">
        <f t="shared" ca="1" si="288"/>
        <v>0</v>
      </c>
      <c r="O939" s="143">
        <f t="shared" ca="1" si="288"/>
        <v>0</v>
      </c>
      <c r="P939" s="150"/>
      <c r="Q939" s="143"/>
      <c r="R939" s="358"/>
      <c r="S939" s="358"/>
      <c r="T939" s="358"/>
      <c r="U939" s="358"/>
      <c r="V939" s="143"/>
      <c r="W939" s="143"/>
      <c r="X939" s="143">
        <f>X940/60</f>
        <v>0</v>
      </c>
      <c r="Y939" s="143"/>
      <c r="Z939" s="143"/>
      <c r="AA939" s="143"/>
      <c r="AB939" s="143">
        <f t="shared" ref="AB939:AF939" si="289">AB940/60</f>
        <v>0</v>
      </c>
      <c r="AC939" s="143"/>
      <c r="AD939" s="143">
        <f t="shared" si="289"/>
        <v>0</v>
      </c>
      <c r="AE939" s="143"/>
      <c r="AF939" s="143">
        <f t="shared" si="289"/>
        <v>0</v>
      </c>
      <c r="AG939" s="143"/>
      <c r="AH939" s="143">
        <f>AH940/60</f>
        <v>0</v>
      </c>
      <c r="AI939" s="143"/>
      <c r="AJ939" s="143"/>
      <c r="AK939" s="143">
        <f>AK940/60</f>
        <v>0</v>
      </c>
      <c r="AL939" s="143"/>
      <c r="AM939" s="143"/>
      <c r="AN939" s="143"/>
      <c r="AO939" s="143"/>
      <c r="AP939" s="143"/>
      <c r="AQ939" s="143"/>
      <c r="AR939" s="143"/>
      <c r="AS939" s="143"/>
      <c r="AT939" s="143"/>
      <c r="AU939" s="143"/>
      <c r="AV939" s="143"/>
      <c r="AW939" s="143"/>
      <c r="AX939" s="143">
        <f>AX940/60</f>
        <v>0</v>
      </c>
    </row>
    <row r="940" spans="2:50">
      <c r="B940" s="146"/>
      <c r="C940" s="147"/>
      <c r="D940" s="147"/>
      <c r="E940" s="147"/>
      <c r="F940" s="148"/>
      <c r="G940" s="141"/>
      <c r="H940" s="141"/>
      <c r="I940" s="149" t="s">
        <v>153</v>
      </c>
      <c r="J940" s="143">
        <f t="shared" ca="1" si="261"/>
        <v>6370</v>
      </c>
      <c r="K940" s="143">
        <f ca="1">SUMIF($I941:RP950,"DQA",K941:K950)</f>
        <v>55</v>
      </c>
      <c r="L940" s="143">
        <f ca="1">SUMIF($I941:RQ950,"DQA",L941:L950)</f>
        <v>6315</v>
      </c>
      <c r="M940" s="143">
        <f ca="1">SUMIF($I941:RR950,"DQA",M941:M950)</f>
        <v>0</v>
      </c>
      <c r="N940" s="143">
        <f ca="1">SUMIF($I941:RS950,"DQA",N941:N950)</f>
        <v>0</v>
      </c>
      <c r="O940" s="143">
        <f ca="1">SUMIF($I941:RT950,"DQA",O941:O950)</f>
        <v>0</v>
      </c>
      <c r="P940" s="150"/>
      <c r="Q940" s="143"/>
      <c r="R940" s="358"/>
      <c r="S940" s="358"/>
      <c r="T940" s="358"/>
      <c r="U940" s="358"/>
      <c r="V940" s="143"/>
      <c r="W940" s="143"/>
      <c r="X940" s="143">
        <f>SUM(X941:X950)</f>
        <v>0</v>
      </c>
      <c r="Y940" s="143"/>
      <c r="Z940" s="143"/>
      <c r="AA940" s="143"/>
      <c r="AB940" s="143">
        <f t="shared" ref="AB940:AK940" si="290">SUM(AB941:AB950)</f>
        <v>0</v>
      </c>
      <c r="AC940" s="143"/>
      <c r="AD940" s="143">
        <f t="shared" si="290"/>
        <v>0</v>
      </c>
      <c r="AE940" s="143"/>
      <c r="AF940" s="143">
        <f t="shared" si="290"/>
        <v>0</v>
      </c>
      <c r="AG940" s="143"/>
      <c r="AH940" s="143">
        <f t="shared" si="290"/>
        <v>0</v>
      </c>
      <c r="AI940" s="143"/>
      <c r="AJ940" s="143"/>
      <c r="AK940" s="143">
        <f t="shared" si="290"/>
        <v>0</v>
      </c>
      <c r="AL940" s="143"/>
      <c r="AM940" s="143"/>
      <c r="AN940" s="143"/>
      <c r="AO940" s="143"/>
      <c r="AP940" s="143"/>
      <c r="AQ940" s="143"/>
      <c r="AR940" s="143"/>
      <c r="AS940" s="143"/>
      <c r="AT940" s="143"/>
      <c r="AU940" s="143"/>
      <c r="AV940" s="143"/>
      <c r="AW940" s="143"/>
      <c r="AX940" s="143">
        <f>SUM(AX941:AX950)</f>
        <v>0</v>
      </c>
    </row>
    <row r="941" spans="2:50">
      <c r="B941" s="45">
        <v>1008</v>
      </c>
      <c r="C941" s="368" t="s">
        <v>1434</v>
      </c>
      <c r="D941" s="369" t="s">
        <v>1416</v>
      </c>
      <c r="E941" s="369" t="s">
        <v>1416</v>
      </c>
      <c r="F941" s="370" t="s">
        <v>1435</v>
      </c>
      <c r="G941" s="371" t="s">
        <v>780</v>
      </c>
      <c r="H941" s="364" t="s">
        <v>1436</v>
      </c>
      <c r="I941" s="344" t="s">
        <v>1278</v>
      </c>
      <c r="J941" s="344">
        <f t="shared" si="261"/>
        <v>25</v>
      </c>
      <c r="K941" s="344">
        <v>10</v>
      </c>
      <c r="L941" s="344">
        <v>15</v>
      </c>
      <c r="M941" s="344"/>
      <c r="N941" s="344"/>
      <c r="O941" s="344"/>
      <c r="P941" s="345">
        <v>3</v>
      </c>
      <c r="Q941" s="372"/>
      <c r="R941" s="373" t="s">
        <v>158</v>
      </c>
      <c r="S941" s="373" t="s">
        <v>158</v>
      </c>
      <c r="T941" s="373" t="s">
        <v>158</v>
      </c>
      <c r="U941" s="373" t="s">
        <v>158</v>
      </c>
      <c r="V941" s="344" t="s">
        <v>1418</v>
      </c>
      <c r="W941" s="372"/>
      <c r="X941" s="53">
        <f t="shared" ref="X941:X950" si="291">SUMIF(W941,"Y",K941)</f>
        <v>0</v>
      </c>
      <c r="Y941" s="55"/>
      <c r="Z941" s="55"/>
      <c r="AA941" s="52">
        <f t="shared" ref="AA941:AA950" si="292">(COUNTA(AL941:AU941)-COUNTIF(AL941:AU941, "X"))</f>
        <v>0</v>
      </c>
      <c r="AB941" s="53">
        <f t="shared" ref="AB941:AB950" si="293">(COUNTA(AL941:AU941)-COUNTIF(AL941:AU941, "X"))*P941*K941</f>
        <v>0</v>
      </c>
      <c r="AC941" s="53">
        <f t="shared" ref="AC941:AC950" si="294">COUNTIF(AL941:AU941,"A")</f>
        <v>0</v>
      </c>
      <c r="AD941" s="53">
        <f t="shared" ref="AD941:AD950" si="295">COUNTIF(AL941:AU941,"V")*P941*M941</f>
        <v>0</v>
      </c>
      <c r="AE941" s="53">
        <f t="shared" ref="AE941:AE950" si="296">COUNTIF(AL941:AU941,"L")</f>
        <v>0</v>
      </c>
      <c r="AF941" s="53">
        <f t="shared" ref="AF941:AF950" si="297">COUNTIF(AL941:AU941,"L")*K941*P941</f>
        <v>0</v>
      </c>
      <c r="AG941" s="56">
        <f t="shared" ref="AG941:AG950" si="298">IF(Q941="Y",1,0)</f>
        <v>0</v>
      </c>
      <c r="AH941" s="53">
        <f t="shared" ref="AH941:AH950" si="299">IF(Q941="Y", AA941, 0)*K941*P941/2</f>
        <v>0</v>
      </c>
      <c r="AI941" s="55"/>
      <c r="AJ941" s="53">
        <f t="shared" ref="AJ941:AJ950" si="300">COUNTIF(AL941:AU941, "V")</f>
        <v>0</v>
      </c>
      <c r="AK941" s="53">
        <f t="shared" ref="AK941:AK950" si="301">AB941-AD941-AF941-AH941</f>
        <v>0</v>
      </c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7"/>
      <c r="AW941" s="57"/>
      <c r="AX941" s="57"/>
    </row>
    <row r="942" spans="2:50">
      <c r="B942" s="45">
        <v>1009</v>
      </c>
      <c r="C942" s="368" t="s">
        <v>1434</v>
      </c>
      <c r="D942" s="369" t="s">
        <v>1419</v>
      </c>
      <c r="E942" s="369" t="s">
        <v>1419</v>
      </c>
      <c r="F942" s="370" t="s">
        <v>1420</v>
      </c>
      <c r="G942" s="371" t="s">
        <v>780</v>
      </c>
      <c r="H942" s="364" t="s">
        <v>1437</v>
      </c>
      <c r="I942" s="344" t="s">
        <v>1278</v>
      </c>
      <c r="J942" s="344">
        <f t="shared" si="261"/>
        <v>905</v>
      </c>
      <c r="K942" s="344">
        <v>5</v>
      </c>
      <c r="L942" s="344">
        <v>900</v>
      </c>
      <c r="M942" s="344"/>
      <c r="N942" s="344"/>
      <c r="O942" s="344"/>
      <c r="P942" s="345">
        <v>3</v>
      </c>
      <c r="Q942" s="372"/>
      <c r="R942" s="373" t="s">
        <v>158</v>
      </c>
      <c r="S942" s="373" t="s">
        <v>158</v>
      </c>
      <c r="T942" s="373" t="s">
        <v>158</v>
      </c>
      <c r="U942" s="373" t="s">
        <v>158</v>
      </c>
      <c r="V942" s="344" t="s">
        <v>1418</v>
      </c>
      <c r="W942" s="372"/>
      <c r="X942" s="53">
        <f t="shared" si="291"/>
        <v>0</v>
      </c>
      <c r="Y942" s="55"/>
      <c r="Z942" s="55"/>
      <c r="AA942" s="52">
        <f t="shared" si="292"/>
        <v>0</v>
      </c>
      <c r="AB942" s="53">
        <f t="shared" si="293"/>
        <v>0</v>
      </c>
      <c r="AC942" s="53">
        <f t="shared" si="294"/>
        <v>0</v>
      </c>
      <c r="AD942" s="53">
        <f t="shared" si="295"/>
        <v>0</v>
      </c>
      <c r="AE942" s="53">
        <f t="shared" si="296"/>
        <v>0</v>
      </c>
      <c r="AF942" s="53">
        <f t="shared" si="297"/>
        <v>0</v>
      </c>
      <c r="AG942" s="56">
        <f t="shared" si="298"/>
        <v>0</v>
      </c>
      <c r="AH942" s="53">
        <f t="shared" si="299"/>
        <v>0</v>
      </c>
      <c r="AI942" s="55"/>
      <c r="AJ942" s="53">
        <f t="shared" si="300"/>
        <v>0</v>
      </c>
      <c r="AK942" s="53">
        <f t="shared" si="301"/>
        <v>0</v>
      </c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7"/>
      <c r="AW942" s="57"/>
      <c r="AX942" s="57"/>
    </row>
    <row r="943" spans="2:50">
      <c r="B943" s="45">
        <v>1010</v>
      </c>
      <c r="C943" s="368" t="s">
        <v>1434</v>
      </c>
      <c r="D943" s="369" t="s">
        <v>1419</v>
      </c>
      <c r="E943" s="369" t="s">
        <v>1419</v>
      </c>
      <c r="F943" s="370" t="s">
        <v>1422</v>
      </c>
      <c r="G943" s="371" t="s">
        <v>780</v>
      </c>
      <c r="H943" s="364" t="s">
        <v>1437</v>
      </c>
      <c r="I943" s="344" t="s">
        <v>1278</v>
      </c>
      <c r="J943" s="344">
        <f t="shared" si="261"/>
        <v>785</v>
      </c>
      <c r="K943" s="344">
        <v>5</v>
      </c>
      <c r="L943" s="344">
        <v>780</v>
      </c>
      <c r="M943" s="344"/>
      <c r="N943" s="344"/>
      <c r="O943" s="344"/>
      <c r="P943" s="345">
        <v>3</v>
      </c>
      <c r="Q943" s="372"/>
      <c r="R943" s="373" t="s">
        <v>158</v>
      </c>
      <c r="S943" s="373" t="s">
        <v>158</v>
      </c>
      <c r="T943" s="373" t="s">
        <v>158</v>
      </c>
      <c r="U943" s="373" t="s">
        <v>158</v>
      </c>
      <c r="V943" s="344" t="s">
        <v>1418</v>
      </c>
      <c r="W943" s="372"/>
      <c r="X943" s="53">
        <f t="shared" si="291"/>
        <v>0</v>
      </c>
      <c r="Y943" s="55"/>
      <c r="Z943" s="55"/>
      <c r="AA943" s="52">
        <f t="shared" si="292"/>
        <v>0</v>
      </c>
      <c r="AB943" s="53">
        <f t="shared" si="293"/>
        <v>0</v>
      </c>
      <c r="AC943" s="53">
        <f t="shared" si="294"/>
        <v>0</v>
      </c>
      <c r="AD943" s="53">
        <f t="shared" si="295"/>
        <v>0</v>
      </c>
      <c r="AE943" s="53">
        <f t="shared" si="296"/>
        <v>0</v>
      </c>
      <c r="AF943" s="53">
        <f t="shared" si="297"/>
        <v>0</v>
      </c>
      <c r="AG943" s="56">
        <f t="shared" si="298"/>
        <v>0</v>
      </c>
      <c r="AH943" s="53">
        <f t="shared" si="299"/>
        <v>0</v>
      </c>
      <c r="AI943" s="55"/>
      <c r="AJ943" s="53">
        <f t="shared" si="300"/>
        <v>0</v>
      </c>
      <c r="AK943" s="53">
        <f t="shared" si="301"/>
        <v>0</v>
      </c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7"/>
      <c r="AW943" s="57"/>
      <c r="AX943" s="57"/>
    </row>
    <row r="944" spans="2:50">
      <c r="B944" s="45">
        <v>1011</v>
      </c>
      <c r="C944" s="368" t="s">
        <v>1434</v>
      </c>
      <c r="D944" s="369" t="s">
        <v>1419</v>
      </c>
      <c r="E944" s="369" t="s">
        <v>1419</v>
      </c>
      <c r="F944" s="370" t="s">
        <v>1423</v>
      </c>
      <c r="G944" s="371" t="s">
        <v>780</v>
      </c>
      <c r="H944" s="364" t="s">
        <v>1437</v>
      </c>
      <c r="I944" s="344" t="s">
        <v>1278</v>
      </c>
      <c r="J944" s="344">
        <f t="shared" si="261"/>
        <v>725</v>
      </c>
      <c r="K944" s="344">
        <v>5</v>
      </c>
      <c r="L944" s="344">
        <v>720</v>
      </c>
      <c r="M944" s="344"/>
      <c r="N944" s="344"/>
      <c r="O944" s="344"/>
      <c r="P944" s="345">
        <v>3</v>
      </c>
      <c r="Q944" s="372"/>
      <c r="R944" s="373" t="s">
        <v>158</v>
      </c>
      <c r="S944" s="373" t="s">
        <v>158</v>
      </c>
      <c r="T944" s="373" t="s">
        <v>158</v>
      </c>
      <c r="U944" s="373" t="s">
        <v>158</v>
      </c>
      <c r="V944" s="344" t="s">
        <v>1418</v>
      </c>
      <c r="W944" s="372"/>
      <c r="X944" s="53">
        <f t="shared" si="291"/>
        <v>0</v>
      </c>
      <c r="Y944" s="55"/>
      <c r="Z944" s="55"/>
      <c r="AA944" s="52">
        <f t="shared" si="292"/>
        <v>0</v>
      </c>
      <c r="AB944" s="53">
        <f t="shared" si="293"/>
        <v>0</v>
      </c>
      <c r="AC944" s="53">
        <f t="shared" si="294"/>
        <v>0</v>
      </c>
      <c r="AD944" s="53">
        <f t="shared" si="295"/>
        <v>0</v>
      </c>
      <c r="AE944" s="53">
        <f t="shared" si="296"/>
        <v>0</v>
      </c>
      <c r="AF944" s="53">
        <f t="shared" si="297"/>
        <v>0</v>
      </c>
      <c r="AG944" s="56">
        <f t="shared" si="298"/>
        <v>0</v>
      </c>
      <c r="AH944" s="53">
        <f t="shared" si="299"/>
        <v>0</v>
      </c>
      <c r="AI944" s="55"/>
      <c r="AJ944" s="53">
        <f t="shared" si="300"/>
        <v>0</v>
      </c>
      <c r="AK944" s="53">
        <f t="shared" si="301"/>
        <v>0</v>
      </c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7"/>
      <c r="AW944" s="57"/>
      <c r="AX944" s="57"/>
    </row>
    <row r="945" spans="2:50">
      <c r="B945" s="45">
        <v>1012</v>
      </c>
      <c r="C945" s="368" t="s">
        <v>1434</v>
      </c>
      <c r="D945" s="369" t="s">
        <v>1419</v>
      </c>
      <c r="E945" s="369" t="s">
        <v>1419</v>
      </c>
      <c r="F945" s="370" t="s">
        <v>1424</v>
      </c>
      <c r="G945" s="371" t="s">
        <v>780</v>
      </c>
      <c r="H945" s="364" t="s">
        <v>1437</v>
      </c>
      <c r="I945" s="344" t="s">
        <v>1278</v>
      </c>
      <c r="J945" s="344">
        <f t="shared" si="261"/>
        <v>845</v>
      </c>
      <c r="K945" s="344">
        <v>5</v>
      </c>
      <c r="L945" s="344">
        <v>840</v>
      </c>
      <c r="M945" s="344"/>
      <c r="N945" s="344"/>
      <c r="O945" s="344"/>
      <c r="P945" s="345">
        <v>3</v>
      </c>
      <c r="Q945" s="56"/>
      <c r="R945" s="373" t="s">
        <v>158</v>
      </c>
      <c r="S945" s="373" t="s">
        <v>158</v>
      </c>
      <c r="T945" s="373" t="s">
        <v>158</v>
      </c>
      <c r="U945" s="373" t="s">
        <v>158</v>
      </c>
      <c r="V945" s="344" t="s">
        <v>1418</v>
      </c>
      <c r="W945" s="372"/>
      <c r="X945" s="53">
        <f t="shared" si="291"/>
        <v>0</v>
      </c>
      <c r="Y945" s="55"/>
      <c r="Z945" s="55"/>
      <c r="AA945" s="52">
        <f t="shared" si="292"/>
        <v>0</v>
      </c>
      <c r="AB945" s="53">
        <f t="shared" si="293"/>
        <v>0</v>
      </c>
      <c r="AC945" s="53">
        <f t="shared" si="294"/>
        <v>0</v>
      </c>
      <c r="AD945" s="53">
        <f t="shared" si="295"/>
        <v>0</v>
      </c>
      <c r="AE945" s="53">
        <f t="shared" si="296"/>
        <v>0</v>
      </c>
      <c r="AF945" s="53">
        <f t="shared" si="297"/>
        <v>0</v>
      </c>
      <c r="AG945" s="56">
        <f t="shared" si="298"/>
        <v>0</v>
      </c>
      <c r="AH945" s="53">
        <f t="shared" si="299"/>
        <v>0</v>
      </c>
      <c r="AI945" s="55"/>
      <c r="AJ945" s="53">
        <f t="shared" si="300"/>
        <v>0</v>
      </c>
      <c r="AK945" s="53">
        <f t="shared" si="301"/>
        <v>0</v>
      </c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7"/>
      <c r="AW945" s="57"/>
      <c r="AX945" s="57"/>
    </row>
    <row r="946" spans="2:50">
      <c r="B946" s="45">
        <v>1013</v>
      </c>
      <c r="C946" s="368" t="s">
        <v>1434</v>
      </c>
      <c r="D946" s="369" t="s">
        <v>1419</v>
      </c>
      <c r="E946" s="369" t="s">
        <v>1419</v>
      </c>
      <c r="F946" s="370" t="s">
        <v>1425</v>
      </c>
      <c r="G946" s="371" t="s">
        <v>780</v>
      </c>
      <c r="H946" s="364" t="s">
        <v>1437</v>
      </c>
      <c r="I946" s="344" t="s">
        <v>1278</v>
      </c>
      <c r="J946" s="344">
        <f t="shared" si="261"/>
        <v>905</v>
      </c>
      <c r="K946" s="344">
        <v>5</v>
      </c>
      <c r="L946" s="344">
        <v>900</v>
      </c>
      <c r="M946" s="344"/>
      <c r="N946" s="344"/>
      <c r="O946" s="344"/>
      <c r="P946" s="345">
        <v>3</v>
      </c>
      <c r="Q946" s="372"/>
      <c r="R946" s="373" t="s">
        <v>158</v>
      </c>
      <c r="S946" s="373" t="s">
        <v>158</v>
      </c>
      <c r="T946" s="373" t="s">
        <v>158</v>
      </c>
      <c r="U946" s="373" t="s">
        <v>158</v>
      </c>
      <c r="V946" s="344" t="s">
        <v>1418</v>
      </c>
      <c r="W946" s="372"/>
      <c r="X946" s="53">
        <f t="shared" si="291"/>
        <v>0</v>
      </c>
      <c r="Y946" s="55"/>
      <c r="Z946" s="55"/>
      <c r="AA946" s="52">
        <f t="shared" si="292"/>
        <v>0</v>
      </c>
      <c r="AB946" s="53">
        <f t="shared" si="293"/>
        <v>0</v>
      </c>
      <c r="AC946" s="53">
        <f t="shared" si="294"/>
        <v>0</v>
      </c>
      <c r="AD946" s="53">
        <f t="shared" si="295"/>
        <v>0</v>
      </c>
      <c r="AE946" s="53">
        <f t="shared" si="296"/>
        <v>0</v>
      </c>
      <c r="AF946" s="53">
        <f t="shared" si="297"/>
        <v>0</v>
      </c>
      <c r="AG946" s="56">
        <f t="shared" si="298"/>
        <v>0</v>
      </c>
      <c r="AH946" s="53">
        <f t="shared" si="299"/>
        <v>0</v>
      </c>
      <c r="AI946" s="55"/>
      <c r="AJ946" s="53">
        <f t="shared" si="300"/>
        <v>0</v>
      </c>
      <c r="AK946" s="53">
        <f t="shared" si="301"/>
        <v>0</v>
      </c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7"/>
      <c r="AW946" s="57"/>
      <c r="AX946" s="57"/>
    </row>
    <row r="947" spans="2:50">
      <c r="B947" s="45">
        <v>1014</v>
      </c>
      <c r="C947" s="368" t="s">
        <v>1434</v>
      </c>
      <c r="D947" s="369" t="s">
        <v>1419</v>
      </c>
      <c r="E947" s="369" t="s">
        <v>1419</v>
      </c>
      <c r="F947" s="370" t="s">
        <v>1426</v>
      </c>
      <c r="G947" s="371" t="s">
        <v>780</v>
      </c>
      <c r="H947" s="364" t="s">
        <v>1437</v>
      </c>
      <c r="I947" s="344" t="s">
        <v>1278</v>
      </c>
      <c r="J947" s="344">
        <f t="shared" si="261"/>
        <v>725</v>
      </c>
      <c r="K947" s="344">
        <v>5</v>
      </c>
      <c r="L947" s="344">
        <v>720</v>
      </c>
      <c r="M947" s="344"/>
      <c r="N947" s="344"/>
      <c r="O947" s="344"/>
      <c r="P947" s="345">
        <v>3</v>
      </c>
      <c r="Q947" s="372"/>
      <c r="R947" s="373" t="s">
        <v>158</v>
      </c>
      <c r="S947" s="373" t="s">
        <v>158</v>
      </c>
      <c r="T947" s="373" t="s">
        <v>158</v>
      </c>
      <c r="U947" s="373" t="s">
        <v>158</v>
      </c>
      <c r="V947" s="344" t="s">
        <v>1418</v>
      </c>
      <c r="W947" s="372"/>
      <c r="X947" s="53">
        <f t="shared" si="291"/>
        <v>0</v>
      </c>
      <c r="Y947" s="55"/>
      <c r="Z947" s="55"/>
      <c r="AA947" s="52">
        <f t="shared" si="292"/>
        <v>0</v>
      </c>
      <c r="AB947" s="53">
        <f t="shared" si="293"/>
        <v>0</v>
      </c>
      <c r="AC947" s="53">
        <f t="shared" si="294"/>
        <v>0</v>
      </c>
      <c r="AD947" s="53">
        <f t="shared" si="295"/>
        <v>0</v>
      </c>
      <c r="AE947" s="53">
        <f t="shared" si="296"/>
        <v>0</v>
      </c>
      <c r="AF947" s="53">
        <f t="shared" si="297"/>
        <v>0</v>
      </c>
      <c r="AG947" s="56">
        <f t="shared" si="298"/>
        <v>0</v>
      </c>
      <c r="AH947" s="53">
        <f t="shared" si="299"/>
        <v>0</v>
      </c>
      <c r="AI947" s="55"/>
      <c r="AJ947" s="53">
        <f t="shared" si="300"/>
        <v>0</v>
      </c>
      <c r="AK947" s="53">
        <f t="shared" si="301"/>
        <v>0</v>
      </c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7"/>
      <c r="AW947" s="57"/>
      <c r="AX947" s="57"/>
    </row>
    <row r="948" spans="2:50">
      <c r="B948" s="45">
        <v>1015</v>
      </c>
      <c r="C948" s="368" t="s">
        <v>1434</v>
      </c>
      <c r="D948" s="369" t="s">
        <v>1419</v>
      </c>
      <c r="E948" s="369" t="s">
        <v>1419</v>
      </c>
      <c r="F948" s="370" t="s">
        <v>1427</v>
      </c>
      <c r="G948" s="371" t="s">
        <v>780</v>
      </c>
      <c r="H948" s="364" t="s">
        <v>1437</v>
      </c>
      <c r="I948" s="344" t="s">
        <v>1278</v>
      </c>
      <c r="J948" s="344">
        <f t="shared" si="261"/>
        <v>485</v>
      </c>
      <c r="K948" s="344">
        <v>5</v>
      </c>
      <c r="L948" s="344">
        <v>480</v>
      </c>
      <c r="M948" s="344"/>
      <c r="N948" s="344"/>
      <c r="O948" s="344"/>
      <c r="P948" s="345">
        <v>3</v>
      </c>
      <c r="Q948" s="372"/>
      <c r="R948" s="373" t="s">
        <v>158</v>
      </c>
      <c r="S948" s="373" t="s">
        <v>158</v>
      </c>
      <c r="T948" s="373" t="s">
        <v>158</v>
      </c>
      <c r="U948" s="373" t="s">
        <v>158</v>
      </c>
      <c r="V948" s="344" t="s">
        <v>1418</v>
      </c>
      <c r="W948" s="372"/>
      <c r="X948" s="53">
        <f t="shared" si="291"/>
        <v>0</v>
      </c>
      <c r="Y948" s="55"/>
      <c r="Z948" s="55"/>
      <c r="AA948" s="52">
        <f t="shared" si="292"/>
        <v>0</v>
      </c>
      <c r="AB948" s="53">
        <f t="shared" si="293"/>
        <v>0</v>
      </c>
      <c r="AC948" s="53">
        <f t="shared" si="294"/>
        <v>0</v>
      </c>
      <c r="AD948" s="53">
        <f t="shared" si="295"/>
        <v>0</v>
      </c>
      <c r="AE948" s="53">
        <f t="shared" si="296"/>
        <v>0</v>
      </c>
      <c r="AF948" s="53">
        <f t="shared" si="297"/>
        <v>0</v>
      </c>
      <c r="AG948" s="56">
        <f t="shared" si="298"/>
        <v>0</v>
      </c>
      <c r="AH948" s="53">
        <f t="shared" si="299"/>
        <v>0</v>
      </c>
      <c r="AI948" s="55"/>
      <c r="AJ948" s="53">
        <f t="shared" si="300"/>
        <v>0</v>
      </c>
      <c r="AK948" s="53">
        <f t="shared" si="301"/>
        <v>0</v>
      </c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7"/>
      <c r="AW948" s="57"/>
      <c r="AX948" s="57"/>
    </row>
    <row r="949" spans="2:50">
      <c r="B949" s="45">
        <v>1016</v>
      </c>
      <c r="C949" s="368" t="s">
        <v>1434</v>
      </c>
      <c r="D949" s="369" t="s">
        <v>1419</v>
      </c>
      <c r="E949" s="369" t="s">
        <v>1419</v>
      </c>
      <c r="F949" s="370" t="s">
        <v>1428</v>
      </c>
      <c r="G949" s="371" t="s">
        <v>795</v>
      </c>
      <c r="H949" s="364" t="s">
        <v>1437</v>
      </c>
      <c r="I949" s="344" t="s">
        <v>1278</v>
      </c>
      <c r="J949" s="344">
        <f t="shared" si="261"/>
        <v>485</v>
      </c>
      <c r="K949" s="344">
        <v>5</v>
      </c>
      <c r="L949" s="344">
        <v>480</v>
      </c>
      <c r="M949" s="344"/>
      <c r="N949" s="344"/>
      <c r="O949" s="344"/>
      <c r="P949" s="345">
        <v>3</v>
      </c>
      <c r="Q949" s="372"/>
      <c r="R949" s="373" t="s">
        <v>158</v>
      </c>
      <c r="S949" s="373" t="s">
        <v>158</v>
      </c>
      <c r="T949" s="373" t="s">
        <v>158</v>
      </c>
      <c r="U949" s="373" t="s">
        <v>158</v>
      </c>
      <c r="V949" s="344" t="s">
        <v>1418</v>
      </c>
      <c r="W949" s="372"/>
      <c r="X949" s="53">
        <f t="shared" si="291"/>
        <v>0</v>
      </c>
      <c r="Y949" s="55"/>
      <c r="Z949" s="55"/>
      <c r="AA949" s="52">
        <f t="shared" si="292"/>
        <v>0</v>
      </c>
      <c r="AB949" s="53">
        <f t="shared" si="293"/>
        <v>0</v>
      </c>
      <c r="AC949" s="53">
        <f t="shared" si="294"/>
        <v>0</v>
      </c>
      <c r="AD949" s="53">
        <f t="shared" si="295"/>
        <v>0</v>
      </c>
      <c r="AE949" s="53">
        <f t="shared" si="296"/>
        <v>0</v>
      </c>
      <c r="AF949" s="53">
        <f t="shared" si="297"/>
        <v>0</v>
      </c>
      <c r="AG949" s="56">
        <f t="shared" si="298"/>
        <v>0</v>
      </c>
      <c r="AH949" s="53">
        <f t="shared" si="299"/>
        <v>0</v>
      </c>
      <c r="AI949" s="55"/>
      <c r="AJ949" s="53">
        <f t="shared" si="300"/>
        <v>0</v>
      </c>
      <c r="AK949" s="53">
        <f t="shared" si="301"/>
        <v>0</v>
      </c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7"/>
      <c r="AW949" s="57"/>
      <c r="AX949" s="57"/>
    </row>
    <row r="950" spans="2:50">
      <c r="B950" s="45">
        <v>1017</v>
      </c>
      <c r="C950" s="368" t="s">
        <v>1434</v>
      </c>
      <c r="D950" s="369" t="s">
        <v>1419</v>
      </c>
      <c r="E950" s="369" t="s">
        <v>1419</v>
      </c>
      <c r="F950" s="370" t="s">
        <v>1430</v>
      </c>
      <c r="G950" s="371" t="s">
        <v>795</v>
      </c>
      <c r="H950" s="364" t="s">
        <v>1437</v>
      </c>
      <c r="I950" s="344" t="s">
        <v>1278</v>
      </c>
      <c r="J950" s="344">
        <f t="shared" si="261"/>
        <v>485</v>
      </c>
      <c r="K950" s="344">
        <v>5</v>
      </c>
      <c r="L950" s="344">
        <v>480</v>
      </c>
      <c r="M950" s="344"/>
      <c r="N950" s="344"/>
      <c r="O950" s="344"/>
      <c r="P950" s="345">
        <v>3</v>
      </c>
      <c r="Q950" s="372"/>
      <c r="R950" s="373" t="s">
        <v>158</v>
      </c>
      <c r="S950" s="373" t="s">
        <v>158</v>
      </c>
      <c r="T950" s="373" t="s">
        <v>158</v>
      </c>
      <c r="U950" s="373" t="s">
        <v>158</v>
      </c>
      <c r="V950" s="344" t="s">
        <v>1418</v>
      </c>
      <c r="W950" s="372"/>
      <c r="X950" s="53">
        <f t="shared" si="291"/>
        <v>0</v>
      </c>
      <c r="Y950" s="55"/>
      <c r="Z950" s="55"/>
      <c r="AA950" s="52">
        <f t="shared" si="292"/>
        <v>0</v>
      </c>
      <c r="AB950" s="53">
        <f t="shared" si="293"/>
        <v>0</v>
      </c>
      <c r="AC950" s="53">
        <f t="shared" si="294"/>
        <v>0</v>
      </c>
      <c r="AD950" s="53">
        <f t="shared" si="295"/>
        <v>0</v>
      </c>
      <c r="AE950" s="53">
        <f t="shared" si="296"/>
        <v>0</v>
      </c>
      <c r="AF950" s="53">
        <f t="shared" si="297"/>
        <v>0</v>
      </c>
      <c r="AG950" s="56">
        <f t="shared" si="298"/>
        <v>0</v>
      </c>
      <c r="AH950" s="53">
        <f t="shared" si="299"/>
        <v>0</v>
      </c>
      <c r="AI950" s="55"/>
      <c r="AJ950" s="53">
        <f t="shared" si="300"/>
        <v>0</v>
      </c>
      <c r="AK950" s="53">
        <f t="shared" si="301"/>
        <v>0</v>
      </c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7"/>
      <c r="AW950" s="57"/>
      <c r="AX950" s="57"/>
    </row>
  </sheetData>
  <protectedRanges>
    <protectedRange sqref="AR101:AU101 AR486:AU486 AR629:AU629 AR766:AU766 AR799:AU799 AR832:AU832 AR852:AU852 AR939:AU939 AR926:AU926 AA9 AL12:AU12 AL7:AU7 AA13:AB14 AA17:AB100 AA103:AB331 AA334:AB485 AA488:AB628 AA631:AB765 AA768:AB798 AA801:AB831 AA834:AB851 AA854:AB925 AA928:AB938 AA941:AB950 AR13:AU15" name="範圍1_1"/>
    <protectedRange sqref="AL8:AU11 AA10" name="範圍1_2"/>
    <protectedRange sqref="D2:D4 C4 C1:C2" name="範圍1_4"/>
    <protectedRange sqref="AP629:AQ629 AP799:AQ799 AP832:AQ832 AP13:AQ15 AP926:AQ926 AP939:AQ939 AP852:AQ852 AP766:AQ766 AP486:AQ486 AP101:AQ101" name="範圍1_1_1"/>
    <protectedRange sqref="AL629:AO629 AL799:AO799 AL832:AO832 AL13:AO15 AL926:AO926 AL939:AO939 AL852:AO852 AL766:AO766 AL486:AO486 AL101:AO101 AL17:AO17" name="範圍1_1_2"/>
  </protectedRanges>
  <mergeCells count="56">
    <mergeCell ref="B926:F927"/>
    <mergeCell ref="B939:F940"/>
    <mergeCell ref="B486:F487"/>
    <mergeCell ref="B629:F630"/>
    <mergeCell ref="B766:F767"/>
    <mergeCell ref="B799:F800"/>
    <mergeCell ref="B832:F833"/>
    <mergeCell ref="B852:F853"/>
    <mergeCell ref="B9:F10"/>
    <mergeCell ref="G9:H10"/>
    <mergeCell ref="B11:F12"/>
    <mergeCell ref="B15:F16"/>
    <mergeCell ref="B101:F102"/>
    <mergeCell ref="B332:F333"/>
    <mergeCell ref="AW6:AW8"/>
    <mergeCell ref="AX6:AX8"/>
    <mergeCell ref="J7:J8"/>
    <mergeCell ref="K7:K8"/>
    <mergeCell ref="L7:L8"/>
    <mergeCell ref="M7:M8"/>
    <mergeCell ref="N7:N8"/>
    <mergeCell ref="O7:O8"/>
    <mergeCell ref="AH6:AH8"/>
    <mergeCell ref="AI6:AI8"/>
    <mergeCell ref="AJ6:AJ8"/>
    <mergeCell ref="AK6:AK8"/>
    <mergeCell ref="AL6:AU6"/>
    <mergeCell ref="AV6:AV8"/>
    <mergeCell ref="AB6:AB8"/>
    <mergeCell ref="AC6:AC8"/>
    <mergeCell ref="AD6:AD8"/>
    <mergeCell ref="AE6:AE8"/>
    <mergeCell ref="AF6:AF8"/>
    <mergeCell ref="AG6:AG8"/>
    <mergeCell ref="R6:V7"/>
    <mergeCell ref="W6:W8"/>
    <mergeCell ref="X6:X8"/>
    <mergeCell ref="Y6:Y8"/>
    <mergeCell ref="Z6:Z8"/>
    <mergeCell ref="AA6:AA8"/>
    <mergeCell ref="H6:H8"/>
    <mergeCell ref="I6:I8"/>
    <mergeCell ref="J6:M6"/>
    <mergeCell ref="N6:O6"/>
    <mergeCell ref="P6:P8"/>
    <mergeCell ref="Q6:Q8"/>
    <mergeCell ref="C1:I1"/>
    <mergeCell ref="J5:O5"/>
    <mergeCell ref="P5:V5"/>
    <mergeCell ref="AL5:AU5"/>
    <mergeCell ref="B6:B8"/>
    <mergeCell ref="C6:C8"/>
    <mergeCell ref="D6:D8"/>
    <mergeCell ref="E6:E8"/>
    <mergeCell ref="F6:F8"/>
    <mergeCell ref="G6:G8"/>
  </mergeCells>
  <phoneticPr fontId="12" type="noConversion"/>
  <conditionalFormatting sqref="AL6 AL7:AU8">
    <cfRule type="cellIs" dxfId="6023" priority="3009" operator="equal">
      <formula>"NS"</formula>
    </cfRule>
    <cfRule type="cellIs" dxfId="6022" priority="3010" operator="equal">
      <formula>"NA"</formula>
    </cfRule>
    <cfRule type="cellIs" dxfId="6021" priority="3011" operator="equal">
      <formula>"X"</formula>
    </cfRule>
    <cfRule type="cellIs" dxfId="6020" priority="3012" operator="equal">
      <formula>"V"</formula>
    </cfRule>
  </conditionalFormatting>
  <conditionalFormatting sqref="AR13:AU14 AS945:AU945 Q945">
    <cfRule type="cellIs" dxfId="6015" priority="3002" operator="equal">
      <formula>"NA"</formula>
    </cfRule>
    <cfRule type="cellIs" dxfId="6014" priority="3003" operator="equal">
      <formula>"NS"</formula>
    </cfRule>
    <cfRule type="cellIs" dxfId="6013" priority="3004" operator="equal">
      <formula>"S"</formula>
    </cfRule>
    <cfRule type="cellIs" dxfId="6012" priority="3005" operator="equal">
      <formula>"A"</formula>
    </cfRule>
    <cfRule type="cellIs" dxfId="6011" priority="3006" operator="equal">
      <formula>"X"</formula>
    </cfRule>
    <cfRule type="cellIs" dxfId="6010" priority="3007" operator="equal">
      <formula>"L"</formula>
    </cfRule>
    <cfRule type="cellIs" dxfId="6009" priority="3008" operator="equal">
      <formula>"V"</formula>
    </cfRule>
  </conditionalFormatting>
  <conditionalFormatting sqref="AL7:AU7">
    <cfRule type="cellIs" dxfId="6001" priority="2998" operator="equal">
      <formula>"NS"</formula>
    </cfRule>
    <cfRule type="cellIs" dxfId="6000" priority="2999" operator="equal">
      <formula>"NA"</formula>
    </cfRule>
    <cfRule type="cellIs" dxfId="5999" priority="3000" operator="equal">
      <formula>"X"</formula>
    </cfRule>
    <cfRule type="cellIs" dxfId="5998" priority="3001" operator="equal">
      <formula>"V"</formula>
    </cfRule>
  </conditionalFormatting>
  <conditionalFormatting sqref="AO7">
    <cfRule type="cellIs" dxfId="5993" priority="2994" operator="equal">
      <formula>"NS"</formula>
    </cfRule>
    <cfRule type="cellIs" dxfId="5992" priority="2995" operator="equal">
      <formula>"NA"</formula>
    </cfRule>
    <cfRule type="cellIs" dxfId="5991" priority="2996" operator="equal">
      <formula>"X"</formula>
    </cfRule>
    <cfRule type="cellIs" dxfId="5990" priority="2997" operator="equal">
      <formula>"V"</formula>
    </cfRule>
  </conditionalFormatting>
  <conditionalFormatting sqref="AL8:AU8">
    <cfRule type="cellIs" dxfId="5985" priority="2990" operator="equal">
      <formula>"NS"</formula>
    </cfRule>
    <cfRule type="cellIs" dxfId="5984" priority="2991" operator="equal">
      <formula>"NA"</formula>
    </cfRule>
    <cfRule type="cellIs" dxfId="5983" priority="2992" operator="equal">
      <formula>"X"</formula>
    </cfRule>
    <cfRule type="cellIs" dxfId="5982" priority="2993" operator="equal">
      <formula>"V"</formula>
    </cfRule>
  </conditionalFormatting>
  <conditionalFormatting sqref="AR17:AU100">
    <cfRule type="cellIs" dxfId="5977" priority="2983" operator="equal">
      <formula>"NA"</formula>
    </cfRule>
    <cfRule type="cellIs" dxfId="5976" priority="2984" operator="equal">
      <formula>"NS"</formula>
    </cfRule>
    <cfRule type="cellIs" dxfId="5975" priority="2985" operator="equal">
      <formula>"S"</formula>
    </cfRule>
    <cfRule type="cellIs" dxfId="5974" priority="2986" operator="equal">
      <formula>"A"</formula>
    </cfRule>
    <cfRule type="cellIs" dxfId="5973" priority="2987" operator="equal">
      <formula>"X"</formula>
    </cfRule>
    <cfRule type="cellIs" dxfId="5972" priority="2988" operator="equal">
      <formula>"L"</formula>
    </cfRule>
    <cfRule type="cellIs" dxfId="5971" priority="2989" operator="equal">
      <formula>"V"</formula>
    </cfRule>
  </conditionalFormatting>
  <conditionalFormatting sqref="AR103:AU331 AR334:AU485">
    <cfRule type="cellIs" dxfId="5963" priority="2976" operator="equal">
      <formula>"NA"</formula>
    </cfRule>
    <cfRule type="cellIs" dxfId="5962" priority="2977" operator="equal">
      <formula>"NS"</formula>
    </cfRule>
    <cfRule type="cellIs" dxfId="5961" priority="2978" operator="equal">
      <formula>"S"</formula>
    </cfRule>
    <cfRule type="cellIs" dxfId="5960" priority="2979" operator="equal">
      <formula>"A"</formula>
    </cfRule>
    <cfRule type="cellIs" dxfId="5959" priority="2980" operator="equal">
      <formula>"X"</formula>
    </cfRule>
    <cfRule type="cellIs" dxfId="5958" priority="2981" operator="equal">
      <formula>"L"</formula>
    </cfRule>
    <cfRule type="cellIs" dxfId="5957" priority="2982" operator="equal">
      <formula>"V"</formula>
    </cfRule>
  </conditionalFormatting>
  <conditionalFormatting sqref="AR488:AU628">
    <cfRule type="cellIs" dxfId="5949" priority="2969" operator="equal">
      <formula>"NA"</formula>
    </cfRule>
    <cfRule type="cellIs" dxfId="5948" priority="2970" operator="equal">
      <formula>"NS"</formula>
    </cfRule>
    <cfRule type="cellIs" dxfId="5947" priority="2971" operator="equal">
      <formula>"S"</formula>
    </cfRule>
    <cfRule type="cellIs" dxfId="5946" priority="2972" operator="equal">
      <formula>"A"</formula>
    </cfRule>
    <cfRule type="cellIs" dxfId="5945" priority="2973" operator="equal">
      <formula>"X"</formula>
    </cfRule>
    <cfRule type="cellIs" dxfId="5944" priority="2974" operator="equal">
      <formula>"L"</formula>
    </cfRule>
    <cfRule type="cellIs" dxfId="5943" priority="2975" operator="equal">
      <formula>"V"</formula>
    </cfRule>
  </conditionalFormatting>
  <conditionalFormatting sqref="AR631:AU765">
    <cfRule type="cellIs" dxfId="5935" priority="2962" operator="equal">
      <formula>"NA"</formula>
    </cfRule>
    <cfRule type="cellIs" dxfId="5934" priority="2963" operator="equal">
      <formula>"NS"</formula>
    </cfRule>
    <cfRule type="cellIs" dxfId="5933" priority="2964" operator="equal">
      <formula>"S"</formula>
    </cfRule>
    <cfRule type="cellIs" dxfId="5932" priority="2965" operator="equal">
      <formula>"A"</formula>
    </cfRule>
    <cfRule type="cellIs" dxfId="5931" priority="2966" operator="equal">
      <formula>"X"</formula>
    </cfRule>
    <cfRule type="cellIs" dxfId="5930" priority="2967" operator="equal">
      <formula>"L"</formula>
    </cfRule>
    <cfRule type="cellIs" dxfId="5929" priority="2968" operator="equal">
      <formula>"V"</formula>
    </cfRule>
  </conditionalFormatting>
  <conditionalFormatting sqref="AR768:AU798">
    <cfRule type="cellIs" dxfId="5921" priority="2955" operator="equal">
      <formula>"NA"</formula>
    </cfRule>
    <cfRule type="cellIs" dxfId="5920" priority="2956" operator="equal">
      <formula>"NS"</formula>
    </cfRule>
    <cfRule type="cellIs" dxfId="5919" priority="2957" operator="equal">
      <formula>"S"</formula>
    </cfRule>
    <cfRule type="cellIs" dxfId="5918" priority="2958" operator="equal">
      <formula>"A"</formula>
    </cfRule>
    <cfRule type="cellIs" dxfId="5917" priority="2959" operator="equal">
      <formula>"X"</formula>
    </cfRule>
    <cfRule type="cellIs" dxfId="5916" priority="2960" operator="equal">
      <formula>"L"</formula>
    </cfRule>
    <cfRule type="cellIs" dxfId="5915" priority="2961" operator="equal">
      <formula>"V"</formula>
    </cfRule>
  </conditionalFormatting>
  <conditionalFormatting sqref="AR801:AU831">
    <cfRule type="cellIs" dxfId="5907" priority="2948" operator="equal">
      <formula>"NA"</formula>
    </cfRule>
    <cfRule type="cellIs" dxfId="5906" priority="2949" operator="equal">
      <formula>"NS"</formula>
    </cfRule>
    <cfRule type="cellIs" dxfId="5905" priority="2950" operator="equal">
      <formula>"S"</formula>
    </cfRule>
    <cfRule type="cellIs" dxfId="5904" priority="2951" operator="equal">
      <formula>"A"</formula>
    </cfRule>
    <cfRule type="cellIs" dxfId="5903" priority="2952" operator="equal">
      <formula>"X"</formula>
    </cfRule>
    <cfRule type="cellIs" dxfId="5902" priority="2953" operator="equal">
      <formula>"L"</formula>
    </cfRule>
    <cfRule type="cellIs" dxfId="5901" priority="2954" operator="equal">
      <formula>"V"</formula>
    </cfRule>
  </conditionalFormatting>
  <conditionalFormatting sqref="AR834:AU851">
    <cfRule type="cellIs" dxfId="5893" priority="2941" operator="equal">
      <formula>"NA"</formula>
    </cfRule>
    <cfRule type="cellIs" dxfId="5892" priority="2942" operator="equal">
      <formula>"NS"</formula>
    </cfRule>
    <cfRule type="cellIs" dxfId="5891" priority="2943" operator="equal">
      <formula>"S"</formula>
    </cfRule>
    <cfRule type="cellIs" dxfId="5890" priority="2944" operator="equal">
      <formula>"A"</formula>
    </cfRule>
    <cfRule type="cellIs" dxfId="5889" priority="2945" operator="equal">
      <formula>"X"</formula>
    </cfRule>
    <cfRule type="cellIs" dxfId="5888" priority="2946" operator="equal">
      <formula>"L"</formula>
    </cfRule>
    <cfRule type="cellIs" dxfId="5887" priority="2947" operator="equal">
      <formula>"V"</formula>
    </cfRule>
  </conditionalFormatting>
  <conditionalFormatting sqref="AR854:AU925">
    <cfRule type="cellIs" dxfId="5879" priority="2934" operator="equal">
      <formula>"NA"</formula>
    </cfRule>
    <cfRule type="cellIs" dxfId="5878" priority="2935" operator="equal">
      <formula>"NS"</formula>
    </cfRule>
    <cfRule type="cellIs" dxfId="5877" priority="2936" operator="equal">
      <formula>"S"</formula>
    </cfRule>
    <cfRule type="cellIs" dxfId="5876" priority="2937" operator="equal">
      <formula>"A"</formula>
    </cfRule>
    <cfRule type="cellIs" dxfId="5875" priority="2938" operator="equal">
      <formula>"X"</formula>
    </cfRule>
    <cfRule type="cellIs" dxfId="5874" priority="2939" operator="equal">
      <formula>"L"</formula>
    </cfRule>
    <cfRule type="cellIs" dxfId="5873" priority="2940" operator="equal">
      <formula>"V"</formula>
    </cfRule>
  </conditionalFormatting>
  <conditionalFormatting sqref="AR928:AU938">
    <cfRule type="cellIs" dxfId="5865" priority="2927" operator="equal">
      <formula>"NA"</formula>
    </cfRule>
    <cfRule type="cellIs" dxfId="5864" priority="2928" operator="equal">
      <formula>"NS"</formula>
    </cfRule>
    <cfRule type="cellIs" dxfId="5863" priority="2929" operator="equal">
      <formula>"S"</formula>
    </cfRule>
    <cfRule type="cellIs" dxfId="5862" priority="2930" operator="equal">
      <formula>"A"</formula>
    </cfRule>
    <cfRule type="cellIs" dxfId="5861" priority="2931" operator="equal">
      <formula>"X"</formula>
    </cfRule>
    <cfRule type="cellIs" dxfId="5860" priority="2932" operator="equal">
      <formula>"L"</formula>
    </cfRule>
    <cfRule type="cellIs" dxfId="5859" priority="2933" operator="equal">
      <formula>"V"</formula>
    </cfRule>
  </conditionalFormatting>
  <conditionalFormatting sqref="AR941:AU944 AR946:AU950 AR945">
    <cfRule type="cellIs" dxfId="5851" priority="2920" operator="equal">
      <formula>"NA"</formula>
    </cfRule>
    <cfRule type="cellIs" dxfId="5850" priority="2921" operator="equal">
      <formula>"NS"</formula>
    </cfRule>
    <cfRule type="cellIs" dxfId="5849" priority="2922" operator="equal">
      <formula>"S"</formula>
    </cfRule>
    <cfRule type="cellIs" dxfId="5848" priority="2923" operator="equal">
      <formula>"A"</formula>
    </cfRule>
    <cfRule type="cellIs" dxfId="5847" priority="2924" operator="equal">
      <formula>"X"</formula>
    </cfRule>
    <cfRule type="cellIs" dxfId="5846" priority="2925" operator="equal">
      <formula>"L"</formula>
    </cfRule>
    <cfRule type="cellIs" dxfId="5845" priority="2926" operator="equal">
      <formula>"V"</formula>
    </cfRule>
  </conditionalFormatting>
  <conditionalFormatting sqref="AP17">
    <cfRule type="cellIs" dxfId="5837" priority="2269" operator="equal">
      <formula>"NA"</formula>
    </cfRule>
    <cfRule type="cellIs" dxfId="5836" priority="2270" operator="equal">
      <formula>"NS"</formula>
    </cfRule>
    <cfRule type="cellIs" dxfId="5835" priority="2271" operator="equal">
      <formula>"S"</formula>
    </cfRule>
    <cfRule type="cellIs" dxfId="5834" priority="2272" operator="equal">
      <formula>"A"</formula>
    </cfRule>
    <cfRule type="cellIs" dxfId="5833" priority="2273" operator="equal">
      <formula>"X"</formula>
    </cfRule>
    <cfRule type="cellIs" dxfId="5832" priority="2274" operator="equal">
      <formula>"L"</formula>
    </cfRule>
    <cfRule type="cellIs" dxfId="5831" priority="2275" operator="equal">
      <formula>"V"</formula>
    </cfRule>
  </conditionalFormatting>
  <conditionalFormatting sqref="AP55:AQ55">
    <cfRule type="cellIs" dxfId="5823" priority="2255" operator="equal">
      <formula>"NA"</formula>
    </cfRule>
    <cfRule type="cellIs" dxfId="5822" priority="2256" operator="equal">
      <formula>"NS"</formula>
    </cfRule>
    <cfRule type="cellIs" dxfId="5821" priority="2257" operator="equal">
      <formula>"S"</formula>
    </cfRule>
    <cfRule type="cellIs" dxfId="5820" priority="2258" operator="equal">
      <formula>"A"</formula>
    </cfRule>
    <cfRule type="cellIs" dxfId="5819" priority="2259" operator="equal">
      <formula>"X"</formula>
    </cfRule>
    <cfRule type="cellIs" dxfId="5818" priority="2260" operator="equal">
      <formula>"L"</formula>
    </cfRule>
    <cfRule type="cellIs" dxfId="5817" priority="2261" operator="equal">
      <formula>"V"</formula>
    </cfRule>
  </conditionalFormatting>
  <conditionalFormatting sqref="AQ131">
    <cfRule type="cellIs" dxfId="5809" priority="2206" operator="equal">
      <formula>"NA"</formula>
    </cfRule>
    <cfRule type="cellIs" dxfId="5808" priority="2207" operator="equal">
      <formula>"NS"</formula>
    </cfRule>
    <cfRule type="cellIs" dxfId="5807" priority="2208" operator="equal">
      <formula>"S"</formula>
    </cfRule>
    <cfRule type="cellIs" dxfId="5806" priority="2209" operator="equal">
      <formula>"A"</formula>
    </cfRule>
    <cfRule type="cellIs" dxfId="5805" priority="2210" operator="equal">
      <formula>"X"</formula>
    </cfRule>
    <cfRule type="cellIs" dxfId="5804" priority="2211" operator="equal">
      <formula>"L"</formula>
    </cfRule>
    <cfRule type="cellIs" dxfId="5803" priority="2212" operator="equal">
      <formula>"V"</formula>
    </cfRule>
  </conditionalFormatting>
  <conditionalFormatting sqref="AQ142">
    <cfRule type="cellIs" dxfId="5795" priority="2192" operator="equal">
      <formula>"NA"</formula>
    </cfRule>
    <cfRule type="cellIs" dxfId="5794" priority="2193" operator="equal">
      <formula>"NS"</formula>
    </cfRule>
    <cfRule type="cellIs" dxfId="5793" priority="2194" operator="equal">
      <formula>"S"</formula>
    </cfRule>
    <cfRule type="cellIs" dxfId="5792" priority="2195" operator="equal">
      <formula>"A"</formula>
    </cfRule>
    <cfRule type="cellIs" dxfId="5791" priority="2196" operator="equal">
      <formula>"X"</formula>
    </cfRule>
    <cfRule type="cellIs" dxfId="5790" priority="2197" operator="equal">
      <formula>"L"</formula>
    </cfRule>
    <cfRule type="cellIs" dxfId="5789" priority="2198" operator="equal">
      <formula>"V"</formula>
    </cfRule>
  </conditionalFormatting>
  <conditionalFormatting sqref="AQ144">
    <cfRule type="cellIs" dxfId="5781" priority="2185" operator="equal">
      <formula>"NA"</formula>
    </cfRule>
    <cfRule type="cellIs" dxfId="5780" priority="2186" operator="equal">
      <formula>"NS"</formula>
    </cfRule>
    <cfRule type="cellIs" dxfId="5779" priority="2187" operator="equal">
      <formula>"S"</formula>
    </cfRule>
    <cfRule type="cellIs" dxfId="5778" priority="2188" operator="equal">
      <formula>"A"</formula>
    </cfRule>
    <cfRule type="cellIs" dxfId="5777" priority="2189" operator="equal">
      <formula>"X"</formula>
    </cfRule>
    <cfRule type="cellIs" dxfId="5776" priority="2190" operator="equal">
      <formula>"L"</formula>
    </cfRule>
    <cfRule type="cellIs" dxfId="5775" priority="2191" operator="equal">
      <formula>"V"</formula>
    </cfRule>
  </conditionalFormatting>
  <conditionalFormatting sqref="AQ146">
    <cfRule type="cellIs" dxfId="5767" priority="2178" operator="equal">
      <formula>"NA"</formula>
    </cfRule>
    <cfRule type="cellIs" dxfId="5766" priority="2179" operator="equal">
      <formula>"NS"</formula>
    </cfRule>
    <cfRule type="cellIs" dxfId="5765" priority="2180" operator="equal">
      <formula>"S"</formula>
    </cfRule>
    <cfRule type="cellIs" dxfId="5764" priority="2181" operator="equal">
      <formula>"A"</formula>
    </cfRule>
    <cfRule type="cellIs" dxfId="5763" priority="2182" operator="equal">
      <formula>"X"</formula>
    </cfRule>
    <cfRule type="cellIs" dxfId="5762" priority="2183" operator="equal">
      <formula>"L"</formula>
    </cfRule>
    <cfRule type="cellIs" dxfId="5761" priority="2184" operator="equal">
      <formula>"V"</formula>
    </cfRule>
  </conditionalFormatting>
  <conditionalFormatting sqref="AQ150">
    <cfRule type="cellIs" dxfId="5753" priority="2171" operator="equal">
      <formula>"NA"</formula>
    </cfRule>
    <cfRule type="cellIs" dxfId="5752" priority="2172" operator="equal">
      <formula>"NS"</formula>
    </cfRule>
    <cfRule type="cellIs" dxfId="5751" priority="2173" operator="equal">
      <formula>"S"</formula>
    </cfRule>
    <cfRule type="cellIs" dxfId="5750" priority="2174" operator="equal">
      <formula>"A"</formula>
    </cfRule>
    <cfRule type="cellIs" dxfId="5749" priority="2175" operator="equal">
      <formula>"X"</formula>
    </cfRule>
    <cfRule type="cellIs" dxfId="5748" priority="2176" operator="equal">
      <formula>"L"</formula>
    </cfRule>
    <cfRule type="cellIs" dxfId="5747" priority="2177" operator="equal">
      <formula>"V"</formula>
    </cfRule>
  </conditionalFormatting>
  <conditionalFormatting sqref="AP163:AQ163">
    <cfRule type="cellIs" dxfId="5739" priority="2150" operator="equal">
      <formula>"NA"</formula>
    </cfRule>
    <cfRule type="cellIs" dxfId="5738" priority="2151" operator="equal">
      <formula>"NS"</formula>
    </cfRule>
    <cfRule type="cellIs" dxfId="5737" priority="2152" operator="equal">
      <formula>"S"</formula>
    </cfRule>
    <cfRule type="cellIs" dxfId="5736" priority="2153" operator="equal">
      <formula>"A"</formula>
    </cfRule>
    <cfRule type="cellIs" dxfId="5735" priority="2154" operator="equal">
      <formula>"X"</formula>
    </cfRule>
    <cfRule type="cellIs" dxfId="5734" priority="2155" operator="equal">
      <formula>"L"</formula>
    </cfRule>
    <cfRule type="cellIs" dxfId="5733" priority="2156" operator="equal">
      <formula>"V"</formula>
    </cfRule>
  </conditionalFormatting>
  <conditionalFormatting sqref="AP229">
    <cfRule type="cellIs" dxfId="5725" priority="2276" operator="equal">
      <formula>"NA"</formula>
    </cfRule>
    <cfRule type="cellIs" dxfId="5724" priority="2277" operator="equal">
      <formula>"NS"</formula>
    </cfRule>
    <cfRule type="cellIs" dxfId="5723" priority="2278" operator="equal">
      <formula>"S"</formula>
    </cfRule>
    <cfRule type="cellIs" dxfId="5722" priority="2279" operator="equal">
      <formula>"A"</formula>
    </cfRule>
    <cfRule type="cellIs" dxfId="5721" priority="2280" operator="equal">
      <formula>"X"</formula>
    </cfRule>
    <cfRule type="cellIs" dxfId="5720" priority="2281" operator="equal">
      <formula>"L"</formula>
    </cfRule>
    <cfRule type="cellIs" dxfId="5719" priority="2282" operator="equal">
      <formula>"V"</formula>
    </cfRule>
  </conditionalFormatting>
  <conditionalFormatting sqref="AP231">
    <cfRule type="cellIs" dxfId="5711" priority="2283" operator="equal">
      <formula>"NA"</formula>
    </cfRule>
    <cfRule type="cellIs" dxfId="5710" priority="2284" operator="equal">
      <formula>"NS"</formula>
    </cfRule>
    <cfRule type="cellIs" dxfId="5709" priority="2285" operator="equal">
      <formula>"S"</formula>
    </cfRule>
    <cfRule type="cellIs" dxfId="5708" priority="2286" operator="equal">
      <formula>"A"</formula>
    </cfRule>
    <cfRule type="cellIs" dxfId="5707" priority="2287" operator="equal">
      <formula>"X"</formula>
    </cfRule>
    <cfRule type="cellIs" dxfId="5706" priority="2288" operator="equal">
      <formula>"L"</formula>
    </cfRule>
    <cfRule type="cellIs" dxfId="5705" priority="2289" operator="equal">
      <formula>"V"</formula>
    </cfRule>
  </conditionalFormatting>
  <conditionalFormatting sqref="AP336">
    <cfRule type="cellIs" dxfId="5697" priority="2346" operator="equal">
      <formula>"NA"</formula>
    </cfRule>
    <cfRule type="cellIs" dxfId="5696" priority="2347" operator="equal">
      <formula>"NS"</formula>
    </cfRule>
    <cfRule type="cellIs" dxfId="5695" priority="2348" operator="equal">
      <formula>"S"</formula>
    </cfRule>
    <cfRule type="cellIs" dxfId="5694" priority="2349" operator="equal">
      <formula>"A"</formula>
    </cfRule>
    <cfRule type="cellIs" dxfId="5693" priority="2350" operator="equal">
      <formula>"X"</formula>
    </cfRule>
    <cfRule type="cellIs" dxfId="5692" priority="2351" operator="equal">
      <formula>"L"</formula>
    </cfRule>
    <cfRule type="cellIs" dxfId="5691" priority="2352" operator="equal">
      <formula>"V"</formula>
    </cfRule>
  </conditionalFormatting>
  <conditionalFormatting sqref="AP344">
    <cfRule type="cellIs" dxfId="5683" priority="2360" operator="equal">
      <formula>"NA"</formula>
    </cfRule>
    <cfRule type="cellIs" dxfId="5682" priority="2361" operator="equal">
      <formula>"NS"</formula>
    </cfRule>
    <cfRule type="cellIs" dxfId="5681" priority="2362" operator="equal">
      <formula>"S"</formula>
    </cfRule>
    <cfRule type="cellIs" dxfId="5680" priority="2363" operator="equal">
      <formula>"A"</formula>
    </cfRule>
    <cfRule type="cellIs" dxfId="5679" priority="2364" operator="equal">
      <formula>"X"</formula>
    </cfRule>
    <cfRule type="cellIs" dxfId="5678" priority="2365" operator="equal">
      <formula>"L"</formula>
    </cfRule>
    <cfRule type="cellIs" dxfId="5677" priority="2366" operator="equal">
      <formula>"V"</formula>
    </cfRule>
  </conditionalFormatting>
  <conditionalFormatting sqref="AP350">
    <cfRule type="cellIs" dxfId="5669" priority="2381" operator="equal">
      <formula>"NA"</formula>
    </cfRule>
    <cfRule type="cellIs" dxfId="5668" priority="2382" operator="equal">
      <formula>"NS"</formula>
    </cfRule>
    <cfRule type="cellIs" dxfId="5667" priority="2383" operator="equal">
      <formula>"S"</formula>
    </cfRule>
    <cfRule type="cellIs" dxfId="5666" priority="2384" operator="equal">
      <formula>"A"</formula>
    </cfRule>
    <cfRule type="cellIs" dxfId="5665" priority="2385" operator="equal">
      <formula>"X"</formula>
    </cfRule>
    <cfRule type="cellIs" dxfId="5664" priority="2386" operator="equal">
      <formula>"L"</formula>
    </cfRule>
    <cfRule type="cellIs" dxfId="5663" priority="2387" operator="equal">
      <formula>"V"</formula>
    </cfRule>
  </conditionalFormatting>
  <conditionalFormatting sqref="AP355">
    <cfRule type="cellIs" dxfId="5655" priority="2367" operator="equal">
      <formula>"NA"</formula>
    </cfRule>
    <cfRule type="cellIs" dxfId="5654" priority="2368" operator="equal">
      <formula>"NS"</formula>
    </cfRule>
    <cfRule type="cellIs" dxfId="5653" priority="2369" operator="equal">
      <formula>"S"</formula>
    </cfRule>
    <cfRule type="cellIs" dxfId="5652" priority="2370" operator="equal">
      <formula>"A"</formula>
    </cfRule>
    <cfRule type="cellIs" dxfId="5651" priority="2371" operator="equal">
      <formula>"X"</formula>
    </cfRule>
    <cfRule type="cellIs" dxfId="5650" priority="2372" operator="equal">
      <formula>"L"</formula>
    </cfRule>
    <cfRule type="cellIs" dxfId="5649" priority="2373" operator="equal">
      <formula>"V"</formula>
    </cfRule>
  </conditionalFormatting>
  <conditionalFormatting sqref="AP374:AQ374">
    <cfRule type="cellIs" dxfId="5641" priority="2402" operator="equal">
      <formula>"NA"</formula>
    </cfRule>
    <cfRule type="cellIs" dxfId="5640" priority="2403" operator="equal">
      <formula>"NS"</formula>
    </cfRule>
    <cfRule type="cellIs" dxfId="5639" priority="2404" operator="equal">
      <formula>"S"</formula>
    </cfRule>
    <cfRule type="cellIs" dxfId="5638" priority="2405" operator="equal">
      <formula>"A"</formula>
    </cfRule>
    <cfRule type="cellIs" dxfId="5637" priority="2406" operator="equal">
      <formula>"X"</formula>
    </cfRule>
    <cfRule type="cellIs" dxfId="5636" priority="2407" operator="equal">
      <formula>"L"</formula>
    </cfRule>
    <cfRule type="cellIs" dxfId="5635" priority="2408" operator="equal">
      <formula>"V"</formula>
    </cfRule>
  </conditionalFormatting>
  <conditionalFormatting sqref="AP397:AQ397">
    <cfRule type="cellIs" dxfId="5627" priority="2416" operator="equal">
      <formula>"NA"</formula>
    </cfRule>
    <cfRule type="cellIs" dxfId="5626" priority="2417" operator="equal">
      <formula>"NS"</formula>
    </cfRule>
    <cfRule type="cellIs" dxfId="5625" priority="2418" operator="equal">
      <formula>"S"</formula>
    </cfRule>
    <cfRule type="cellIs" dxfId="5624" priority="2419" operator="equal">
      <formula>"A"</formula>
    </cfRule>
    <cfRule type="cellIs" dxfId="5623" priority="2420" operator="equal">
      <formula>"X"</formula>
    </cfRule>
    <cfRule type="cellIs" dxfId="5622" priority="2421" operator="equal">
      <formula>"L"</formula>
    </cfRule>
    <cfRule type="cellIs" dxfId="5621" priority="2422" operator="equal">
      <formula>"V"</formula>
    </cfRule>
  </conditionalFormatting>
  <conditionalFormatting sqref="AP421">
    <cfRule type="cellIs" dxfId="5613" priority="2444" operator="equal">
      <formula>"NA"</formula>
    </cfRule>
    <cfRule type="cellIs" dxfId="5612" priority="2445" operator="equal">
      <formula>"NS"</formula>
    </cfRule>
    <cfRule type="cellIs" dxfId="5611" priority="2446" operator="equal">
      <formula>"S"</formula>
    </cfRule>
    <cfRule type="cellIs" dxfId="5610" priority="2447" operator="equal">
      <formula>"A"</formula>
    </cfRule>
    <cfRule type="cellIs" dxfId="5609" priority="2448" operator="equal">
      <formula>"X"</formula>
    </cfRule>
    <cfRule type="cellIs" dxfId="5608" priority="2449" operator="equal">
      <formula>"L"</formula>
    </cfRule>
    <cfRule type="cellIs" dxfId="5607" priority="2450" operator="equal">
      <formula>"V"</formula>
    </cfRule>
  </conditionalFormatting>
  <conditionalFormatting sqref="AP488:AQ488">
    <cfRule type="cellIs" dxfId="5599" priority="2507" operator="equal">
      <formula>"NA"</formula>
    </cfRule>
    <cfRule type="cellIs" dxfId="5598" priority="2508" operator="equal">
      <formula>"NS"</formula>
    </cfRule>
    <cfRule type="cellIs" dxfId="5597" priority="2509" operator="equal">
      <formula>"S"</formula>
    </cfRule>
    <cfRule type="cellIs" dxfId="5596" priority="2510" operator="equal">
      <formula>"A"</formula>
    </cfRule>
    <cfRule type="cellIs" dxfId="5595" priority="2511" operator="equal">
      <formula>"X"</formula>
    </cfRule>
    <cfRule type="cellIs" dxfId="5594" priority="2512" operator="equal">
      <formula>"L"</formula>
    </cfRule>
    <cfRule type="cellIs" dxfId="5593" priority="2513" operator="equal">
      <formula>"V"</formula>
    </cfRule>
  </conditionalFormatting>
  <conditionalFormatting sqref="AP507">
    <cfRule type="cellIs" dxfId="5585" priority="2528" operator="equal">
      <formula>"NA"</formula>
    </cfRule>
    <cfRule type="cellIs" dxfId="5584" priority="2529" operator="equal">
      <formula>"NS"</formula>
    </cfRule>
    <cfRule type="cellIs" dxfId="5583" priority="2530" operator="equal">
      <formula>"S"</formula>
    </cfRule>
    <cfRule type="cellIs" dxfId="5582" priority="2531" operator="equal">
      <formula>"A"</formula>
    </cfRule>
    <cfRule type="cellIs" dxfId="5581" priority="2532" operator="equal">
      <formula>"X"</formula>
    </cfRule>
    <cfRule type="cellIs" dxfId="5580" priority="2533" operator="equal">
      <formula>"L"</formula>
    </cfRule>
    <cfRule type="cellIs" dxfId="5579" priority="2534" operator="equal">
      <formula>"V"</formula>
    </cfRule>
  </conditionalFormatting>
  <conditionalFormatting sqref="AP552:AQ552">
    <cfRule type="cellIs" dxfId="5571" priority="2570" operator="equal">
      <formula>"NA"</formula>
    </cfRule>
    <cfRule type="cellIs" dxfId="5570" priority="2571" operator="equal">
      <formula>"NS"</formula>
    </cfRule>
    <cfRule type="cellIs" dxfId="5569" priority="2572" operator="equal">
      <formula>"S"</formula>
    </cfRule>
    <cfRule type="cellIs" dxfId="5568" priority="2573" operator="equal">
      <formula>"A"</formula>
    </cfRule>
    <cfRule type="cellIs" dxfId="5567" priority="2574" operator="equal">
      <formula>"X"</formula>
    </cfRule>
    <cfRule type="cellIs" dxfId="5566" priority="2575" operator="equal">
      <formula>"L"</formula>
    </cfRule>
    <cfRule type="cellIs" dxfId="5565" priority="2576" operator="equal">
      <formula>"V"</formula>
    </cfRule>
  </conditionalFormatting>
  <conditionalFormatting sqref="AQ557">
    <cfRule type="cellIs" dxfId="5557" priority="2584" operator="equal">
      <formula>"NA"</formula>
    </cfRule>
    <cfRule type="cellIs" dxfId="5556" priority="2585" operator="equal">
      <formula>"NS"</formula>
    </cfRule>
    <cfRule type="cellIs" dxfId="5555" priority="2586" operator="equal">
      <formula>"S"</formula>
    </cfRule>
    <cfRule type="cellIs" dxfId="5554" priority="2587" operator="equal">
      <formula>"A"</formula>
    </cfRule>
    <cfRule type="cellIs" dxfId="5553" priority="2588" operator="equal">
      <formula>"X"</formula>
    </cfRule>
    <cfRule type="cellIs" dxfId="5552" priority="2589" operator="equal">
      <formula>"L"</formula>
    </cfRule>
    <cfRule type="cellIs" dxfId="5551" priority="2590" operator="equal">
      <formula>"V"</formula>
    </cfRule>
  </conditionalFormatting>
  <conditionalFormatting sqref="AQ560">
    <cfRule type="cellIs" dxfId="5543" priority="2577" operator="equal">
      <formula>"NA"</formula>
    </cfRule>
    <cfRule type="cellIs" dxfId="5542" priority="2578" operator="equal">
      <formula>"NS"</formula>
    </cfRule>
    <cfRule type="cellIs" dxfId="5541" priority="2579" operator="equal">
      <formula>"S"</formula>
    </cfRule>
    <cfRule type="cellIs" dxfId="5540" priority="2580" operator="equal">
      <formula>"A"</formula>
    </cfRule>
    <cfRule type="cellIs" dxfId="5539" priority="2581" operator="equal">
      <formula>"X"</formula>
    </cfRule>
    <cfRule type="cellIs" dxfId="5538" priority="2582" operator="equal">
      <formula>"L"</formula>
    </cfRule>
    <cfRule type="cellIs" dxfId="5537" priority="2583" operator="equal">
      <formula>"V"</formula>
    </cfRule>
  </conditionalFormatting>
  <conditionalFormatting sqref="AP563:AQ563">
    <cfRule type="cellIs" dxfId="5529" priority="2598" operator="equal">
      <formula>"NA"</formula>
    </cfRule>
    <cfRule type="cellIs" dxfId="5528" priority="2599" operator="equal">
      <formula>"NS"</formula>
    </cfRule>
    <cfRule type="cellIs" dxfId="5527" priority="2600" operator="equal">
      <formula>"S"</formula>
    </cfRule>
    <cfRule type="cellIs" dxfId="5526" priority="2601" operator="equal">
      <formula>"A"</formula>
    </cfRule>
    <cfRule type="cellIs" dxfId="5525" priority="2602" operator="equal">
      <formula>"X"</formula>
    </cfRule>
    <cfRule type="cellIs" dxfId="5524" priority="2603" operator="equal">
      <formula>"L"</formula>
    </cfRule>
    <cfRule type="cellIs" dxfId="5523" priority="2604" operator="equal">
      <formula>"V"</formula>
    </cfRule>
  </conditionalFormatting>
  <conditionalFormatting sqref="AP565:AQ565">
    <cfRule type="cellIs" dxfId="5515" priority="2612" operator="equal">
      <formula>"NA"</formula>
    </cfRule>
    <cfRule type="cellIs" dxfId="5514" priority="2613" operator="equal">
      <formula>"NS"</formula>
    </cfRule>
    <cfRule type="cellIs" dxfId="5513" priority="2614" operator="equal">
      <formula>"S"</formula>
    </cfRule>
    <cfRule type="cellIs" dxfId="5512" priority="2615" operator="equal">
      <formula>"A"</formula>
    </cfRule>
    <cfRule type="cellIs" dxfId="5511" priority="2616" operator="equal">
      <formula>"X"</formula>
    </cfRule>
    <cfRule type="cellIs" dxfId="5510" priority="2617" operator="equal">
      <formula>"L"</formula>
    </cfRule>
    <cfRule type="cellIs" dxfId="5509" priority="2618" operator="equal">
      <formula>"V"</formula>
    </cfRule>
  </conditionalFormatting>
  <conditionalFormatting sqref="AP646">
    <cfRule type="cellIs" dxfId="5501" priority="2668" operator="equal">
      <formula>"NA"</formula>
    </cfRule>
    <cfRule type="cellIs" dxfId="5500" priority="2669" operator="equal">
      <formula>"NS"</formula>
    </cfRule>
    <cfRule type="cellIs" dxfId="5499" priority="2670" operator="equal">
      <formula>"S"</formula>
    </cfRule>
    <cfRule type="cellIs" dxfId="5498" priority="2671" operator="equal">
      <formula>"A"</formula>
    </cfRule>
    <cfRule type="cellIs" dxfId="5497" priority="2672" operator="equal">
      <formula>"X"</formula>
    </cfRule>
    <cfRule type="cellIs" dxfId="5496" priority="2673" operator="equal">
      <formula>"L"</formula>
    </cfRule>
    <cfRule type="cellIs" dxfId="5495" priority="2674" operator="equal">
      <formula>"V"</formula>
    </cfRule>
  </conditionalFormatting>
  <conditionalFormatting sqref="AP652">
    <cfRule type="cellIs" dxfId="5487" priority="2675" operator="equal">
      <formula>"NA"</formula>
    </cfRule>
    <cfRule type="cellIs" dxfId="5486" priority="2676" operator="equal">
      <formula>"NS"</formula>
    </cfRule>
    <cfRule type="cellIs" dxfId="5485" priority="2677" operator="equal">
      <formula>"S"</formula>
    </cfRule>
    <cfRule type="cellIs" dxfId="5484" priority="2678" operator="equal">
      <formula>"A"</formula>
    </cfRule>
    <cfRule type="cellIs" dxfId="5483" priority="2679" operator="equal">
      <formula>"X"</formula>
    </cfRule>
    <cfRule type="cellIs" dxfId="5482" priority="2680" operator="equal">
      <formula>"L"</formula>
    </cfRule>
    <cfRule type="cellIs" dxfId="5481" priority="2681" operator="equal">
      <formula>"V"</formula>
    </cfRule>
  </conditionalFormatting>
  <conditionalFormatting sqref="AP716:AQ716">
    <cfRule type="cellIs" dxfId="5473" priority="2731" operator="equal">
      <formula>"NA"</formula>
    </cfRule>
    <cfRule type="cellIs" dxfId="5472" priority="2732" operator="equal">
      <formula>"NS"</formula>
    </cfRule>
    <cfRule type="cellIs" dxfId="5471" priority="2733" operator="equal">
      <formula>"S"</formula>
    </cfRule>
    <cfRule type="cellIs" dxfId="5470" priority="2734" operator="equal">
      <formula>"A"</formula>
    </cfRule>
    <cfRule type="cellIs" dxfId="5469" priority="2735" operator="equal">
      <formula>"X"</formula>
    </cfRule>
    <cfRule type="cellIs" dxfId="5468" priority="2736" operator="equal">
      <formula>"L"</formula>
    </cfRule>
    <cfRule type="cellIs" dxfId="5467" priority="2737" operator="equal">
      <formula>"V"</formula>
    </cfRule>
  </conditionalFormatting>
  <conditionalFormatting sqref="AQ717">
    <cfRule type="cellIs" dxfId="5459" priority="2724" operator="equal">
      <formula>"NA"</formula>
    </cfRule>
    <cfRule type="cellIs" dxfId="5458" priority="2725" operator="equal">
      <formula>"NS"</formula>
    </cfRule>
    <cfRule type="cellIs" dxfId="5457" priority="2726" operator="equal">
      <formula>"S"</formula>
    </cfRule>
    <cfRule type="cellIs" dxfId="5456" priority="2727" operator="equal">
      <formula>"A"</formula>
    </cfRule>
    <cfRule type="cellIs" dxfId="5455" priority="2728" operator="equal">
      <formula>"X"</formula>
    </cfRule>
    <cfRule type="cellIs" dxfId="5454" priority="2729" operator="equal">
      <formula>"L"</formula>
    </cfRule>
    <cfRule type="cellIs" dxfId="5453" priority="2730" operator="equal">
      <formula>"V"</formula>
    </cfRule>
  </conditionalFormatting>
  <conditionalFormatting sqref="AQ728">
    <cfRule type="cellIs" dxfId="5445" priority="2752" operator="equal">
      <formula>"NA"</formula>
    </cfRule>
    <cfRule type="cellIs" dxfId="5444" priority="2753" operator="equal">
      <formula>"NS"</formula>
    </cfRule>
    <cfRule type="cellIs" dxfId="5443" priority="2754" operator="equal">
      <formula>"S"</formula>
    </cfRule>
    <cfRule type="cellIs" dxfId="5442" priority="2755" operator="equal">
      <formula>"A"</formula>
    </cfRule>
    <cfRule type="cellIs" dxfId="5441" priority="2756" operator="equal">
      <formula>"X"</formula>
    </cfRule>
    <cfRule type="cellIs" dxfId="5440" priority="2757" operator="equal">
      <formula>"L"</formula>
    </cfRule>
    <cfRule type="cellIs" dxfId="5439" priority="2758" operator="equal">
      <formula>"V"</formula>
    </cfRule>
  </conditionalFormatting>
  <conditionalFormatting sqref="AP798:AQ798">
    <cfRule type="cellIs" dxfId="5431" priority="2794" operator="equal">
      <formula>"NA"</formula>
    </cfRule>
    <cfRule type="cellIs" dxfId="5430" priority="2795" operator="equal">
      <formula>"NS"</formula>
    </cfRule>
    <cfRule type="cellIs" dxfId="5429" priority="2796" operator="equal">
      <formula>"S"</formula>
    </cfRule>
    <cfRule type="cellIs" dxfId="5428" priority="2797" operator="equal">
      <formula>"A"</formula>
    </cfRule>
    <cfRule type="cellIs" dxfId="5427" priority="2798" operator="equal">
      <formula>"X"</formula>
    </cfRule>
    <cfRule type="cellIs" dxfId="5426" priority="2799" operator="equal">
      <formula>"L"</formula>
    </cfRule>
    <cfRule type="cellIs" dxfId="5425" priority="2800" operator="equal">
      <formula>"V"</formula>
    </cfRule>
  </conditionalFormatting>
  <conditionalFormatting sqref="AP819">
    <cfRule type="cellIs" dxfId="5417" priority="2815" operator="equal">
      <formula>"NA"</formula>
    </cfRule>
    <cfRule type="cellIs" dxfId="5416" priority="2816" operator="equal">
      <formula>"NS"</formula>
    </cfRule>
    <cfRule type="cellIs" dxfId="5415" priority="2817" operator="equal">
      <formula>"S"</formula>
    </cfRule>
    <cfRule type="cellIs" dxfId="5414" priority="2818" operator="equal">
      <formula>"A"</formula>
    </cfRule>
    <cfRule type="cellIs" dxfId="5413" priority="2819" operator="equal">
      <formula>"X"</formula>
    </cfRule>
    <cfRule type="cellIs" dxfId="5412" priority="2820" operator="equal">
      <formula>"L"</formula>
    </cfRule>
    <cfRule type="cellIs" dxfId="5411" priority="2821" operator="equal">
      <formula>"V"</formula>
    </cfRule>
  </conditionalFormatting>
  <conditionalFormatting sqref="AP821">
    <cfRule type="cellIs" dxfId="5403" priority="2808" operator="equal">
      <formula>"NA"</formula>
    </cfRule>
    <cfRule type="cellIs" dxfId="5402" priority="2809" operator="equal">
      <formula>"NS"</formula>
    </cfRule>
    <cfRule type="cellIs" dxfId="5401" priority="2810" operator="equal">
      <formula>"S"</formula>
    </cfRule>
    <cfRule type="cellIs" dxfId="5400" priority="2811" operator="equal">
      <formula>"A"</formula>
    </cfRule>
    <cfRule type="cellIs" dxfId="5399" priority="2812" operator="equal">
      <formula>"X"</formula>
    </cfRule>
    <cfRule type="cellIs" dxfId="5398" priority="2813" operator="equal">
      <formula>"L"</formula>
    </cfRule>
    <cfRule type="cellIs" dxfId="5397" priority="2814" operator="equal">
      <formula>"V"</formula>
    </cfRule>
  </conditionalFormatting>
  <conditionalFormatting sqref="AP58:AP59">
    <cfRule type="cellIs" dxfId="5389" priority="2241" operator="equal">
      <formula>"NA"</formula>
    </cfRule>
    <cfRule type="cellIs" dxfId="5388" priority="2242" operator="equal">
      <formula>"NS"</formula>
    </cfRule>
    <cfRule type="cellIs" dxfId="5387" priority="2243" operator="equal">
      <formula>"S"</formula>
    </cfRule>
    <cfRule type="cellIs" dxfId="5386" priority="2244" operator="equal">
      <formula>"A"</formula>
    </cfRule>
    <cfRule type="cellIs" dxfId="5385" priority="2245" operator="equal">
      <formula>"X"</formula>
    </cfRule>
    <cfRule type="cellIs" dxfId="5384" priority="2246" operator="equal">
      <formula>"L"</formula>
    </cfRule>
    <cfRule type="cellIs" dxfId="5383" priority="2247" operator="equal">
      <formula>"V"</formula>
    </cfRule>
  </conditionalFormatting>
  <conditionalFormatting sqref="AP233:AP266">
    <cfRule type="cellIs" dxfId="5375" priority="2290" operator="equal">
      <formula>"NA"</formula>
    </cfRule>
    <cfRule type="cellIs" dxfId="5374" priority="2291" operator="equal">
      <formula>"NS"</formula>
    </cfRule>
    <cfRule type="cellIs" dxfId="5373" priority="2292" operator="equal">
      <formula>"S"</formula>
    </cfRule>
    <cfRule type="cellIs" dxfId="5372" priority="2293" operator="equal">
      <formula>"A"</formula>
    </cfRule>
    <cfRule type="cellIs" dxfId="5371" priority="2294" operator="equal">
      <formula>"X"</formula>
    </cfRule>
    <cfRule type="cellIs" dxfId="5370" priority="2295" operator="equal">
      <formula>"L"</formula>
    </cfRule>
    <cfRule type="cellIs" dxfId="5369" priority="2296" operator="equal">
      <formula>"V"</formula>
    </cfRule>
  </conditionalFormatting>
  <conditionalFormatting sqref="AP402:AP416">
    <cfRule type="cellIs" dxfId="5361" priority="2430" operator="equal">
      <formula>"NA"</formula>
    </cfRule>
    <cfRule type="cellIs" dxfId="5360" priority="2431" operator="equal">
      <formula>"NS"</formula>
    </cfRule>
    <cfRule type="cellIs" dxfId="5359" priority="2432" operator="equal">
      <formula>"S"</formula>
    </cfRule>
    <cfRule type="cellIs" dxfId="5358" priority="2433" operator="equal">
      <formula>"A"</formula>
    </cfRule>
    <cfRule type="cellIs" dxfId="5357" priority="2434" operator="equal">
      <formula>"X"</formula>
    </cfRule>
    <cfRule type="cellIs" dxfId="5356" priority="2435" operator="equal">
      <formula>"L"</formula>
    </cfRule>
    <cfRule type="cellIs" dxfId="5355" priority="2436" operator="equal">
      <formula>"V"</formula>
    </cfRule>
  </conditionalFormatting>
  <conditionalFormatting sqref="AP462:AP465">
    <cfRule type="cellIs" dxfId="5347" priority="2479" operator="equal">
      <formula>"NA"</formula>
    </cfRule>
    <cfRule type="cellIs" dxfId="5346" priority="2480" operator="equal">
      <formula>"NS"</formula>
    </cfRule>
    <cfRule type="cellIs" dxfId="5345" priority="2481" operator="equal">
      <formula>"S"</formula>
    </cfRule>
    <cfRule type="cellIs" dxfId="5344" priority="2482" operator="equal">
      <formula>"A"</formula>
    </cfRule>
    <cfRule type="cellIs" dxfId="5343" priority="2483" operator="equal">
      <formula>"X"</formula>
    </cfRule>
    <cfRule type="cellIs" dxfId="5342" priority="2484" operator="equal">
      <formula>"L"</formula>
    </cfRule>
    <cfRule type="cellIs" dxfId="5341" priority="2485" operator="equal">
      <formula>"V"</formula>
    </cfRule>
  </conditionalFormatting>
  <conditionalFormatting sqref="AP489:AP506">
    <cfRule type="cellIs" dxfId="5333" priority="2514" operator="equal">
      <formula>"NA"</formula>
    </cfRule>
    <cfRule type="cellIs" dxfId="5332" priority="2515" operator="equal">
      <formula>"NS"</formula>
    </cfRule>
    <cfRule type="cellIs" dxfId="5331" priority="2516" operator="equal">
      <formula>"S"</formula>
    </cfRule>
    <cfRule type="cellIs" dxfId="5330" priority="2517" operator="equal">
      <formula>"A"</formula>
    </cfRule>
    <cfRule type="cellIs" dxfId="5329" priority="2518" operator="equal">
      <formula>"X"</formula>
    </cfRule>
    <cfRule type="cellIs" dxfId="5328" priority="2519" operator="equal">
      <formula>"L"</formula>
    </cfRule>
    <cfRule type="cellIs" dxfId="5327" priority="2520" operator="equal">
      <formula>"V"</formula>
    </cfRule>
  </conditionalFormatting>
  <conditionalFormatting sqref="AP557:AP559">
    <cfRule type="cellIs" dxfId="5319" priority="2591" operator="equal">
      <formula>"NA"</formula>
    </cfRule>
    <cfRule type="cellIs" dxfId="5318" priority="2592" operator="equal">
      <formula>"NS"</formula>
    </cfRule>
    <cfRule type="cellIs" dxfId="5317" priority="2593" operator="equal">
      <formula>"S"</formula>
    </cfRule>
    <cfRule type="cellIs" dxfId="5316" priority="2594" operator="equal">
      <formula>"A"</formula>
    </cfRule>
    <cfRule type="cellIs" dxfId="5315" priority="2595" operator="equal">
      <formula>"X"</formula>
    </cfRule>
    <cfRule type="cellIs" dxfId="5314" priority="2596" operator="equal">
      <formula>"L"</formula>
    </cfRule>
    <cfRule type="cellIs" dxfId="5313" priority="2597" operator="equal">
      <formula>"V"</formula>
    </cfRule>
  </conditionalFormatting>
  <conditionalFormatting sqref="AP631:AP645">
    <cfRule type="cellIs" dxfId="5305" priority="2661" operator="equal">
      <formula>"NA"</formula>
    </cfRule>
    <cfRule type="cellIs" dxfId="5304" priority="2662" operator="equal">
      <formula>"NS"</formula>
    </cfRule>
    <cfRule type="cellIs" dxfId="5303" priority="2663" operator="equal">
      <formula>"S"</formula>
    </cfRule>
    <cfRule type="cellIs" dxfId="5302" priority="2664" operator="equal">
      <formula>"A"</formula>
    </cfRule>
    <cfRule type="cellIs" dxfId="5301" priority="2665" operator="equal">
      <formula>"X"</formula>
    </cfRule>
    <cfRule type="cellIs" dxfId="5300" priority="2666" operator="equal">
      <formula>"L"</formula>
    </cfRule>
    <cfRule type="cellIs" dxfId="5299" priority="2667" operator="equal">
      <formula>"V"</formula>
    </cfRule>
  </conditionalFormatting>
  <conditionalFormatting sqref="AP691:AP701">
    <cfRule type="cellIs" dxfId="5291" priority="2703" operator="equal">
      <formula>"NA"</formula>
    </cfRule>
    <cfRule type="cellIs" dxfId="5290" priority="2704" operator="equal">
      <formula>"NS"</formula>
    </cfRule>
    <cfRule type="cellIs" dxfId="5289" priority="2705" operator="equal">
      <formula>"S"</formula>
    </cfRule>
    <cfRule type="cellIs" dxfId="5288" priority="2706" operator="equal">
      <formula>"A"</formula>
    </cfRule>
    <cfRule type="cellIs" dxfId="5287" priority="2707" operator="equal">
      <formula>"X"</formula>
    </cfRule>
    <cfRule type="cellIs" dxfId="5286" priority="2708" operator="equal">
      <formula>"L"</formula>
    </cfRule>
    <cfRule type="cellIs" dxfId="5285" priority="2709" operator="equal">
      <formula>"V"</formula>
    </cfRule>
  </conditionalFormatting>
  <conditionalFormatting sqref="AQ56:AQ58">
    <cfRule type="cellIs" dxfId="5277" priority="2248" operator="equal">
      <formula>"NA"</formula>
    </cfRule>
    <cfRule type="cellIs" dxfId="5276" priority="2249" operator="equal">
      <formula>"NS"</formula>
    </cfRule>
    <cfRule type="cellIs" dxfId="5275" priority="2250" operator="equal">
      <formula>"S"</formula>
    </cfRule>
    <cfRule type="cellIs" dxfId="5274" priority="2251" operator="equal">
      <formula>"A"</formula>
    </cfRule>
    <cfRule type="cellIs" dxfId="5273" priority="2252" operator="equal">
      <formula>"X"</formula>
    </cfRule>
    <cfRule type="cellIs" dxfId="5272" priority="2253" operator="equal">
      <formula>"L"</formula>
    </cfRule>
    <cfRule type="cellIs" dxfId="5271" priority="2254" operator="equal">
      <formula>"V"</formula>
    </cfRule>
  </conditionalFormatting>
  <conditionalFormatting sqref="AQ60:AQ62">
    <cfRule type="cellIs" dxfId="5263" priority="2234" operator="equal">
      <formula>"NA"</formula>
    </cfRule>
    <cfRule type="cellIs" dxfId="5262" priority="2235" operator="equal">
      <formula>"NS"</formula>
    </cfRule>
    <cfRule type="cellIs" dxfId="5261" priority="2236" operator="equal">
      <formula>"S"</formula>
    </cfRule>
    <cfRule type="cellIs" dxfId="5260" priority="2237" operator="equal">
      <formula>"A"</formula>
    </cfRule>
    <cfRule type="cellIs" dxfId="5259" priority="2238" operator="equal">
      <formula>"X"</formula>
    </cfRule>
    <cfRule type="cellIs" dxfId="5258" priority="2239" operator="equal">
      <formula>"L"</formula>
    </cfRule>
    <cfRule type="cellIs" dxfId="5257" priority="2240" operator="equal">
      <formula>"V"</formula>
    </cfRule>
  </conditionalFormatting>
  <conditionalFormatting sqref="AQ135:AQ138">
    <cfRule type="cellIs" dxfId="5249" priority="2199" operator="equal">
      <formula>"NA"</formula>
    </cfRule>
    <cfRule type="cellIs" dxfId="5248" priority="2200" operator="equal">
      <formula>"NS"</formula>
    </cfRule>
    <cfRule type="cellIs" dxfId="5247" priority="2201" operator="equal">
      <formula>"S"</formula>
    </cfRule>
    <cfRule type="cellIs" dxfId="5246" priority="2202" operator="equal">
      <formula>"A"</formula>
    </cfRule>
    <cfRule type="cellIs" dxfId="5245" priority="2203" operator="equal">
      <formula>"X"</formula>
    </cfRule>
    <cfRule type="cellIs" dxfId="5244" priority="2204" operator="equal">
      <formula>"L"</formula>
    </cfRule>
    <cfRule type="cellIs" dxfId="5243" priority="2205" operator="equal">
      <formula>"V"</formula>
    </cfRule>
  </conditionalFormatting>
  <conditionalFormatting sqref="AQ154:AQ157">
    <cfRule type="cellIs" dxfId="5235" priority="2164" operator="equal">
      <formula>"NA"</formula>
    </cfRule>
    <cfRule type="cellIs" dxfId="5234" priority="2165" operator="equal">
      <formula>"NS"</formula>
    </cfRule>
    <cfRule type="cellIs" dxfId="5233" priority="2166" operator="equal">
      <formula>"S"</formula>
    </cfRule>
    <cfRule type="cellIs" dxfId="5232" priority="2167" operator="equal">
      <formula>"A"</formula>
    </cfRule>
    <cfRule type="cellIs" dxfId="5231" priority="2168" operator="equal">
      <formula>"X"</formula>
    </cfRule>
    <cfRule type="cellIs" dxfId="5230" priority="2169" operator="equal">
      <formula>"L"</formula>
    </cfRule>
    <cfRule type="cellIs" dxfId="5229" priority="2170" operator="equal">
      <formula>"V"</formula>
    </cfRule>
  </conditionalFormatting>
  <conditionalFormatting sqref="AQ159:AQ161">
    <cfRule type="cellIs" dxfId="5221" priority="2157" operator="equal">
      <formula>"NA"</formula>
    </cfRule>
    <cfRule type="cellIs" dxfId="5220" priority="2158" operator="equal">
      <formula>"NS"</formula>
    </cfRule>
    <cfRule type="cellIs" dxfId="5219" priority="2159" operator="equal">
      <formula>"S"</formula>
    </cfRule>
    <cfRule type="cellIs" dxfId="5218" priority="2160" operator="equal">
      <formula>"A"</formula>
    </cfRule>
    <cfRule type="cellIs" dxfId="5217" priority="2161" operator="equal">
      <formula>"X"</formula>
    </cfRule>
    <cfRule type="cellIs" dxfId="5216" priority="2162" operator="equal">
      <formula>"L"</formula>
    </cfRule>
    <cfRule type="cellIs" dxfId="5215" priority="2163" operator="equal">
      <formula>"V"</formula>
    </cfRule>
  </conditionalFormatting>
  <conditionalFormatting sqref="AQ167:AQ225">
    <cfRule type="cellIs" dxfId="5207" priority="2136" operator="equal">
      <formula>"NA"</formula>
    </cfRule>
    <cfRule type="cellIs" dxfId="5206" priority="2137" operator="equal">
      <formula>"NS"</formula>
    </cfRule>
    <cfRule type="cellIs" dxfId="5205" priority="2138" operator="equal">
      <formula>"S"</formula>
    </cfRule>
    <cfRule type="cellIs" dxfId="5204" priority="2139" operator="equal">
      <formula>"A"</formula>
    </cfRule>
    <cfRule type="cellIs" dxfId="5203" priority="2140" operator="equal">
      <formula>"X"</formula>
    </cfRule>
    <cfRule type="cellIs" dxfId="5202" priority="2141" operator="equal">
      <formula>"L"</formula>
    </cfRule>
    <cfRule type="cellIs" dxfId="5201" priority="2142" operator="equal">
      <formula>"V"</formula>
    </cfRule>
  </conditionalFormatting>
  <conditionalFormatting sqref="AQ244:AQ266">
    <cfRule type="cellIs" dxfId="5193" priority="2297" operator="equal">
      <formula>"NA"</formula>
    </cfRule>
    <cfRule type="cellIs" dxfId="5192" priority="2298" operator="equal">
      <formula>"NS"</formula>
    </cfRule>
    <cfRule type="cellIs" dxfId="5191" priority="2299" operator="equal">
      <formula>"S"</formula>
    </cfRule>
    <cfRule type="cellIs" dxfId="5190" priority="2300" operator="equal">
      <formula>"A"</formula>
    </cfRule>
    <cfRule type="cellIs" dxfId="5189" priority="2301" operator="equal">
      <formula>"X"</formula>
    </cfRule>
    <cfRule type="cellIs" dxfId="5188" priority="2302" operator="equal">
      <formula>"L"</formula>
    </cfRule>
    <cfRule type="cellIs" dxfId="5187" priority="2303" operator="equal">
      <formula>"V"</formula>
    </cfRule>
  </conditionalFormatting>
  <conditionalFormatting sqref="AQ284:AQ309">
    <cfRule type="cellIs" dxfId="5179" priority="2304" operator="equal">
      <formula>"NA"</formula>
    </cfRule>
    <cfRule type="cellIs" dxfId="5178" priority="2305" operator="equal">
      <formula>"NS"</formula>
    </cfRule>
    <cfRule type="cellIs" dxfId="5177" priority="2306" operator="equal">
      <formula>"S"</formula>
    </cfRule>
    <cfRule type="cellIs" dxfId="5176" priority="2307" operator="equal">
      <formula>"A"</formula>
    </cfRule>
    <cfRule type="cellIs" dxfId="5175" priority="2308" operator="equal">
      <formula>"X"</formula>
    </cfRule>
    <cfRule type="cellIs" dxfId="5174" priority="2309" operator="equal">
      <formula>"L"</formula>
    </cfRule>
    <cfRule type="cellIs" dxfId="5173" priority="2310" operator="equal">
      <formula>"V"</formula>
    </cfRule>
  </conditionalFormatting>
  <conditionalFormatting sqref="AQ313:AQ328">
    <cfRule type="cellIs" dxfId="5165" priority="2318" operator="equal">
      <formula>"NA"</formula>
    </cfRule>
    <cfRule type="cellIs" dxfId="5164" priority="2319" operator="equal">
      <formula>"NS"</formula>
    </cfRule>
    <cfRule type="cellIs" dxfId="5163" priority="2320" operator="equal">
      <formula>"S"</formula>
    </cfRule>
    <cfRule type="cellIs" dxfId="5162" priority="2321" operator="equal">
      <formula>"A"</formula>
    </cfRule>
    <cfRule type="cellIs" dxfId="5161" priority="2322" operator="equal">
      <formula>"X"</formula>
    </cfRule>
    <cfRule type="cellIs" dxfId="5160" priority="2323" operator="equal">
      <formula>"L"</formula>
    </cfRule>
    <cfRule type="cellIs" dxfId="5159" priority="2324" operator="equal">
      <formula>"V"</formula>
    </cfRule>
  </conditionalFormatting>
  <conditionalFormatting sqref="AQ330:AQ331 AQ334:AQ362">
    <cfRule type="cellIs" dxfId="5151" priority="2311" operator="equal">
      <formula>"NA"</formula>
    </cfRule>
    <cfRule type="cellIs" dxfId="5150" priority="2312" operator="equal">
      <formula>"NS"</formula>
    </cfRule>
    <cfRule type="cellIs" dxfId="5149" priority="2313" operator="equal">
      <formula>"S"</formula>
    </cfRule>
    <cfRule type="cellIs" dxfId="5148" priority="2314" operator="equal">
      <formula>"A"</formula>
    </cfRule>
    <cfRule type="cellIs" dxfId="5147" priority="2315" operator="equal">
      <formula>"X"</formula>
    </cfRule>
    <cfRule type="cellIs" dxfId="5146" priority="2316" operator="equal">
      <formula>"L"</formula>
    </cfRule>
    <cfRule type="cellIs" dxfId="5145" priority="2317" operator="equal">
      <formula>"V"</formula>
    </cfRule>
  </conditionalFormatting>
  <conditionalFormatting sqref="AQ402:AQ407">
    <cfRule type="cellIs" dxfId="5137" priority="2423" operator="equal">
      <formula>"NA"</formula>
    </cfRule>
    <cfRule type="cellIs" dxfId="5136" priority="2424" operator="equal">
      <formula>"NS"</formula>
    </cfRule>
    <cfRule type="cellIs" dxfId="5135" priority="2425" operator="equal">
      <formula>"S"</formula>
    </cfRule>
    <cfRule type="cellIs" dxfId="5134" priority="2426" operator="equal">
      <formula>"A"</formula>
    </cfRule>
    <cfRule type="cellIs" dxfId="5133" priority="2427" operator="equal">
      <formula>"X"</formula>
    </cfRule>
    <cfRule type="cellIs" dxfId="5132" priority="2428" operator="equal">
      <formula>"L"</formula>
    </cfRule>
    <cfRule type="cellIs" dxfId="5131" priority="2429" operator="equal">
      <formula>"V"</formula>
    </cfRule>
  </conditionalFormatting>
  <conditionalFormatting sqref="AQ408:AQ423">
    <cfRule type="cellIs" dxfId="5123" priority="2437" operator="equal">
      <formula>"NA"</formula>
    </cfRule>
    <cfRule type="cellIs" dxfId="5122" priority="2438" operator="equal">
      <formula>"NS"</formula>
    </cfRule>
    <cfRule type="cellIs" dxfId="5121" priority="2439" operator="equal">
      <formula>"S"</formula>
    </cfRule>
    <cfRule type="cellIs" dxfId="5120" priority="2440" operator="equal">
      <formula>"A"</formula>
    </cfRule>
    <cfRule type="cellIs" dxfId="5119" priority="2441" operator="equal">
      <formula>"X"</formula>
    </cfRule>
    <cfRule type="cellIs" dxfId="5118" priority="2442" operator="equal">
      <formula>"L"</formula>
    </cfRule>
    <cfRule type="cellIs" dxfId="5117" priority="2443" operator="equal">
      <formula>"V"</formula>
    </cfRule>
  </conditionalFormatting>
  <conditionalFormatting sqref="AQ462:AQ472">
    <cfRule type="cellIs" dxfId="5109" priority="2472" operator="equal">
      <formula>"NA"</formula>
    </cfRule>
    <cfRule type="cellIs" dxfId="5108" priority="2473" operator="equal">
      <formula>"NS"</formula>
    </cfRule>
    <cfRule type="cellIs" dxfId="5107" priority="2474" operator="equal">
      <formula>"S"</formula>
    </cfRule>
    <cfRule type="cellIs" dxfId="5106" priority="2475" operator="equal">
      <formula>"A"</formula>
    </cfRule>
    <cfRule type="cellIs" dxfId="5105" priority="2476" operator="equal">
      <formula>"X"</formula>
    </cfRule>
    <cfRule type="cellIs" dxfId="5104" priority="2477" operator="equal">
      <formula>"L"</formula>
    </cfRule>
    <cfRule type="cellIs" dxfId="5103" priority="2478" operator="equal">
      <formula>"V"</formula>
    </cfRule>
  </conditionalFormatting>
  <conditionalFormatting sqref="AQ475:AQ477">
    <cfRule type="cellIs" dxfId="5095" priority="2486" operator="equal">
      <formula>"NA"</formula>
    </cfRule>
    <cfRule type="cellIs" dxfId="5094" priority="2487" operator="equal">
      <formula>"NS"</formula>
    </cfRule>
    <cfRule type="cellIs" dxfId="5093" priority="2488" operator="equal">
      <formula>"S"</formula>
    </cfRule>
    <cfRule type="cellIs" dxfId="5092" priority="2489" operator="equal">
      <formula>"A"</formula>
    </cfRule>
    <cfRule type="cellIs" dxfId="5091" priority="2490" operator="equal">
      <formula>"X"</formula>
    </cfRule>
    <cfRule type="cellIs" dxfId="5090" priority="2491" operator="equal">
      <formula>"L"</formula>
    </cfRule>
    <cfRule type="cellIs" dxfId="5089" priority="2492" operator="equal">
      <formula>"V"</formula>
    </cfRule>
  </conditionalFormatting>
  <conditionalFormatting sqref="AQ501:AQ502">
    <cfRule type="cellIs" dxfId="5081" priority="2521" operator="equal">
      <formula>"NA"</formula>
    </cfRule>
    <cfRule type="cellIs" dxfId="5080" priority="2522" operator="equal">
      <formula>"NS"</formula>
    </cfRule>
    <cfRule type="cellIs" dxfId="5079" priority="2523" operator="equal">
      <formula>"S"</formula>
    </cfRule>
    <cfRule type="cellIs" dxfId="5078" priority="2524" operator="equal">
      <formula>"A"</formula>
    </cfRule>
    <cfRule type="cellIs" dxfId="5077" priority="2525" operator="equal">
      <formula>"X"</formula>
    </cfRule>
    <cfRule type="cellIs" dxfId="5076" priority="2526" operator="equal">
      <formula>"L"</formula>
    </cfRule>
    <cfRule type="cellIs" dxfId="5075" priority="2527" operator="equal">
      <formula>"V"</formula>
    </cfRule>
  </conditionalFormatting>
  <conditionalFormatting sqref="AQ505:AQ508">
    <cfRule type="cellIs" dxfId="5067" priority="2535" operator="equal">
      <formula>"NA"</formula>
    </cfRule>
    <cfRule type="cellIs" dxfId="5066" priority="2536" operator="equal">
      <formula>"NS"</formula>
    </cfRule>
    <cfRule type="cellIs" dxfId="5065" priority="2537" operator="equal">
      <formula>"S"</formula>
    </cfRule>
    <cfRule type="cellIs" dxfId="5064" priority="2538" operator="equal">
      <formula>"A"</formula>
    </cfRule>
    <cfRule type="cellIs" dxfId="5063" priority="2539" operator="equal">
      <formula>"X"</formula>
    </cfRule>
    <cfRule type="cellIs" dxfId="5062" priority="2540" operator="equal">
      <formula>"L"</formula>
    </cfRule>
    <cfRule type="cellIs" dxfId="5061" priority="2541" operator="equal">
      <formula>"V"</formula>
    </cfRule>
  </conditionalFormatting>
  <conditionalFormatting sqref="AQ631:AQ683">
    <cfRule type="cellIs" dxfId="5053" priority="2682" operator="equal">
      <formula>"NA"</formula>
    </cfRule>
    <cfRule type="cellIs" dxfId="5052" priority="2683" operator="equal">
      <formula>"NS"</formula>
    </cfRule>
    <cfRule type="cellIs" dxfId="5051" priority="2684" operator="equal">
      <formula>"S"</formula>
    </cfRule>
    <cfRule type="cellIs" dxfId="5050" priority="2685" operator="equal">
      <formula>"A"</formula>
    </cfRule>
    <cfRule type="cellIs" dxfId="5049" priority="2686" operator="equal">
      <formula>"X"</formula>
    </cfRule>
    <cfRule type="cellIs" dxfId="5048" priority="2687" operator="equal">
      <formula>"L"</formula>
    </cfRule>
    <cfRule type="cellIs" dxfId="5047" priority="2688" operator="equal">
      <formula>"V"</formula>
    </cfRule>
  </conditionalFormatting>
  <conditionalFormatting sqref="AQ711:AQ715">
    <cfRule type="cellIs" dxfId="5039" priority="2710" operator="equal">
      <formula>"NA"</formula>
    </cfRule>
    <cfRule type="cellIs" dxfId="5038" priority="2711" operator="equal">
      <formula>"NS"</formula>
    </cfRule>
    <cfRule type="cellIs" dxfId="5037" priority="2712" operator="equal">
      <formula>"S"</formula>
    </cfRule>
    <cfRule type="cellIs" dxfId="5036" priority="2713" operator="equal">
      <formula>"A"</formula>
    </cfRule>
    <cfRule type="cellIs" dxfId="5035" priority="2714" operator="equal">
      <formula>"X"</formula>
    </cfRule>
    <cfRule type="cellIs" dxfId="5034" priority="2715" operator="equal">
      <formula>"L"</formula>
    </cfRule>
    <cfRule type="cellIs" dxfId="5033" priority="2716" operator="equal">
      <formula>"V"</formula>
    </cfRule>
  </conditionalFormatting>
  <conditionalFormatting sqref="AQ743:AQ765">
    <cfRule type="cellIs" dxfId="5025" priority="2738" operator="equal">
      <formula>"NA"</formula>
    </cfRule>
    <cfRule type="cellIs" dxfId="5024" priority="2739" operator="equal">
      <formula>"NS"</formula>
    </cfRule>
    <cfRule type="cellIs" dxfId="5023" priority="2740" operator="equal">
      <formula>"S"</formula>
    </cfRule>
    <cfRule type="cellIs" dxfId="5022" priority="2741" operator="equal">
      <formula>"A"</formula>
    </cfRule>
    <cfRule type="cellIs" dxfId="5021" priority="2742" operator="equal">
      <formula>"X"</formula>
    </cfRule>
    <cfRule type="cellIs" dxfId="5020" priority="2743" operator="equal">
      <formula>"L"</formula>
    </cfRule>
    <cfRule type="cellIs" dxfId="5019" priority="2744" operator="equal">
      <formula>"V"</formula>
    </cfRule>
  </conditionalFormatting>
  <conditionalFormatting sqref="AQ768:AQ774">
    <cfRule type="cellIs" dxfId="5011" priority="2766" operator="equal">
      <formula>"NA"</formula>
    </cfRule>
    <cfRule type="cellIs" dxfId="5010" priority="2767" operator="equal">
      <formula>"NS"</formula>
    </cfRule>
    <cfRule type="cellIs" dxfId="5009" priority="2768" operator="equal">
      <formula>"S"</formula>
    </cfRule>
    <cfRule type="cellIs" dxfId="5008" priority="2769" operator="equal">
      <formula>"A"</formula>
    </cfRule>
    <cfRule type="cellIs" dxfId="5007" priority="2770" operator="equal">
      <formula>"X"</formula>
    </cfRule>
    <cfRule type="cellIs" dxfId="5006" priority="2771" operator="equal">
      <formula>"L"</formula>
    </cfRule>
    <cfRule type="cellIs" dxfId="5005" priority="2772" operator="equal">
      <formula>"V"</formula>
    </cfRule>
  </conditionalFormatting>
  <conditionalFormatting sqref="AQ778:AQ779">
    <cfRule type="cellIs" dxfId="4997" priority="2773" operator="equal">
      <formula>"NA"</formula>
    </cfRule>
    <cfRule type="cellIs" dxfId="4996" priority="2774" operator="equal">
      <formula>"NS"</formula>
    </cfRule>
    <cfRule type="cellIs" dxfId="4995" priority="2775" operator="equal">
      <formula>"S"</formula>
    </cfRule>
    <cfRule type="cellIs" dxfId="4994" priority="2776" operator="equal">
      <formula>"A"</formula>
    </cfRule>
    <cfRule type="cellIs" dxfId="4993" priority="2777" operator="equal">
      <formula>"X"</formula>
    </cfRule>
    <cfRule type="cellIs" dxfId="4992" priority="2778" operator="equal">
      <formula>"L"</formula>
    </cfRule>
    <cfRule type="cellIs" dxfId="4991" priority="2779" operator="equal">
      <formula>"V"</formula>
    </cfRule>
  </conditionalFormatting>
  <conditionalFormatting sqref="AQ783:AQ793">
    <cfRule type="cellIs" dxfId="4983" priority="2780" operator="equal">
      <formula>"NA"</formula>
    </cfRule>
    <cfRule type="cellIs" dxfId="4982" priority="2781" operator="equal">
      <formula>"NS"</formula>
    </cfRule>
    <cfRule type="cellIs" dxfId="4981" priority="2782" operator="equal">
      <formula>"S"</formula>
    </cfRule>
    <cfRule type="cellIs" dxfId="4980" priority="2783" operator="equal">
      <formula>"A"</formula>
    </cfRule>
    <cfRule type="cellIs" dxfId="4979" priority="2784" operator="equal">
      <formula>"X"</formula>
    </cfRule>
    <cfRule type="cellIs" dxfId="4978" priority="2785" operator="equal">
      <formula>"L"</formula>
    </cfRule>
    <cfRule type="cellIs" dxfId="4977" priority="2786" operator="equal">
      <formula>"V"</formula>
    </cfRule>
  </conditionalFormatting>
  <conditionalFormatting sqref="AQ815:AQ820">
    <cfRule type="cellIs" dxfId="4969" priority="2829" operator="equal">
      <formula>"NA"</formula>
    </cfRule>
    <cfRule type="cellIs" dxfId="4968" priority="2830" operator="equal">
      <formula>"NS"</formula>
    </cfRule>
    <cfRule type="cellIs" dxfId="4967" priority="2831" operator="equal">
      <formula>"S"</formula>
    </cfRule>
    <cfRule type="cellIs" dxfId="4966" priority="2832" operator="equal">
      <formula>"A"</formula>
    </cfRule>
    <cfRule type="cellIs" dxfId="4965" priority="2833" operator="equal">
      <formula>"X"</formula>
    </cfRule>
    <cfRule type="cellIs" dxfId="4964" priority="2834" operator="equal">
      <formula>"L"</formula>
    </cfRule>
    <cfRule type="cellIs" dxfId="4963" priority="2835" operator="equal">
      <formula>"V"</formula>
    </cfRule>
  </conditionalFormatting>
  <conditionalFormatting sqref="AQ822:AQ829">
    <cfRule type="cellIs" dxfId="4955" priority="2822" operator="equal">
      <formula>"NA"</formula>
    </cfRule>
    <cfRule type="cellIs" dxfId="4954" priority="2823" operator="equal">
      <formula>"NS"</formula>
    </cfRule>
    <cfRule type="cellIs" dxfId="4953" priority="2824" operator="equal">
      <formula>"S"</formula>
    </cfRule>
    <cfRule type="cellIs" dxfId="4952" priority="2825" operator="equal">
      <formula>"A"</formula>
    </cfRule>
    <cfRule type="cellIs" dxfId="4951" priority="2826" operator="equal">
      <formula>"X"</formula>
    </cfRule>
    <cfRule type="cellIs" dxfId="4950" priority="2827" operator="equal">
      <formula>"L"</formula>
    </cfRule>
    <cfRule type="cellIs" dxfId="4949" priority="2828" operator="equal">
      <formula>"V"</formula>
    </cfRule>
  </conditionalFormatting>
  <conditionalFormatting sqref="AP13:AQ14">
    <cfRule type="cellIs" dxfId="4941" priority="2913" operator="equal">
      <formula>"NA"</formula>
    </cfRule>
    <cfRule type="cellIs" dxfId="4940" priority="2914" operator="equal">
      <formula>"NS"</formula>
    </cfRule>
    <cfRule type="cellIs" dxfId="4939" priority="2915" operator="equal">
      <formula>"S"</formula>
    </cfRule>
    <cfRule type="cellIs" dxfId="4938" priority="2916" operator="equal">
      <formula>"A"</formula>
    </cfRule>
    <cfRule type="cellIs" dxfId="4937" priority="2917" operator="equal">
      <formula>"X"</formula>
    </cfRule>
    <cfRule type="cellIs" dxfId="4936" priority="2918" operator="equal">
      <formula>"L"</formula>
    </cfRule>
    <cfRule type="cellIs" dxfId="4935" priority="2919" operator="equal">
      <formula>"V"</formula>
    </cfRule>
  </conditionalFormatting>
  <conditionalFormatting sqref="AP18:AQ18 AQ17 AQ19:AQ20 AP63:AQ100 AP56:AP57 AQ59 AP60:AP62 AP21:AQ54">
    <cfRule type="cellIs" dxfId="4927" priority="2906" operator="equal">
      <formula>"NA"</formula>
    </cfRule>
    <cfRule type="cellIs" dxfId="4926" priority="2907" operator="equal">
      <formula>"NS"</formula>
    </cfRule>
    <cfRule type="cellIs" dxfId="4925" priority="2908" operator="equal">
      <formula>"S"</formula>
    </cfRule>
    <cfRule type="cellIs" dxfId="4924" priority="2909" operator="equal">
      <formula>"A"</formula>
    </cfRule>
    <cfRule type="cellIs" dxfId="4923" priority="2910" operator="equal">
      <formula>"X"</formula>
    </cfRule>
    <cfRule type="cellIs" dxfId="4922" priority="2911" operator="equal">
      <formula>"L"</formula>
    </cfRule>
    <cfRule type="cellIs" dxfId="4921" priority="2912" operator="equal">
      <formula>"V"</formula>
    </cfRule>
  </conditionalFormatting>
  <conditionalFormatting sqref="AP19:AP20">
    <cfRule type="cellIs" dxfId="4913" priority="2262" operator="equal">
      <formula>"NA"</formula>
    </cfRule>
    <cfRule type="cellIs" dxfId="4912" priority="2263" operator="equal">
      <formula>"NS"</formula>
    </cfRule>
    <cfRule type="cellIs" dxfId="4911" priority="2264" operator="equal">
      <formula>"S"</formula>
    </cfRule>
    <cfRule type="cellIs" dxfId="4910" priority="2265" operator="equal">
      <formula>"A"</formula>
    </cfRule>
    <cfRule type="cellIs" dxfId="4909" priority="2266" operator="equal">
      <formula>"X"</formula>
    </cfRule>
    <cfRule type="cellIs" dxfId="4908" priority="2267" operator="equal">
      <formula>"L"</formula>
    </cfRule>
    <cfRule type="cellIs" dxfId="4907" priority="2268" operator="equal">
      <formula>"V"</formula>
    </cfRule>
  </conditionalFormatting>
  <conditionalFormatting sqref="AP162:AQ162 AP475:AP477 AP466:AP472 AP422:AP423 AP417:AP420 AP398:AQ401 AP384:AQ396 AP375:AQ375 AP367:AQ373 AP363:AQ363 AP345:AP349 AP351 AP354 AP356:AP357 AP337:AP338 AP340:AP343 AP267:AQ269 AP274:AQ274 AP334:AP335 AQ283 AQ329 AQ310:AQ312 AQ233:AQ243 AP232:AQ232 AQ231 AP230:AQ230 AQ229 AQ103:AQ120 AQ127:AQ130 AQ132:AQ134 AQ139:AQ141 AQ143 AQ145 AQ147:AQ149 AQ151:AQ153 AQ158 AP228:AQ228 AQ164:AQ166 AQ226:AQ227 AP187:AP189 AP457:AQ461">
    <cfRule type="cellIs" dxfId="4899" priority="2899" operator="equal">
      <formula>"NA"</formula>
    </cfRule>
    <cfRule type="cellIs" dxfId="4898" priority="2900" operator="equal">
      <formula>"NS"</formula>
    </cfRule>
    <cfRule type="cellIs" dxfId="4897" priority="2901" operator="equal">
      <formula>"S"</formula>
    </cfRule>
    <cfRule type="cellIs" dxfId="4896" priority="2902" operator="equal">
      <formula>"A"</formula>
    </cfRule>
    <cfRule type="cellIs" dxfId="4895" priority="2903" operator="equal">
      <formula>"X"</formula>
    </cfRule>
    <cfRule type="cellIs" dxfId="4894" priority="2904" operator="equal">
      <formula>"L"</formula>
    </cfRule>
    <cfRule type="cellIs" dxfId="4893" priority="2905" operator="equal">
      <formula>"V"</formula>
    </cfRule>
  </conditionalFormatting>
  <conditionalFormatting sqref="AP103:AP120">
    <cfRule type="cellIs" dxfId="4885" priority="2227" operator="equal">
      <formula>"NA"</formula>
    </cfRule>
    <cfRule type="cellIs" dxfId="4884" priority="2228" operator="equal">
      <formula>"NS"</formula>
    </cfRule>
    <cfRule type="cellIs" dxfId="4883" priority="2229" operator="equal">
      <formula>"S"</formula>
    </cfRule>
    <cfRule type="cellIs" dxfId="4882" priority="2230" operator="equal">
      <formula>"A"</formula>
    </cfRule>
    <cfRule type="cellIs" dxfId="4881" priority="2231" operator="equal">
      <formula>"X"</formula>
    </cfRule>
    <cfRule type="cellIs" dxfId="4880" priority="2232" operator="equal">
      <formula>"L"</formula>
    </cfRule>
    <cfRule type="cellIs" dxfId="4879" priority="2233" operator="equal">
      <formula>"V"</formula>
    </cfRule>
  </conditionalFormatting>
  <conditionalFormatting sqref="AP121:AQ126">
    <cfRule type="cellIs" dxfId="4871" priority="2220" operator="equal">
      <formula>"NA"</formula>
    </cfRule>
    <cfRule type="cellIs" dxfId="4870" priority="2221" operator="equal">
      <formula>"NS"</formula>
    </cfRule>
    <cfRule type="cellIs" dxfId="4869" priority="2222" operator="equal">
      <formula>"S"</formula>
    </cfRule>
    <cfRule type="cellIs" dxfId="4868" priority="2223" operator="equal">
      <formula>"A"</formula>
    </cfRule>
    <cfRule type="cellIs" dxfId="4867" priority="2224" operator="equal">
      <formula>"X"</formula>
    </cfRule>
    <cfRule type="cellIs" dxfId="4866" priority="2225" operator="equal">
      <formula>"L"</formula>
    </cfRule>
    <cfRule type="cellIs" dxfId="4865" priority="2226" operator="equal">
      <formula>"V"</formula>
    </cfRule>
  </conditionalFormatting>
  <conditionalFormatting sqref="AP127:AP161">
    <cfRule type="cellIs" dxfId="4857" priority="2213" operator="equal">
      <formula>"NA"</formula>
    </cfRule>
    <cfRule type="cellIs" dxfId="4856" priority="2214" operator="equal">
      <formula>"NS"</formula>
    </cfRule>
    <cfRule type="cellIs" dxfId="4855" priority="2215" operator="equal">
      <formula>"S"</formula>
    </cfRule>
    <cfRule type="cellIs" dxfId="4854" priority="2216" operator="equal">
      <formula>"A"</formula>
    </cfRule>
    <cfRule type="cellIs" dxfId="4853" priority="2217" operator="equal">
      <formula>"X"</formula>
    </cfRule>
    <cfRule type="cellIs" dxfId="4852" priority="2218" operator="equal">
      <formula>"L"</formula>
    </cfRule>
    <cfRule type="cellIs" dxfId="4851" priority="2219" operator="equal">
      <formula>"V"</formula>
    </cfRule>
  </conditionalFormatting>
  <conditionalFormatting sqref="AP164:AP186">
    <cfRule type="cellIs" dxfId="4843" priority="2143" operator="equal">
      <formula>"NA"</formula>
    </cfRule>
    <cfRule type="cellIs" dxfId="4842" priority="2144" operator="equal">
      <formula>"NS"</formula>
    </cfRule>
    <cfRule type="cellIs" dxfId="4841" priority="2145" operator="equal">
      <formula>"S"</formula>
    </cfRule>
    <cfRule type="cellIs" dxfId="4840" priority="2146" operator="equal">
      <formula>"A"</formula>
    </cfRule>
    <cfRule type="cellIs" dxfId="4839" priority="2147" operator="equal">
      <formula>"X"</formula>
    </cfRule>
    <cfRule type="cellIs" dxfId="4838" priority="2148" operator="equal">
      <formula>"L"</formula>
    </cfRule>
    <cfRule type="cellIs" dxfId="4837" priority="2149" operator="equal">
      <formula>"V"</formula>
    </cfRule>
  </conditionalFormatting>
  <conditionalFormatting sqref="AP190:AP225">
    <cfRule type="cellIs" dxfId="4829" priority="2122" operator="equal">
      <formula>"NA"</formula>
    </cfRule>
    <cfRule type="cellIs" dxfId="4828" priority="2123" operator="equal">
      <formula>"NS"</formula>
    </cfRule>
    <cfRule type="cellIs" dxfId="4827" priority="2124" operator="equal">
      <formula>"S"</formula>
    </cfRule>
    <cfRule type="cellIs" dxfId="4826" priority="2125" operator="equal">
      <formula>"A"</formula>
    </cfRule>
    <cfRule type="cellIs" dxfId="4825" priority="2126" operator="equal">
      <formula>"X"</formula>
    </cfRule>
    <cfRule type="cellIs" dxfId="4824" priority="2127" operator="equal">
      <formula>"L"</formula>
    </cfRule>
    <cfRule type="cellIs" dxfId="4823" priority="2128" operator="equal">
      <formula>"V"</formula>
    </cfRule>
  </conditionalFormatting>
  <conditionalFormatting sqref="AP226:AP227">
    <cfRule type="cellIs" dxfId="4815" priority="2129" operator="equal">
      <formula>"NA"</formula>
    </cfRule>
    <cfRule type="cellIs" dxfId="4814" priority="2130" operator="equal">
      <formula>"NS"</formula>
    </cfRule>
    <cfRule type="cellIs" dxfId="4813" priority="2131" operator="equal">
      <formula>"S"</formula>
    </cfRule>
    <cfRule type="cellIs" dxfId="4812" priority="2132" operator="equal">
      <formula>"A"</formula>
    </cfRule>
    <cfRule type="cellIs" dxfId="4811" priority="2133" operator="equal">
      <formula>"X"</formula>
    </cfRule>
    <cfRule type="cellIs" dxfId="4810" priority="2134" operator="equal">
      <formula>"L"</formula>
    </cfRule>
    <cfRule type="cellIs" dxfId="4809" priority="2135" operator="equal">
      <formula>"V"</formula>
    </cfRule>
  </conditionalFormatting>
  <conditionalFormatting sqref="AP270:AQ273">
    <cfRule type="cellIs" dxfId="4801" priority="2339" operator="equal">
      <formula>"NA"</formula>
    </cfRule>
    <cfRule type="cellIs" dxfId="4800" priority="2340" operator="equal">
      <formula>"NS"</formula>
    </cfRule>
    <cfRule type="cellIs" dxfId="4799" priority="2341" operator="equal">
      <formula>"S"</formula>
    </cfRule>
    <cfRule type="cellIs" dxfId="4798" priority="2342" operator="equal">
      <formula>"A"</formula>
    </cfRule>
    <cfRule type="cellIs" dxfId="4797" priority="2343" operator="equal">
      <formula>"X"</formula>
    </cfRule>
    <cfRule type="cellIs" dxfId="4796" priority="2344" operator="equal">
      <formula>"L"</formula>
    </cfRule>
    <cfRule type="cellIs" dxfId="4795" priority="2345" operator="equal">
      <formula>"V"</formula>
    </cfRule>
  </conditionalFormatting>
  <conditionalFormatting sqref="AP275:AQ282">
    <cfRule type="cellIs" dxfId="4787" priority="2332" operator="equal">
      <formula>"NA"</formula>
    </cfRule>
    <cfRule type="cellIs" dxfId="4786" priority="2333" operator="equal">
      <formula>"NS"</formula>
    </cfRule>
    <cfRule type="cellIs" dxfId="4785" priority="2334" operator="equal">
      <formula>"S"</formula>
    </cfRule>
    <cfRule type="cellIs" dxfId="4784" priority="2335" operator="equal">
      <formula>"A"</formula>
    </cfRule>
    <cfRule type="cellIs" dxfId="4783" priority="2336" operator="equal">
      <formula>"X"</formula>
    </cfRule>
    <cfRule type="cellIs" dxfId="4782" priority="2337" operator="equal">
      <formula>"L"</formula>
    </cfRule>
    <cfRule type="cellIs" dxfId="4781" priority="2338" operator="equal">
      <formula>"V"</formula>
    </cfRule>
  </conditionalFormatting>
  <conditionalFormatting sqref="AP283:AP331">
    <cfRule type="cellIs" dxfId="4773" priority="2325" operator="equal">
      <formula>"NA"</formula>
    </cfRule>
    <cfRule type="cellIs" dxfId="4772" priority="2326" operator="equal">
      <formula>"NS"</formula>
    </cfRule>
    <cfRule type="cellIs" dxfId="4771" priority="2327" operator="equal">
      <formula>"S"</formula>
    </cfRule>
    <cfRule type="cellIs" dxfId="4770" priority="2328" operator="equal">
      <formula>"A"</formula>
    </cfRule>
    <cfRule type="cellIs" dxfId="4769" priority="2329" operator="equal">
      <formula>"X"</formula>
    </cfRule>
    <cfRule type="cellIs" dxfId="4768" priority="2330" operator="equal">
      <formula>"L"</formula>
    </cfRule>
    <cfRule type="cellIs" dxfId="4767" priority="2331" operator="equal">
      <formula>"V"</formula>
    </cfRule>
  </conditionalFormatting>
  <conditionalFormatting sqref="AP339">
    <cfRule type="cellIs" dxfId="4759" priority="2353" operator="equal">
      <formula>"NA"</formula>
    </cfRule>
    <cfRule type="cellIs" dxfId="4758" priority="2354" operator="equal">
      <formula>"NS"</formula>
    </cfRule>
    <cfRule type="cellIs" dxfId="4757" priority="2355" operator="equal">
      <formula>"S"</formula>
    </cfRule>
    <cfRule type="cellIs" dxfId="4756" priority="2356" operator="equal">
      <formula>"A"</formula>
    </cfRule>
    <cfRule type="cellIs" dxfId="4755" priority="2357" operator="equal">
      <formula>"X"</formula>
    </cfRule>
    <cfRule type="cellIs" dxfId="4754" priority="2358" operator="equal">
      <formula>"L"</formula>
    </cfRule>
    <cfRule type="cellIs" dxfId="4753" priority="2359" operator="equal">
      <formula>"V"</formula>
    </cfRule>
  </conditionalFormatting>
  <conditionalFormatting sqref="AP352:AP353">
    <cfRule type="cellIs" dxfId="4745" priority="2374" operator="equal">
      <formula>"NA"</formula>
    </cfRule>
    <cfRule type="cellIs" dxfId="4744" priority="2375" operator="equal">
      <formula>"NS"</formula>
    </cfRule>
    <cfRule type="cellIs" dxfId="4743" priority="2376" operator="equal">
      <formula>"S"</formula>
    </cfRule>
    <cfRule type="cellIs" dxfId="4742" priority="2377" operator="equal">
      <formula>"A"</formula>
    </cfRule>
    <cfRule type="cellIs" dxfId="4741" priority="2378" operator="equal">
      <formula>"X"</formula>
    </cfRule>
    <cfRule type="cellIs" dxfId="4740" priority="2379" operator="equal">
      <formula>"L"</formula>
    </cfRule>
    <cfRule type="cellIs" dxfId="4739" priority="2380" operator="equal">
      <formula>"V"</formula>
    </cfRule>
  </conditionalFormatting>
  <conditionalFormatting sqref="AP358:AP362">
    <cfRule type="cellIs" dxfId="4731" priority="2388" operator="equal">
      <formula>"NA"</formula>
    </cfRule>
    <cfRule type="cellIs" dxfId="4730" priority="2389" operator="equal">
      <formula>"NS"</formula>
    </cfRule>
    <cfRule type="cellIs" dxfId="4729" priority="2390" operator="equal">
      <formula>"S"</formula>
    </cfRule>
    <cfRule type="cellIs" dxfId="4728" priority="2391" operator="equal">
      <formula>"A"</formula>
    </cfRule>
    <cfRule type="cellIs" dxfId="4727" priority="2392" operator="equal">
      <formula>"X"</formula>
    </cfRule>
    <cfRule type="cellIs" dxfId="4726" priority="2393" operator="equal">
      <formula>"L"</formula>
    </cfRule>
    <cfRule type="cellIs" dxfId="4725" priority="2394" operator="equal">
      <formula>"V"</formula>
    </cfRule>
  </conditionalFormatting>
  <conditionalFormatting sqref="AP364:AQ366">
    <cfRule type="cellIs" dxfId="4717" priority="2395" operator="equal">
      <formula>"NA"</formula>
    </cfRule>
    <cfRule type="cellIs" dxfId="4716" priority="2396" operator="equal">
      <formula>"NS"</formula>
    </cfRule>
    <cfRule type="cellIs" dxfId="4715" priority="2397" operator="equal">
      <formula>"S"</formula>
    </cfRule>
    <cfRule type="cellIs" dxfId="4714" priority="2398" operator="equal">
      <formula>"A"</formula>
    </cfRule>
    <cfRule type="cellIs" dxfId="4713" priority="2399" operator="equal">
      <formula>"X"</formula>
    </cfRule>
    <cfRule type="cellIs" dxfId="4712" priority="2400" operator="equal">
      <formula>"L"</formula>
    </cfRule>
    <cfRule type="cellIs" dxfId="4711" priority="2401" operator="equal">
      <formula>"V"</formula>
    </cfRule>
  </conditionalFormatting>
  <conditionalFormatting sqref="AP376:AQ383">
    <cfRule type="cellIs" dxfId="4703" priority="2409" operator="equal">
      <formula>"NA"</formula>
    </cfRule>
    <cfRule type="cellIs" dxfId="4702" priority="2410" operator="equal">
      <formula>"NS"</formula>
    </cfRule>
    <cfRule type="cellIs" dxfId="4701" priority="2411" operator="equal">
      <formula>"S"</formula>
    </cfRule>
    <cfRule type="cellIs" dxfId="4700" priority="2412" operator="equal">
      <formula>"A"</formula>
    </cfRule>
    <cfRule type="cellIs" dxfId="4699" priority="2413" operator="equal">
      <formula>"X"</formula>
    </cfRule>
    <cfRule type="cellIs" dxfId="4698" priority="2414" operator="equal">
      <formula>"L"</formula>
    </cfRule>
    <cfRule type="cellIs" dxfId="4697" priority="2415" operator="equal">
      <formula>"V"</formula>
    </cfRule>
  </conditionalFormatting>
  <conditionalFormatting sqref="AP424:AQ425">
    <cfRule type="cellIs" dxfId="4689" priority="2451" operator="equal">
      <formula>"NA"</formula>
    </cfRule>
    <cfRule type="cellIs" dxfId="4688" priority="2452" operator="equal">
      <formula>"NS"</formula>
    </cfRule>
    <cfRule type="cellIs" dxfId="4687" priority="2453" operator="equal">
      <formula>"S"</formula>
    </cfRule>
    <cfRule type="cellIs" dxfId="4686" priority="2454" operator="equal">
      <formula>"A"</formula>
    </cfRule>
    <cfRule type="cellIs" dxfId="4685" priority="2455" operator="equal">
      <formula>"X"</formula>
    </cfRule>
    <cfRule type="cellIs" dxfId="4684" priority="2456" operator="equal">
      <formula>"L"</formula>
    </cfRule>
    <cfRule type="cellIs" dxfId="4683" priority="2457" operator="equal">
      <formula>"V"</formula>
    </cfRule>
  </conditionalFormatting>
  <conditionalFormatting sqref="AP426:AQ443">
    <cfRule type="cellIs" dxfId="4675" priority="2458" operator="equal">
      <formula>"NA"</formula>
    </cfRule>
    <cfRule type="cellIs" dxfId="4674" priority="2459" operator="equal">
      <formula>"NS"</formula>
    </cfRule>
    <cfRule type="cellIs" dxfId="4673" priority="2460" operator="equal">
      <formula>"S"</formula>
    </cfRule>
    <cfRule type="cellIs" dxfId="4672" priority="2461" operator="equal">
      <formula>"A"</formula>
    </cfRule>
    <cfRule type="cellIs" dxfId="4671" priority="2462" operator="equal">
      <formula>"X"</formula>
    </cfRule>
    <cfRule type="cellIs" dxfId="4670" priority="2463" operator="equal">
      <formula>"L"</formula>
    </cfRule>
    <cfRule type="cellIs" dxfId="4669" priority="2464" operator="equal">
      <formula>"V"</formula>
    </cfRule>
  </conditionalFormatting>
  <conditionalFormatting sqref="AP444:AQ456">
    <cfRule type="cellIs" dxfId="4661" priority="2465" operator="equal">
      <formula>"NA"</formula>
    </cfRule>
    <cfRule type="cellIs" dxfId="4660" priority="2466" operator="equal">
      <formula>"NS"</formula>
    </cfRule>
    <cfRule type="cellIs" dxfId="4659" priority="2467" operator="equal">
      <formula>"S"</formula>
    </cfRule>
    <cfRule type="cellIs" dxfId="4658" priority="2468" operator="equal">
      <formula>"A"</formula>
    </cfRule>
    <cfRule type="cellIs" dxfId="4657" priority="2469" operator="equal">
      <formula>"X"</formula>
    </cfRule>
    <cfRule type="cellIs" dxfId="4656" priority="2470" operator="equal">
      <formula>"L"</formula>
    </cfRule>
    <cfRule type="cellIs" dxfId="4655" priority="2471" operator="equal">
      <formula>"V"</formula>
    </cfRule>
  </conditionalFormatting>
  <conditionalFormatting sqref="AP473:AQ474">
    <cfRule type="cellIs" dxfId="4647" priority="2493" operator="equal">
      <formula>"NA"</formula>
    </cfRule>
    <cfRule type="cellIs" dxfId="4646" priority="2494" operator="equal">
      <formula>"NS"</formula>
    </cfRule>
    <cfRule type="cellIs" dxfId="4645" priority="2495" operator="equal">
      <formula>"S"</formula>
    </cfRule>
    <cfRule type="cellIs" dxfId="4644" priority="2496" operator="equal">
      <formula>"A"</formula>
    </cfRule>
    <cfRule type="cellIs" dxfId="4643" priority="2497" operator="equal">
      <formula>"X"</formula>
    </cfRule>
    <cfRule type="cellIs" dxfId="4642" priority="2498" operator="equal">
      <formula>"L"</formula>
    </cfRule>
    <cfRule type="cellIs" dxfId="4641" priority="2499" operator="equal">
      <formula>"V"</formula>
    </cfRule>
  </conditionalFormatting>
  <conditionalFormatting sqref="AP478:AQ485">
    <cfRule type="cellIs" dxfId="4633" priority="2500" operator="equal">
      <formula>"NA"</formula>
    </cfRule>
    <cfRule type="cellIs" dxfId="4632" priority="2501" operator="equal">
      <formula>"NS"</formula>
    </cfRule>
    <cfRule type="cellIs" dxfId="4631" priority="2502" operator="equal">
      <formula>"S"</formula>
    </cfRule>
    <cfRule type="cellIs" dxfId="4630" priority="2503" operator="equal">
      <formula>"A"</formula>
    </cfRule>
    <cfRule type="cellIs" dxfId="4629" priority="2504" operator="equal">
      <formula>"X"</formula>
    </cfRule>
    <cfRule type="cellIs" dxfId="4628" priority="2505" operator="equal">
      <formula>"L"</formula>
    </cfRule>
    <cfRule type="cellIs" dxfId="4627" priority="2506" operator="equal">
      <formula>"V"</formula>
    </cfRule>
  </conditionalFormatting>
  <conditionalFormatting sqref="AP566:AQ566 AP564:AQ564 AQ561:AQ562 AP560 AQ558:AQ559 AP553:AQ556 AP548:AQ551 AP534:AQ537 AP523:AQ526 AP508 AQ503:AQ504 AQ489:AQ500">
    <cfRule type="cellIs" dxfId="4619" priority="2892" operator="equal">
      <formula>"NA"</formula>
    </cfRule>
    <cfRule type="cellIs" dxfId="4618" priority="2893" operator="equal">
      <formula>"NS"</formula>
    </cfRule>
    <cfRule type="cellIs" dxfId="4617" priority="2894" operator="equal">
      <formula>"S"</formula>
    </cfRule>
    <cfRule type="cellIs" dxfId="4616" priority="2895" operator="equal">
      <formula>"A"</formula>
    </cfRule>
    <cfRule type="cellIs" dxfId="4615" priority="2896" operator="equal">
      <formula>"X"</formula>
    </cfRule>
    <cfRule type="cellIs" dxfId="4614" priority="2897" operator="equal">
      <formula>"L"</formula>
    </cfRule>
    <cfRule type="cellIs" dxfId="4613" priority="2898" operator="equal">
      <formula>"V"</formula>
    </cfRule>
  </conditionalFormatting>
  <conditionalFormatting sqref="AP509:AQ512">
    <cfRule type="cellIs" dxfId="4605" priority="2542" operator="equal">
      <formula>"NA"</formula>
    </cfRule>
    <cfRule type="cellIs" dxfId="4604" priority="2543" operator="equal">
      <formula>"NS"</formula>
    </cfRule>
    <cfRule type="cellIs" dxfId="4603" priority="2544" operator="equal">
      <formula>"S"</formula>
    </cfRule>
    <cfRule type="cellIs" dxfId="4602" priority="2545" operator="equal">
      <formula>"A"</formula>
    </cfRule>
    <cfRule type="cellIs" dxfId="4601" priority="2546" operator="equal">
      <formula>"X"</formula>
    </cfRule>
    <cfRule type="cellIs" dxfId="4600" priority="2547" operator="equal">
      <formula>"L"</formula>
    </cfRule>
    <cfRule type="cellIs" dxfId="4599" priority="2548" operator="equal">
      <formula>"V"</formula>
    </cfRule>
  </conditionalFormatting>
  <conditionalFormatting sqref="AP513:AQ522">
    <cfRule type="cellIs" dxfId="4591" priority="2549" operator="equal">
      <formula>"NA"</formula>
    </cfRule>
    <cfRule type="cellIs" dxfId="4590" priority="2550" operator="equal">
      <formula>"NS"</formula>
    </cfRule>
    <cfRule type="cellIs" dxfId="4589" priority="2551" operator="equal">
      <formula>"S"</formula>
    </cfRule>
    <cfRule type="cellIs" dxfId="4588" priority="2552" operator="equal">
      <formula>"A"</formula>
    </cfRule>
    <cfRule type="cellIs" dxfId="4587" priority="2553" operator="equal">
      <formula>"X"</formula>
    </cfRule>
    <cfRule type="cellIs" dxfId="4586" priority="2554" operator="equal">
      <formula>"L"</formula>
    </cfRule>
    <cfRule type="cellIs" dxfId="4585" priority="2555" operator="equal">
      <formula>"V"</formula>
    </cfRule>
  </conditionalFormatting>
  <conditionalFormatting sqref="AP527:AQ533">
    <cfRule type="cellIs" dxfId="4577" priority="2556" operator="equal">
      <formula>"NA"</formula>
    </cfRule>
    <cfRule type="cellIs" dxfId="4576" priority="2557" operator="equal">
      <formula>"NS"</formula>
    </cfRule>
    <cfRule type="cellIs" dxfId="4575" priority="2558" operator="equal">
      <formula>"S"</formula>
    </cfRule>
    <cfRule type="cellIs" dxfId="4574" priority="2559" operator="equal">
      <formula>"A"</formula>
    </cfRule>
    <cfRule type="cellIs" dxfId="4573" priority="2560" operator="equal">
      <formula>"X"</formula>
    </cfRule>
    <cfRule type="cellIs" dxfId="4572" priority="2561" operator="equal">
      <formula>"L"</formula>
    </cfRule>
    <cfRule type="cellIs" dxfId="4571" priority="2562" operator="equal">
      <formula>"V"</formula>
    </cfRule>
  </conditionalFormatting>
  <conditionalFormatting sqref="AP538:AQ547">
    <cfRule type="cellIs" dxfId="4563" priority="2563" operator="equal">
      <formula>"NA"</formula>
    </cfRule>
    <cfRule type="cellIs" dxfId="4562" priority="2564" operator="equal">
      <formula>"NS"</formula>
    </cfRule>
    <cfRule type="cellIs" dxfId="4561" priority="2565" operator="equal">
      <formula>"S"</formula>
    </cfRule>
    <cfRule type="cellIs" dxfId="4560" priority="2566" operator="equal">
      <formula>"A"</formula>
    </cfRule>
    <cfRule type="cellIs" dxfId="4559" priority="2567" operator="equal">
      <formula>"X"</formula>
    </cfRule>
    <cfRule type="cellIs" dxfId="4558" priority="2568" operator="equal">
      <formula>"L"</formula>
    </cfRule>
    <cfRule type="cellIs" dxfId="4557" priority="2569" operator="equal">
      <formula>"V"</formula>
    </cfRule>
  </conditionalFormatting>
  <conditionalFormatting sqref="AP561:AP562">
    <cfRule type="cellIs" dxfId="4549" priority="2605" operator="equal">
      <formula>"NA"</formula>
    </cfRule>
    <cfRule type="cellIs" dxfId="4548" priority="2606" operator="equal">
      <formula>"NS"</formula>
    </cfRule>
    <cfRule type="cellIs" dxfId="4547" priority="2607" operator="equal">
      <formula>"S"</formula>
    </cfRule>
    <cfRule type="cellIs" dxfId="4546" priority="2608" operator="equal">
      <formula>"A"</formula>
    </cfRule>
    <cfRule type="cellIs" dxfId="4545" priority="2609" operator="equal">
      <formula>"X"</formula>
    </cfRule>
    <cfRule type="cellIs" dxfId="4544" priority="2610" operator="equal">
      <formula>"L"</formula>
    </cfRule>
    <cfRule type="cellIs" dxfId="4543" priority="2611" operator="equal">
      <formula>"V"</formula>
    </cfRule>
  </conditionalFormatting>
  <conditionalFormatting sqref="AP567:AQ569">
    <cfRule type="cellIs" dxfId="4535" priority="2626" operator="equal">
      <formula>"NA"</formula>
    </cfRule>
    <cfRule type="cellIs" dxfId="4534" priority="2627" operator="equal">
      <formula>"NS"</formula>
    </cfRule>
    <cfRule type="cellIs" dxfId="4533" priority="2628" operator="equal">
      <formula>"S"</formula>
    </cfRule>
    <cfRule type="cellIs" dxfId="4532" priority="2629" operator="equal">
      <formula>"A"</formula>
    </cfRule>
    <cfRule type="cellIs" dxfId="4531" priority="2630" operator="equal">
      <formula>"X"</formula>
    </cfRule>
    <cfRule type="cellIs" dxfId="4530" priority="2631" operator="equal">
      <formula>"L"</formula>
    </cfRule>
    <cfRule type="cellIs" dxfId="4529" priority="2632" operator="equal">
      <formula>"V"</formula>
    </cfRule>
  </conditionalFormatting>
  <conditionalFormatting sqref="AP570:AQ571">
    <cfRule type="cellIs" dxfId="4521" priority="2619" operator="equal">
      <formula>"NA"</formula>
    </cfRule>
    <cfRule type="cellIs" dxfId="4520" priority="2620" operator="equal">
      <formula>"NS"</formula>
    </cfRule>
    <cfRule type="cellIs" dxfId="4519" priority="2621" operator="equal">
      <formula>"S"</formula>
    </cfRule>
    <cfRule type="cellIs" dxfId="4518" priority="2622" operator="equal">
      <formula>"A"</formula>
    </cfRule>
    <cfRule type="cellIs" dxfId="4517" priority="2623" operator="equal">
      <formula>"X"</formula>
    </cfRule>
    <cfRule type="cellIs" dxfId="4516" priority="2624" operator="equal">
      <formula>"L"</formula>
    </cfRule>
    <cfRule type="cellIs" dxfId="4515" priority="2625" operator="equal">
      <formula>"V"</formula>
    </cfRule>
  </conditionalFormatting>
  <conditionalFormatting sqref="AP572:AQ588">
    <cfRule type="cellIs" dxfId="4507" priority="2633" operator="equal">
      <formula>"NA"</formula>
    </cfRule>
    <cfRule type="cellIs" dxfId="4506" priority="2634" operator="equal">
      <formula>"NS"</formula>
    </cfRule>
    <cfRule type="cellIs" dxfId="4505" priority="2635" operator="equal">
      <formula>"S"</formula>
    </cfRule>
    <cfRule type="cellIs" dxfId="4504" priority="2636" operator="equal">
      <formula>"A"</formula>
    </cfRule>
    <cfRule type="cellIs" dxfId="4503" priority="2637" operator="equal">
      <formula>"X"</formula>
    </cfRule>
    <cfRule type="cellIs" dxfId="4502" priority="2638" operator="equal">
      <formula>"L"</formula>
    </cfRule>
    <cfRule type="cellIs" dxfId="4501" priority="2639" operator="equal">
      <formula>"V"</formula>
    </cfRule>
  </conditionalFormatting>
  <conditionalFormatting sqref="AP589:AQ592">
    <cfRule type="cellIs" dxfId="4493" priority="2640" operator="equal">
      <formula>"NA"</formula>
    </cfRule>
    <cfRule type="cellIs" dxfId="4492" priority="2641" operator="equal">
      <formula>"NS"</formula>
    </cfRule>
    <cfRule type="cellIs" dxfId="4491" priority="2642" operator="equal">
      <formula>"S"</formula>
    </cfRule>
    <cfRule type="cellIs" dxfId="4490" priority="2643" operator="equal">
      <formula>"A"</formula>
    </cfRule>
    <cfRule type="cellIs" dxfId="4489" priority="2644" operator="equal">
      <formula>"X"</formula>
    </cfRule>
    <cfRule type="cellIs" dxfId="4488" priority="2645" operator="equal">
      <formula>"L"</formula>
    </cfRule>
    <cfRule type="cellIs" dxfId="4487" priority="2646" operator="equal">
      <formula>"V"</formula>
    </cfRule>
  </conditionalFormatting>
  <conditionalFormatting sqref="AP593:AQ612">
    <cfRule type="cellIs" dxfId="4479" priority="2647" operator="equal">
      <formula>"NA"</formula>
    </cfRule>
    <cfRule type="cellIs" dxfId="4478" priority="2648" operator="equal">
      <formula>"NS"</formula>
    </cfRule>
    <cfRule type="cellIs" dxfId="4477" priority="2649" operator="equal">
      <formula>"S"</formula>
    </cfRule>
    <cfRule type="cellIs" dxfId="4476" priority="2650" operator="equal">
      <formula>"A"</formula>
    </cfRule>
    <cfRule type="cellIs" dxfId="4475" priority="2651" operator="equal">
      <formula>"X"</formula>
    </cfRule>
    <cfRule type="cellIs" dxfId="4474" priority="2652" operator="equal">
      <formula>"L"</formula>
    </cfRule>
    <cfRule type="cellIs" dxfId="4473" priority="2653" operator="equal">
      <formula>"V"</formula>
    </cfRule>
  </conditionalFormatting>
  <conditionalFormatting sqref="AP613:AQ628">
    <cfRule type="cellIs" dxfId="4465" priority="2654" operator="equal">
      <formula>"NA"</formula>
    </cfRule>
    <cfRule type="cellIs" dxfId="4464" priority="2655" operator="equal">
      <formula>"NS"</formula>
    </cfRule>
    <cfRule type="cellIs" dxfId="4463" priority="2656" operator="equal">
      <formula>"S"</formula>
    </cfRule>
    <cfRule type="cellIs" dxfId="4462" priority="2657" operator="equal">
      <formula>"A"</formula>
    </cfRule>
    <cfRule type="cellIs" dxfId="4461" priority="2658" operator="equal">
      <formula>"X"</formula>
    </cfRule>
    <cfRule type="cellIs" dxfId="4460" priority="2659" operator="equal">
      <formula>"L"</formula>
    </cfRule>
    <cfRule type="cellIs" dxfId="4459" priority="2660" operator="equal">
      <formula>"V"</formula>
    </cfRule>
  </conditionalFormatting>
  <conditionalFormatting sqref="AQ729:AQ742 AQ727 AP717 AP711:AP715 AQ691:AQ701 AP676:AP683 AP653:AP669 AP647:AP651">
    <cfRule type="cellIs" dxfId="4451" priority="2885" operator="equal">
      <formula>"NA"</formula>
    </cfRule>
    <cfRule type="cellIs" dxfId="4450" priority="2886" operator="equal">
      <formula>"NS"</formula>
    </cfRule>
    <cfRule type="cellIs" dxfId="4449" priority="2887" operator="equal">
      <formula>"S"</formula>
    </cfRule>
    <cfRule type="cellIs" dxfId="4448" priority="2888" operator="equal">
      <formula>"A"</formula>
    </cfRule>
    <cfRule type="cellIs" dxfId="4447" priority="2889" operator="equal">
      <formula>"X"</formula>
    </cfRule>
    <cfRule type="cellIs" dxfId="4446" priority="2890" operator="equal">
      <formula>"L"</formula>
    </cfRule>
    <cfRule type="cellIs" dxfId="4445" priority="2891" operator="equal">
      <formula>"V"</formula>
    </cfRule>
  </conditionalFormatting>
  <conditionalFormatting sqref="AP670:AP675">
    <cfRule type="cellIs" dxfId="4437" priority="2689" operator="equal">
      <formula>"NA"</formula>
    </cfRule>
    <cfRule type="cellIs" dxfId="4436" priority="2690" operator="equal">
      <formula>"NS"</formula>
    </cfRule>
    <cfRule type="cellIs" dxfId="4435" priority="2691" operator="equal">
      <formula>"S"</formula>
    </cfRule>
    <cfRule type="cellIs" dxfId="4434" priority="2692" operator="equal">
      <formula>"A"</formula>
    </cfRule>
    <cfRule type="cellIs" dxfId="4433" priority="2693" operator="equal">
      <formula>"X"</formula>
    </cfRule>
    <cfRule type="cellIs" dxfId="4432" priority="2694" operator="equal">
      <formula>"L"</formula>
    </cfRule>
    <cfRule type="cellIs" dxfId="4431" priority="2695" operator="equal">
      <formula>"V"</formula>
    </cfRule>
  </conditionalFormatting>
  <conditionalFormatting sqref="AP684:AQ690">
    <cfRule type="cellIs" dxfId="4423" priority="2696" operator="equal">
      <formula>"NA"</formula>
    </cfRule>
    <cfRule type="cellIs" dxfId="4422" priority="2697" operator="equal">
      <formula>"NS"</formula>
    </cfRule>
    <cfRule type="cellIs" dxfId="4421" priority="2698" operator="equal">
      <formula>"S"</formula>
    </cfRule>
    <cfRule type="cellIs" dxfId="4420" priority="2699" operator="equal">
      <formula>"A"</formula>
    </cfRule>
    <cfRule type="cellIs" dxfId="4419" priority="2700" operator="equal">
      <formula>"X"</formula>
    </cfRule>
    <cfRule type="cellIs" dxfId="4418" priority="2701" operator="equal">
      <formula>"L"</formula>
    </cfRule>
    <cfRule type="cellIs" dxfId="4417" priority="2702" operator="equal">
      <formula>"V"</formula>
    </cfRule>
  </conditionalFormatting>
  <conditionalFormatting sqref="AP702:AQ710">
    <cfRule type="cellIs" dxfId="4409" priority="2717" operator="equal">
      <formula>"NA"</formula>
    </cfRule>
    <cfRule type="cellIs" dxfId="4408" priority="2718" operator="equal">
      <formula>"NS"</formula>
    </cfRule>
    <cfRule type="cellIs" dxfId="4407" priority="2719" operator="equal">
      <formula>"S"</formula>
    </cfRule>
    <cfRule type="cellIs" dxfId="4406" priority="2720" operator="equal">
      <formula>"A"</formula>
    </cfRule>
    <cfRule type="cellIs" dxfId="4405" priority="2721" operator="equal">
      <formula>"X"</formula>
    </cfRule>
    <cfRule type="cellIs" dxfId="4404" priority="2722" operator="equal">
      <formula>"L"</formula>
    </cfRule>
    <cfRule type="cellIs" dxfId="4403" priority="2723" operator="equal">
      <formula>"V"</formula>
    </cfRule>
  </conditionalFormatting>
  <conditionalFormatting sqref="AP718:AQ726">
    <cfRule type="cellIs" dxfId="4395" priority="2759" operator="equal">
      <formula>"NA"</formula>
    </cfRule>
    <cfRule type="cellIs" dxfId="4394" priority="2760" operator="equal">
      <formula>"NS"</formula>
    </cfRule>
    <cfRule type="cellIs" dxfId="4393" priority="2761" operator="equal">
      <formula>"S"</formula>
    </cfRule>
    <cfRule type="cellIs" dxfId="4392" priority="2762" operator="equal">
      <formula>"A"</formula>
    </cfRule>
    <cfRule type="cellIs" dxfId="4391" priority="2763" operator="equal">
      <formula>"X"</formula>
    </cfRule>
    <cfRule type="cellIs" dxfId="4390" priority="2764" operator="equal">
      <formula>"L"</formula>
    </cfRule>
    <cfRule type="cellIs" dxfId="4389" priority="2765" operator="equal">
      <formula>"V"</formula>
    </cfRule>
  </conditionalFormatting>
  <conditionalFormatting sqref="AP727:AP765">
    <cfRule type="cellIs" dxfId="4381" priority="2745" operator="equal">
      <formula>"NA"</formula>
    </cfRule>
    <cfRule type="cellIs" dxfId="4380" priority="2746" operator="equal">
      <formula>"NS"</formula>
    </cfRule>
    <cfRule type="cellIs" dxfId="4379" priority="2747" operator="equal">
      <formula>"S"</formula>
    </cfRule>
    <cfRule type="cellIs" dxfId="4378" priority="2748" operator="equal">
      <formula>"A"</formula>
    </cfRule>
    <cfRule type="cellIs" dxfId="4377" priority="2749" operator="equal">
      <formula>"X"</formula>
    </cfRule>
    <cfRule type="cellIs" dxfId="4376" priority="2750" operator="equal">
      <formula>"L"</formula>
    </cfRule>
    <cfRule type="cellIs" dxfId="4375" priority="2751" operator="equal">
      <formula>"V"</formula>
    </cfRule>
  </conditionalFormatting>
  <conditionalFormatting sqref="AP768:AP797">
    <cfRule type="cellIs" dxfId="4367" priority="2787" operator="equal">
      <formula>"NA"</formula>
    </cfRule>
    <cfRule type="cellIs" dxfId="4366" priority="2788" operator="equal">
      <formula>"NS"</formula>
    </cfRule>
    <cfRule type="cellIs" dxfId="4365" priority="2789" operator="equal">
      <formula>"S"</formula>
    </cfRule>
    <cfRule type="cellIs" dxfId="4364" priority="2790" operator="equal">
      <formula>"A"</formula>
    </cfRule>
    <cfRule type="cellIs" dxfId="4363" priority="2791" operator="equal">
      <formula>"X"</formula>
    </cfRule>
    <cfRule type="cellIs" dxfId="4362" priority="2792" operator="equal">
      <formula>"L"</formula>
    </cfRule>
    <cfRule type="cellIs" dxfId="4361" priority="2793" operator="equal">
      <formula>"V"</formula>
    </cfRule>
  </conditionalFormatting>
  <conditionalFormatting sqref="AQ775:AQ777 AQ794:AQ797 AQ780:AQ782">
    <cfRule type="cellIs" dxfId="4353" priority="2878" operator="equal">
      <formula>"NA"</formula>
    </cfRule>
    <cfRule type="cellIs" dxfId="4352" priority="2879" operator="equal">
      <formula>"NS"</formula>
    </cfRule>
    <cfRule type="cellIs" dxfId="4351" priority="2880" operator="equal">
      <formula>"S"</formula>
    </cfRule>
    <cfRule type="cellIs" dxfId="4350" priority="2881" operator="equal">
      <formula>"A"</formula>
    </cfRule>
    <cfRule type="cellIs" dxfId="4349" priority="2882" operator="equal">
      <formula>"X"</formula>
    </cfRule>
    <cfRule type="cellIs" dxfId="4348" priority="2883" operator="equal">
      <formula>"L"</formula>
    </cfRule>
    <cfRule type="cellIs" dxfId="4347" priority="2884" operator="equal">
      <formula>"V"</formula>
    </cfRule>
  </conditionalFormatting>
  <conditionalFormatting sqref="AP801:AQ814 AQ821 AP817:AP818 AP822:AP829 AP820">
    <cfRule type="cellIs" dxfId="4339" priority="2871" operator="equal">
      <formula>"NA"</formula>
    </cfRule>
    <cfRule type="cellIs" dxfId="4338" priority="2872" operator="equal">
      <formula>"NS"</formula>
    </cfRule>
    <cfRule type="cellIs" dxfId="4337" priority="2873" operator="equal">
      <formula>"S"</formula>
    </cfRule>
    <cfRule type="cellIs" dxfId="4336" priority="2874" operator="equal">
      <formula>"A"</formula>
    </cfRule>
    <cfRule type="cellIs" dxfId="4335" priority="2875" operator="equal">
      <formula>"X"</formula>
    </cfRule>
    <cfRule type="cellIs" dxfId="4334" priority="2876" operator="equal">
      <formula>"L"</formula>
    </cfRule>
    <cfRule type="cellIs" dxfId="4333" priority="2877" operator="equal">
      <formula>"V"</formula>
    </cfRule>
  </conditionalFormatting>
  <conditionalFormatting sqref="AP815:AP816">
    <cfRule type="cellIs" dxfId="4325" priority="2801" operator="equal">
      <formula>"NA"</formula>
    </cfRule>
    <cfRule type="cellIs" dxfId="4324" priority="2802" operator="equal">
      <formula>"NS"</formula>
    </cfRule>
    <cfRule type="cellIs" dxfId="4323" priority="2803" operator="equal">
      <formula>"S"</formula>
    </cfRule>
    <cfRule type="cellIs" dxfId="4322" priority="2804" operator="equal">
      <formula>"A"</formula>
    </cfRule>
    <cfRule type="cellIs" dxfId="4321" priority="2805" operator="equal">
      <formula>"X"</formula>
    </cfRule>
    <cfRule type="cellIs" dxfId="4320" priority="2806" operator="equal">
      <formula>"L"</formula>
    </cfRule>
    <cfRule type="cellIs" dxfId="4319" priority="2807" operator="equal">
      <formula>"V"</formula>
    </cfRule>
  </conditionalFormatting>
  <conditionalFormatting sqref="AP830:AQ831">
    <cfRule type="cellIs" dxfId="4311" priority="2836" operator="equal">
      <formula>"NA"</formula>
    </cfRule>
    <cfRule type="cellIs" dxfId="4310" priority="2837" operator="equal">
      <formula>"NS"</formula>
    </cfRule>
    <cfRule type="cellIs" dxfId="4309" priority="2838" operator="equal">
      <formula>"S"</formula>
    </cfRule>
    <cfRule type="cellIs" dxfId="4308" priority="2839" operator="equal">
      <formula>"A"</formula>
    </cfRule>
    <cfRule type="cellIs" dxfId="4307" priority="2840" operator="equal">
      <formula>"X"</formula>
    </cfRule>
    <cfRule type="cellIs" dxfId="4306" priority="2841" operator="equal">
      <formula>"L"</formula>
    </cfRule>
    <cfRule type="cellIs" dxfId="4305" priority="2842" operator="equal">
      <formula>"V"</formula>
    </cfRule>
  </conditionalFormatting>
  <conditionalFormatting sqref="AP834:AQ851">
    <cfRule type="cellIs" dxfId="4297" priority="2864" operator="equal">
      <formula>"NA"</formula>
    </cfRule>
    <cfRule type="cellIs" dxfId="4296" priority="2865" operator="equal">
      <formula>"NS"</formula>
    </cfRule>
    <cfRule type="cellIs" dxfId="4295" priority="2866" operator="equal">
      <formula>"S"</formula>
    </cfRule>
    <cfRule type="cellIs" dxfId="4294" priority="2867" operator="equal">
      <formula>"A"</formula>
    </cfRule>
    <cfRule type="cellIs" dxfId="4293" priority="2868" operator="equal">
      <formula>"X"</formula>
    </cfRule>
    <cfRule type="cellIs" dxfId="4292" priority="2869" operator="equal">
      <formula>"L"</formula>
    </cfRule>
    <cfRule type="cellIs" dxfId="4291" priority="2870" operator="equal">
      <formula>"V"</formula>
    </cfRule>
  </conditionalFormatting>
  <conditionalFormatting sqref="AP854:AQ925">
    <cfRule type="cellIs" dxfId="4283" priority="2857" operator="equal">
      <formula>"NA"</formula>
    </cfRule>
    <cfRule type="cellIs" dxfId="4282" priority="2858" operator="equal">
      <formula>"NS"</formula>
    </cfRule>
    <cfRule type="cellIs" dxfId="4281" priority="2859" operator="equal">
      <formula>"S"</formula>
    </cfRule>
    <cfRule type="cellIs" dxfId="4280" priority="2860" operator="equal">
      <formula>"A"</formula>
    </cfRule>
    <cfRule type="cellIs" dxfId="4279" priority="2861" operator="equal">
      <formula>"X"</formula>
    </cfRule>
    <cfRule type="cellIs" dxfId="4278" priority="2862" operator="equal">
      <formula>"L"</formula>
    </cfRule>
    <cfRule type="cellIs" dxfId="4277" priority="2863" operator="equal">
      <formula>"V"</formula>
    </cfRule>
  </conditionalFormatting>
  <conditionalFormatting sqref="AP928:AQ938">
    <cfRule type="cellIs" dxfId="4269" priority="2850" operator="equal">
      <formula>"NA"</formula>
    </cfRule>
    <cfRule type="cellIs" dxfId="4268" priority="2851" operator="equal">
      <formula>"NS"</formula>
    </cfRule>
    <cfRule type="cellIs" dxfId="4267" priority="2852" operator="equal">
      <formula>"S"</formula>
    </cfRule>
    <cfRule type="cellIs" dxfId="4266" priority="2853" operator="equal">
      <formula>"A"</formula>
    </cfRule>
    <cfRule type="cellIs" dxfId="4265" priority="2854" operator="equal">
      <formula>"X"</formula>
    </cfRule>
    <cfRule type="cellIs" dxfId="4264" priority="2855" operator="equal">
      <formula>"L"</formula>
    </cfRule>
    <cfRule type="cellIs" dxfId="4263" priority="2856" operator="equal">
      <formula>"V"</formula>
    </cfRule>
  </conditionalFormatting>
  <conditionalFormatting sqref="AP941:AQ950">
    <cfRule type="cellIs" dxfId="4255" priority="2843" operator="equal">
      <formula>"NA"</formula>
    </cfRule>
    <cfRule type="cellIs" dxfId="4254" priority="2844" operator="equal">
      <formula>"NS"</formula>
    </cfRule>
    <cfRule type="cellIs" dxfId="4253" priority="2845" operator="equal">
      <formula>"S"</formula>
    </cfRule>
    <cfRule type="cellIs" dxfId="4252" priority="2846" operator="equal">
      <formula>"A"</formula>
    </cfRule>
    <cfRule type="cellIs" dxfId="4251" priority="2847" operator="equal">
      <formula>"X"</formula>
    </cfRule>
    <cfRule type="cellIs" dxfId="4250" priority="2848" operator="equal">
      <formula>"L"</formula>
    </cfRule>
    <cfRule type="cellIs" dxfId="4249" priority="2849" operator="equal">
      <formula>"V"</formula>
    </cfRule>
  </conditionalFormatting>
  <conditionalFormatting sqref="AL13:AO14 AN144 AM226 AO226 AM264 AO264 AL275:AO331 AL334:AO485">
    <cfRule type="cellIs" dxfId="4241" priority="2115" operator="equal">
      <formula>"NA"</formula>
    </cfRule>
    <cfRule type="cellIs" dxfId="4240" priority="2116" operator="equal">
      <formula>"NS"</formula>
    </cfRule>
    <cfRule type="cellIs" dxfId="4239" priority="2117" operator="equal">
      <formula>"S"</formula>
    </cfRule>
    <cfRule type="cellIs" dxfId="4238" priority="2118" operator="equal">
      <formula>"A"</formula>
    </cfRule>
    <cfRule type="cellIs" dxfId="4237" priority="2119" operator="equal">
      <formula>"X"</formula>
    </cfRule>
    <cfRule type="cellIs" dxfId="4236" priority="2120" operator="equal">
      <formula>"L"</formula>
    </cfRule>
    <cfRule type="cellIs" dxfId="4235" priority="2121" operator="equal">
      <formula>"V"</formula>
    </cfRule>
  </conditionalFormatting>
  <conditionalFormatting sqref="AL18:AO100">
    <cfRule type="cellIs" dxfId="4227" priority="2108" operator="equal">
      <formula>"NA"</formula>
    </cfRule>
    <cfRule type="cellIs" dxfId="4226" priority="2109" operator="equal">
      <formula>"NS"</formula>
    </cfRule>
    <cfRule type="cellIs" dxfId="4225" priority="2110" operator="equal">
      <formula>"S"</formula>
    </cfRule>
    <cfRule type="cellIs" dxfId="4224" priority="2111" operator="equal">
      <formula>"A"</formula>
    </cfRule>
    <cfRule type="cellIs" dxfId="4223" priority="2112" operator="equal">
      <formula>"X"</formula>
    </cfRule>
    <cfRule type="cellIs" dxfId="4222" priority="2113" operator="equal">
      <formula>"L"</formula>
    </cfRule>
    <cfRule type="cellIs" dxfId="4221" priority="2114" operator="equal">
      <formula>"V"</formula>
    </cfRule>
  </conditionalFormatting>
  <conditionalFormatting sqref="AN131 AM144 AO144">
    <cfRule type="cellIs" dxfId="4213" priority="2101" operator="equal">
      <formula>"NA"</formula>
    </cfRule>
    <cfRule type="cellIs" dxfId="4212" priority="2102" operator="equal">
      <formula>"NS"</formula>
    </cfRule>
    <cfRule type="cellIs" dxfId="4211" priority="2103" operator="equal">
      <formula>"S"</formula>
    </cfRule>
    <cfRule type="cellIs" dxfId="4210" priority="2104" operator="equal">
      <formula>"A"</formula>
    </cfRule>
    <cfRule type="cellIs" dxfId="4209" priority="2105" operator="equal">
      <formula>"X"</formula>
    </cfRule>
    <cfRule type="cellIs" dxfId="4208" priority="2106" operator="equal">
      <formula>"L"</formula>
    </cfRule>
    <cfRule type="cellIs" dxfId="4207" priority="2107" operator="equal">
      <formula>"V"</formula>
    </cfRule>
  </conditionalFormatting>
  <conditionalFormatting sqref="AL488:AO628">
    <cfRule type="cellIs" dxfId="4199" priority="2094" operator="equal">
      <formula>"NA"</formula>
    </cfRule>
    <cfRule type="cellIs" dxfId="4198" priority="2095" operator="equal">
      <formula>"NS"</formula>
    </cfRule>
    <cfRule type="cellIs" dxfId="4197" priority="2096" operator="equal">
      <formula>"S"</formula>
    </cfRule>
    <cfRule type="cellIs" dxfId="4196" priority="2097" operator="equal">
      <formula>"A"</formula>
    </cfRule>
    <cfRule type="cellIs" dxfId="4195" priority="2098" operator="equal">
      <formula>"X"</formula>
    </cfRule>
    <cfRule type="cellIs" dxfId="4194" priority="2099" operator="equal">
      <formula>"L"</formula>
    </cfRule>
    <cfRule type="cellIs" dxfId="4193" priority="2100" operator="equal">
      <formula>"V"</formula>
    </cfRule>
  </conditionalFormatting>
  <conditionalFormatting sqref="AL631:AM631 AL648 AO648 AL727:AO765">
    <cfRule type="cellIs" dxfId="4185" priority="2087" operator="equal">
      <formula>"NA"</formula>
    </cfRule>
    <cfRule type="cellIs" dxfId="4184" priority="2088" operator="equal">
      <formula>"NS"</formula>
    </cfRule>
    <cfRule type="cellIs" dxfId="4183" priority="2089" operator="equal">
      <formula>"S"</formula>
    </cfRule>
    <cfRule type="cellIs" dxfId="4182" priority="2090" operator="equal">
      <formula>"A"</formula>
    </cfRule>
    <cfRule type="cellIs" dxfId="4181" priority="2091" operator="equal">
      <formula>"X"</formula>
    </cfRule>
    <cfRule type="cellIs" dxfId="4180" priority="2092" operator="equal">
      <formula>"L"</formula>
    </cfRule>
    <cfRule type="cellIs" dxfId="4179" priority="2093" operator="equal">
      <formula>"V"</formula>
    </cfRule>
  </conditionalFormatting>
  <conditionalFormatting sqref="AL768:AO798">
    <cfRule type="cellIs" dxfId="4171" priority="2080" operator="equal">
      <formula>"NA"</formula>
    </cfRule>
    <cfRule type="cellIs" dxfId="4170" priority="2081" operator="equal">
      <formula>"NS"</formula>
    </cfRule>
    <cfRule type="cellIs" dxfId="4169" priority="2082" operator="equal">
      <formula>"S"</formula>
    </cfRule>
    <cfRule type="cellIs" dxfId="4168" priority="2083" operator="equal">
      <formula>"A"</formula>
    </cfRule>
    <cfRule type="cellIs" dxfId="4167" priority="2084" operator="equal">
      <formula>"X"</formula>
    </cfRule>
    <cfRule type="cellIs" dxfId="4166" priority="2085" operator="equal">
      <formula>"L"</formula>
    </cfRule>
    <cfRule type="cellIs" dxfId="4165" priority="2086" operator="equal">
      <formula>"V"</formula>
    </cfRule>
  </conditionalFormatting>
  <conditionalFormatting sqref="AL801:AO831">
    <cfRule type="cellIs" dxfId="4157" priority="2073" operator="equal">
      <formula>"NA"</formula>
    </cfRule>
    <cfRule type="cellIs" dxfId="4156" priority="2074" operator="equal">
      <formula>"NS"</formula>
    </cfRule>
    <cfRule type="cellIs" dxfId="4155" priority="2075" operator="equal">
      <formula>"S"</formula>
    </cfRule>
    <cfRule type="cellIs" dxfId="4154" priority="2076" operator="equal">
      <formula>"A"</formula>
    </cfRule>
    <cfRule type="cellIs" dxfId="4153" priority="2077" operator="equal">
      <formula>"X"</formula>
    </cfRule>
    <cfRule type="cellIs" dxfId="4152" priority="2078" operator="equal">
      <formula>"L"</formula>
    </cfRule>
    <cfRule type="cellIs" dxfId="4151" priority="2079" operator="equal">
      <formula>"V"</formula>
    </cfRule>
  </conditionalFormatting>
  <conditionalFormatting sqref="AL834:AO836 AL838:AO851">
    <cfRule type="cellIs" dxfId="4143" priority="2066" operator="equal">
      <formula>"NA"</formula>
    </cfRule>
    <cfRule type="cellIs" dxfId="4142" priority="2067" operator="equal">
      <formula>"NS"</formula>
    </cfRule>
    <cfRule type="cellIs" dxfId="4141" priority="2068" operator="equal">
      <formula>"S"</formula>
    </cfRule>
    <cfRule type="cellIs" dxfId="4140" priority="2069" operator="equal">
      <formula>"A"</formula>
    </cfRule>
    <cfRule type="cellIs" dxfId="4139" priority="2070" operator="equal">
      <formula>"X"</formula>
    </cfRule>
    <cfRule type="cellIs" dxfId="4138" priority="2071" operator="equal">
      <formula>"L"</formula>
    </cfRule>
    <cfRule type="cellIs" dxfId="4137" priority="2072" operator="equal">
      <formula>"V"</formula>
    </cfRule>
  </conditionalFormatting>
  <conditionalFormatting sqref="AL854:AO925">
    <cfRule type="cellIs" dxfId="4129" priority="2059" operator="equal">
      <formula>"NA"</formula>
    </cfRule>
    <cfRule type="cellIs" dxfId="4128" priority="2060" operator="equal">
      <formula>"NS"</formula>
    </cfRule>
    <cfRule type="cellIs" dxfId="4127" priority="2061" operator="equal">
      <formula>"S"</formula>
    </cfRule>
    <cfRule type="cellIs" dxfId="4126" priority="2062" operator="equal">
      <formula>"A"</formula>
    </cfRule>
    <cfRule type="cellIs" dxfId="4125" priority="2063" operator="equal">
      <formula>"X"</formula>
    </cfRule>
    <cfRule type="cellIs" dxfId="4124" priority="2064" operator="equal">
      <formula>"L"</formula>
    </cfRule>
    <cfRule type="cellIs" dxfId="4123" priority="2065" operator="equal">
      <formula>"V"</formula>
    </cfRule>
  </conditionalFormatting>
  <conditionalFormatting sqref="AL928:AO938">
    <cfRule type="cellIs" dxfId="4115" priority="2052" operator="equal">
      <formula>"NA"</formula>
    </cfRule>
    <cfRule type="cellIs" dxfId="4114" priority="2053" operator="equal">
      <formula>"NS"</formula>
    </cfRule>
    <cfRule type="cellIs" dxfId="4113" priority="2054" operator="equal">
      <formula>"S"</formula>
    </cfRule>
    <cfRule type="cellIs" dxfId="4112" priority="2055" operator="equal">
      <formula>"A"</formula>
    </cfRule>
    <cfRule type="cellIs" dxfId="4111" priority="2056" operator="equal">
      <formula>"X"</formula>
    </cfRule>
    <cfRule type="cellIs" dxfId="4110" priority="2057" operator="equal">
      <formula>"L"</formula>
    </cfRule>
    <cfRule type="cellIs" dxfId="4109" priority="2058" operator="equal">
      <formula>"V"</formula>
    </cfRule>
  </conditionalFormatting>
  <conditionalFormatting sqref="AL17">
    <cfRule type="cellIs" dxfId="4101" priority="2045" operator="equal">
      <formula>"NA"</formula>
    </cfRule>
    <cfRule type="cellIs" dxfId="4100" priority="2046" operator="equal">
      <formula>"NS"</formula>
    </cfRule>
    <cfRule type="cellIs" dxfId="4099" priority="2047" operator="equal">
      <formula>"S"</formula>
    </cfRule>
    <cfRule type="cellIs" dxfId="4098" priority="2048" operator="equal">
      <formula>"A"</formula>
    </cfRule>
    <cfRule type="cellIs" dxfId="4097" priority="2049" operator="equal">
      <formula>"X"</formula>
    </cfRule>
    <cfRule type="cellIs" dxfId="4096" priority="2050" operator="equal">
      <formula>"L"</formula>
    </cfRule>
    <cfRule type="cellIs" dxfId="4095" priority="2051" operator="equal">
      <formula>"V"</formula>
    </cfRule>
  </conditionalFormatting>
  <conditionalFormatting sqref="AN17">
    <cfRule type="cellIs" dxfId="4087" priority="2038" operator="equal">
      <formula>"NA"</formula>
    </cfRule>
    <cfRule type="cellIs" dxfId="4086" priority="2039" operator="equal">
      <formula>"NS"</formula>
    </cfRule>
    <cfRule type="cellIs" dxfId="4085" priority="2040" operator="equal">
      <formula>"S"</formula>
    </cfRule>
    <cfRule type="cellIs" dxfId="4084" priority="2041" operator="equal">
      <formula>"A"</formula>
    </cfRule>
    <cfRule type="cellIs" dxfId="4083" priority="2042" operator="equal">
      <formula>"X"</formula>
    </cfRule>
    <cfRule type="cellIs" dxfId="4082" priority="2043" operator="equal">
      <formula>"L"</formula>
    </cfRule>
    <cfRule type="cellIs" dxfId="4081" priority="2044" operator="equal">
      <formula>"V"</formula>
    </cfRule>
  </conditionalFormatting>
  <conditionalFormatting sqref="AM17">
    <cfRule type="cellIs" dxfId="4073" priority="2031" operator="equal">
      <formula>"NA"</formula>
    </cfRule>
    <cfRule type="cellIs" dxfId="4072" priority="2032" operator="equal">
      <formula>"NS"</formula>
    </cfRule>
    <cfRule type="cellIs" dxfId="4071" priority="2033" operator="equal">
      <formula>"S"</formula>
    </cfRule>
    <cfRule type="cellIs" dxfId="4070" priority="2034" operator="equal">
      <formula>"A"</formula>
    </cfRule>
    <cfRule type="cellIs" dxfId="4069" priority="2035" operator="equal">
      <formula>"X"</formula>
    </cfRule>
    <cfRule type="cellIs" dxfId="4068" priority="2036" operator="equal">
      <formula>"L"</formula>
    </cfRule>
    <cfRule type="cellIs" dxfId="4067" priority="2037" operator="equal">
      <formula>"V"</formula>
    </cfRule>
  </conditionalFormatting>
  <conditionalFormatting sqref="AO17">
    <cfRule type="cellIs" dxfId="4059" priority="2024" operator="equal">
      <formula>"NA"</formula>
    </cfRule>
    <cfRule type="cellIs" dxfId="4058" priority="2025" operator="equal">
      <formula>"NS"</formula>
    </cfRule>
    <cfRule type="cellIs" dxfId="4057" priority="2026" operator="equal">
      <formula>"S"</formula>
    </cfRule>
    <cfRule type="cellIs" dxfId="4056" priority="2027" operator="equal">
      <formula>"A"</formula>
    </cfRule>
    <cfRule type="cellIs" dxfId="4055" priority="2028" operator="equal">
      <formula>"X"</formula>
    </cfRule>
    <cfRule type="cellIs" dxfId="4054" priority="2029" operator="equal">
      <formula>"L"</formula>
    </cfRule>
    <cfRule type="cellIs" dxfId="4053" priority="2030" operator="equal">
      <formula>"V"</formula>
    </cfRule>
  </conditionalFormatting>
  <conditionalFormatting sqref="AL103">
    <cfRule type="cellIs" dxfId="4045" priority="2017" operator="equal">
      <formula>"NA"</formula>
    </cfRule>
    <cfRule type="cellIs" dxfId="4044" priority="2018" operator="equal">
      <formula>"NS"</formula>
    </cfRule>
    <cfRule type="cellIs" dxfId="4043" priority="2019" operator="equal">
      <formula>"S"</formula>
    </cfRule>
    <cfRule type="cellIs" dxfId="4042" priority="2020" operator="equal">
      <formula>"A"</formula>
    </cfRule>
    <cfRule type="cellIs" dxfId="4041" priority="2021" operator="equal">
      <formula>"X"</formula>
    </cfRule>
    <cfRule type="cellIs" dxfId="4040" priority="2022" operator="equal">
      <formula>"L"</formula>
    </cfRule>
    <cfRule type="cellIs" dxfId="4039" priority="2023" operator="equal">
      <formula>"V"</formula>
    </cfRule>
  </conditionalFormatting>
  <conditionalFormatting sqref="AM103">
    <cfRule type="cellIs" dxfId="4031" priority="2010" operator="equal">
      <formula>"NA"</formula>
    </cfRule>
    <cfRule type="cellIs" dxfId="4030" priority="2011" operator="equal">
      <formula>"NS"</formula>
    </cfRule>
    <cfRule type="cellIs" dxfId="4029" priority="2012" operator="equal">
      <formula>"S"</formula>
    </cfRule>
    <cfRule type="cellIs" dxfId="4028" priority="2013" operator="equal">
      <formula>"A"</formula>
    </cfRule>
    <cfRule type="cellIs" dxfId="4027" priority="2014" operator="equal">
      <formula>"X"</formula>
    </cfRule>
    <cfRule type="cellIs" dxfId="4026" priority="2015" operator="equal">
      <formula>"L"</formula>
    </cfRule>
    <cfRule type="cellIs" dxfId="4025" priority="2016" operator="equal">
      <formula>"V"</formula>
    </cfRule>
  </conditionalFormatting>
  <conditionalFormatting sqref="AN103:AO103">
    <cfRule type="cellIs" dxfId="4017" priority="2003" operator="equal">
      <formula>"NA"</formula>
    </cfRule>
    <cfRule type="cellIs" dxfId="4016" priority="2004" operator="equal">
      <formula>"NS"</formula>
    </cfRule>
    <cfRule type="cellIs" dxfId="4015" priority="2005" operator="equal">
      <formula>"S"</formula>
    </cfRule>
    <cfRule type="cellIs" dxfId="4014" priority="2006" operator="equal">
      <formula>"A"</formula>
    </cfRule>
    <cfRule type="cellIs" dxfId="4013" priority="2007" operator="equal">
      <formula>"X"</formula>
    </cfRule>
    <cfRule type="cellIs" dxfId="4012" priority="2008" operator="equal">
      <formula>"L"</formula>
    </cfRule>
    <cfRule type="cellIs" dxfId="4011" priority="2009" operator="equal">
      <formula>"V"</formula>
    </cfRule>
  </conditionalFormatting>
  <conditionalFormatting sqref="AL104">
    <cfRule type="cellIs" dxfId="4003" priority="1996" operator="equal">
      <formula>"NA"</formula>
    </cfRule>
    <cfRule type="cellIs" dxfId="4002" priority="1997" operator="equal">
      <formula>"NS"</formula>
    </cfRule>
    <cfRule type="cellIs" dxfId="4001" priority="1998" operator="equal">
      <formula>"S"</formula>
    </cfRule>
    <cfRule type="cellIs" dxfId="4000" priority="1999" operator="equal">
      <formula>"A"</formula>
    </cfRule>
    <cfRule type="cellIs" dxfId="3999" priority="2000" operator="equal">
      <formula>"X"</formula>
    </cfRule>
    <cfRule type="cellIs" dxfId="3998" priority="2001" operator="equal">
      <formula>"L"</formula>
    </cfRule>
    <cfRule type="cellIs" dxfId="3997" priority="2002" operator="equal">
      <formula>"V"</formula>
    </cfRule>
  </conditionalFormatting>
  <conditionalFormatting sqref="AM104">
    <cfRule type="cellIs" dxfId="3989" priority="1989" operator="equal">
      <formula>"NA"</formula>
    </cfRule>
    <cfRule type="cellIs" dxfId="3988" priority="1990" operator="equal">
      <formula>"NS"</formula>
    </cfRule>
    <cfRule type="cellIs" dxfId="3987" priority="1991" operator="equal">
      <formula>"S"</formula>
    </cfRule>
    <cfRule type="cellIs" dxfId="3986" priority="1992" operator="equal">
      <formula>"A"</formula>
    </cfRule>
    <cfRule type="cellIs" dxfId="3985" priority="1993" operator="equal">
      <formula>"X"</formula>
    </cfRule>
    <cfRule type="cellIs" dxfId="3984" priority="1994" operator="equal">
      <formula>"L"</formula>
    </cfRule>
    <cfRule type="cellIs" dxfId="3983" priority="1995" operator="equal">
      <formula>"V"</formula>
    </cfRule>
  </conditionalFormatting>
  <conditionalFormatting sqref="AN104:AO104">
    <cfRule type="cellIs" dxfId="3975" priority="1982" operator="equal">
      <formula>"NA"</formula>
    </cfRule>
    <cfRule type="cellIs" dxfId="3974" priority="1983" operator="equal">
      <formula>"NS"</formula>
    </cfRule>
    <cfRule type="cellIs" dxfId="3973" priority="1984" operator="equal">
      <formula>"S"</formula>
    </cfRule>
    <cfRule type="cellIs" dxfId="3972" priority="1985" operator="equal">
      <formula>"A"</formula>
    </cfRule>
    <cfRule type="cellIs" dxfId="3971" priority="1986" operator="equal">
      <formula>"X"</formula>
    </cfRule>
    <cfRule type="cellIs" dxfId="3970" priority="1987" operator="equal">
      <formula>"L"</formula>
    </cfRule>
    <cfRule type="cellIs" dxfId="3969" priority="1988" operator="equal">
      <formula>"V"</formula>
    </cfRule>
  </conditionalFormatting>
  <conditionalFormatting sqref="AL105">
    <cfRule type="cellIs" dxfId="3961" priority="1975" operator="equal">
      <formula>"NA"</formula>
    </cfRule>
    <cfRule type="cellIs" dxfId="3960" priority="1976" operator="equal">
      <formula>"NS"</formula>
    </cfRule>
    <cfRule type="cellIs" dxfId="3959" priority="1977" operator="equal">
      <formula>"S"</formula>
    </cfRule>
    <cfRule type="cellIs" dxfId="3958" priority="1978" operator="equal">
      <formula>"A"</formula>
    </cfRule>
    <cfRule type="cellIs" dxfId="3957" priority="1979" operator="equal">
      <formula>"X"</formula>
    </cfRule>
    <cfRule type="cellIs" dxfId="3956" priority="1980" operator="equal">
      <formula>"L"</formula>
    </cfRule>
    <cfRule type="cellIs" dxfId="3955" priority="1981" operator="equal">
      <formula>"V"</formula>
    </cfRule>
  </conditionalFormatting>
  <conditionalFormatting sqref="AM105">
    <cfRule type="cellIs" dxfId="3947" priority="1968" operator="equal">
      <formula>"NA"</formula>
    </cfRule>
    <cfRule type="cellIs" dxfId="3946" priority="1969" operator="equal">
      <formula>"NS"</formula>
    </cfRule>
    <cfRule type="cellIs" dxfId="3945" priority="1970" operator="equal">
      <formula>"S"</formula>
    </cfRule>
    <cfRule type="cellIs" dxfId="3944" priority="1971" operator="equal">
      <formula>"A"</formula>
    </cfRule>
    <cfRule type="cellIs" dxfId="3943" priority="1972" operator="equal">
      <formula>"X"</formula>
    </cfRule>
    <cfRule type="cellIs" dxfId="3942" priority="1973" operator="equal">
      <formula>"L"</formula>
    </cfRule>
    <cfRule type="cellIs" dxfId="3941" priority="1974" operator="equal">
      <formula>"V"</formula>
    </cfRule>
  </conditionalFormatting>
  <conditionalFormatting sqref="AN105:AO105">
    <cfRule type="cellIs" dxfId="3933" priority="1961" operator="equal">
      <formula>"NA"</formula>
    </cfRule>
    <cfRule type="cellIs" dxfId="3932" priority="1962" operator="equal">
      <formula>"NS"</formula>
    </cfRule>
    <cfRule type="cellIs" dxfId="3931" priority="1963" operator="equal">
      <formula>"S"</formula>
    </cfRule>
    <cfRule type="cellIs" dxfId="3930" priority="1964" operator="equal">
      <formula>"A"</formula>
    </cfRule>
    <cfRule type="cellIs" dxfId="3929" priority="1965" operator="equal">
      <formula>"X"</formula>
    </cfRule>
    <cfRule type="cellIs" dxfId="3928" priority="1966" operator="equal">
      <formula>"L"</formula>
    </cfRule>
    <cfRule type="cellIs" dxfId="3927" priority="1967" operator="equal">
      <formula>"V"</formula>
    </cfRule>
  </conditionalFormatting>
  <conditionalFormatting sqref="AL106">
    <cfRule type="cellIs" dxfId="3919" priority="1954" operator="equal">
      <formula>"NA"</formula>
    </cfRule>
    <cfRule type="cellIs" dxfId="3918" priority="1955" operator="equal">
      <formula>"NS"</formula>
    </cfRule>
    <cfRule type="cellIs" dxfId="3917" priority="1956" operator="equal">
      <formula>"S"</formula>
    </cfRule>
    <cfRule type="cellIs" dxfId="3916" priority="1957" operator="equal">
      <formula>"A"</formula>
    </cfRule>
    <cfRule type="cellIs" dxfId="3915" priority="1958" operator="equal">
      <formula>"X"</formula>
    </cfRule>
    <cfRule type="cellIs" dxfId="3914" priority="1959" operator="equal">
      <formula>"L"</formula>
    </cfRule>
    <cfRule type="cellIs" dxfId="3913" priority="1960" operator="equal">
      <formula>"V"</formula>
    </cfRule>
  </conditionalFormatting>
  <conditionalFormatting sqref="AM106">
    <cfRule type="cellIs" dxfId="3905" priority="1947" operator="equal">
      <formula>"NA"</formula>
    </cfRule>
    <cfRule type="cellIs" dxfId="3904" priority="1948" operator="equal">
      <formula>"NS"</formula>
    </cfRule>
    <cfRule type="cellIs" dxfId="3903" priority="1949" operator="equal">
      <formula>"S"</formula>
    </cfRule>
    <cfRule type="cellIs" dxfId="3902" priority="1950" operator="equal">
      <formula>"A"</formula>
    </cfRule>
    <cfRule type="cellIs" dxfId="3901" priority="1951" operator="equal">
      <formula>"X"</formula>
    </cfRule>
    <cfRule type="cellIs" dxfId="3900" priority="1952" operator="equal">
      <formula>"L"</formula>
    </cfRule>
    <cfRule type="cellIs" dxfId="3899" priority="1953" operator="equal">
      <formula>"V"</formula>
    </cfRule>
  </conditionalFormatting>
  <conditionalFormatting sqref="AN106:AO106">
    <cfRule type="cellIs" dxfId="3891" priority="1940" operator="equal">
      <formula>"NA"</formula>
    </cfRule>
    <cfRule type="cellIs" dxfId="3890" priority="1941" operator="equal">
      <formula>"NS"</formula>
    </cfRule>
    <cfRule type="cellIs" dxfId="3889" priority="1942" operator="equal">
      <formula>"S"</formula>
    </cfRule>
    <cfRule type="cellIs" dxfId="3888" priority="1943" operator="equal">
      <formula>"A"</formula>
    </cfRule>
    <cfRule type="cellIs" dxfId="3887" priority="1944" operator="equal">
      <formula>"X"</formula>
    </cfRule>
    <cfRule type="cellIs" dxfId="3886" priority="1945" operator="equal">
      <formula>"L"</formula>
    </cfRule>
    <cfRule type="cellIs" dxfId="3885" priority="1946" operator="equal">
      <formula>"V"</formula>
    </cfRule>
  </conditionalFormatting>
  <conditionalFormatting sqref="AL107">
    <cfRule type="cellIs" dxfId="3877" priority="1933" operator="equal">
      <formula>"NA"</formula>
    </cfRule>
    <cfRule type="cellIs" dxfId="3876" priority="1934" operator="equal">
      <formula>"NS"</formula>
    </cfRule>
    <cfRule type="cellIs" dxfId="3875" priority="1935" operator="equal">
      <formula>"S"</formula>
    </cfRule>
    <cfRule type="cellIs" dxfId="3874" priority="1936" operator="equal">
      <formula>"A"</formula>
    </cfRule>
    <cfRule type="cellIs" dxfId="3873" priority="1937" operator="equal">
      <formula>"X"</formula>
    </cfRule>
    <cfRule type="cellIs" dxfId="3872" priority="1938" operator="equal">
      <formula>"L"</formula>
    </cfRule>
    <cfRule type="cellIs" dxfId="3871" priority="1939" operator="equal">
      <formula>"V"</formula>
    </cfRule>
  </conditionalFormatting>
  <conditionalFormatting sqref="AM107">
    <cfRule type="cellIs" dxfId="3863" priority="1926" operator="equal">
      <formula>"NA"</formula>
    </cfRule>
    <cfRule type="cellIs" dxfId="3862" priority="1927" operator="equal">
      <formula>"NS"</formula>
    </cfRule>
    <cfRule type="cellIs" dxfId="3861" priority="1928" operator="equal">
      <formula>"S"</formula>
    </cfRule>
    <cfRule type="cellIs" dxfId="3860" priority="1929" operator="equal">
      <formula>"A"</formula>
    </cfRule>
    <cfRule type="cellIs" dxfId="3859" priority="1930" operator="equal">
      <formula>"X"</formula>
    </cfRule>
    <cfRule type="cellIs" dxfId="3858" priority="1931" operator="equal">
      <formula>"L"</formula>
    </cfRule>
    <cfRule type="cellIs" dxfId="3857" priority="1932" operator="equal">
      <formula>"V"</formula>
    </cfRule>
  </conditionalFormatting>
  <conditionalFormatting sqref="AN107:AO107">
    <cfRule type="cellIs" dxfId="3849" priority="1919" operator="equal">
      <formula>"NA"</formula>
    </cfRule>
    <cfRule type="cellIs" dxfId="3848" priority="1920" operator="equal">
      <formula>"NS"</formula>
    </cfRule>
    <cfRule type="cellIs" dxfId="3847" priority="1921" operator="equal">
      <formula>"S"</formula>
    </cfRule>
    <cfRule type="cellIs" dxfId="3846" priority="1922" operator="equal">
      <formula>"A"</formula>
    </cfRule>
    <cfRule type="cellIs" dxfId="3845" priority="1923" operator="equal">
      <formula>"X"</formula>
    </cfRule>
    <cfRule type="cellIs" dxfId="3844" priority="1924" operator="equal">
      <formula>"L"</formula>
    </cfRule>
    <cfRule type="cellIs" dxfId="3843" priority="1925" operator="equal">
      <formula>"V"</formula>
    </cfRule>
  </conditionalFormatting>
  <conditionalFormatting sqref="AL108">
    <cfRule type="cellIs" dxfId="3835" priority="1912" operator="equal">
      <formula>"NA"</formula>
    </cfRule>
    <cfRule type="cellIs" dxfId="3834" priority="1913" operator="equal">
      <formula>"NS"</formula>
    </cfRule>
    <cfRule type="cellIs" dxfId="3833" priority="1914" operator="equal">
      <formula>"S"</formula>
    </cfRule>
    <cfRule type="cellIs" dxfId="3832" priority="1915" operator="equal">
      <formula>"A"</formula>
    </cfRule>
    <cfRule type="cellIs" dxfId="3831" priority="1916" operator="equal">
      <formula>"X"</formula>
    </cfRule>
    <cfRule type="cellIs" dxfId="3830" priority="1917" operator="equal">
      <formula>"L"</formula>
    </cfRule>
    <cfRule type="cellIs" dxfId="3829" priority="1918" operator="equal">
      <formula>"V"</formula>
    </cfRule>
  </conditionalFormatting>
  <conditionalFormatting sqref="AM108">
    <cfRule type="cellIs" dxfId="3821" priority="1905" operator="equal">
      <formula>"NA"</formula>
    </cfRule>
    <cfRule type="cellIs" dxfId="3820" priority="1906" operator="equal">
      <formula>"NS"</formula>
    </cfRule>
    <cfRule type="cellIs" dxfId="3819" priority="1907" operator="equal">
      <formula>"S"</formula>
    </cfRule>
    <cfRule type="cellIs" dxfId="3818" priority="1908" operator="equal">
      <formula>"A"</formula>
    </cfRule>
    <cfRule type="cellIs" dxfId="3817" priority="1909" operator="equal">
      <formula>"X"</formula>
    </cfRule>
    <cfRule type="cellIs" dxfId="3816" priority="1910" operator="equal">
      <formula>"L"</formula>
    </cfRule>
    <cfRule type="cellIs" dxfId="3815" priority="1911" operator="equal">
      <formula>"V"</formula>
    </cfRule>
  </conditionalFormatting>
  <conditionalFormatting sqref="AN108:AO108">
    <cfRule type="cellIs" dxfId="3807" priority="1898" operator="equal">
      <formula>"NA"</formula>
    </cfRule>
    <cfRule type="cellIs" dxfId="3806" priority="1899" operator="equal">
      <formula>"NS"</formula>
    </cfRule>
    <cfRule type="cellIs" dxfId="3805" priority="1900" operator="equal">
      <formula>"S"</formula>
    </cfRule>
    <cfRule type="cellIs" dxfId="3804" priority="1901" operator="equal">
      <formula>"A"</formula>
    </cfRule>
    <cfRule type="cellIs" dxfId="3803" priority="1902" operator="equal">
      <formula>"X"</formula>
    </cfRule>
    <cfRule type="cellIs" dxfId="3802" priority="1903" operator="equal">
      <formula>"L"</formula>
    </cfRule>
    <cfRule type="cellIs" dxfId="3801" priority="1904" operator="equal">
      <formula>"V"</formula>
    </cfRule>
  </conditionalFormatting>
  <conditionalFormatting sqref="AL109">
    <cfRule type="cellIs" dxfId="3793" priority="1891" operator="equal">
      <formula>"NA"</formula>
    </cfRule>
    <cfRule type="cellIs" dxfId="3792" priority="1892" operator="equal">
      <formula>"NS"</formula>
    </cfRule>
    <cfRule type="cellIs" dxfId="3791" priority="1893" operator="equal">
      <formula>"S"</formula>
    </cfRule>
    <cfRule type="cellIs" dxfId="3790" priority="1894" operator="equal">
      <formula>"A"</formula>
    </cfRule>
    <cfRule type="cellIs" dxfId="3789" priority="1895" operator="equal">
      <formula>"X"</formula>
    </cfRule>
    <cfRule type="cellIs" dxfId="3788" priority="1896" operator="equal">
      <formula>"L"</formula>
    </cfRule>
    <cfRule type="cellIs" dxfId="3787" priority="1897" operator="equal">
      <formula>"V"</formula>
    </cfRule>
  </conditionalFormatting>
  <conditionalFormatting sqref="AM109">
    <cfRule type="cellIs" dxfId="3779" priority="1884" operator="equal">
      <formula>"NA"</formula>
    </cfRule>
    <cfRule type="cellIs" dxfId="3778" priority="1885" operator="equal">
      <formula>"NS"</formula>
    </cfRule>
    <cfRule type="cellIs" dxfId="3777" priority="1886" operator="equal">
      <formula>"S"</formula>
    </cfRule>
    <cfRule type="cellIs" dxfId="3776" priority="1887" operator="equal">
      <formula>"A"</formula>
    </cfRule>
    <cfRule type="cellIs" dxfId="3775" priority="1888" operator="equal">
      <formula>"X"</formula>
    </cfRule>
    <cfRule type="cellIs" dxfId="3774" priority="1889" operator="equal">
      <formula>"L"</formula>
    </cfRule>
    <cfRule type="cellIs" dxfId="3773" priority="1890" operator="equal">
      <formula>"V"</formula>
    </cfRule>
  </conditionalFormatting>
  <conditionalFormatting sqref="AN109:AO109">
    <cfRule type="cellIs" dxfId="3765" priority="1877" operator="equal">
      <formula>"NA"</formula>
    </cfRule>
    <cfRule type="cellIs" dxfId="3764" priority="1878" operator="equal">
      <formula>"NS"</formula>
    </cfRule>
    <cfRule type="cellIs" dxfId="3763" priority="1879" operator="equal">
      <formula>"S"</formula>
    </cfRule>
    <cfRule type="cellIs" dxfId="3762" priority="1880" operator="equal">
      <formula>"A"</formula>
    </cfRule>
    <cfRule type="cellIs" dxfId="3761" priority="1881" operator="equal">
      <formula>"X"</formula>
    </cfRule>
    <cfRule type="cellIs" dxfId="3760" priority="1882" operator="equal">
      <formula>"L"</formula>
    </cfRule>
    <cfRule type="cellIs" dxfId="3759" priority="1883" operator="equal">
      <formula>"V"</formula>
    </cfRule>
  </conditionalFormatting>
  <conditionalFormatting sqref="AL110">
    <cfRule type="cellIs" dxfId="3751" priority="1870" operator="equal">
      <formula>"NA"</formula>
    </cfRule>
    <cfRule type="cellIs" dxfId="3750" priority="1871" operator="equal">
      <formula>"NS"</formula>
    </cfRule>
    <cfRule type="cellIs" dxfId="3749" priority="1872" operator="equal">
      <formula>"S"</formula>
    </cfRule>
    <cfRule type="cellIs" dxfId="3748" priority="1873" operator="equal">
      <formula>"A"</formula>
    </cfRule>
    <cfRule type="cellIs" dxfId="3747" priority="1874" operator="equal">
      <formula>"X"</formula>
    </cfRule>
    <cfRule type="cellIs" dxfId="3746" priority="1875" operator="equal">
      <formula>"L"</formula>
    </cfRule>
    <cfRule type="cellIs" dxfId="3745" priority="1876" operator="equal">
      <formula>"V"</formula>
    </cfRule>
  </conditionalFormatting>
  <conditionalFormatting sqref="AM110">
    <cfRule type="cellIs" dxfId="3737" priority="1863" operator="equal">
      <formula>"NA"</formula>
    </cfRule>
    <cfRule type="cellIs" dxfId="3736" priority="1864" operator="equal">
      <formula>"NS"</formula>
    </cfRule>
    <cfRule type="cellIs" dxfId="3735" priority="1865" operator="equal">
      <formula>"S"</formula>
    </cfRule>
    <cfRule type="cellIs" dxfId="3734" priority="1866" operator="equal">
      <formula>"A"</formula>
    </cfRule>
    <cfRule type="cellIs" dxfId="3733" priority="1867" operator="equal">
      <formula>"X"</formula>
    </cfRule>
    <cfRule type="cellIs" dxfId="3732" priority="1868" operator="equal">
      <formula>"L"</formula>
    </cfRule>
    <cfRule type="cellIs" dxfId="3731" priority="1869" operator="equal">
      <formula>"V"</formula>
    </cfRule>
  </conditionalFormatting>
  <conditionalFormatting sqref="AN110:AO110">
    <cfRule type="cellIs" dxfId="3723" priority="1856" operator="equal">
      <formula>"NA"</formula>
    </cfRule>
    <cfRule type="cellIs" dxfId="3722" priority="1857" operator="equal">
      <formula>"NS"</formula>
    </cfRule>
    <cfRule type="cellIs" dxfId="3721" priority="1858" operator="equal">
      <formula>"S"</formula>
    </cfRule>
    <cfRule type="cellIs" dxfId="3720" priority="1859" operator="equal">
      <formula>"A"</formula>
    </cfRule>
    <cfRule type="cellIs" dxfId="3719" priority="1860" operator="equal">
      <formula>"X"</formula>
    </cfRule>
    <cfRule type="cellIs" dxfId="3718" priority="1861" operator="equal">
      <formula>"L"</formula>
    </cfRule>
    <cfRule type="cellIs" dxfId="3717" priority="1862" operator="equal">
      <formula>"V"</formula>
    </cfRule>
  </conditionalFormatting>
  <conditionalFormatting sqref="AO111">
    <cfRule type="cellIs" dxfId="3709" priority="1849" operator="equal">
      <formula>"NA"</formula>
    </cfRule>
    <cfRule type="cellIs" dxfId="3708" priority="1850" operator="equal">
      <formula>"NS"</formula>
    </cfRule>
    <cfRule type="cellIs" dxfId="3707" priority="1851" operator="equal">
      <formula>"S"</formula>
    </cfRule>
    <cfRule type="cellIs" dxfId="3706" priority="1852" operator="equal">
      <formula>"A"</formula>
    </cfRule>
    <cfRule type="cellIs" dxfId="3705" priority="1853" operator="equal">
      <formula>"X"</formula>
    </cfRule>
    <cfRule type="cellIs" dxfId="3704" priority="1854" operator="equal">
      <formula>"L"</formula>
    </cfRule>
    <cfRule type="cellIs" dxfId="3703" priority="1855" operator="equal">
      <formula>"V"</formula>
    </cfRule>
  </conditionalFormatting>
  <conditionalFormatting sqref="AL112">
    <cfRule type="cellIs" dxfId="3695" priority="1842" operator="equal">
      <formula>"NA"</formula>
    </cfRule>
    <cfRule type="cellIs" dxfId="3694" priority="1843" operator="equal">
      <formula>"NS"</formula>
    </cfRule>
    <cfRule type="cellIs" dxfId="3693" priority="1844" operator="equal">
      <formula>"S"</formula>
    </cfRule>
    <cfRule type="cellIs" dxfId="3692" priority="1845" operator="equal">
      <formula>"A"</formula>
    </cfRule>
    <cfRule type="cellIs" dxfId="3691" priority="1846" operator="equal">
      <formula>"X"</formula>
    </cfRule>
    <cfRule type="cellIs" dxfId="3690" priority="1847" operator="equal">
      <formula>"L"</formula>
    </cfRule>
    <cfRule type="cellIs" dxfId="3689" priority="1848" operator="equal">
      <formula>"V"</formula>
    </cfRule>
  </conditionalFormatting>
  <conditionalFormatting sqref="AM112">
    <cfRule type="cellIs" dxfId="3681" priority="1835" operator="equal">
      <formula>"NA"</formula>
    </cfRule>
    <cfRule type="cellIs" dxfId="3680" priority="1836" operator="equal">
      <formula>"NS"</formula>
    </cfRule>
    <cfRule type="cellIs" dxfId="3679" priority="1837" operator="equal">
      <formula>"S"</formula>
    </cfRule>
    <cfRule type="cellIs" dxfId="3678" priority="1838" operator="equal">
      <formula>"A"</formula>
    </cfRule>
    <cfRule type="cellIs" dxfId="3677" priority="1839" operator="equal">
      <formula>"X"</formula>
    </cfRule>
    <cfRule type="cellIs" dxfId="3676" priority="1840" operator="equal">
      <formula>"L"</formula>
    </cfRule>
    <cfRule type="cellIs" dxfId="3675" priority="1841" operator="equal">
      <formula>"V"</formula>
    </cfRule>
  </conditionalFormatting>
  <conditionalFormatting sqref="AN112:AO112">
    <cfRule type="cellIs" dxfId="3667" priority="1828" operator="equal">
      <formula>"NA"</formula>
    </cfRule>
    <cfRule type="cellIs" dxfId="3666" priority="1829" operator="equal">
      <formula>"NS"</formula>
    </cfRule>
    <cfRule type="cellIs" dxfId="3665" priority="1830" operator="equal">
      <formula>"S"</formula>
    </cfRule>
    <cfRule type="cellIs" dxfId="3664" priority="1831" operator="equal">
      <formula>"A"</formula>
    </cfRule>
    <cfRule type="cellIs" dxfId="3663" priority="1832" operator="equal">
      <formula>"X"</formula>
    </cfRule>
    <cfRule type="cellIs" dxfId="3662" priority="1833" operator="equal">
      <formula>"L"</formula>
    </cfRule>
    <cfRule type="cellIs" dxfId="3661" priority="1834" operator="equal">
      <formula>"V"</formula>
    </cfRule>
  </conditionalFormatting>
  <conditionalFormatting sqref="AL111:AN111">
    <cfRule type="cellIs" dxfId="3653" priority="1821" operator="equal">
      <formula>"NA"</formula>
    </cfRule>
    <cfRule type="cellIs" dxfId="3652" priority="1822" operator="equal">
      <formula>"NS"</formula>
    </cfRule>
    <cfRule type="cellIs" dxfId="3651" priority="1823" operator="equal">
      <formula>"S"</formula>
    </cfRule>
    <cfRule type="cellIs" dxfId="3650" priority="1824" operator="equal">
      <formula>"A"</formula>
    </cfRule>
    <cfRule type="cellIs" dxfId="3649" priority="1825" operator="equal">
      <formula>"X"</formula>
    </cfRule>
    <cfRule type="cellIs" dxfId="3648" priority="1826" operator="equal">
      <formula>"L"</formula>
    </cfRule>
    <cfRule type="cellIs" dxfId="3647" priority="1827" operator="equal">
      <formula>"V"</formula>
    </cfRule>
  </conditionalFormatting>
  <conditionalFormatting sqref="AL144:AO144">
    <cfRule type="cellIs" dxfId="3639" priority="1324" operator="equal">
      <formula>"NA"</formula>
    </cfRule>
    <cfRule type="cellIs" dxfId="3638" priority="1325" operator="equal">
      <formula>"NS"</formula>
    </cfRule>
    <cfRule type="cellIs" dxfId="3637" priority="1326" operator="equal">
      <formula>"S"</formula>
    </cfRule>
    <cfRule type="cellIs" dxfId="3636" priority="1327" operator="equal">
      <formula>"A"</formula>
    </cfRule>
    <cfRule type="cellIs" dxfId="3635" priority="1328" operator="equal">
      <formula>"X"</formula>
    </cfRule>
    <cfRule type="cellIs" dxfId="3634" priority="1329" operator="equal">
      <formula>"L"</formula>
    </cfRule>
    <cfRule type="cellIs" dxfId="3633" priority="1330" operator="equal">
      <formula>"V"</formula>
    </cfRule>
  </conditionalFormatting>
  <conditionalFormatting sqref="AL113">
    <cfRule type="cellIs" dxfId="3625" priority="1814" operator="equal">
      <formula>"NA"</formula>
    </cfRule>
    <cfRule type="cellIs" dxfId="3624" priority="1815" operator="equal">
      <formula>"NS"</formula>
    </cfRule>
    <cfRule type="cellIs" dxfId="3623" priority="1816" operator="equal">
      <formula>"S"</formula>
    </cfRule>
    <cfRule type="cellIs" dxfId="3622" priority="1817" operator="equal">
      <formula>"A"</formula>
    </cfRule>
    <cfRule type="cellIs" dxfId="3621" priority="1818" operator="equal">
      <formula>"X"</formula>
    </cfRule>
    <cfRule type="cellIs" dxfId="3620" priority="1819" operator="equal">
      <formula>"L"</formula>
    </cfRule>
    <cfRule type="cellIs" dxfId="3619" priority="1820" operator="equal">
      <formula>"V"</formula>
    </cfRule>
  </conditionalFormatting>
  <conditionalFormatting sqref="AM113">
    <cfRule type="cellIs" dxfId="3611" priority="1807" operator="equal">
      <formula>"NA"</formula>
    </cfRule>
    <cfRule type="cellIs" dxfId="3610" priority="1808" operator="equal">
      <formula>"NS"</formula>
    </cfRule>
    <cfRule type="cellIs" dxfId="3609" priority="1809" operator="equal">
      <formula>"S"</formula>
    </cfRule>
    <cfRule type="cellIs" dxfId="3608" priority="1810" operator="equal">
      <formula>"A"</formula>
    </cfRule>
    <cfRule type="cellIs" dxfId="3607" priority="1811" operator="equal">
      <formula>"X"</formula>
    </cfRule>
    <cfRule type="cellIs" dxfId="3606" priority="1812" operator="equal">
      <formula>"L"</formula>
    </cfRule>
    <cfRule type="cellIs" dxfId="3605" priority="1813" operator="equal">
      <formula>"V"</formula>
    </cfRule>
  </conditionalFormatting>
  <conditionalFormatting sqref="AN113:AO113">
    <cfRule type="cellIs" dxfId="3597" priority="1800" operator="equal">
      <formula>"NA"</formula>
    </cfRule>
    <cfRule type="cellIs" dxfId="3596" priority="1801" operator="equal">
      <formula>"NS"</formula>
    </cfRule>
    <cfRule type="cellIs" dxfId="3595" priority="1802" operator="equal">
      <formula>"S"</formula>
    </cfRule>
    <cfRule type="cellIs" dxfId="3594" priority="1803" operator="equal">
      <formula>"A"</formula>
    </cfRule>
    <cfRule type="cellIs" dxfId="3593" priority="1804" operator="equal">
      <formula>"X"</formula>
    </cfRule>
    <cfRule type="cellIs" dxfId="3592" priority="1805" operator="equal">
      <formula>"L"</formula>
    </cfRule>
    <cfRule type="cellIs" dxfId="3591" priority="1806" operator="equal">
      <formula>"V"</formula>
    </cfRule>
  </conditionalFormatting>
  <conditionalFormatting sqref="AL114">
    <cfRule type="cellIs" dxfId="3583" priority="1793" operator="equal">
      <formula>"NA"</formula>
    </cfRule>
    <cfRule type="cellIs" dxfId="3582" priority="1794" operator="equal">
      <formula>"NS"</formula>
    </cfRule>
    <cfRule type="cellIs" dxfId="3581" priority="1795" operator="equal">
      <formula>"S"</formula>
    </cfRule>
    <cfRule type="cellIs" dxfId="3580" priority="1796" operator="equal">
      <formula>"A"</formula>
    </cfRule>
    <cfRule type="cellIs" dxfId="3579" priority="1797" operator="equal">
      <formula>"X"</formula>
    </cfRule>
    <cfRule type="cellIs" dxfId="3578" priority="1798" operator="equal">
      <formula>"L"</formula>
    </cfRule>
    <cfRule type="cellIs" dxfId="3577" priority="1799" operator="equal">
      <formula>"V"</formula>
    </cfRule>
  </conditionalFormatting>
  <conditionalFormatting sqref="AM114">
    <cfRule type="cellIs" dxfId="3569" priority="1786" operator="equal">
      <formula>"NA"</formula>
    </cfRule>
    <cfRule type="cellIs" dxfId="3568" priority="1787" operator="equal">
      <formula>"NS"</formula>
    </cfRule>
    <cfRule type="cellIs" dxfId="3567" priority="1788" operator="equal">
      <formula>"S"</formula>
    </cfRule>
    <cfRule type="cellIs" dxfId="3566" priority="1789" operator="equal">
      <formula>"A"</formula>
    </cfRule>
    <cfRule type="cellIs" dxfId="3565" priority="1790" operator="equal">
      <formula>"X"</formula>
    </cfRule>
    <cfRule type="cellIs" dxfId="3564" priority="1791" operator="equal">
      <formula>"L"</formula>
    </cfRule>
    <cfRule type="cellIs" dxfId="3563" priority="1792" operator="equal">
      <formula>"V"</formula>
    </cfRule>
  </conditionalFormatting>
  <conditionalFormatting sqref="AN114:AO114">
    <cfRule type="cellIs" dxfId="3555" priority="1779" operator="equal">
      <formula>"NA"</formula>
    </cfRule>
    <cfRule type="cellIs" dxfId="3554" priority="1780" operator="equal">
      <formula>"NS"</formula>
    </cfRule>
    <cfRule type="cellIs" dxfId="3553" priority="1781" operator="equal">
      <formula>"S"</formula>
    </cfRule>
    <cfRule type="cellIs" dxfId="3552" priority="1782" operator="equal">
      <formula>"A"</formula>
    </cfRule>
    <cfRule type="cellIs" dxfId="3551" priority="1783" operator="equal">
      <formula>"X"</formula>
    </cfRule>
    <cfRule type="cellIs" dxfId="3550" priority="1784" operator="equal">
      <formula>"L"</formula>
    </cfRule>
    <cfRule type="cellIs" dxfId="3549" priority="1785" operator="equal">
      <formula>"V"</formula>
    </cfRule>
  </conditionalFormatting>
  <conditionalFormatting sqref="AL115">
    <cfRule type="cellIs" dxfId="3541" priority="1772" operator="equal">
      <formula>"NA"</formula>
    </cfRule>
    <cfRule type="cellIs" dxfId="3540" priority="1773" operator="equal">
      <formula>"NS"</formula>
    </cfRule>
    <cfRule type="cellIs" dxfId="3539" priority="1774" operator="equal">
      <formula>"S"</formula>
    </cfRule>
    <cfRule type="cellIs" dxfId="3538" priority="1775" operator="equal">
      <formula>"A"</formula>
    </cfRule>
    <cfRule type="cellIs" dxfId="3537" priority="1776" operator="equal">
      <formula>"X"</formula>
    </cfRule>
    <cfRule type="cellIs" dxfId="3536" priority="1777" operator="equal">
      <formula>"L"</formula>
    </cfRule>
    <cfRule type="cellIs" dxfId="3535" priority="1778" operator="equal">
      <formula>"V"</formula>
    </cfRule>
  </conditionalFormatting>
  <conditionalFormatting sqref="AM115">
    <cfRule type="cellIs" dxfId="3527" priority="1765" operator="equal">
      <formula>"NA"</formula>
    </cfRule>
    <cfRule type="cellIs" dxfId="3526" priority="1766" operator="equal">
      <formula>"NS"</formula>
    </cfRule>
    <cfRule type="cellIs" dxfId="3525" priority="1767" operator="equal">
      <formula>"S"</formula>
    </cfRule>
    <cfRule type="cellIs" dxfId="3524" priority="1768" operator="equal">
      <formula>"A"</formula>
    </cfRule>
    <cfRule type="cellIs" dxfId="3523" priority="1769" operator="equal">
      <formula>"X"</formula>
    </cfRule>
    <cfRule type="cellIs" dxfId="3522" priority="1770" operator="equal">
      <formula>"L"</formula>
    </cfRule>
    <cfRule type="cellIs" dxfId="3521" priority="1771" operator="equal">
      <formula>"V"</formula>
    </cfRule>
  </conditionalFormatting>
  <conditionalFormatting sqref="AN115:AO115">
    <cfRule type="cellIs" dxfId="3513" priority="1758" operator="equal">
      <formula>"NA"</formula>
    </cfRule>
    <cfRule type="cellIs" dxfId="3512" priority="1759" operator="equal">
      <formula>"NS"</formula>
    </cfRule>
    <cfRule type="cellIs" dxfId="3511" priority="1760" operator="equal">
      <formula>"S"</formula>
    </cfRule>
    <cfRule type="cellIs" dxfId="3510" priority="1761" operator="equal">
      <formula>"A"</formula>
    </cfRule>
    <cfRule type="cellIs" dxfId="3509" priority="1762" operator="equal">
      <formula>"X"</formula>
    </cfRule>
    <cfRule type="cellIs" dxfId="3508" priority="1763" operator="equal">
      <formula>"L"</formula>
    </cfRule>
    <cfRule type="cellIs" dxfId="3507" priority="1764" operator="equal">
      <formula>"V"</formula>
    </cfRule>
  </conditionalFormatting>
  <conditionalFormatting sqref="AL116">
    <cfRule type="cellIs" dxfId="3499" priority="1751" operator="equal">
      <formula>"NA"</formula>
    </cfRule>
    <cfRule type="cellIs" dxfId="3498" priority="1752" operator="equal">
      <formula>"NS"</formula>
    </cfRule>
    <cfRule type="cellIs" dxfId="3497" priority="1753" operator="equal">
      <formula>"S"</formula>
    </cfRule>
    <cfRule type="cellIs" dxfId="3496" priority="1754" operator="equal">
      <formula>"A"</formula>
    </cfRule>
    <cfRule type="cellIs" dxfId="3495" priority="1755" operator="equal">
      <formula>"X"</formula>
    </cfRule>
    <cfRule type="cellIs" dxfId="3494" priority="1756" operator="equal">
      <formula>"L"</formula>
    </cfRule>
    <cfRule type="cellIs" dxfId="3493" priority="1757" operator="equal">
      <formula>"V"</formula>
    </cfRule>
  </conditionalFormatting>
  <conditionalFormatting sqref="AM116">
    <cfRule type="cellIs" dxfId="3485" priority="1744" operator="equal">
      <formula>"NA"</formula>
    </cfRule>
    <cfRule type="cellIs" dxfId="3484" priority="1745" operator="equal">
      <formula>"NS"</formula>
    </cfRule>
    <cfRule type="cellIs" dxfId="3483" priority="1746" operator="equal">
      <formula>"S"</formula>
    </cfRule>
    <cfRule type="cellIs" dxfId="3482" priority="1747" operator="equal">
      <formula>"A"</formula>
    </cfRule>
    <cfRule type="cellIs" dxfId="3481" priority="1748" operator="equal">
      <formula>"X"</formula>
    </cfRule>
    <cfRule type="cellIs" dxfId="3480" priority="1749" operator="equal">
      <formula>"L"</formula>
    </cfRule>
    <cfRule type="cellIs" dxfId="3479" priority="1750" operator="equal">
      <formula>"V"</formula>
    </cfRule>
  </conditionalFormatting>
  <conditionalFormatting sqref="AN116:AO116">
    <cfRule type="cellIs" dxfId="3471" priority="1737" operator="equal">
      <formula>"NA"</formula>
    </cfRule>
    <cfRule type="cellIs" dxfId="3470" priority="1738" operator="equal">
      <formula>"NS"</formula>
    </cfRule>
    <cfRule type="cellIs" dxfId="3469" priority="1739" operator="equal">
      <formula>"S"</formula>
    </cfRule>
    <cfRule type="cellIs" dxfId="3468" priority="1740" operator="equal">
      <formula>"A"</formula>
    </cfRule>
    <cfRule type="cellIs" dxfId="3467" priority="1741" operator="equal">
      <formula>"X"</formula>
    </cfRule>
    <cfRule type="cellIs" dxfId="3466" priority="1742" operator="equal">
      <formula>"L"</formula>
    </cfRule>
    <cfRule type="cellIs" dxfId="3465" priority="1743" operator="equal">
      <formula>"V"</formula>
    </cfRule>
  </conditionalFormatting>
  <conditionalFormatting sqref="AL117:AO117">
    <cfRule type="cellIs" dxfId="3457" priority="1730" operator="equal">
      <formula>"NA"</formula>
    </cfRule>
    <cfRule type="cellIs" dxfId="3456" priority="1731" operator="equal">
      <formula>"NS"</formula>
    </cfRule>
    <cfRule type="cellIs" dxfId="3455" priority="1732" operator="equal">
      <formula>"S"</formula>
    </cfRule>
    <cfRule type="cellIs" dxfId="3454" priority="1733" operator="equal">
      <formula>"A"</formula>
    </cfRule>
    <cfRule type="cellIs" dxfId="3453" priority="1734" operator="equal">
      <formula>"X"</formula>
    </cfRule>
    <cfRule type="cellIs" dxfId="3452" priority="1735" operator="equal">
      <formula>"L"</formula>
    </cfRule>
    <cfRule type="cellIs" dxfId="3451" priority="1736" operator="equal">
      <formula>"V"</formula>
    </cfRule>
  </conditionalFormatting>
  <conditionalFormatting sqref="AL118">
    <cfRule type="cellIs" dxfId="3443" priority="1723" operator="equal">
      <formula>"NA"</formula>
    </cfRule>
    <cfRule type="cellIs" dxfId="3442" priority="1724" operator="equal">
      <formula>"NS"</formula>
    </cfRule>
    <cfRule type="cellIs" dxfId="3441" priority="1725" operator="equal">
      <formula>"S"</formula>
    </cfRule>
    <cfRule type="cellIs" dxfId="3440" priority="1726" operator="equal">
      <formula>"A"</formula>
    </cfRule>
    <cfRule type="cellIs" dxfId="3439" priority="1727" operator="equal">
      <formula>"X"</formula>
    </cfRule>
    <cfRule type="cellIs" dxfId="3438" priority="1728" operator="equal">
      <formula>"L"</formula>
    </cfRule>
    <cfRule type="cellIs" dxfId="3437" priority="1729" operator="equal">
      <formula>"V"</formula>
    </cfRule>
  </conditionalFormatting>
  <conditionalFormatting sqref="AM118">
    <cfRule type="cellIs" dxfId="3429" priority="1716" operator="equal">
      <formula>"NA"</formula>
    </cfRule>
    <cfRule type="cellIs" dxfId="3428" priority="1717" operator="equal">
      <formula>"NS"</formula>
    </cfRule>
    <cfRule type="cellIs" dxfId="3427" priority="1718" operator="equal">
      <formula>"S"</formula>
    </cfRule>
    <cfRule type="cellIs" dxfId="3426" priority="1719" operator="equal">
      <formula>"A"</formula>
    </cfRule>
    <cfRule type="cellIs" dxfId="3425" priority="1720" operator="equal">
      <formula>"X"</formula>
    </cfRule>
    <cfRule type="cellIs" dxfId="3424" priority="1721" operator="equal">
      <formula>"L"</formula>
    </cfRule>
    <cfRule type="cellIs" dxfId="3423" priority="1722" operator="equal">
      <formula>"V"</formula>
    </cfRule>
  </conditionalFormatting>
  <conditionalFormatting sqref="AN118:AO118">
    <cfRule type="cellIs" dxfId="3415" priority="1709" operator="equal">
      <formula>"NA"</formula>
    </cfRule>
    <cfRule type="cellIs" dxfId="3414" priority="1710" operator="equal">
      <formula>"NS"</formula>
    </cfRule>
    <cfRule type="cellIs" dxfId="3413" priority="1711" operator="equal">
      <formula>"S"</formula>
    </cfRule>
    <cfRule type="cellIs" dxfId="3412" priority="1712" operator="equal">
      <formula>"A"</formula>
    </cfRule>
    <cfRule type="cellIs" dxfId="3411" priority="1713" operator="equal">
      <formula>"X"</formula>
    </cfRule>
    <cfRule type="cellIs" dxfId="3410" priority="1714" operator="equal">
      <formula>"L"</formula>
    </cfRule>
    <cfRule type="cellIs" dxfId="3409" priority="1715" operator="equal">
      <formula>"V"</formula>
    </cfRule>
  </conditionalFormatting>
  <conditionalFormatting sqref="AL119">
    <cfRule type="cellIs" dxfId="3401" priority="1702" operator="equal">
      <formula>"NA"</formula>
    </cfRule>
    <cfRule type="cellIs" dxfId="3400" priority="1703" operator="equal">
      <formula>"NS"</formula>
    </cfRule>
    <cfRule type="cellIs" dxfId="3399" priority="1704" operator="equal">
      <formula>"S"</formula>
    </cfRule>
    <cfRule type="cellIs" dxfId="3398" priority="1705" operator="equal">
      <formula>"A"</formula>
    </cfRule>
    <cfRule type="cellIs" dxfId="3397" priority="1706" operator="equal">
      <formula>"X"</formula>
    </cfRule>
    <cfRule type="cellIs" dxfId="3396" priority="1707" operator="equal">
      <formula>"L"</formula>
    </cfRule>
    <cfRule type="cellIs" dxfId="3395" priority="1708" operator="equal">
      <formula>"V"</formula>
    </cfRule>
  </conditionalFormatting>
  <conditionalFormatting sqref="AM119">
    <cfRule type="cellIs" dxfId="3387" priority="1695" operator="equal">
      <formula>"NA"</formula>
    </cfRule>
    <cfRule type="cellIs" dxfId="3386" priority="1696" operator="equal">
      <formula>"NS"</formula>
    </cfRule>
    <cfRule type="cellIs" dxfId="3385" priority="1697" operator="equal">
      <formula>"S"</formula>
    </cfRule>
    <cfRule type="cellIs" dxfId="3384" priority="1698" operator="equal">
      <formula>"A"</formula>
    </cfRule>
    <cfRule type="cellIs" dxfId="3383" priority="1699" operator="equal">
      <formula>"X"</formula>
    </cfRule>
    <cfRule type="cellIs" dxfId="3382" priority="1700" operator="equal">
      <formula>"L"</formula>
    </cfRule>
    <cfRule type="cellIs" dxfId="3381" priority="1701" operator="equal">
      <formula>"V"</formula>
    </cfRule>
  </conditionalFormatting>
  <conditionalFormatting sqref="AN119:AO119">
    <cfRule type="cellIs" dxfId="3373" priority="1688" operator="equal">
      <formula>"NA"</formula>
    </cfRule>
    <cfRule type="cellIs" dxfId="3372" priority="1689" operator="equal">
      <formula>"NS"</formula>
    </cfRule>
    <cfRule type="cellIs" dxfId="3371" priority="1690" operator="equal">
      <formula>"S"</formula>
    </cfRule>
    <cfRule type="cellIs" dxfId="3370" priority="1691" operator="equal">
      <formula>"A"</formula>
    </cfRule>
    <cfRule type="cellIs" dxfId="3369" priority="1692" operator="equal">
      <formula>"X"</formula>
    </cfRule>
    <cfRule type="cellIs" dxfId="3368" priority="1693" operator="equal">
      <formula>"L"</formula>
    </cfRule>
    <cfRule type="cellIs" dxfId="3367" priority="1694" operator="equal">
      <formula>"V"</formula>
    </cfRule>
  </conditionalFormatting>
  <conditionalFormatting sqref="AL120">
    <cfRule type="cellIs" dxfId="3359" priority="1681" operator="equal">
      <formula>"NA"</formula>
    </cfRule>
    <cfRule type="cellIs" dxfId="3358" priority="1682" operator="equal">
      <formula>"NS"</formula>
    </cfRule>
    <cfRule type="cellIs" dxfId="3357" priority="1683" operator="equal">
      <formula>"S"</formula>
    </cfRule>
    <cfRule type="cellIs" dxfId="3356" priority="1684" operator="equal">
      <formula>"A"</formula>
    </cfRule>
    <cfRule type="cellIs" dxfId="3355" priority="1685" operator="equal">
      <formula>"X"</formula>
    </cfRule>
    <cfRule type="cellIs" dxfId="3354" priority="1686" operator="equal">
      <formula>"L"</formula>
    </cfRule>
    <cfRule type="cellIs" dxfId="3353" priority="1687" operator="equal">
      <formula>"V"</formula>
    </cfRule>
  </conditionalFormatting>
  <conditionalFormatting sqref="AM120">
    <cfRule type="cellIs" dxfId="3345" priority="1674" operator="equal">
      <formula>"NA"</formula>
    </cfRule>
    <cfRule type="cellIs" dxfId="3344" priority="1675" operator="equal">
      <formula>"NS"</formula>
    </cfRule>
    <cfRule type="cellIs" dxfId="3343" priority="1676" operator="equal">
      <formula>"S"</formula>
    </cfRule>
    <cfRule type="cellIs" dxfId="3342" priority="1677" operator="equal">
      <formula>"A"</formula>
    </cfRule>
    <cfRule type="cellIs" dxfId="3341" priority="1678" operator="equal">
      <formula>"X"</formula>
    </cfRule>
    <cfRule type="cellIs" dxfId="3340" priority="1679" operator="equal">
      <formula>"L"</formula>
    </cfRule>
    <cfRule type="cellIs" dxfId="3339" priority="1680" operator="equal">
      <formula>"V"</formula>
    </cfRule>
  </conditionalFormatting>
  <conditionalFormatting sqref="AN120:AO120">
    <cfRule type="cellIs" dxfId="3331" priority="1667" operator="equal">
      <formula>"NA"</formula>
    </cfRule>
    <cfRule type="cellIs" dxfId="3330" priority="1668" operator="equal">
      <formula>"NS"</formula>
    </cfRule>
    <cfRule type="cellIs" dxfId="3329" priority="1669" operator="equal">
      <formula>"S"</formula>
    </cfRule>
    <cfRule type="cellIs" dxfId="3328" priority="1670" operator="equal">
      <formula>"A"</formula>
    </cfRule>
    <cfRule type="cellIs" dxfId="3327" priority="1671" operator="equal">
      <formula>"X"</formula>
    </cfRule>
    <cfRule type="cellIs" dxfId="3326" priority="1672" operator="equal">
      <formula>"L"</formula>
    </cfRule>
    <cfRule type="cellIs" dxfId="3325" priority="1673" operator="equal">
      <formula>"V"</formula>
    </cfRule>
  </conditionalFormatting>
  <conditionalFormatting sqref="AL121">
    <cfRule type="cellIs" dxfId="3317" priority="1660" operator="equal">
      <formula>"NA"</formula>
    </cfRule>
    <cfRule type="cellIs" dxfId="3316" priority="1661" operator="equal">
      <formula>"NS"</formula>
    </cfRule>
    <cfRule type="cellIs" dxfId="3315" priority="1662" operator="equal">
      <formula>"S"</formula>
    </cfRule>
    <cfRule type="cellIs" dxfId="3314" priority="1663" operator="equal">
      <formula>"A"</formula>
    </cfRule>
    <cfRule type="cellIs" dxfId="3313" priority="1664" operator="equal">
      <formula>"X"</formula>
    </cfRule>
    <cfRule type="cellIs" dxfId="3312" priority="1665" operator="equal">
      <formula>"L"</formula>
    </cfRule>
    <cfRule type="cellIs" dxfId="3311" priority="1666" operator="equal">
      <formula>"V"</formula>
    </cfRule>
  </conditionalFormatting>
  <conditionalFormatting sqref="AM121">
    <cfRule type="cellIs" dxfId="3303" priority="1653" operator="equal">
      <formula>"NA"</formula>
    </cfRule>
    <cfRule type="cellIs" dxfId="3302" priority="1654" operator="equal">
      <formula>"NS"</formula>
    </cfRule>
    <cfRule type="cellIs" dxfId="3301" priority="1655" operator="equal">
      <formula>"S"</formula>
    </cfRule>
    <cfRule type="cellIs" dxfId="3300" priority="1656" operator="equal">
      <formula>"A"</formula>
    </cfRule>
    <cfRule type="cellIs" dxfId="3299" priority="1657" operator="equal">
      <formula>"X"</formula>
    </cfRule>
    <cfRule type="cellIs" dxfId="3298" priority="1658" operator="equal">
      <formula>"L"</formula>
    </cfRule>
    <cfRule type="cellIs" dxfId="3297" priority="1659" operator="equal">
      <formula>"V"</formula>
    </cfRule>
  </conditionalFormatting>
  <conditionalFormatting sqref="AN121:AO121">
    <cfRule type="cellIs" dxfId="3289" priority="1646" operator="equal">
      <formula>"NA"</formula>
    </cfRule>
    <cfRule type="cellIs" dxfId="3288" priority="1647" operator="equal">
      <formula>"NS"</formula>
    </cfRule>
    <cfRule type="cellIs" dxfId="3287" priority="1648" operator="equal">
      <formula>"S"</formula>
    </cfRule>
    <cfRule type="cellIs" dxfId="3286" priority="1649" operator="equal">
      <formula>"A"</formula>
    </cfRule>
    <cfRule type="cellIs" dxfId="3285" priority="1650" operator="equal">
      <formula>"X"</formula>
    </cfRule>
    <cfRule type="cellIs" dxfId="3284" priority="1651" operator="equal">
      <formula>"L"</formula>
    </cfRule>
    <cfRule type="cellIs" dxfId="3283" priority="1652" operator="equal">
      <formula>"V"</formula>
    </cfRule>
  </conditionalFormatting>
  <conditionalFormatting sqref="AL122:AO122">
    <cfRule type="cellIs" dxfId="3275" priority="1639" operator="equal">
      <formula>"NA"</formula>
    </cfRule>
    <cfRule type="cellIs" dxfId="3274" priority="1640" operator="equal">
      <formula>"NS"</formula>
    </cfRule>
    <cfRule type="cellIs" dxfId="3273" priority="1641" operator="equal">
      <formula>"S"</formula>
    </cfRule>
    <cfRule type="cellIs" dxfId="3272" priority="1642" operator="equal">
      <formula>"A"</formula>
    </cfRule>
    <cfRule type="cellIs" dxfId="3271" priority="1643" operator="equal">
      <formula>"X"</formula>
    </cfRule>
    <cfRule type="cellIs" dxfId="3270" priority="1644" operator="equal">
      <formula>"L"</formula>
    </cfRule>
    <cfRule type="cellIs" dxfId="3269" priority="1645" operator="equal">
      <formula>"V"</formula>
    </cfRule>
  </conditionalFormatting>
  <conditionalFormatting sqref="AL123">
    <cfRule type="cellIs" dxfId="3261" priority="1632" operator="equal">
      <formula>"NA"</formula>
    </cfRule>
    <cfRule type="cellIs" dxfId="3260" priority="1633" operator="equal">
      <formula>"NS"</formula>
    </cfRule>
    <cfRule type="cellIs" dxfId="3259" priority="1634" operator="equal">
      <formula>"S"</formula>
    </cfRule>
    <cfRule type="cellIs" dxfId="3258" priority="1635" operator="equal">
      <formula>"A"</formula>
    </cfRule>
    <cfRule type="cellIs" dxfId="3257" priority="1636" operator="equal">
      <formula>"X"</formula>
    </cfRule>
    <cfRule type="cellIs" dxfId="3256" priority="1637" operator="equal">
      <formula>"L"</formula>
    </cfRule>
    <cfRule type="cellIs" dxfId="3255" priority="1638" operator="equal">
      <formula>"V"</formula>
    </cfRule>
  </conditionalFormatting>
  <conditionalFormatting sqref="AM123">
    <cfRule type="cellIs" dxfId="3247" priority="1625" operator="equal">
      <formula>"NA"</formula>
    </cfRule>
    <cfRule type="cellIs" dxfId="3246" priority="1626" operator="equal">
      <formula>"NS"</formula>
    </cfRule>
    <cfRule type="cellIs" dxfId="3245" priority="1627" operator="equal">
      <formula>"S"</formula>
    </cfRule>
    <cfRule type="cellIs" dxfId="3244" priority="1628" operator="equal">
      <formula>"A"</formula>
    </cfRule>
    <cfRule type="cellIs" dxfId="3243" priority="1629" operator="equal">
      <formula>"X"</formula>
    </cfRule>
    <cfRule type="cellIs" dxfId="3242" priority="1630" operator="equal">
      <formula>"L"</formula>
    </cfRule>
    <cfRule type="cellIs" dxfId="3241" priority="1631" operator="equal">
      <formula>"V"</formula>
    </cfRule>
  </conditionalFormatting>
  <conditionalFormatting sqref="AN123:AO123">
    <cfRule type="cellIs" dxfId="3233" priority="1618" operator="equal">
      <formula>"NA"</formula>
    </cfRule>
    <cfRule type="cellIs" dxfId="3232" priority="1619" operator="equal">
      <formula>"NS"</formula>
    </cfRule>
    <cfRule type="cellIs" dxfId="3231" priority="1620" operator="equal">
      <formula>"S"</formula>
    </cfRule>
    <cfRule type="cellIs" dxfId="3230" priority="1621" operator="equal">
      <formula>"A"</formula>
    </cfRule>
    <cfRule type="cellIs" dxfId="3229" priority="1622" operator="equal">
      <formula>"X"</formula>
    </cfRule>
    <cfRule type="cellIs" dxfId="3228" priority="1623" operator="equal">
      <formula>"L"</formula>
    </cfRule>
    <cfRule type="cellIs" dxfId="3227" priority="1624" operator="equal">
      <formula>"V"</formula>
    </cfRule>
  </conditionalFormatting>
  <conditionalFormatting sqref="AL124">
    <cfRule type="cellIs" dxfId="3219" priority="1611" operator="equal">
      <formula>"NA"</formula>
    </cfRule>
    <cfRule type="cellIs" dxfId="3218" priority="1612" operator="equal">
      <formula>"NS"</formula>
    </cfRule>
    <cfRule type="cellIs" dxfId="3217" priority="1613" operator="equal">
      <formula>"S"</formula>
    </cfRule>
    <cfRule type="cellIs" dxfId="3216" priority="1614" operator="equal">
      <formula>"A"</formula>
    </cfRule>
    <cfRule type="cellIs" dxfId="3215" priority="1615" operator="equal">
      <formula>"X"</formula>
    </cfRule>
    <cfRule type="cellIs" dxfId="3214" priority="1616" operator="equal">
      <formula>"L"</formula>
    </cfRule>
    <cfRule type="cellIs" dxfId="3213" priority="1617" operator="equal">
      <formula>"V"</formula>
    </cfRule>
  </conditionalFormatting>
  <conditionalFormatting sqref="AM124">
    <cfRule type="cellIs" dxfId="3205" priority="1604" operator="equal">
      <formula>"NA"</formula>
    </cfRule>
    <cfRule type="cellIs" dxfId="3204" priority="1605" operator="equal">
      <formula>"NS"</formula>
    </cfRule>
    <cfRule type="cellIs" dxfId="3203" priority="1606" operator="equal">
      <formula>"S"</formula>
    </cfRule>
    <cfRule type="cellIs" dxfId="3202" priority="1607" operator="equal">
      <formula>"A"</formula>
    </cfRule>
    <cfRule type="cellIs" dxfId="3201" priority="1608" operator="equal">
      <formula>"X"</formula>
    </cfRule>
    <cfRule type="cellIs" dxfId="3200" priority="1609" operator="equal">
      <formula>"L"</formula>
    </cfRule>
    <cfRule type="cellIs" dxfId="3199" priority="1610" operator="equal">
      <formula>"V"</formula>
    </cfRule>
  </conditionalFormatting>
  <conditionalFormatting sqref="AL124:AO124">
    <cfRule type="cellIs" dxfId="3191" priority="1597" operator="equal">
      <formula>"NA"</formula>
    </cfRule>
    <cfRule type="cellIs" dxfId="3190" priority="1598" operator="equal">
      <formula>"NS"</formula>
    </cfRule>
    <cfRule type="cellIs" dxfId="3189" priority="1599" operator="equal">
      <formula>"S"</formula>
    </cfRule>
    <cfRule type="cellIs" dxfId="3188" priority="1600" operator="equal">
      <formula>"A"</formula>
    </cfRule>
    <cfRule type="cellIs" dxfId="3187" priority="1601" operator="equal">
      <formula>"X"</formula>
    </cfRule>
    <cfRule type="cellIs" dxfId="3186" priority="1602" operator="equal">
      <formula>"L"</formula>
    </cfRule>
    <cfRule type="cellIs" dxfId="3185" priority="1603" operator="equal">
      <formula>"V"</formula>
    </cfRule>
  </conditionalFormatting>
  <conditionalFormatting sqref="AL125:AO126">
    <cfRule type="cellIs" dxfId="3177" priority="1590" operator="equal">
      <formula>"NA"</formula>
    </cfRule>
    <cfRule type="cellIs" dxfId="3176" priority="1591" operator="equal">
      <formula>"NS"</formula>
    </cfRule>
    <cfRule type="cellIs" dxfId="3175" priority="1592" operator="equal">
      <formula>"S"</formula>
    </cfRule>
    <cfRule type="cellIs" dxfId="3174" priority="1593" operator="equal">
      <formula>"A"</formula>
    </cfRule>
    <cfRule type="cellIs" dxfId="3173" priority="1594" operator="equal">
      <formula>"X"</formula>
    </cfRule>
    <cfRule type="cellIs" dxfId="3172" priority="1595" operator="equal">
      <formula>"L"</formula>
    </cfRule>
    <cfRule type="cellIs" dxfId="3171" priority="1596" operator="equal">
      <formula>"V"</formula>
    </cfRule>
  </conditionalFormatting>
  <conditionalFormatting sqref="AL127">
    <cfRule type="cellIs" dxfId="3163" priority="1583" operator="equal">
      <formula>"NA"</formula>
    </cfRule>
    <cfRule type="cellIs" dxfId="3162" priority="1584" operator="equal">
      <formula>"NS"</formula>
    </cfRule>
    <cfRule type="cellIs" dxfId="3161" priority="1585" operator="equal">
      <formula>"S"</formula>
    </cfRule>
    <cfRule type="cellIs" dxfId="3160" priority="1586" operator="equal">
      <formula>"A"</formula>
    </cfRule>
    <cfRule type="cellIs" dxfId="3159" priority="1587" operator="equal">
      <formula>"X"</formula>
    </cfRule>
    <cfRule type="cellIs" dxfId="3158" priority="1588" operator="equal">
      <formula>"L"</formula>
    </cfRule>
    <cfRule type="cellIs" dxfId="3157" priority="1589" operator="equal">
      <formula>"V"</formula>
    </cfRule>
  </conditionalFormatting>
  <conditionalFormatting sqref="AM127">
    <cfRule type="cellIs" dxfId="3149" priority="1576" operator="equal">
      <formula>"NA"</formula>
    </cfRule>
    <cfRule type="cellIs" dxfId="3148" priority="1577" operator="equal">
      <formula>"NS"</formula>
    </cfRule>
    <cfRule type="cellIs" dxfId="3147" priority="1578" operator="equal">
      <formula>"S"</formula>
    </cfRule>
    <cfRule type="cellIs" dxfId="3146" priority="1579" operator="equal">
      <formula>"A"</formula>
    </cfRule>
    <cfRule type="cellIs" dxfId="3145" priority="1580" operator="equal">
      <formula>"X"</formula>
    </cfRule>
    <cfRule type="cellIs" dxfId="3144" priority="1581" operator="equal">
      <formula>"L"</formula>
    </cfRule>
    <cfRule type="cellIs" dxfId="3143" priority="1582" operator="equal">
      <formula>"V"</formula>
    </cfRule>
  </conditionalFormatting>
  <conditionalFormatting sqref="AN127:AO127">
    <cfRule type="cellIs" dxfId="3135" priority="1569" operator="equal">
      <formula>"NA"</formula>
    </cfRule>
    <cfRule type="cellIs" dxfId="3134" priority="1570" operator="equal">
      <formula>"NS"</formula>
    </cfRule>
    <cfRule type="cellIs" dxfId="3133" priority="1571" operator="equal">
      <formula>"S"</formula>
    </cfRule>
    <cfRule type="cellIs" dxfId="3132" priority="1572" operator="equal">
      <formula>"A"</formula>
    </cfRule>
    <cfRule type="cellIs" dxfId="3131" priority="1573" operator="equal">
      <formula>"X"</formula>
    </cfRule>
    <cfRule type="cellIs" dxfId="3130" priority="1574" operator="equal">
      <formula>"L"</formula>
    </cfRule>
    <cfRule type="cellIs" dxfId="3129" priority="1575" operator="equal">
      <formula>"V"</formula>
    </cfRule>
  </conditionalFormatting>
  <conditionalFormatting sqref="AL128">
    <cfRule type="cellIs" dxfId="3121" priority="1562" operator="equal">
      <formula>"NA"</formula>
    </cfRule>
    <cfRule type="cellIs" dxfId="3120" priority="1563" operator="equal">
      <formula>"NS"</formula>
    </cfRule>
    <cfRule type="cellIs" dxfId="3119" priority="1564" operator="equal">
      <formula>"S"</formula>
    </cfRule>
    <cfRule type="cellIs" dxfId="3118" priority="1565" operator="equal">
      <formula>"A"</formula>
    </cfRule>
    <cfRule type="cellIs" dxfId="3117" priority="1566" operator="equal">
      <formula>"X"</formula>
    </cfRule>
    <cfRule type="cellIs" dxfId="3116" priority="1567" operator="equal">
      <formula>"L"</formula>
    </cfRule>
    <cfRule type="cellIs" dxfId="3115" priority="1568" operator="equal">
      <formula>"V"</formula>
    </cfRule>
  </conditionalFormatting>
  <conditionalFormatting sqref="AM128">
    <cfRule type="cellIs" dxfId="3107" priority="1555" operator="equal">
      <formula>"NA"</formula>
    </cfRule>
    <cfRule type="cellIs" dxfId="3106" priority="1556" operator="equal">
      <formula>"NS"</formula>
    </cfRule>
    <cfRule type="cellIs" dxfId="3105" priority="1557" operator="equal">
      <formula>"S"</formula>
    </cfRule>
    <cfRule type="cellIs" dxfId="3104" priority="1558" operator="equal">
      <formula>"A"</formula>
    </cfRule>
    <cfRule type="cellIs" dxfId="3103" priority="1559" operator="equal">
      <formula>"X"</formula>
    </cfRule>
    <cfRule type="cellIs" dxfId="3102" priority="1560" operator="equal">
      <formula>"L"</formula>
    </cfRule>
    <cfRule type="cellIs" dxfId="3101" priority="1561" operator="equal">
      <formula>"V"</formula>
    </cfRule>
  </conditionalFormatting>
  <conditionalFormatting sqref="AN128:AO128">
    <cfRule type="cellIs" dxfId="3093" priority="1548" operator="equal">
      <formula>"NA"</formula>
    </cfRule>
    <cfRule type="cellIs" dxfId="3092" priority="1549" operator="equal">
      <formula>"NS"</formula>
    </cfRule>
    <cfRule type="cellIs" dxfId="3091" priority="1550" operator="equal">
      <formula>"S"</formula>
    </cfRule>
    <cfRule type="cellIs" dxfId="3090" priority="1551" operator="equal">
      <formula>"A"</formula>
    </cfRule>
    <cfRule type="cellIs" dxfId="3089" priority="1552" operator="equal">
      <formula>"X"</formula>
    </cfRule>
    <cfRule type="cellIs" dxfId="3088" priority="1553" operator="equal">
      <formula>"L"</formula>
    </cfRule>
    <cfRule type="cellIs" dxfId="3087" priority="1554" operator="equal">
      <formula>"V"</formula>
    </cfRule>
  </conditionalFormatting>
  <conditionalFormatting sqref="AL129">
    <cfRule type="cellIs" dxfId="3079" priority="1541" operator="equal">
      <formula>"NA"</formula>
    </cfRule>
    <cfRule type="cellIs" dxfId="3078" priority="1542" operator="equal">
      <formula>"NS"</formula>
    </cfRule>
    <cfRule type="cellIs" dxfId="3077" priority="1543" operator="equal">
      <formula>"S"</formula>
    </cfRule>
    <cfRule type="cellIs" dxfId="3076" priority="1544" operator="equal">
      <formula>"A"</formula>
    </cfRule>
    <cfRule type="cellIs" dxfId="3075" priority="1545" operator="equal">
      <formula>"X"</formula>
    </cfRule>
    <cfRule type="cellIs" dxfId="3074" priority="1546" operator="equal">
      <formula>"L"</formula>
    </cfRule>
    <cfRule type="cellIs" dxfId="3073" priority="1547" operator="equal">
      <formula>"V"</formula>
    </cfRule>
  </conditionalFormatting>
  <conditionalFormatting sqref="AM129">
    <cfRule type="cellIs" dxfId="3065" priority="1534" operator="equal">
      <formula>"NA"</formula>
    </cfRule>
    <cfRule type="cellIs" dxfId="3064" priority="1535" operator="equal">
      <formula>"NS"</formula>
    </cfRule>
    <cfRule type="cellIs" dxfId="3063" priority="1536" operator="equal">
      <formula>"S"</formula>
    </cfRule>
    <cfRule type="cellIs" dxfId="3062" priority="1537" operator="equal">
      <formula>"A"</formula>
    </cfRule>
    <cfRule type="cellIs" dxfId="3061" priority="1538" operator="equal">
      <formula>"X"</formula>
    </cfRule>
    <cfRule type="cellIs" dxfId="3060" priority="1539" operator="equal">
      <formula>"L"</formula>
    </cfRule>
    <cfRule type="cellIs" dxfId="3059" priority="1540" operator="equal">
      <formula>"V"</formula>
    </cfRule>
  </conditionalFormatting>
  <conditionalFormatting sqref="AN129:AO129">
    <cfRule type="cellIs" dxfId="3051" priority="1527" operator="equal">
      <formula>"NA"</formula>
    </cfRule>
    <cfRule type="cellIs" dxfId="3050" priority="1528" operator="equal">
      <formula>"NS"</formula>
    </cfRule>
    <cfRule type="cellIs" dxfId="3049" priority="1529" operator="equal">
      <formula>"S"</formula>
    </cfRule>
    <cfRule type="cellIs" dxfId="3048" priority="1530" operator="equal">
      <formula>"A"</formula>
    </cfRule>
    <cfRule type="cellIs" dxfId="3047" priority="1531" operator="equal">
      <formula>"X"</formula>
    </cfRule>
    <cfRule type="cellIs" dxfId="3046" priority="1532" operator="equal">
      <formula>"L"</formula>
    </cfRule>
    <cfRule type="cellIs" dxfId="3045" priority="1533" operator="equal">
      <formula>"V"</formula>
    </cfRule>
  </conditionalFormatting>
  <conditionalFormatting sqref="AL130">
    <cfRule type="cellIs" dxfId="3037" priority="1520" operator="equal">
      <formula>"NA"</formula>
    </cfRule>
    <cfRule type="cellIs" dxfId="3036" priority="1521" operator="equal">
      <formula>"NS"</formula>
    </cfRule>
    <cfRule type="cellIs" dxfId="3035" priority="1522" operator="equal">
      <formula>"S"</formula>
    </cfRule>
    <cfRule type="cellIs" dxfId="3034" priority="1523" operator="equal">
      <formula>"A"</formula>
    </cfRule>
    <cfRule type="cellIs" dxfId="3033" priority="1524" operator="equal">
      <formula>"X"</formula>
    </cfRule>
    <cfRule type="cellIs" dxfId="3032" priority="1525" operator="equal">
      <formula>"L"</formula>
    </cfRule>
    <cfRule type="cellIs" dxfId="3031" priority="1526" operator="equal">
      <formula>"V"</formula>
    </cfRule>
  </conditionalFormatting>
  <conditionalFormatting sqref="AM130">
    <cfRule type="cellIs" dxfId="3023" priority="1513" operator="equal">
      <formula>"NA"</formula>
    </cfRule>
    <cfRule type="cellIs" dxfId="3022" priority="1514" operator="equal">
      <formula>"NS"</formula>
    </cfRule>
    <cfRule type="cellIs" dxfId="3021" priority="1515" operator="equal">
      <formula>"S"</formula>
    </cfRule>
    <cfRule type="cellIs" dxfId="3020" priority="1516" operator="equal">
      <formula>"A"</formula>
    </cfRule>
    <cfRule type="cellIs" dxfId="3019" priority="1517" operator="equal">
      <formula>"X"</formula>
    </cfRule>
    <cfRule type="cellIs" dxfId="3018" priority="1518" operator="equal">
      <formula>"L"</formula>
    </cfRule>
    <cfRule type="cellIs" dxfId="3017" priority="1519" operator="equal">
      <formula>"V"</formula>
    </cfRule>
  </conditionalFormatting>
  <conditionalFormatting sqref="AN130:AO130">
    <cfRule type="cellIs" dxfId="3009" priority="1506" operator="equal">
      <formula>"NA"</formula>
    </cfRule>
    <cfRule type="cellIs" dxfId="3008" priority="1507" operator="equal">
      <formula>"NS"</formula>
    </cfRule>
    <cfRule type="cellIs" dxfId="3007" priority="1508" operator="equal">
      <formula>"S"</formula>
    </cfRule>
    <cfRule type="cellIs" dxfId="3006" priority="1509" operator="equal">
      <formula>"A"</formula>
    </cfRule>
    <cfRule type="cellIs" dxfId="3005" priority="1510" operator="equal">
      <formula>"X"</formula>
    </cfRule>
    <cfRule type="cellIs" dxfId="3004" priority="1511" operator="equal">
      <formula>"L"</formula>
    </cfRule>
    <cfRule type="cellIs" dxfId="3003" priority="1512" operator="equal">
      <formula>"V"</formula>
    </cfRule>
  </conditionalFormatting>
  <conditionalFormatting sqref="AL131:AM131">
    <cfRule type="cellIs" dxfId="2995" priority="1499" operator="equal">
      <formula>"NA"</formula>
    </cfRule>
    <cfRule type="cellIs" dxfId="2994" priority="1500" operator="equal">
      <formula>"NS"</formula>
    </cfRule>
    <cfRule type="cellIs" dxfId="2993" priority="1501" operator="equal">
      <formula>"S"</formula>
    </cfRule>
    <cfRule type="cellIs" dxfId="2992" priority="1502" operator="equal">
      <formula>"A"</formula>
    </cfRule>
    <cfRule type="cellIs" dxfId="2991" priority="1503" operator="equal">
      <formula>"X"</formula>
    </cfRule>
    <cfRule type="cellIs" dxfId="2990" priority="1504" operator="equal">
      <formula>"L"</formula>
    </cfRule>
    <cfRule type="cellIs" dxfId="2989" priority="1505" operator="equal">
      <formula>"V"</formula>
    </cfRule>
  </conditionalFormatting>
  <conditionalFormatting sqref="AO131">
    <cfRule type="cellIs" dxfId="2981" priority="1492" operator="equal">
      <formula>"NA"</formula>
    </cfRule>
    <cfRule type="cellIs" dxfId="2980" priority="1493" operator="equal">
      <formula>"NS"</formula>
    </cfRule>
    <cfRule type="cellIs" dxfId="2979" priority="1494" operator="equal">
      <formula>"S"</formula>
    </cfRule>
    <cfRule type="cellIs" dxfId="2978" priority="1495" operator="equal">
      <formula>"A"</formula>
    </cfRule>
    <cfRule type="cellIs" dxfId="2977" priority="1496" operator="equal">
      <formula>"X"</formula>
    </cfRule>
    <cfRule type="cellIs" dxfId="2976" priority="1497" operator="equal">
      <formula>"L"</formula>
    </cfRule>
    <cfRule type="cellIs" dxfId="2975" priority="1498" operator="equal">
      <formula>"V"</formula>
    </cfRule>
  </conditionalFormatting>
  <conditionalFormatting sqref="AL132">
    <cfRule type="cellIs" dxfId="2967" priority="1485" operator="equal">
      <formula>"NA"</formula>
    </cfRule>
    <cfRule type="cellIs" dxfId="2966" priority="1486" operator="equal">
      <formula>"NS"</formula>
    </cfRule>
    <cfRule type="cellIs" dxfId="2965" priority="1487" operator="equal">
      <formula>"S"</formula>
    </cfRule>
    <cfRule type="cellIs" dxfId="2964" priority="1488" operator="equal">
      <formula>"A"</formula>
    </cfRule>
    <cfRule type="cellIs" dxfId="2963" priority="1489" operator="equal">
      <formula>"X"</formula>
    </cfRule>
    <cfRule type="cellIs" dxfId="2962" priority="1490" operator="equal">
      <formula>"L"</formula>
    </cfRule>
    <cfRule type="cellIs" dxfId="2961" priority="1491" operator="equal">
      <formula>"V"</formula>
    </cfRule>
  </conditionalFormatting>
  <conditionalFormatting sqref="AM132">
    <cfRule type="cellIs" dxfId="2953" priority="1478" operator="equal">
      <formula>"NA"</formula>
    </cfRule>
    <cfRule type="cellIs" dxfId="2952" priority="1479" operator="equal">
      <formula>"NS"</formula>
    </cfRule>
    <cfRule type="cellIs" dxfId="2951" priority="1480" operator="equal">
      <formula>"S"</formula>
    </cfRule>
    <cfRule type="cellIs" dxfId="2950" priority="1481" operator="equal">
      <formula>"A"</formula>
    </cfRule>
    <cfRule type="cellIs" dxfId="2949" priority="1482" operator="equal">
      <formula>"X"</formula>
    </cfRule>
    <cfRule type="cellIs" dxfId="2948" priority="1483" operator="equal">
      <formula>"L"</formula>
    </cfRule>
    <cfRule type="cellIs" dxfId="2947" priority="1484" operator="equal">
      <formula>"V"</formula>
    </cfRule>
  </conditionalFormatting>
  <conditionalFormatting sqref="AN132:AO132">
    <cfRule type="cellIs" dxfId="2939" priority="1471" operator="equal">
      <formula>"NA"</formula>
    </cfRule>
    <cfRule type="cellIs" dxfId="2938" priority="1472" operator="equal">
      <formula>"NS"</formula>
    </cfRule>
    <cfRule type="cellIs" dxfId="2937" priority="1473" operator="equal">
      <formula>"S"</formula>
    </cfRule>
    <cfRule type="cellIs" dxfId="2936" priority="1474" operator="equal">
      <formula>"A"</formula>
    </cfRule>
    <cfRule type="cellIs" dxfId="2935" priority="1475" operator="equal">
      <formula>"X"</formula>
    </cfRule>
    <cfRule type="cellIs" dxfId="2934" priority="1476" operator="equal">
      <formula>"L"</formula>
    </cfRule>
    <cfRule type="cellIs" dxfId="2933" priority="1477" operator="equal">
      <formula>"V"</formula>
    </cfRule>
  </conditionalFormatting>
  <conditionalFormatting sqref="AL133">
    <cfRule type="cellIs" dxfId="2925" priority="1464" operator="equal">
      <formula>"NA"</formula>
    </cfRule>
    <cfRule type="cellIs" dxfId="2924" priority="1465" operator="equal">
      <formula>"NS"</formula>
    </cfRule>
    <cfRule type="cellIs" dxfId="2923" priority="1466" operator="equal">
      <formula>"S"</formula>
    </cfRule>
    <cfRule type="cellIs" dxfId="2922" priority="1467" operator="equal">
      <formula>"A"</formula>
    </cfRule>
    <cfRule type="cellIs" dxfId="2921" priority="1468" operator="equal">
      <formula>"X"</formula>
    </cfRule>
    <cfRule type="cellIs" dxfId="2920" priority="1469" operator="equal">
      <formula>"L"</formula>
    </cfRule>
    <cfRule type="cellIs" dxfId="2919" priority="1470" operator="equal">
      <formula>"V"</formula>
    </cfRule>
  </conditionalFormatting>
  <conditionalFormatting sqref="AM133">
    <cfRule type="cellIs" dxfId="2911" priority="1457" operator="equal">
      <formula>"NA"</formula>
    </cfRule>
    <cfRule type="cellIs" dxfId="2910" priority="1458" operator="equal">
      <formula>"NS"</formula>
    </cfRule>
    <cfRule type="cellIs" dxfId="2909" priority="1459" operator="equal">
      <formula>"S"</formula>
    </cfRule>
    <cfRule type="cellIs" dxfId="2908" priority="1460" operator="equal">
      <formula>"A"</formula>
    </cfRule>
    <cfRule type="cellIs" dxfId="2907" priority="1461" operator="equal">
      <formula>"X"</formula>
    </cfRule>
    <cfRule type="cellIs" dxfId="2906" priority="1462" operator="equal">
      <formula>"L"</formula>
    </cfRule>
    <cfRule type="cellIs" dxfId="2905" priority="1463" operator="equal">
      <formula>"V"</formula>
    </cfRule>
  </conditionalFormatting>
  <conditionalFormatting sqref="AN133:AO133">
    <cfRule type="cellIs" dxfId="2897" priority="1450" operator="equal">
      <formula>"NA"</formula>
    </cfRule>
    <cfRule type="cellIs" dxfId="2896" priority="1451" operator="equal">
      <formula>"NS"</formula>
    </cfRule>
    <cfRule type="cellIs" dxfId="2895" priority="1452" operator="equal">
      <formula>"S"</formula>
    </cfRule>
    <cfRule type="cellIs" dxfId="2894" priority="1453" operator="equal">
      <formula>"A"</formula>
    </cfRule>
    <cfRule type="cellIs" dxfId="2893" priority="1454" operator="equal">
      <formula>"X"</formula>
    </cfRule>
    <cfRule type="cellIs" dxfId="2892" priority="1455" operator="equal">
      <formula>"L"</formula>
    </cfRule>
    <cfRule type="cellIs" dxfId="2891" priority="1456" operator="equal">
      <formula>"V"</formula>
    </cfRule>
  </conditionalFormatting>
  <conditionalFormatting sqref="AL134">
    <cfRule type="cellIs" dxfId="2883" priority="1443" operator="equal">
      <formula>"NA"</formula>
    </cfRule>
    <cfRule type="cellIs" dxfId="2882" priority="1444" operator="equal">
      <formula>"NS"</formula>
    </cfRule>
    <cfRule type="cellIs" dxfId="2881" priority="1445" operator="equal">
      <formula>"S"</formula>
    </cfRule>
    <cfRule type="cellIs" dxfId="2880" priority="1446" operator="equal">
      <formula>"A"</formula>
    </cfRule>
    <cfRule type="cellIs" dxfId="2879" priority="1447" operator="equal">
      <formula>"X"</formula>
    </cfRule>
    <cfRule type="cellIs" dxfId="2878" priority="1448" operator="equal">
      <formula>"L"</formula>
    </cfRule>
    <cfRule type="cellIs" dxfId="2877" priority="1449" operator="equal">
      <formula>"V"</formula>
    </cfRule>
  </conditionalFormatting>
  <conditionalFormatting sqref="AM134">
    <cfRule type="cellIs" dxfId="2869" priority="1436" operator="equal">
      <formula>"NA"</formula>
    </cfRule>
    <cfRule type="cellIs" dxfId="2868" priority="1437" operator="equal">
      <formula>"NS"</formula>
    </cfRule>
    <cfRule type="cellIs" dxfId="2867" priority="1438" operator="equal">
      <formula>"S"</formula>
    </cfRule>
    <cfRule type="cellIs" dxfId="2866" priority="1439" operator="equal">
      <formula>"A"</formula>
    </cfRule>
    <cfRule type="cellIs" dxfId="2865" priority="1440" operator="equal">
      <formula>"X"</formula>
    </cfRule>
    <cfRule type="cellIs" dxfId="2864" priority="1441" operator="equal">
      <formula>"L"</formula>
    </cfRule>
    <cfRule type="cellIs" dxfId="2863" priority="1442" operator="equal">
      <formula>"V"</formula>
    </cfRule>
  </conditionalFormatting>
  <conditionalFormatting sqref="AN134:AO134">
    <cfRule type="cellIs" dxfId="2855" priority="1429" operator="equal">
      <formula>"NA"</formula>
    </cfRule>
    <cfRule type="cellIs" dxfId="2854" priority="1430" operator="equal">
      <formula>"NS"</formula>
    </cfRule>
    <cfRule type="cellIs" dxfId="2853" priority="1431" operator="equal">
      <formula>"S"</formula>
    </cfRule>
    <cfRule type="cellIs" dxfId="2852" priority="1432" operator="equal">
      <formula>"A"</formula>
    </cfRule>
    <cfRule type="cellIs" dxfId="2851" priority="1433" operator="equal">
      <formula>"X"</formula>
    </cfRule>
    <cfRule type="cellIs" dxfId="2850" priority="1434" operator="equal">
      <formula>"L"</formula>
    </cfRule>
    <cfRule type="cellIs" dxfId="2849" priority="1435" operator="equal">
      <formula>"V"</formula>
    </cfRule>
  </conditionalFormatting>
  <conditionalFormatting sqref="AL135:AO135">
    <cfRule type="cellIs" dxfId="2841" priority="1422" operator="equal">
      <formula>"NA"</formula>
    </cfRule>
    <cfRule type="cellIs" dxfId="2840" priority="1423" operator="equal">
      <formula>"NS"</formula>
    </cfRule>
    <cfRule type="cellIs" dxfId="2839" priority="1424" operator="equal">
      <formula>"S"</formula>
    </cfRule>
    <cfRule type="cellIs" dxfId="2838" priority="1425" operator="equal">
      <formula>"A"</formula>
    </cfRule>
    <cfRule type="cellIs" dxfId="2837" priority="1426" operator="equal">
      <formula>"X"</formula>
    </cfRule>
    <cfRule type="cellIs" dxfId="2836" priority="1427" operator="equal">
      <formula>"L"</formula>
    </cfRule>
    <cfRule type="cellIs" dxfId="2835" priority="1428" operator="equal">
      <formula>"V"</formula>
    </cfRule>
  </conditionalFormatting>
  <conditionalFormatting sqref="AL136">
    <cfRule type="cellIs" dxfId="2827" priority="1415" operator="equal">
      <formula>"NA"</formula>
    </cfRule>
    <cfRule type="cellIs" dxfId="2826" priority="1416" operator="equal">
      <formula>"NS"</formula>
    </cfRule>
    <cfRule type="cellIs" dxfId="2825" priority="1417" operator="equal">
      <formula>"S"</formula>
    </cfRule>
    <cfRule type="cellIs" dxfId="2824" priority="1418" operator="equal">
      <formula>"A"</formula>
    </cfRule>
    <cfRule type="cellIs" dxfId="2823" priority="1419" operator="equal">
      <formula>"X"</formula>
    </cfRule>
    <cfRule type="cellIs" dxfId="2822" priority="1420" operator="equal">
      <formula>"L"</formula>
    </cfRule>
    <cfRule type="cellIs" dxfId="2821" priority="1421" operator="equal">
      <formula>"V"</formula>
    </cfRule>
  </conditionalFormatting>
  <conditionalFormatting sqref="AM136:AO136">
    <cfRule type="cellIs" dxfId="2813" priority="1408" operator="equal">
      <formula>"NA"</formula>
    </cfRule>
    <cfRule type="cellIs" dxfId="2812" priority="1409" operator="equal">
      <formula>"NS"</formula>
    </cfRule>
    <cfRule type="cellIs" dxfId="2811" priority="1410" operator="equal">
      <formula>"S"</formula>
    </cfRule>
    <cfRule type="cellIs" dxfId="2810" priority="1411" operator="equal">
      <formula>"A"</formula>
    </cfRule>
    <cfRule type="cellIs" dxfId="2809" priority="1412" operator="equal">
      <formula>"X"</formula>
    </cfRule>
    <cfRule type="cellIs" dxfId="2808" priority="1413" operator="equal">
      <formula>"L"</formula>
    </cfRule>
    <cfRule type="cellIs" dxfId="2807" priority="1414" operator="equal">
      <formula>"V"</formula>
    </cfRule>
  </conditionalFormatting>
  <conditionalFormatting sqref="AL137:AO137">
    <cfRule type="cellIs" dxfId="2799" priority="1401" operator="equal">
      <formula>"NA"</formula>
    </cfRule>
    <cfRule type="cellIs" dxfId="2798" priority="1402" operator="equal">
      <formula>"NS"</formula>
    </cfRule>
    <cfRule type="cellIs" dxfId="2797" priority="1403" operator="equal">
      <formula>"S"</formula>
    </cfRule>
    <cfRule type="cellIs" dxfId="2796" priority="1404" operator="equal">
      <formula>"A"</formula>
    </cfRule>
    <cfRule type="cellIs" dxfId="2795" priority="1405" operator="equal">
      <formula>"X"</formula>
    </cfRule>
    <cfRule type="cellIs" dxfId="2794" priority="1406" operator="equal">
      <formula>"L"</formula>
    </cfRule>
    <cfRule type="cellIs" dxfId="2793" priority="1407" operator="equal">
      <formula>"V"</formula>
    </cfRule>
  </conditionalFormatting>
  <conditionalFormatting sqref="AL138:AO139">
    <cfRule type="cellIs" dxfId="2785" priority="1394" operator="equal">
      <formula>"NA"</formula>
    </cfRule>
    <cfRule type="cellIs" dxfId="2784" priority="1395" operator="equal">
      <formula>"NS"</formula>
    </cfRule>
    <cfRule type="cellIs" dxfId="2783" priority="1396" operator="equal">
      <formula>"S"</formula>
    </cfRule>
    <cfRule type="cellIs" dxfId="2782" priority="1397" operator="equal">
      <formula>"A"</formula>
    </cfRule>
    <cfRule type="cellIs" dxfId="2781" priority="1398" operator="equal">
      <formula>"X"</formula>
    </cfRule>
    <cfRule type="cellIs" dxfId="2780" priority="1399" operator="equal">
      <formula>"L"</formula>
    </cfRule>
    <cfRule type="cellIs" dxfId="2779" priority="1400" operator="equal">
      <formula>"V"</formula>
    </cfRule>
  </conditionalFormatting>
  <conditionalFormatting sqref="AL140">
    <cfRule type="cellIs" dxfId="2771" priority="1387" operator="equal">
      <formula>"NA"</formula>
    </cfRule>
    <cfRule type="cellIs" dxfId="2770" priority="1388" operator="equal">
      <formula>"NS"</formula>
    </cfRule>
    <cfRule type="cellIs" dxfId="2769" priority="1389" operator="equal">
      <formula>"S"</formula>
    </cfRule>
    <cfRule type="cellIs" dxfId="2768" priority="1390" operator="equal">
      <formula>"A"</formula>
    </cfRule>
    <cfRule type="cellIs" dxfId="2767" priority="1391" operator="equal">
      <formula>"X"</formula>
    </cfRule>
    <cfRule type="cellIs" dxfId="2766" priority="1392" operator="equal">
      <formula>"L"</formula>
    </cfRule>
    <cfRule type="cellIs" dxfId="2765" priority="1393" operator="equal">
      <formula>"V"</formula>
    </cfRule>
  </conditionalFormatting>
  <conditionalFormatting sqref="AM140">
    <cfRule type="cellIs" dxfId="2757" priority="1380" operator="equal">
      <formula>"NA"</formula>
    </cfRule>
    <cfRule type="cellIs" dxfId="2756" priority="1381" operator="equal">
      <formula>"NS"</formula>
    </cfRule>
    <cfRule type="cellIs" dxfId="2755" priority="1382" operator="equal">
      <formula>"S"</formula>
    </cfRule>
    <cfRule type="cellIs" dxfId="2754" priority="1383" operator="equal">
      <formula>"A"</formula>
    </cfRule>
    <cfRule type="cellIs" dxfId="2753" priority="1384" operator="equal">
      <formula>"X"</formula>
    </cfRule>
    <cfRule type="cellIs" dxfId="2752" priority="1385" operator="equal">
      <formula>"L"</formula>
    </cfRule>
    <cfRule type="cellIs" dxfId="2751" priority="1386" operator="equal">
      <formula>"V"</formula>
    </cfRule>
  </conditionalFormatting>
  <conditionalFormatting sqref="AN140:AO140">
    <cfRule type="cellIs" dxfId="2743" priority="1373" operator="equal">
      <formula>"NA"</formula>
    </cfRule>
    <cfRule type="cellIs" dxfId="2742" priority="1374" operator="equal">
      <formula>"NS"</formula>
    </cfRule>
    <cfRule type="cellIs" dxfId="2741" priority="1375" operator="equal">
      <formula>"S"</formula>
    </cfRule>
    <cfRule type="cellIs" dxfId="2740" priority="1376" operator="equal">
      <formula>"A"</formula>
    </cfRule>
    <cfRule type="cellIs" dxfId="2739" priority="1377" operator="equal">
      <formula>"X"</formula>
    </cfRule>
    <cfRule type="cellIs" dxfId="2738" priority="1378" operator="equal">
      <formula>"L"</formula>
    </cfRule>
    <cfRule type="cellIs" dxfId="2737" priority="1379" operator="equal">
      <formula>"V"</formula>
    </cfRule>
  </conditionalFormatting>
  <conditionalFormatting sqref="AL141">
    <cfRule type="cellIs" dxfId="2729" priority="1366" operator="equal">
      <formula>"NA"</formula>
    </cfRule>
    <cfRule type="cellIs" dxfId="2728" priority="1367" operator="equal">
      <formula>"NS"</formula>
    </cfRule>
    <cfRule type="cellIs" dxfId="2727" priority="1368" operator="equal">
      <formula>"S"</formula>
    </cfRule>
    <cfRule type="cellIs" dxfId="2726" priority="1369" operator="equal">
      <formula>"A"</formula>
    </cfRule>
    <cfRule type="cellIs" dxfId="2725" priority="1370" operator="equal">
      <formula>"X"</formula>
    </cfRule>
    <cfRule type="cellIs" dxfId="2724" priority="1371" operator="equal">
      <formula>"L"</formula>
    </cfRule>
    <cfRule type="cellIs" dxfId="2723" priority="1372" operator="equal">
      <formula>"V"</formula>
    </cfRule>
  </conditionalFormatting>
  <conditionalFormatting sqref="AM141">
    <cfRule type="cellIs" dxfId="2715" priority="1359" operator="equal">
      <formula>"NA"</formula>
    </cfRule>
    <cfRule type="cellIs" dxfId="2714" priority="1360" operator="equal">
      <formula>"NS"</formula>
    </cfRule>
    <cfRule type="cellIs" dxfId="2713" priority="1361" operator="equal">
      <formula>"S"</formula>
    </cfRule>
    <cfRule type="cellIs" dxfId="2712" priority="1362" operator="equal">
      <formula>"A"</formula>
    </cfRule>
    <cfRule type="cellIs" dxfId="2711" priority="1363" operator="equal">
      <formula>"X"</formula>
    </cfRule>
    <cfRule type="cellIs" dxfId="2710" priority="1364" operator="equal">
      <formula>"L"</formula>
    </cfRule>
    <cfRule type="cellIs" dxfId="2709" priority="1365" operator="equal">
      <formula>"V"</formula>
    </cfRule>
  </conditionalFormatting>
  <conditionalFormatting sqref="AN141:AO141">
    <cfRule type="cellIs" dxfId="2701" priority="1352" operator="equal">
      <formula>"NA"</formula>
    </cfRule>
    <cfRule type="cellIs" dxfId="2700" priority="1353" operator="equal">
      <formula>"NS"</formula>
    </cfRule>
    <cfRule type="cellIs" dxfId="2699" priority="1354" operator="equal">
      <formula>"S"</formula>
    </cfRule>
    <cfRule type="cellIs" dxfId="2698" priority="1355" operator="equal">
      <formula>"A"</formula>
    </cfRule>
    <cfRule type="cellIs" dxfId="2697" priority="1356" operator="equal">
      <formula>"X"</formula>
    </cfRule>
    <cfRule type="cellIs" dxfId="2696" priority="1357" operator="equal">
      <formula>"L"</formula>
    </cfRule>
    <cfRule type="cellIs" dxfId="2695" priority="1358" operator="equal">
      <formula>"V"</formula>
    </cfRule>
  </conditionalFormatting>
  <conditionalFormatting sqref="AL142:AM142">
    <cfRule type="cellIs" dxfId="2687" priority="1338" operator="equal">
      <formula>"NA"</formula>
    </cfRule>
    <cfRule type="cellIs" dxfId="2686" priority="1339" operator="equal">
      <formula>"NS"</formula>
    </cfRule>
    <cfRule type="cellIs" dxfId="2685" priority="1340" operator="equal">
      <formula>"S"</formula>
    </cfRule>
    <cfRule type="cellIs" dxfId="2684" priority="1341" operator="equal">
      <formula>"A"</formula>
    </cfRule>
    <cfRule type="cellIs" dxfId="2683" priority="1342" operator="equal">
      <formula>"X"</formula>
    </cfRule>
    <cfRule type="cellIs" dxfId="2682" priority="1343" operator="equal">
      <formula>"L"</formula>
    </cfRule>
    <cfRule type="cellIs" dxfId="2681" priority="1344" operator="equal">
      <formula>"V"</formula>
    </cfRule>
  </conditionalFormatting>
  <conditionalFormatting sqref="AL143:AO143">
    <cfRule type="cellIs" dxfId="2673" priority="1331" operator="equal">
      <formula>"NA"</formula>
    </cfRule>
    <cfRule type="cellIs" dxfId="2672" priority="1332" operator="equal">
      <formula>"NS"</formula>
    </cfRule>
    <cfRule type="cellIs" dxfId="2671" priority="1333" operator="equal">
      <formula>"S"</formula>
    </cfRule>
    <cfRule type="cellIs" dxfId="2670" priority="1334" operator="equal">
      <formula>"A"</formula>
    </cfRule>
    <cfRule type="cellIs" dxfId="2669" priority="1335" operator="equal">
      <formula>"X"</formula>
    </cfRule>
    <cfRule type="cellIs" dxfId="2668" priority="1336" operator="equal">
      <formula>"L"</formula>
    </cfRule>
    <cfRule type="cellIs" dxfId="2667" priority="1337" operator="equal">
      <formula>"V"</formula>
    </cfRule>
  </conditionalFormatting>
  <conditionalFormatting sqref="AN142:AO142">
    <cfRule type="cellIs" dxfId="2659" priority="1345" operator="equal">
      <formula>"NA"</formula>
    </cfRule>
    <cfRule type="cellIs" dxfId="2658" priority="1346" operator="equal">
      <formula>"NS"</formula>
    </cfRule>
    <cfRule type="cellIs" dxfId="2657" priority="1347" operator="equal">
      <formula>"S"</formula>
    </cfRule>
    <cfRule type="cellIs" dxfId="2656" priority="1348" operator="equal">
      <formula>"A"</formula>
    </cfRule>
    <cfRule type="cellIs" dxfId="2655" priority="1349" operator="equal">
      <formula>"X"</formula>
    </cfRule>
    <cfRule type="cellIs" dxfId="2654" priority="1350" operator="equal">
      <formula>"L"</formula>
    </cfRule>
    <cfRule type="cellIs" dxfId="2653" priority="1351" operator="equal">
      <formula>"V"</formula>
    </cfRule>
  </conditionalFormatting>
  <conditionalFormatting sqref="AL145">
    <cfRule type="cellIs" dxfId="2645" priority="1317" operator="equal">
      <formula>"NA"</formula>
    </cfRule>
    <cfRule type="cellIs" dxfId="2644" priority="1318" operator="equal">
      <formula>"NS"</formula>
    </cfRule>
    <cfRule type="cellIs" dxfId="2643" priority="1319" operator="equal">
      <formula>"S"</formula>
    </cfRule>
    <cfRule type="cellIs" dxfId="2642" priority="1320" operator="equal">
      <formula>"A"</formula>
    </cfRule>
    <cfRule type="cellIs" dxfId="2641" priority="1321" operator="equal">
      <formula>"X"</formula>
    </cfRule>
    <cfRule type="cellIs" dxfId="2640" priority="1322" operator="equal">
      <formula>"L"</formula>
    </cfRule>
    <cfRule type="cellIs" dxfId="2639" priority="1323" operator="equal">
      <formula>"V"</formula>
    </cfRule>
  </conditionalFormatting>
  <conditionalFormatting sqref="AM145">
    <cfRule type="cellIs" dxfId="2631" priority="1310" operator="equal">
      <formula>"NA"</formula>
    </cfRule>
    <cfRule type="cellIs" dxfId="2630" priority="1311" operator="equal">
      <formula>"NS"</formula>
    </cfRule>
    <cfRule type="cellIs" dxfId="2629" priority="1312" operator="equal">
      <formula>"S"</formula>
    </cfRule>
    <cfRule type="cellIs" dxfId="2628" priority="1313" operator="equal">
      <formula>"A"</formula>
    </cfRule>
    <cfRule type="cellIs" dxfId="2627" priority="1314" operator="equal">
      <formula>"X"</formula>
    </cfRule>
    <cfRule type="cellIs" dxfId="2626" priority="1315" operator="equal">
      <formula>"L"</formula>
    </cfRule>
    <cfRule type="cellIs" dxfId="2625" priority="1316" operator="equal">
      <formula>"V"</formula>
    </cfRule>
  </conditionalFormatting>
  <conditionalFormatting sqref="AN145:AO145">
    <cfRule type="cellIs" dxfId="2617" priority="1303" operator="equal">
      <formula>"NA"</formula>
    </cfRule>
    <cfRule type="cellIs" dxfId="2616" priority="1304" operator="equal">
      <formula>"NS"</formula>
    </cfRule>
    <cfRule type="cellIs" dxfId="2615" priority="1305" operator="equal">
      <formula>"S"</formula>
    </cfRule>
    <cfRule type="cellIs" dxfId="2614" priority="1306" operator="equal">
      <formula>"A"</formula>
    </cfRule>
    <cfRule type="cellIs" dxfId="2613" priority="1307" operator="equal">
      <formula>"X"</formula>
    </cfRule>
    <cfRule type="cellIs" dxfId="2612" priority="1308" operator="equal">
      <formula>"L"</formula>
    </cfRule>
    <cfRule type="cellIs" dxfId="2611" priority="1309" operator="equal">
      <formula>"V"</formula>
    </cfRule>
  </conditionalFormatting>
  <conditionalFormatting sqref="AL146:AO146">
    <cfRule type="cellIs" dxfId="2603" priority="1296" operator="equal">
      <formula>"NA"</formula>
    </cfRule>
    <cfRule type="cellIs" dxfId="2602" priority="1297" operator="equal">
      <formula>"NS"</formula>
    </cfRule>
    <cfRule type="cellIs" dxfId="2601" priority="1298" operator="equal">
      <formula>"S"</formula>
    </cfRule>
    <cfRule type="cellIs" dxfId="2600" priority="1299" operator="equal">
      <formula>"A"</formula>
    </cfRule>
    <cfRule type="cellIs" dxfId="2599" priority="1300" operator="equal">
      <formula>"X"</formula>
    </cfRule>
    <cfRule type="cellIs" dxfId="2598" priority="1301" operator="equal">
      <formula>"L"</formula>
    </cfRule>
    <cfRule type="cellIs" dxfId="2597" priority="1302" operator="equal">
      <formula>"V"</formula>
    </cfRule>
  </conditionalFormatting>
  <conditionalFormatting sqref="AL147">
    <cfRule type="cellIs" dxfId="2589" priority="1289" operator="equal">
      <formula>"NA"</formula>
    </cfRule>
    <cfRule type="cellIs" dxfId="2588" priority="1290" operator="equal">
      <formula>"NS"</formula>
    </cfRule>
    <cfRule type="cellIs" dxfId="2587" priority="1291" operator="equal">
      <formula>"S"</formula>
    </cfRule>
    <cfRule type="cellIs" dxfId="2586" priority="1292" operator="equal">
      <formula>"A"</formula>
    </cfRule>
    <cfRule type="cellIs" dxfId="2585" priority="1293" operator="equal">
      <formula>"X"</formula>
    </cfRule>
    <cfRule type="cellIs" dxfId="2584" priority="1294" operator="equal">
      <formula>"L"</formula>
    </cfRule>
    <cfRule type="cellIs" dxfId="2583" priority="1295" operator="equal">
      <formula>"V"</formula>
    </cfRule>
  </conditionalFormatting>
  <conditionalFormatting sqref="AM147">
    <cfRule type="cellIs" dxfId="2575" priority="1282" operator="equal">
      <formula>"NA"</formula>
    </cfRule>
    <cfRule type="cellIs" dxfId="2574" priority="1283" operator="equal">
      <formula>"NS"</formula>
    </cfRule>
    <cfRule type="cellIs" dxfId="2573" priority="1284" operator="equal">
      <formula>"S"</formula>
    </cfRule>
    <cfRule type="cellIs" dxfId="2572" priority="1285" operator="equal">
      <formula>"A"</formula>
    </cfRule>
    <cfRule type="cellIs" dxfId="2571" priority="1286" operator="equal">
      <formula>"X"</formula>
    </cfRule>
    <cfRule type="cellIs" dxfId="2570" priority="1287" operator="equal">
      <formula>"L"</formula>
    </cfRule>
    <cfRule type="cellIs" dxfId="2569" priority="1288" operator="equal">
      <formula>"V"</formula>
    </cfRule>
  </conditionalFormatting>
  <conditionalFormatting sqref="AN147:AO147">
    <cfRule type="cellIs" dxfId="2561" priority="1275" operator="equal">
      <formula>"NA"</formula>
    </cfRule>
    <cfRule type="cellIs" dxfId="2560" priority="1276" operator="equal">
      <formula>"NS"</formula>
    </cfRule>
    <cfRule type="cellIs" dxfId="2559" priority="1277" operator="equal">
      <formula>"S"</formula>
    </cfRule>
    <cfRule type="cellIs" dxfId="2558" priority="1278" operator="equal">
      <formula>"A"</formula>
    </cfRule>
    <cfRule type="cellIs" dxfId="2557" priority="1279" operator="equal">
      <formula>"X"</formula>
    </cfRule>
    <cfRule type="cellIs" dxfId="2556" priority="1280" operator="equal">
      <formula>"L"</formula>
    </cfRule>
    <cfRule type="cellIs" dxfId="2555" priority="1281" operator="equal">
      <formula>"V"</formula>
    </cfRule>
  </conditionalFormatting>
  <conditionalFormatting sqref="AL148">
    <cfRule type="cellIs" dxfId="2547" priority="1268" operator="equal">
      <formula>"NA"</formula>
    </cfRule>
    <cfRule type="cellIs" dxfId="2546" priority="1269" operator="equal">
      <formula>"NS"</formula>
    </cfRule>
    <cfRule type="cellIs" dxfId="2545" priority="1270" operator="equal">
      <formula>"S"</formula>
    </cfRule>
    <cfRule type="cellIs" dxfId="2544" priority="1271" operator="equal">
      <formula>"A"</formula>
    </cfRule>
    <cfRule type="cellIs" dxfId="2543" priority="1272" operator="equal">
      <formula>"X"</formula>
    </cfRule>
    <cfRule type="cellIs" dxfId="2542" priority="1273" operator="equal">
      <formula>"L"</formula>
    </cfRule>
    <cfRule type="cellIs" dxfId="2541" priority="1274" operator="equal">
      <formula>"V"</formula>
    </cfRule>
  </conditionalFormatting>
  <conditionalFormatting sqref="AM148">
    <cfRule type="cellIs" dxfId="2533" priority="1261" operator="equal">
      <formula>"NA"</formula>
    </cfRule>
    <cfRule type="cellIs" dxfId="2532" priority="1262" operator="equal">
      <formula>"NS"</formula>
    </cfRule>
    <cfRule type="cellIs" dxfId="2531" priority="1263" operator="equal">
      <formula>"S"</formula>
    </cfRule>
    <cfRule type="cellIs" dxfId="2530" priority="1264" operator="equal">
      <formula>"A"</formula>
    </cfRule>
    <cfRule type="cellIs" dxfId="2529" priority="1265" operator="equal">
      <formula>"X"</formula>
    </cfRule>
    <cfRule type="cellIs" dxfId="2528" priority="1266" operator="equal">
      <formula>"L"</formula>
    </cfRule>
    <cfRule type="cellIs" dxfId="2527" priority="1267" operator="equal">
      <formula>"V"</formula>
    </cfRule>
  </conditionalFormatting>
  <conditionalFormatting sqref="AN148:AO148">
    <cfRule type="cellIs" dxfId="2519" priority="1254" operator="equal">
      <formula>"NA"</formula>
    </cfRule>
    <cfRule type="cellIs" dxfId="2518" priority="1255" operator="equal">
      <formula>"NS"</formula>
    </cfRule>
    <cfRule type="cellIs" dxfId="2517" priority="1256" operator="equal">
      <formula>"S"</formula>
    </cfRule>
    <cfRule type="cellIs" dxfId="2516" priority="1257" operator="equal">
      <formula>"A"</formula>
    </cfRule>
    <cfRule type="cellIs" dxfId="2515" priority="1258" operator="equal">
      <formula>"X"</formula>
    </cfRule>
    <cfRule type="cellIs" dxfId="2514" priority="1259" operator="equal">
      <formula>"L"</formula>
    </cfRule>
    <cfRule type="cellIs" dxfId="2513" priority="1260" operator="equal">
      <formula>"V"</formula>
    </cfRule>
  </conditionalFormatting>
  <conditionalFormatting sqref="AL149">
    <cfRule type="cellIs" dxfId="2505" priority="1247" operator="equal">
      <formula>"NA"</formula>
    </cfRule>
    <cfRule type="cellIs" dxfId="2504" priority="1248" operator="equal">
      <formula>"NS"</formula>
    </cfRule>
    <cfRule type="cellIs" dxfId="2503" priority="1249" operator="equal">
      <formula>"S"</formula>
    </cfRule>
    <cfRule type="cellIs" dxfId="2502" priority="1250" operator="equal">
      <formula>"A"</formula>
    </cfRule>
    <cfRule type="cellIs" dxfId="2501" priority="1251" operator="equal">
      <formula>"X"</formula>
    </cfRule>
    <cfRule type="cellIs" dxfId="2500" priority="1252" operator="equal">
      <formula>"L"</formula>
    </cfRule>
    <cfRule type="cellIs" dxfId="2499" priority="1253" operator="equal">
      <formula>"V"</formula>
    </cfRule>
  </conditionalFormatting>
  <conditionalFormatting sqref="AM149">
    <cfRule type="cellIs" dxfId="2491" priority="1240" operator="equal">
      <formula>"NA"</formula>
    </cfRule>
    <cfRule type="cellIs" dxfId="2490" priority="1241" operator="equal">
      <formula>"NS"</formula>
    </cfRule>
    <cfRule type="cellIs" dxfId="2489" priority="1242" operator="equal">
      <formula>"S"</formula>
    </cfRule>
    <cfRule type="cellIs" dxfId="2488" priority="1243" operator="equal">
      <formula>"A"</formula>
    </cfRule>
    <cfRule type="cellIs" dxfId="2487" priority="1244" operator="equal">
      <formula>"X"</formula>
    </cfRule>
    <cfRule type="cellIs" dxfId="2486" priority="1245" operator="equal">
      <formula>"L"</formula>
    </cfRule>
    <cfRule type="cellIs" dxfId="2485" priority="1246" operator="equal">
      <formula>"V"</formula>
    </cfRule>
  </conditionalFormatting>
  <conditionalFormatting sqref="AN149:AO149">
    <cfRule type="cellIs" dxfId="2477" priority="1233" operator="equal">
      <formula>"NA"</formula>
    </cfRule>
    <cfRule type="cellIs" dxfId="2476" priority="1234" operator="equal">
      <formula>"NS"</formula>
    </cfRule>
    <cfRule type="cellIs" dxfId="2475" priority="1235" operator="equal">
      <formula>"S"</formula>
    </cfRule>
    <cfRule type="cellIs" dxfId="2474" priority="1236" operator="equal">
      <formula>"A"</formula>
    </cfRule>
    <cfRule type="cellIs" dxfId="2473" priority="1237" operator="equal">
      <formula>"X"</formula>
    </cfRule>
    <cfRule type="cellIs" dxfId="2472" priority="1238" operator="equal">
      <formula>"L"</formula>
    </cfRule>
    <cfRule type="cellIs" dxfId="2471" priority="1239" operator="equal">
      <formula>"V"</formula>
    </cfRule>
  </conditionalFormatting>
  <conditionalFormatting sqref="AL150:AO150">
    <cfRule type="cellIs" dxfId="2463" priority="1226" operator="equal">
      <formula>"NA"</formula>
    </cfRule>
    <cfRule type="cellIs" dxfId="2462" priority="1227" operator="equal">
      <formula>"NS"</formula>
    </cfRule>
    <cfRule type="cellIs" dxfId="2461" priority="1228" operator="equal">
      <formula>"S"</formula>
    </cfRule>
    <cfRule type="cellIs" dxfId="2460" priority="1229" operator="equal">
      <formula>"A"</formula>
    </cfRule>
    <cfRule type="cellIs" dxfId="2459" priority="1230" operator="equal">
      <formula>"X"</formula>
    </cfRule>
    <cfRule type="cellIs" dxfId="2458" priority="1231" operator="equal">
      <formula>"L"</formula>
    </cfRule>
    <cfRule type="cellIs" dxfId="2457" priority="1232" operator="equal">
      <formula>"V"</formula>
    </cfRule>
  </conditionalFormatting>
  <conditionalFormatting sqref="AL151">
    <cfRule type="cellIs" dxfId="2449" priority="1219" operator="equal">
      <formula>"NA"</formula>
    </cfRule>
    <cfRule type="cellIs" dxfId="2448" priority="1220" operator="equal">
      <formula>"NS"</formula>
    </cfRule>
    <cfRule type="cellIs" dxfId="2447" priority="1221" operator="equal">
      <formula>"S"</formula>
    </cfRule>
    <cfRule type="cellIs" dxfId="2446" priority="1222" operator="equal">
      <formula>"A"</formula>
    </cfRule>
    <cfRule type="cellIs" dxfId="2445" priority="1223" operator="equal">
      <formula>"X"</formula>
    </cfRule>
    <cfRule type="cellIs" dxfId="2444" priority="1224" operator="equal">
      <formula>"L"</formula>
    </cfRule>
    <cfRule type="cellIs" dxfId="2443" priority="1225" operator="equal">
      <formula>"V"</formula>
    </cfRule>
  </conditionalFormatting>
  <conditionalFormatting sqref="AM151">
    <cfRule type="cellIs" dxfId="2435" priority="1212" operator="equal">
      <formula>"NA"</formula>
    </cfRule>
    <cfRule type="cellIs" dxfId="2434" priority="1213" operator="equal">
      <formula>"NS"</formula>
    </cfRule>
    <cfRule type="cellIs" dxfId="2433" priority="1214" operator="equal">
      <formula>"S"</formula>
    </cfRule>
    <cfRule type="cellIs" dxfId="2432" priority="1215" operator="equal">
      <formula>"A"</formula>
    </cfRule>
    <cfRule type="cellIs" dxfId="2431" priority="1216" operator="equal">
      <formula>"X"</formula>
    </cfRule>
    <cfRule type="cellIs" dxfId="2430" priority="1217" operator="equal">
      <formula>"L"</formula>
    </cfRule>
    <cfRule type="cellIs" dxfId="2429" priority="1218" operator="equal">
      <formula>"V"</formula>
    </cfRule>
  </conditionalFormatting>
  <conditionalFormatting sqref="AN151:AO151">
    <cfRule type="cellIs" dxfId="2421" priority="1205" operator="equal">
      <formula>"NA"</formula>
    </cfRule>
    <cfRule type="cellIs" dxfId="2420" priority="1206" operator="equal">
      <formula>"NS"</formula>
    </cfRule>
    <cfRule type="cellIs" dxfId="2419" priority="1207" operator="equal">
      <formula>"S"</formula>
    </cfRule>
    <cfRule type="cellIs" dxfId="2418" priority="1208" operator="equal">
      <formula>"A"</formula>
    </cfRule>
    <cfRule type="cellIs" dxfId="2417" priority="1209" operator="equal">
      <formula>"X"</formula>
    </cfRule>
    <cfRule type="cellIs" dxfId="2416" priority="1210" operator="equal">
      <formula>"L"</formula>
    </cfRule>
    <cfRule type="cellIs" dxfId="2415" priority="1211" operator="equal">
      <formula>"V"</formula>
    </cfRule>
  </conditionalFormatting>
  <conditionalFormatting sqref="AL152">
    <cfRule type="cellIs" dxfId="2407" priority="1198" operator="equal">
      <formula>"NA"</formula>
    </cfRule>
    <cfRule type="cellIs" dxfId="2406" priority="1199" operator="equal">
      <formula>"NS"</formula>
    </cfRule>
    <cfRule type="cellIs" dxfId="2405" priority="1200" operator="equal">
      <formula>"S"</formula>
    </cfRule>
    <cfRule type="cellIs" dxfId="2404" priority="1201" operator="equal">
      <formula>"A"</formula>
    </cfRule>
    <cfRule type="cellIs" dxfId="2403" priority="1202" operator="equal">
      <formula>"X"</formula>
    </cfRule>
    <cfRule type="cellIs" dxfId="2402" priority="1203" operator="equal">
      <formula>"L"</formula>
    </cfRule>
    <cfRule type="cellIs" dxfId="2401" priority="1204" operator="equal">
      <formula>"V"</formula>
    </cfRule>
  </conditionalFormatting>
  <conditionalFormatting sqref="AM152">
    <cfRule type="cellIs" dxfId="2393" priority="1191" operator="equal">
      <formula>"NA"</formula>
    </cfRule>
    <cfRule type="cellIs" dxfId="2392" priority="1192" operator="equal">
      <formula>"NS"</formula>
    </cfRule>
    <cfRule type="cellIs" dxfId="2391" priority="1193" operator="equal">
      <formula>"S"</formula>
    </cfRule>
    <cfRule type="cellIs" dxfId="2390" priority="1194" operator="equal">
      <formula>"A"</formula>
    </cfRule>
    <cfRule type="cellIs" dxfId="2389" priority="1195" operator="equal">
      <formula>"X"</formula>
    </cfRule>
    <cfRule type="cellIs" dxfId="2388" priority="1196" operator="equal">
      <formula>"L"</formula>
    </cfRule>
    <cfRule type="cellIs" dxfId="2387" priority="1197" operator="equal">
      <formula>"V"</formula>
    </cfRule>
  </conditionalFormatting>
  <conditionalFormatting sqref="AN152:AO152">
    <cfRule type="cellIs" dxfId="2379" priority="1184" operator="equal">
      <formula>"NA"</formula>
    </cfRule>
    <cfRule type="cellIs" dxfId="2378" priority="1185" operator="equal">
      <formula>"NS"</formula>
    </cfRule>
    <cfRule type="cellIs" dxfId="2377" priority="1186" operator="equal">
      <formula>"S"</formula>
    </cfRule>
    <cfRule type="cellIs" dxfId="2376" priority="1187" operator="equal">
      <formula>"A"</formula>
    </cfRule>
    <cfRule type="cellIs" dxfId="2375" priority="1188" operator="equal">
      <formula>"X"</formula>
    </cfRule>
    <cfRule type="cellIs" dxfId="2374" priority="1189" operator="equal">
      <formula>"L"</formula>
    </cfRule>
    <cfRule type="cellIs" dxfId="2373" priority="1190" operator="equal">
      <formula>"V"</formula>
    </cfRule>
  </conditionalFormatting>
  <conditionalFormatting sqref="AL153">
    <cfRule type="cellIs" dxfId="2365" priority="1177" operator="equal">
      <formula>"NA"</formula>
    </cfRule>
    <cfRule type="cellIs" dxfId="2364" priority="1178" operator="equal">
      <formula>"NS"</formula>
    </cfRule>
    <cfRule type="cellIs" dxfId="2363" priority="1179" operator="equal">
      <formula>"S"</formula>
    </cfRule>
    <cfRule type="cellIs" dxfId="2362" priority="1180" operator="equal">
      <formula>"A"</formula>
    </cfRule>
    <cfRule type="cellIs" dxfId="2361" priority="1181" operator="equal">
      <formula>"X"</formula>
    </cfRule>
    <cfRule type="cellIs" dxfId="2360" priority="1182" operator="equal">
      <formula>"L"</formula>
    </cfRule>
    <cfRule type="cellIs" dxfId="2359" priority="1183" operator="equal">
      <formula>"V"</formula>
    </cfRule>
  </conditionalFormatting>
  <conditionalFormatting sqref="AM153">
    <cfRule type="cellIs" dxfId="2351" priority="1170" operator="equal">
      <formula>"NA"</formula>
    </cfRule>
    <cfRule type="cellIs" dxfId="2350" priority="1171" operator="equal">
      <formula>"NS"</formula>
    </cfRule>
    <cfRule type="cellIs" dxfId="2349" priority="1172" operator="equal">
      <formula>"S"</formula>
    </cfRule>
    <cfRule type="cellIs" dxfId="2348" priority="1173" operator="equal">
      <formula>"A"</formula>
    </cfRule>
    <cfRule type="cellIs" dxfId="2347" priority="1174" operator="equal">
      <formula>"X"</formula>
    </cfRule>
    <cfRule type="cellIs" dxfId="2346" priority="1175" operator="equal">
      <formula>"L"</formula>
    </cfRule>
    <cfRule type="cellIs" dxfId="2345" priority="1176" operator="equal">
      <formula>"V"</formula>
    </cfRule>
  </conditionalFormatting>
  <conditionalFormatting sqref="AN153:AO153">
    <cfRule type="cellIs" dxfId="2337" priority="1163" operator="equal">
      <formula>"NA"</formula>
    </cfRule>
    <cfRule type="cellIs" dxfId="2336" priority="1164" operator="equal">
      <formula>"NS"</formula>
    </cfRule>
    <cfRule type="cellIs" dxfId="2335" priority="1165" operator="equal">
      <formula>"S"</formula>
    </cfRule>
    <cfRule type="cellIs" dxfId="2334" priority="1166" operator="equal">
      <formula>"A"</formula>
    </cfRule>
    <cfRule type="cellIs" dxfId="2333" priority="1167" operator="equal">
      <formula>"X"</formula>
    </cfRule>
    <cfRule type="cellIs" dxfId="2332" priority="1168" operator="equal">
      <formula>"L"</formula>
    </cfRule>
    <cfRule type="cellIs" dxfId="2331" priority="1169" operator="equal">
      <formula>"V"</formula>
    </cfRule>
  </conditionalFormatting>
  <conditionalFormatting sqref="AL154:AO157 AL159:AO163">
    <cfRule type="cellIs" dxfId="2323" priority="1156" operator="equal">
      <formula>"NA"</formula>
    </cfRule>
    <cfRule type="cellIs" dxfId="2322" priority="1157" operator="equal">
      <formula>"NS"</formula>
    </cfRule>
    <cfRule type="cellIs" dxfId="2321" priority="1158" operator="equal">
      <formula>"S"</formula>
    </cfRule>
    <cfRule type="cellIs" dxfId="2320" priority="1159" operator="equal">
      <formula>"A"</formula>
    </cfRule>
    <cfRule type="cellIs" dxfId="2319" priority="1160" operator="equal">
      <formula>"X"</formula>
    </cfRule>
    <cfRule type="cellIs" dxfId="2318" priority="1161" operator="equal">
      <formula>"L"</formula>
    </cfRule>
    <cfRule type="cellIs" dxfId="2317" priority="1162" operator="equal">
      <formula>"V"</formula>
    </cfRule>
  </conditionalFormatting>
  <conditionalFormatting sqref="AL158">
    <cfRule type="cellIs" dxfId="2309" priority="1149" operator="equal">
      <formula>"NA"</formula>
    </cfRule>
    <cfRule type="cellIs" dxfId="2308" priority="1150" operator="equal">
      <formula>"NS"</formula>
    </cfRule>
    <cfRule type="cellIs" dxfId="2307" priority="1151" operator="equal">
      <formula>"S"</formula>
    </cfRule>
    <cfRule type="cellIs" dxfId="2306" priority="1152" operator="equal">
      <formula>"A"</formula>
    </cfRule>
    <cfRule type="cellIs" dxfId="2305" priority="1153" operator="equal">
      <formula>"X"</formula>
    </cfRule>
    <cfRule type="cellIs" dxfId="2304" priority="1154" operator="equal">
      <formula>"L"</formula>
    </cfRule>
    <cfRule type="cellIs" dxfId="2303" priority="1155" operator="equal">
      <formula>"V"</formula>
    </cfRule>
  </conditionalFormatting>
  <conditionalFormatting sqref="AM158">
    <cfRule type="cellIs" dxfId="2295" priority="1142" operator="equal">
      <formula>"NA"</formula>
    </cfRule>
    <cfRule type="cellIs" dxfId="2294" priority="1143" operator="equal">
      <formula>"NS"</formula>
    </cfRule>
    <cfRule type="cellIs" dxfId="2293" priority="1144" operator="equal">
      <formula>"S"</formula>
    </cfRule>
    <cfRule type="cellIs" dxfId="2292" priority="1145" operator="equal">
      <formula>"A"</formula>
    </cfRule>
    <cfRule type="cellIs" dxfId="2291" priority="1146" operator="equal">
      <formula>"X"</formula>
    </cfRule>
    <cfRule type="cellIs" dxfId="2290" priority="1147" operator="equal">
      <formula>"L"</formula>
    </cfRule>
    <cfRule type="cellIs" dxfId="2289" priority="1148" operator="equal">
      <formula>"V"</formula>
    </cfRule>
  </conditionalFormatting>
  <conditionalFormatting sqref="AN158:AO158">
    <cfRule type="cellIs" dxfId="2281" priority="1135" operator="equal">
      <formula>"NA"</formula>
    </cfRule>
    <cfRule type="cellIs" dxfId="2280" priority="1136" operator="equal">
      <formula>"NS"</formula>
    </cfRule>
    <cfRule type="cellIs" dxfId="2279" priority="1137" operator="equal">
      <formula>"S"</formula>
    </cfRule>
    <cfRule type="cellIs" dxfId="2278" priority="1138" operator="equal">
      <formula>"A"</formula>
    </cfRule>
    <cfRule type="cellIs" dxfId="2277" priority="1139" operator="equal">
      <formula>"X"</formula>
    </cfRule>
    <cfRule type="cellIs" dxfId="2276" priority="1140" operator="equal">
      <formula>"L"</formula>
    </cfRule>
    <cfRule type="cellIs" dxfId="2275" priority="1141" operator="equal">
      <formula>"V"</formula>
    </cfRule>
  </conditionalFormatting>
  <conditionalFormatting sqref="AL164:AO180 AL182:AO184">
    <cfRule type="cellIs" dxfId="2267" priority="1128" operator="equal">
      <formula>"NA"</formula>
    </cfRule>
    <cfRule type="cellIs" dxfId="2266" priority="1129" operator="equal">
      <formula>"NS"</formula>
    </cfRule>
    <cfRule type="cellIs" dxfId="2265" priority="1130" operator="equal">
      <formula>"S"</formula>
    </cfRule>
    <cfRule type="cellIs" dxfId="2264" priority="1131" operator="equal">
      <formula>"A"</formula>
    </cfRule>
    <cfRule type="cellIs" dxfId="2263" priority="1132" operator="equal">
      <formula>"X"</formula>
    </cfRule>
    <cfRule type="cellIs" dxfId="2262" priority="1133" operator="equal">
      <formula>"L"</formula>
    </cfRule>
    <cfRule type="cellIs" dxfId="2261" priority="1134" operator="equal">
      <formula>"V"</formula>
    </cfRule>
  </conditionalFormatting>
  <conditionalFormatting sqref="AN181:AO181">
    <cfRule type="cellIs" dxfId="2253" priority="1121" operator="equal">
      <formula>"NA"</formula>
    </cfRule>
    <cfRule type="cellIs" dxfId="2252" priority="1122" operator="equal">
      <formula>"NS"</formula>
    </cfRule>
    <cfRule type="cellIs" dxfId="2251" priority="1123" operator="equal">
      <formula>"S"</formula>
    </cfRule>
    <cfRule type="cellIs" dxfId="2250" priority="1124" operator="equal">
      <formula>"A"</formula>
    </cfRule>
    <cfRule type="cellIs" dxfId="2249" priority="1125" operator="equal">
      <formula>"X"</formula>
    </cfRule>
    <cfRule type="cellIs" dxfId="2248" priority="1126" operator="equal">
      <formula>"L"</formula>
    </cfRule>
    <cfRule type="cellIs" dxfId="2247" priority="1127" operator="equal">
      <formula>"V"</formula>
    </cfRule>
  </conditionalFormatting>
  <conditionalFormatting sqref="AL181:AM181">
    <cfRule type="cellIs" dxfId="2239" priority="1114" operator="equal">
      <formula>"NA"</formula>
    </cfRule>
    <cfRule type="cellIs" dxfId="2238" priority="1115" operator="equal">
      <formula>"NS"</formula>
    </cfRule>
    <cfRule type="cellIs" dxfId="2237" priority="1116" operator="equal">
      <formula>"S"</formula>
    </cfRule>
    <cfRule type="cellIs" dxfId="2236" priority="1117" operator="equal">
      <formula>"A"</formula>
    </cfRule>
    <cfRule type="cellIs" dxfId="2235" priority="1118" operator="equal">
      <formula>"X"</formula>
    </cfRule>
    <cfRule type="cellIs" dxfId="2234" priority="1119" operator="equal">
      <formula>"L"</formula>
    </cfRule>
    <cfRule type="cellIs" dxfId="2233" priority="1120" operator="equal">
      <formula>"V"</formula>
    </cfRule>
  </conditionalFormatting>
  <conditionalFormatting sqref="AL185">
    <cfRule type="cellIs" dxfId="2225" priority="1107" operator="equal">
      <formula>"NA"</formula>
    </cfRule>
    <cfRule type="cellIs" dxfId="2224" priority="1108" operator="equal">
      <formula>"NS"</formula>
    </cfRule>
    <cfRule type="cellIs" dxfId="2223" priority="1109" operator="equal">
      <formula>"S"</formula>
    </cfRule>
    <cfRule type="cellIs" dxfId="2222" priority="1110" operator="equal">
      <formula>"A"</formula>
    </cfRule>
    <cfRule type="cellIs" dxfId="2221" priority="1111" operator="equal">
      <formula>"X"</formula>
    </cfRule>
    <cfRule type="cellIs" dxfId="2220" priority="1112" operator="equal">
      <formula>"L"</formula>
    </cfRule>
    <cfRule type="cellIs" dxfId="2219" priority="1113" operator="equal">
      <formula>"V"</formula>
    </cfRule>
  </conditionalFormatting>
  <conditionalFormatting sqref="AM185">
    <cfRule type="cellIs" dxfId="2211" priority="1100" operator="equal">
      <formula>"NA"</formula>
    </cfRule>
    <cfRule type="cellIs" dxfId="2210" priority="1101" operator="equal">
      <formula>"NS"</formula>
    </cfRule>
    <cfRule type="cellIs" dxfId="2209" priority="1102" operator="equal">
      <formula>"S"</formula>
    </cfRule>
    <cfRule type="cellIs" dxfId="2208" priority="1103" operator="equal">
      <formula>"A"</formula>
    </cfRule>
    <cfRule type="cellIs" dxfId="2207" priority="1104" operator="equal">
      <formula>"X"</formula>
    </cfRule>
    <cfRule type="cellIs" dxfId="2206" priority="1105" operator="equal">
      <formula>"L"</formula>
    </cfRule>
    <cfRule type="cellIs" dxfId="2205" priority="1106" operator="equal">
      <formula>"V"</formula>
    </cfRule>
  </conditionalFormatting>
  <conditionalFormatting sqref="AN185:AO185">
    <cfRule type="cellIs" dxfId="2197" priority="1093" operator="equal">
      <formula>"NA"</formula>
    </cfRule>
    <cfRule type="cellIs" dxfId="2196" priority="1094" operator="equal">
      <formula>"NS"</formula>
    </cfRule>
    <cfRule type="cellIs" dxfId="2195" priority="1095" operator="equal">
      <formula>"S"</formula>
    </cfRule>
    <cfRule type="cellIs" dxfId="2194" priority="1096" operator="equal">
      <formula>"A"</formula>
    </cfRule>
    <cfRule type="cellIs" dxfId="2193" priority="1097" operator="equal">
      <formula>"X"</formula>
    </cfRule>
    <cfRule type="cellIs" dxfId="2192" priority="1098" operator="equal">
      <formula>"L"</formula>
    </cfRule>
    <cfRule type="cellIs" dxfId="2191" priority="1099" operator="equal">
      <formula>"V"</formula>
    </cfRule>
  </conditionalFormatting>
  <conditionalFormatting sqref="AN186:AO186">
    <cfRule type="cellIs" dxfId="2183" priority="1086" operator="equal">
      <formula>"NA"</formula>
    </cfRule>
    <cfRule type="cellIs" dxfId="2182" priority="1087" operator="equal">
      <formula>"NS"</formula>
    </cfRule>
    <cfRule type="cellIs" dxfId="2181" priority="1088" operator="equal">
      <formula>"S"</formula>
    </cfRule>
    <cfRule type="cellIs" dxfId="2180" priority="1089" operator="equal">
      <formula>"A"</formula>
    </cfRule>
    <cfRule type="cellIs" dxfId="2179" priority="1090" operator="equal">
      <formula>"X"</formula>
    </cfRule>
    <cfRule type="cellIs" dxfId="2178" priority="1091" operator="equal">
      <formula>"L"</formula>
    </cfRule>
    <cfRule type="cellIs" dxfId="2177" priority="1092" operator="equal">
      <formula>"V"</formula>
    </cfRule>
  </conditionalFormatting>
  <conditionalFormatting sqref="AL186:AM186">
    <cfRule type="cellIs" dxfId="2169" priority="1079" operator="equal">
      <formula>"NA"</formula>
    </cfRule>
    <cfRule type="cellIs" dxfId="2168" priority="1080" operator="equal">
      <formula>"NS"</formula>
    </cfRule>
    <cfRule type="cellIs" dxfId="2167" priority="1081" operator="equal">
      <formula>"S"</formula>
    </cfRule>
    <cfRule type="cellIs" dxfId="2166" priority="1082" operator="equal">
      <formula>"A"</formula>
    </cfRule>
    <cfRule type="cellIs" dxfId="2165" priority="1083" operator="equal">
      <formula>"X"</formula>
    </cfRule>
    <cfRule type="cellIs" dxfId="2164" priority="1084" operator="equal">
      <formula>"L"</formula>
    </cfRule>
    <cfRule type="cellIs" dxfId="2163" priority="1085" operator="equal">
      <formula>"V"</formula>
    </cfRule>
  </conditionalFormatting>
  <conditionalFormatting sqref="AL187">
    <cfRule type="cellIs" dxfId="2155" priority="1072" operator="equal">
      <formula>"NA"</formula>
    </cfRule>
    <cfRule type="cellIs" dxfId="2154" priority="1073" operator="equal">
      <formula>"NS"</formula>
    </cfRule>
    <cfRule type="cellIs" dxfId="2153" priority="1074" operator="equal">
      <formula>"S"</formula>
    </cfRule>
    <cfRule type="cellIs" dxfId="2152" priority="1075" operator="equal">
      <formula>"A"</formula>
    </cfRule>
    <cfRule type="cellIs" dxfId="2151" priority="1076" operator="equal">
      <formula>"X"</formula>
    </cfRule>
    <cfRule type="cellIs" dxfId="2150" priority="1077" operator="equal">
      <formula>"L"</formula>
    </cfRule>
    <cfRule type="cellIs" dxfId="2149" priority="1078" operator="equal">
      <formula>"V"</formula>
    </cfRule>
  </conditionalFormatting>
  <conditionalFormatting sqref="AM187">
    <cfRule type="cellIs" dxfId="2141" priority="1065" operator="equal">
      <formula>"NA"</formula>
    </cfRule>
    <cfRule type="cellIs" dxfId="2140" priority="1066" operator="equal">
      <formula>"NS"</formula>
    </cfRule>
    <cfRule type="cellIs" dxfId="2139" priority="1067" operator="equal">
      <formula>"S"</formula>
    </cfRule>
    <cfRule type="cellIs" dxfId="2138" priority="1068" operator="equal">
      <formula>"A"</formula>
    </cfRule>
    <cfRule type="cellIs" dxfId="2137" priority="1069" operator="equal">
      <formula>"X"</formula>
    </cfRule>
    <cfRule type="cellIs" dxfId="2136" priority="1070" operator="equal">
      <formula>"L"</formula>
    </cfRule>
    <cfRule type="cellIs" dxfId="2135" priority="1071" operator="equal">
      <formula>"V"</formula>
    </cfRule>
  </conditionalFormatting>
  <conditionalFormatting sqref="AN187">
    <cfRule type="cellIs" dxfId="2127" priority="1058" operator="equal">
      <formula>"NA"</formula>
    </cfRule>
    <cfRule type="cellIs" dxfId="2126" priority="1059" operator="equal">
      <formula>"NS"</formula>
    </cfRule>
    <cfRule type="cellIs" dxfId="2125" priority="1060" operator="equal">
      <formula>"S"</formula>
    </cfRule>
    <cfRule type="cellIs" dxfId="2124" priority="1061" operator="equal">
      <formula>"A"</formula>
    </cfRule>
    <cfRule type="cellIs" dxfId="2123" priority="1062" operator="equal">
      <formula>"X"</formula>
    </cfRule>
    <cfRule type="cellIs" dxfId="2122" priority="1063" operator="equal">
      <formula>"L"</formula>
    </cfRule>
    <cfRule type="cellIs" dxfId="2121" priority="1064" operator="equal">
      <formula>"V"</formula>
    </cfRule>
  </conditionalFormatting>
  <conditionalFormatting sqref="AO187">
    <cfRule type="cellIs" dxfId="2113" priority="1051" operator="equal">
      <formula>"NA"</formula>
    </cfRule>
    <cfRule type="cellIs" dxfId="2112" priority="1052" operator="equal">
      <formula>"NS"</formula>
    </cfRule>
    <cfRule type="cellIs" dxfId="2111" priority="1053" operator="equal">
      <formula>"S"</formula>
    </cfRule>
    <cfRule type="cellIs" dxfId="2110" priority="1054" operator="equal">
      <formula>"A"</formula>
    </cfRule>
    <cfRule type="cellIs" dxfId="2109" priority="1055" operator="equal">
      <formula>"X"</formula>
    </cfRule>
    <cfRule type="cellIs" dxfId="2108" priority="1056" operator="equal">
      <formula>"L"</formula>
    </cfRule>
    <cfRule type="cellIs" dxfId="2107" priority="1057" operator="equal">
      <formula>"V"</formula>
    </cfRule>
  </conditionalFormatting>
  <conditionalFormatting sqref="AL188">
    <cfRule type="cellIs" dxfId="2099" priority="1044" operator="equal">
      <formula>"NA"</formula>
    </cfRule>
    <cfRule type="cellIs" dxfId="2098" priority="1045" operator="equal">
      <formula>"NS"</formula>
    </cfRule>
    <cfRule type="cellIs" dxfId="2097" priority="1046" operator="equal">
      <formula>"S"</formula>
    </cfRule>
    <cfRule type="cellIs" dxfId="2096" priority="1047" operator="equal">
      <formula>"A"</formula>
    </cfRule>
    <cfRule type="cellIs" dxfId="2095" priority="1048" operator="equal">
      <formula>"X"</formula>
    </cfRule>
    <cfRule type="cellIs" dxfId="2094" priority="1049" operator="equal">
      <formula>"L"</formula>
    </cfRule>
    <cfRule type="cellIs" dxfId="2093" priority="1050" operator="equal">
      <formula>"V"</formula>
    </cfRule>
  </conditionalFormatting>
  <conditionalFormatting sqref="AM188">
    <cfRule type="cellIs" dxfId="2085" priority="1037" operator="equal">
      <formula>"NA"</formula>
    </cfRule>
    <cfRule type="cellIs" dxfId="2084" priority="1038" operator="equal">
      <formula>"NS"</formula>
    </cfRule>
    <cfRule type="cellIs" dxfId="2083" priority="1039" operator="equal">
      <formula>"S"</formula>
    </cfRule>
    <cfRule type="cellIs" dxfId="2082" priority="1040" operator="equal">
      <formula>"A"</formula>
    </cfRule>
    <cfRule type="cellIs" dxfId="2081" priority="1041" operator="equal">
      <formula>"X"</formula>
    </cfRule>
    <cfRule type="cellIs" dxfId="2080" priority="1042" operator="equal">
      <formula>"L"</formula>
    </cfRule>
    <cfRule type="cellIs" dxfId="2079" priority="1043" operator="equal">
      <formula>"V"</formula>
    </cfRule>
  </conditionalFormatting>
  <conditionalFormatting sqref="AN188">
    <cfRule type="cellIs" dxfId="2071" priority="1030" operator="equal">
      <formula>"NA"</formula>
    </cfRule>
    <cfRule type="cellIs" dxfId="2070" priority="1031" operator="equal">
      <formula>"NS"</formula>
    </cfRule>
    <cfRule type="cellIs" dxfId="2069" priority="1032" operator="equal">
      <formula>"S"</formula>
    </cfRule>
    <cfRule type="cellIs" dxfId="2068" priority="1033" operator="equal">
      <formula>"A"</formula>
    </cfRule>
    <cfRule type="cellIs" dxfId="2067" priority="1034" operator="equal">
      <formula>"X"</formula>
    </cfRule>
    <cfRule type="cellIs" dxfId="2066" priority="1035" operator="equal">
      <formula>"L"</formula>
    </cfRule>
    <cfRule type="cellIs" dxfId="2065" priority="1036" operator="equal">
      <formula>"V"</formula>
    </cfRule>
  </conditionalFormatting>
  <conditionalFormatting sqref="AO188">
    <cfRule type="cellIs" dxfId="2057" priority="1023" operator="equal">
      <formula>"NA"</formula>
    </cfRule>
    <cfRule type="cellIs" dxfId="2056" priority="1024" operator="equal">
      <formula>"NS"</formula>
    </cfRule>
    <cfRule type="cellIs" dxfId="2055" priority="1025" operator="equal">
      <formula>"S"</formula>
    </cfRule>
    <cfRule type="cellIs" dxfId="2054" priority="1026" operator="equal">
      <formula>"A"</formula>
    </cfRule>
    <cfRule type="cellIs" dxfId="2053" priority="1027" operator="equal">
      <formula>"X"</formula>
    </cfRule>
    <cfRule type="cellIs" dxfId="2052" priority="1028" operator="equal">
      <formula>"L"</formula>
    </cfRule>
    <cfRule type="cellIs" dxfId="2051" priority="1029" operator="equal">
      <formula>"V"</formula>
    </cfRule>
  </conditionalFormatting>
  <conditionalFormatting sqref="AL189">
    <cfRule type="cellIs" dxfId="2043" priority="1016" operator="equal">
      <formula>"NA"</formula>
    </cfRule>
    <cfRule type="cellIs" dxfId="2042" priority="1017" operator="equal">
      <formula>"NS"</formula>
    </cfRule>
    <cfRule type="cellIs" dxfId="2041" priority="1018" operator="equal">
      <formula>"S"</formula>
    </cfRule>
    <cfRule type="cellIs" dxfId="2040" priority="1019" operator="equal">
      <formula>"A"</formula>
    </cfRule>
    <cfRule type="cellIs" dxfId="2039" priority="1020" operator="equal">
      <formula>"X"</formula>
    </cfRule>
    <cfRule type="cellIs" dxfId="2038" priority="1021" operator="equal">
      <formula>"L"</formula>
    </cfRule>
    <cfRule type="cellIs" dxfId="2037" priority="1022" operator="equal">
      <formula>"V"</formula>
    </cfRule>
  </conditionalFormatting>
  <conditionalFormatting sqref="AM189">
    <cfRule type="cellIs" dxfId="2029" priority="1009" operator="equal">
      <formula>"NA"</formula>
    </cfRule>
    <cfRule type="cellIs" dxfId="2028" priority="1010" operator="equal">
      <formula>"NS"</formula>
    </cfRule>
    <cfRule type="cellIs" dxfId="2027" priority="1011" operator="equal">
      <formula>"S"</formula>
    </cfRule>
    <cfRule type="cellIs" dxfId="2026" priority="1012" operator="equal">
      <formula>"A"</formula>
    </cfRule>
    <cfRule type="cellIs" dxfId="2025" priority="1013" operator="equal">
      <formula>"X"</formula>
    </cfRule>
    <cfRule type="cellIs" dxfId="2024" priority="1014" operator="equal">
      <formula>"L"</formula>
    </cfRule>
    <cfRule type="cellIs" dxfId="2023" priority="1015" operator="equal">
      <formula>"V"</formula>
    </cfRule>
  </conditionalFormatting>
  <conditionalFormatting sqref="AN189">
    <cfRule type="cellIs" dxfId="2015" priority="1002" operator="equal">
      <formula>"NA"</formula>
    </cfRule>
    <cfRule type="cellIs" dxfId="2014" priority="1003" operator="equal">
      <formula>"NS"</formula>
    </cfRule>
    <cfRule type="cellIs" dxfId="2013" priority="1004" operator="equal">
      <formula>"S"</formula>
    </cfRule>
    <cfRule type="cellIs" dxfId="2012" priority="1005" operator="equal">
      <formula>"A"</formula>
    </cfRule>
    <cfRule type="cellIs" dxfId="2011" priority="1006" operator="equal">
      <formula>"X"</formula>
    </cfRule>
    <cfRule type="cellIs" dxfId="2010" priority="1007" operator="equal">
      <formula>"L"</formula>
    </cfRule>
    <cfRule type="cellIs" dxfId="2009" priority="1008" operator="equal">
      <formula>"V"</formula>
    </cfRule>
  </conditionalFormatting>
  <conditionalFormatting sqref="AO189">
    <cfRule type="cellIs" dxfId="2001" priority="995" operator="equal">
      <formula>"NA"</formula>
    </cfRule>
    <cfRule type="cellIs" dxfId="2000" priority="996" operator="equal">
      <formula>"NS"</formula>
    </cfRule>
    <cfRule type="cellIs" dxfId="1999" priority="997" operator="equal">
      <formula>"S"</formula>
    </cfRule>
    <cfRule type="cellIs" dxfId="1998" priority="998" operator="equal">
      <formula>"A"</formula>
    </cfRule>
    <cfRule type="cellIs" dxfId="1997" priority="999" operator="equal">
      <formula>"X"</formula>
    </cfRule>
    <cfRule type="cellIs" dxfId="1996" priority="1000" operator="equal">
      <formula>"L"</formula>
    </cfRule>
    <cfRule type="cellIs" dxfId="1995" priority="1001" operator="equal">
      <formula>"V"</formula>
    </cfRule>
  </conditionalFormatting>
  <conditionalFormatting sqref="AL190:AO200">
    <cfRule type="cellIs" dxfId="1987" priority="988" operator="equal">
      <formula>"NA"</formula>
    </cfRule>
    <cfRule type="cellIs" dxfId="1986" priority="989" operator="equal">
      <formula>"NS"</formula>
    </cfRule>
    <cfRule type="cellIs" dxfId="1985" priority="990" operator="equal">
      <formula>"S"</formula>
    </cfRule>
    <cfRule type="cellIs" dxfId="1984" priority="991" operator="equal">
      <formula>"A"</formula>
    </cfRule>
    <cfRule type="cellIs" dxfId="1983" priority="992" operator="equal">
      <formula>"X"</formula>
    </cfRule>
    <cfRule type="cellIs" dxfId="1982" priority="993" operator="equal">
      <formula>"L"</formula>
    </cfRule>
    <cfRule type="cellIs" dxfId="1981" priority="994" operator="equal">
      <formula>"V"</formula>
    </cfRule>
  </conditionalFormatting>
  <conditionalFormatting sqref="AL201:AO205">
    <cfRule type="cellIs" dxfId="1973" priority="981" operator="equal">
      <formula>"NA"</formula>
    </cfRule>
    <cfRule type="cellIs" dxfId="1972" priority="982" operator="equal">
      <formula>"NS"</formula>
    </cfRule>
    <cfRule type="cellIs" dxfId="1971" priority="983" operator="equal">
      <formula>"S"</formula>
    </cfRule>
    <cfRule type="cellIs" dxfId="1970" priority="984" operator="equal">
      <formula>"A"</formula>
    </cfRule>
    <cfRule type="cellIs" dxfId="1969" priority="985" operator="equal">
      <formula>"X"</formula>
    </cfRule>
    <cfRule type="cellIs" dxfId="1968" priority="986" operator="equal">
      <formula>"L"</formula>
    </cfRule>
    <cfRule type="cellIs" dxfId="1967" priority="987" operator="equal">
      <formula>"V"</formula>
    </cfRule>
  </conditionalFormatting>
  <conditionalFormatting sqref="AL206:AO210">
    <cfRule type="cellIs" dxfId="1959" priority="974" operator="equal">
      <formula>"NA"</formula>
    </cfRule>
    <cfRule type="cellIs" dxfId="1958" priority="975" operator="equal">
      <formula>"NS"</formula>
    </cfRule>
    <cfRule type="cellIs" dxfId="1957" priority="976" operator="equal">
      <formula>"S"</formula>
    </cfRule>
    <cfRule type="cellIs" dxfId="1956" priority="977" operator="equal">
      <formula>"A"</formula>
    </cfRule>
    <cfRule type="cellIs" dxfId="1955" priority="978" operator="equal">
      <formula>"X"</formula>
    </cfRule>
    <cfRule type="cellIs" dxfId="1954" priority="979" operator="equal">
      <formula>"L"</formula>
    </cfRule>
    <cfRule type="cellIs" dxfId="1953" priority="980" operator="equal">
      <formula>"V"</formula>
    </cfRule>
  </conditionalFormatting>
  <conditionalFormatting sqref="AL211:AO219">
    <cfRule type="cellIs" dxfId="1945" priority="967" operator="equal">
      <formula>"NA"</formula>
    </cfRule>
    <cfRule type="cellIs" dxfId="1944" priority="968" operator="equal">
      <formula>"NS"</formula>
    </cfRule>
    <cfRule type="cellIs" dxfId="1943" priority="969" operator="equal">
      <formula>"S"</formula>
    </cfRule>
    <cfRule type="cellIs" dxfId="1942" priority="970" operator="equal">
      <formula>"A"</formula>
    </cfRule>
    <cfRule type="cellIs" dxfId="1941" priority="971" operator="equal">
      <formula>"X"</formula>
    </cfRule>
    <cfRule type="cellIs" dxfId="1940" priority="972" operator="equal">
      <formula>"L"</formula>
    </cfRule>
    <cfRule type="cellIs" dxfId="1939" priority="973" operator="equal">
      <formula>"V"</formula>
    </cfRule>
  </conditionalFormatting>
  <conditionalFormatting sqref="AL220:AO225">
    <cfRule type="cellIs" dxfId="1931" priority="960" operator="equal">
      <formula>"NA"</formula>
    </cfRule>
    <cfRule type="cellIs" dxfId="1930" priority="961" operator="equal">
      <formula>"NS"</formula>
    </cfRule>
    <cfRule type="cellIs" dxfId="1929" priority="962" operator="equal">
      <formula>"S"</formula>
    </cfRule>
    <cfRule type="cellIs" dxfId="1928" priority="963" operator="equal">
      <formula>"A"</formula>
    </cfRule>
    <cfRule type="cellIs" dxfId="1927" priority="964" operator="equal">
      <formula>"X"</formula>
    </cfRule>
    <cfRule type="cellIs" dxfId="1926" priority="965" operator="equal">
      <formula>"L"</formula>
    </cfRule>
    <cfRule type="cellIs" dxfId="1925" priority="966" operator="equal">
      <formula>"V"</formula>
    </cfRule>
  </conditionalFormatting>
  <conditionalFormatting sqref="AN226">
    <cfRule type="cellIs" dxfId="1917" priority="953" operator="equal">
      <formula>"NA"</formula>
    </cfRule>
    <cfRule type="cellIs" dxfId="1916" priority="954" operator="equal">
      <formula>"NS"</formula>
    </cfRule>
    <cfRule type="cellIs" dxfId="1915" priority="955" operator="equal">
      <formula>"S"</formula>
    </cfRule>
    <cfRule type="cellIs" dxfId="1914" priority="956" operator="equal">
      <formula>"A"</formula>
    </cfRule>
    <cfRule type="cellIs" dxfId="1913" priority="957" operator="equal">
      <formula>"X"</formula>
    </cfRule>
    <cfRule type="cellIs" dxfId="1912" priority="958" operator="equal">
      <formula>"L"</formula>
    </cfRule>
    <cfRule type="cellIs" dxfId="1911" priority="959" operator="equal">
      <formula>"V"</formula>
    </cfRule>
  </conditionalFormatting>
  <conditionalFormatting sqref="AL226">
    <cfRule type="cellIs" dxfId="1903" priority="946" operator="equal">
      <formula>"NA"</formula>
    </cfRule>
    <cfRule type="cellIs" dxfId="1902" priority="947" operator="equal">
      <formula>"NS"</formula>
    </cfRule>
    <cfRule type="cellIs" dxfId="1901" priority="948" operator="equal">
      <formula>"S"</formula>
    </cfRule>
    <cfRule type="cellIs" dxfId="1900" priority="949" operator="equal">
      <formula>"A"</formula>
    </cfRule>
    <cfRule type="cellIs" dxfId="1899" priority="950" operator="equal">
      <formula>"X"</formula>
    </cfRule>
    <cfRule type="cellIs" dxfId="1898" priority="951" operator="equal">
      <formula>"L"</formula>
    </cfRule>
    <cfRule type="cellIs" dxfId="1897" priority="952" operator="equal">
      <formula>"V"</formula>
    </cfRule>
  </conditionalFormatting>
  <conditionalFormatting sqref="AM227 AO227">
    <cfRule type="cellIs" dxfId="1889" priority="939" operator="equal">
      <formula>"NA"</formula>
    </cfRule>
    <cfRule type="cellIs" dxfId="1888" priority="940" operator="equal">
      <formula>"NS"</formula>
    </cfRule>
    <cfRule type="cellIs" dxfId="1887" priority="941" operator="equal">
      <formula>"S"</formula>
    </cfRule>
    <cfRule type="cellIs" dxfId="1886" priority="942" operator="equal">
      <formula>"A"</formula>
    </cfRule>
    <cfRule type="cellIs" dxfId="1885" priority="943" operator="equal">
      <formula>"X"</formula>
    </cfRule>
    <cfRule type="cellIs" dxfId="1884" priority="944" operator="equal">
      <formula>"L"</formula>
    </cfRule>
    <cfRule type="cellIs" dxfId="1883" priority="945" operator="equal">
      <formula>"V"</formula>
    </cfRule>
  </conditionalFormatting>
  <conditionalFormatting sqref="AN227">
    <cfRule type="cellIs" dxfId="1875" priority="932" operator="equal">
      <formula>"NA"</formula>
    </cfRule>
    <cfRule type="cellIs" dxfId="1874" priority="933" operator="equal">
      <formula>"NS"</formula>
    </cfRule>
    <cfRule type="cellIs" dxfId="1873" priority="934" operator="equal">
      <formula>"S"</formula>
    </cfRule>
    <cfRule type="cellIs" dxfId="1872" priority="935" operator="equal">
      <formula>"A"</formula>
    </cfRule>
    <cfRule type="cellIs" dxfId="1871" priority="936" operator="equal">
      <formula>"X"</formula>
    </cfRule>
    <cfRule type="cellIs" dxfId="1870" priority="937" operator="equal">
      <formula>"L"</formula>
    </cfRule>
    <cfRule type="cellIs" dxfId="1869" priority="938" operator="equal">
      <formula>"V"</formula>
    </cfRule>
  </conditionalFormatting>
  <conditionalFormatting sqref="AL227">
    <cfRule type="cellIs" dxfId="1861" priority="925" operator="equal">
      <formula>"NA"</formula>
    </cfRule>
    <cfRule type="cellIs" dxfId="1860" priority="926" operator="equal">
      <formula>"NS"</formula>
    </cfRule>
    <cfRule type="cellIs" dxfId="1859" priority="927" operator="equal">
      <formula>"S"</formula>
    </cfRule>
    <cfRule type="cellIs" dxfId="1858" priority="928" operator="equal">
      <formula>"A"</formula>
    </cfRule>
    <cfRule type="cellIs" dxfId="1857" priority="929" operator="equal">
      <formula>"X"</formula>
    </cfRule>
    <cfRule type="cellIs" dxfId="1856" priority="930" operator="equal">
      <formula>"L"</formula>
    </cfRule>
    <cfRule type="cellIs" dxfId="1855" priority="931" operator="equal">
      <formula>"V"</formula>
    </cfRule>
  </conditionalFormatting>
  <conditionalFormatting sqref="AO228">
    <cfRule type="cellIs" dxfId="1847" priority="918" operator="equal">
      <formula>"NA"</formula>
    </cfRule>
    <cfRule type="cellIs" dxfId="1846" priority="919" operator="equal">
      <formula>"NS"</formula>
    </cfRule>
    <cfRule type="cellIs" dxfId="1845" priority="920" operator="equal">
      <formula>"S"</formula>
    </cfRule>
    <cfRule type="cellIs" dxfId="1844" priority="921" operator="equal">
      <formula>"A"</formula>
    </cfRule>
    <cfRule type="cellIs" dxfId="1843" priority="922" operator="equal">
      <formula>"X"</formula>
    </cfRule>
    <cfRule type="cellIs" dxfId="1842" priority="923" operator="equal">
      <formula>"L"</formula>
    </cfRule>
    <cfRule type="cellIs" dxfId="1841" priority="924" operator="equal">
      <formula>"V"</formula>
    </cfRule>
  </conditionalFormatting>
  <conditionalFormatting sqref="AN228">
    <cfRule type="cellIs" dxfId="1833" priority="911" operator="equal">
      <formula>"NA"</formula>
    </cfRule>
    <cfRule type="cellIs" dxfId="1832" priority="912" operator="equal">
      <formula>"NS"</formula>
    </cfRule>
    <cfRule type="cellIs" dxfId="1831" priority="913" operator="equal">
      <formula>"S"</formula>
    </cfRule>
    <cfRule type="cellIs" dxfId="1830" priority="914" operator="equal">
      <formula>"A"</formula>
    </cfRule>
    <cfRule type="cellIs" dxfId="1829" priority="915" operator="equal">
      <formula>"X"</formula>
    </cfRule>
    <cfRule type="cellIs" dxfId="1828" priority="916" operator="equal">
      <formula>"L"</formula>
    </cfRule>
    <cfRule type="cellIs" dxfId="1827" priority="917" operator="equal">
      <formula>"V"</formula>
    </cfRule>
  </conditionalFormatting>
  <conditionalFormatting sqref="AO229">
    <cfRule type="cellIs" dxfId="1819" priority="904" operator="equal">
      <formula>"NA"</formula>
    </cfRule>
    <cfRule type="cellIs" dxfId="1818" priority="905" operator="equal">
      <formula>"NS"</formula>
    </cfRule>
    <cfRule type="cellIs" dxfId="1817" priority="906" operator="equal">
      <formula>"S"</formula>
    </cfRule>
    <cfRule type="cellIs" dxfId="1816" priority="907" operator="equal">
      <formula>"A"</formula>
    </cfRule>
    <cfRule type="cellIs" dxfId="1815" priority="908" operator="equal">
      <formula>"X"</formula>
    </cfRule>
    <cfRule type="cellIs" dxfId="1814" priority="909" operator="equal">
      <formula>"L"</formula>
    </cfRule>
    <cfRule type="cellIs" dxfId="1813" priority="910" operator="equal">
      <formula>"V"</formula>
    </cfRule>
  </conditionalFormatting>
  <conditionalFormatting sqref="AN229">
    <cfRule type="cellIs" dxfId="1805" priority="897" operator="equal">
      <formula>"NA"</formula>
    </cfRule>
    <cfRule type="cellIs" dxfId="1804" priority="898" operator="equal">
      <formula>"NS"</formula>
    </cfRule>
    <cfRule type="cellIs" dxfId="1803" priority="899" operator="equal">
      <formula>"S"</formula>
    </cfRule>
    <cfRule type="cellIs" dxfId="1802" priority="900" operator="equal">
      <formula>"A"</formula>
    </cfRule>
    <cfRule type="cellIs" dxfId="1801" priority="901" operator="equal">
      <formula>"X"</formula>
    </cfRule>
    <cfRule type="cellIs" dxfId="1800" priority="902" operator="equal">
      <formula>"L"</formula>
    </cfRule>
    <cfRule type="cellIs" dxfId="1799" priority="903" operator="equal">
      <formula>"V"</formula>
    </cfRule>
  </conditionalFormatting>
  <conditionalFormatting sqref="AL229">
    <cfRule type="cellIs" dxfId="1791" priority="890" operator="equal">
      <formula>"NA"</formula>
    </cfRule>
    <cfRule type="cellIs" dxfId="1790" priority="891" operator="equal">
      <formula>"NS"</formula>
    </cfRule>
    <cfRule type="cellIs" dxfId="1789" priority="892" operator="equal">
      <formula>"S"</formula>
    </cfRule>
    <cfRule type="cellIs" dxfId="1788" priority="893" operator="equal">
      <formula>"A"</formula>
    </cfRule>
    <cfRule type="cellIs" dxfId="1787" priority="894" operator="equal">
      <formula>"X"</formula>
    </cfRule>
    <cfRule type="cellIs" dxfId="1786" priority="895" operator="equal">
      <formula>"L"</formula>
    </cfRule>
    <cfRule type="cellIs" dxfId="1785" priority="896" operator="equal">
      <formula>"V"</formula>
    </cfRule>
  </conditionalFormatting>
  <conditionalFormatting sqref="AM230 AO230">
    <cfRule type="cellIs" dxfId="1777" priority="883" operator="equal">
      <formula>"NA"</formula>
    </cfRule>
    <cfRule type="cellIs" dxfId="1776" priority="884" operator="equal">
      <formula>"NS"</formula>
    </cfRule>
    <cfRule type="cellIs" dxfId="1775" priority="885" operator="equal">
      <formula>"S"</formula>
    </cfRule>
    <cfRule type="cellIs" dxfId="1774" priority="886" operator="equal">
      <formula>"A"</formula>
    </cfRule>
    <cfRule type="cellIs" dxfId="1773" priority="887" operator="equal">
      <formula>"X"</formula>
    </cfRule>
    <cfRule type="cellIs" dxfId="1772" priority="888" operator="equal">
      <formula>"L"</formula>
    </cfRule>
    <cfRule type="cellIs" dxfId="1771" priority="889" operator="equal">
      <formula>"V"</formula>
    </cfRule>
  </conditionalFormatting>
  <conditionalFormatting sqref="AM231 AO231">
    <cfRule type="cellIs" dxfId="1763" priority="876" operator="equal">
      <formula>"NA"</formula>
    </cfRule>
    <cfRule type="cellIs" dxfId="1762" priority="877" operator="equal">
      <formula>"NS"</formula>
    </cfRule>
    <cfRule type="cellIs" dxfId="1761" priority="878" operator="equal">
      <formula>"S"</formula>
    </cfRule>
    <cfRule type="cellIs" dxfId="1760" priority="879" operator="equal">
      <formula>"A"</formula>
    </cfRule>
    <cfRule type="cellIs" dxfId="1759" priority="880" operator="equal">
      <formula>"X"</formula>
    </cfRule>
    <cfRule type="cellIs" dxfId="1758" priority="881" operator="equal">
      <formula>"L"</formula>
    </cfRule>
    <cfRule type="cellIs" dxfId="1757" priority="882" operator="equal">
      <formula>"V"</formula>
    </cfRule>
  </conditionalFormatting>
  <conditionalFormatting sqref="AN231">
    <cfRule type="cellIs" dxfId="1749" priority="869" operator="equal">
      <formula>"NA"</formula>
    </cfRule>
    <cfRule type="cellIs" dxfId="1748" priority="870" operator="equal">
      <formula>"NS"</formula>
    </cfRule>
    <cfRule type="cellIs" dxfId="1747" priority="871" operator="equal">
      <formula>"S"</formula>
    </cfRule>
    <cfRule type="cellIs" dxfId="1746" priority="872" operator="equal">
      <formula>"A"</formula>
    </cfRule>
    <cfRule type="cellIs" dxfId="1745" priority="873" operator="equal">
      <formula>"X"</formula>
    </cfRule>
    <cfRule type="cellIs" dxfId="1744" priority="874" operator="equal">
      <formula>"L"</formula>
    </cfRule>
    <cfRule type="cellIs" dxfId="1743" priority="875" operator="equal">
      <formula>"V"</formula>
    </cfRule>
  </conditionalFormatting>
  <conditionalFormatting sqref="AL231">
    <cfRule type="cellIs" dxfId="1735" priority="862" operator="equal">
      <formula>"NA"</formula>
    </cfRule>
    <cfRule type="cellIs" dxfId="1734" priority="863" operator="equal">
      <formula>"NS"</formula>
    </cfRule>
    <cfRule type="cellIs" dxfId="1733" priority="864" operator="equal">
      <formula>"S"</formula>
    </cfRule>
    <cfRule type="cellIs" dxfId="1732" priority="865" operator="equal">
      <formula>"A"</formula>
    </cfRule>
    <cfRule type="cellIs" dxfId="1731" priority="866" operator="equal">
      <formula>"X"</formula>
    </cfRule>
    <cfRule type="cellIs" dxfId="1730" priority="867" operator="equal">
      <formula>"L"</formula>
    </cfRule>
    <cfRule type="cellIs" dxfId="1729" priority="868" operator="equal">
      <formula>"V"</formula>
    </cfRule>
  </conditionalFormatting>
  <conditionalFormatting sqref="AM232 AO232">
    <cfRule type="cellIs" dxfId="1721" priority="855" operator="equal">
      <formula>"NA"</formula>
    </cfRule>
    <cfRule type="cellIs" dxfId="1720" priority="856" operator="equal">
      <formula>"NS"</formula>
    </cfRule>
    <cfRule type="cellIs" dxfId="1719" priority="857" operator="equal">
      <formula>"S"</formula>
    </cfRule>
    <cfRule type="cellIs" dxfId="1718" priority="858" operator="equal">
      <formula>"A"</formula>
    </cfRule>
    <cfRule type="cellIs" dxfId="1717" priority="859" operator="equal">
      <formula>"X"</formula>
    </cfRule>
    <cfRule type="cellIs" dxfId="1716" priority="860" operator="equal">
      <formula>"L"</formula>
    </cfRule>
    <cfRule type="cellIs" dxfId="1715" priority="861" operator="equal">
      <formula>"V"</formula>
    </cfRule>
  </conditionalFormatting>
  <conditionalFormatting sqref="AN232">
    <cfRule type="cellIs" dxfId="1707" priority="848" operator="equal">
      <formula>"NA"</formula>
    </cfRule>
    <cfRule type="cellIs" dxfId="1706" priority="849" operator="equal">
      <formula>"NS"</formula>
    </cfRule>
    <cfRule type="cellIs" dxfId="1705" priority="850" operator="equal">
      <formula>"S"</formula>
    </cfRule>
    <cfRule type="cellIs" dxfId="1704" priority="851" operator="equal">
      <formula>"A"</formula>
    </cfRule>
    <cfRule type="cellIs" dxfId="1703" priority="852" operator="equal">
      <formula>"X"</formula>
    </cfRule>
    <cfRule type="cellIs" dxfId="1702" priority="853" operator="equal">
      <formula>"L"</formula>
    </cfRule>
    <cfRule type="cellIs" dxfId="1701" priority="854" operator="equal">
      <formula>"V"</formula>
    </cfRule>
  </conditionalFormatting>
  <conditionalFormatting sqref="AL232">
    <cfRule type="cellIs" dxfId="1693" priority="841" operator="equal">
      <formula>"NA"</formula>
    </cfRule>
    <cfRule type="cellIs" dxfId="1692" priority="842" operator="equal">
      <formula>"NS"</formula>
    </cfRule>
    <cfRule type="cellIs" dxfId="1691" priority="843" operator="equal">
      <formula>"S"</formula>
    </cfRule>
    <cfRule type="cellIs" dxfId="1690" priority="844" operator="equal">
      <formula>"A"</formula>
    </cfRule>
    <cfRule type="cellIs" dxfId="1689" priority="845" operator="equal">
      <formula>"X"</formula>
    </cfRule>
    <cfRule type="cellIs" dxfId="1688" priority="846" operator="equal">
      <formula>"L"</formula>
    </cfRule>
    <cfRule type="cellIs" dxfId="1687" priority="847" operator="equal">
      <formula>"V"</formula>
    </cfRule>
  </conditionalFormatting>
  <conditionalFormatting sqref="AM233 AO233">
    <cfRule type="cellIs" dxfId="1679" priority="834" operator="equal">
      <formula>"NA"</formula>
    </cfRule>
    <cfRule type="cellIs" dxfId="1678" priority="835" operator="equal">
      <formula>"NS"</formula>
    </cfRule>
    <cfRule type="cellIs" dxfId="1677" priority="836" operator="equal">
      <formula>"S"</formula>
    </cfRule>
    <cfRule type="cellIs" dxfId="1676" priority="837" operator="equal">
      <formula>"A"</formula>
    </cfRule>
    <cfRule type="cellIs" dxfId="1675" priority="838" operator="equal">
      <formula>"X"</formula>
    </cfRule>
    <cfRule type="cellIs" dxfId="1674" priority="839" operator="equal">
      <formula>"L"</formula>
    </cfRule>
    <cfRule type="cellIs" dxfId="1673" priority="840" operator="equal">
      <formula>"V"</formula>
    </cfRule>
  </conditionalFormatting>
  <conditionalFormatting sqref="AN233">
    <cfRule type="cellIs" dxfId="1665" priority="827" operator="equal">
      <formula>"NA"</formula>
    </cfRule>
    <cfRule type="cellIs" dxfId="1664" priority="828" operator="equal">
      <formula>"NS"</formula>
    </cfRule>
    <cfRule type="cellIs" dxfId="1663" priority="829" operator="equal">
      <formula>"S"</formula>
    </cfRule>
    <cfRule type="cellIs" dxfId="1662" priority="830" operator="equal">
      <formula>"A"</formula>
    </cfRule>
    <cfRule type="cellIs" dxfId="1661" priority="831" operator="equal">
      <formula>"X"</formula>
    </cfRule>
    <cfRule type="cellIs" dxfId="1660" priority="832" operator="equal">
      <formula>"L"</formula>
    </cfRule>
    <cfRule type="cellIs" dxfId="1659" priority="833" operator="equal">
      <formula>"V"</formula>
    </cfRule>
  </conditionalFormatting>
  <conditionalFormatting sqref="AL233">
    <cfRule type="cellIs" dxfId="1651" priority="820" operator="equal">
      <formula>"NA"</formula>
    </cfRule>
    <cfRule type="cellIs" dxfId="1650" priority="821" operator="equal">
      <formula>"NS"</formula>
    </cfRule>
    <cfRule type="cellIs" dxfId="1649" priority="822" operator="equal">
      <formula>"S"</formula>
    </cfRule>
    <cfRule type="cellIs" dxfId="1648" priority="823" operator="equal">
      <formula>"A"</formula>
    </cfRule>
    <cfRule type="cellIs" dxfId="1647" priority="824" operator="equal">
      <formula>"X"</formula>
    </cfRule>
    <cfRule type="cellIs" dxfId="1646" priority="825" operator="equal">
      <formula>"L"</formula>
    </cfRule>
    <cfRule type="cellIs" dxfId="1645" priority="826" operator="equal">
      <formula>"V"</formula>
    </cfRule>
  </conditionalFormatting>
  <conditionalFormatting sqref="AO235">
    <cfRule type="cellIs" dxfId="1637" priority="813" operator="equal">
      <formula>"NA"</formula>
    </cfRule>
    <cfRule type="cellIs" dxfId="1636" priority="814" operator="equal">
      <formula>"NS"</formula>
    </cfRule>
    <cfRule type="cellIs" dxfId="1635" priority="815" operator="equal">
      <formula>"S"</formula>
    </cfRule>
    <cfRule type="cellIs" dxfId="1634" priority="816" operator="equal">
      <formula>"A"</formula>
    </cfRule>
    <cfRule type="cellIs" dxfId="1633" priority="817" operator="equal">
      <formula>"X"</formula>
    </cfRule>
    <cfRule type="cellIs" dxfId="1632" priority="818" operator="equal">
      <formula>"L"</formula>
    </cfRule>
    <cfRule type="cellIs" dxfId="1631" priority="819" operator="equal">
      <formula>"V"</formula>
    </cfRule>
  </conditionalFormatting>
  <conditionalFormatting sqref="AN235">
    <cfRule type="cellIs" dxfId="1623" priority="806" operator="equal">
      <formula>"NA"</formula>
    </cfRule>
    <cfRule type="cellIs" dxfId="1622" priority="807" operator="equal">
      <formula>"NS"</formula>
    </cfRule>
    <cfRule type="cellIs" dxfId="1621" priority="808" operator="equal">
      <formula>"S"</formula>
    </cfRule>
    <cfRule type="cellIs" dxfId="1620" priority="809" operator="equal">
      <formula>"A"</formula>
    </cfRule>
    <cfRule type="cellIs" dxfId="1619" priority="810" operator="equal">
      <formula>"X"</formula>
    </cfRule>
    <cfRule type="cellIs" dxfId="1618" priority="811" operator="equal">
      <formula>"L"</formula>
    </cfRule>
    <cfRule type="cellIs" dxfId="1617" priority="812" operator="equal">
      <formula>"V"</formula>
    </cfRule>
  </conditionalFormatting>
  <conditionalFormatting sqref="AL235">
    <cfRule type="cellIs" dxfId="1609" priority="799" operator="equal">
      <formula>"NA"</formula>
    </cfRule>
    <cfRule type="cellIs" dxfId="1608" priority="800" operator="equal">
      <formula>"NS"</formula>
    </cfRule>
    <cfRule type="cellIs" dxfId="1607" priority="801" operator="equal">
      <formula>"S"</formula>
    </cfRule>
    <cfRule type="cellIs" dxfId="1606" priority="802" operator="equal">
      <formula>"A"</formula>
    </cfRule>
    <cfRule type="cellIs" dxfId="1605" priority="803" operator="equal">
      <formula>"X"</formula>
    </cfRule>
    <cfRule type="cellIs" dxfId="1604" priority="804" operator="equal">
      <formula>"L"</formula>
    </cfRule>
    <cfRule type="cellIs" dxfId="1603" priority="805" operator="equal">
      <formula>"V"</formula>
    </cfRule>
  </conditionalFormatting>
  <conditionalFormatting sqref="AO236">
    <cfRule type="cellIs" dxfId="1595" priority="792" operator="equal">
      <formula>"NA"</formula>
    </cfRule>
    <cfRule type="cellIs" dxfId="1594" priority="793" operator="equal">
      <formula>"NS"</formula>
    </cfRule>
    <cfRule type="cellIs" dxfId="1593" priority="794" operator="equal">
      <formula>"S"</formula>
    </cfRule>
    <cfRule type="cellIs" dxfId="1592" priority="795" operator="equal">
      <formula>"A"</formula>
    </cfRule>
    <cfRule type="cellIs" dxfId="1591" priority="796" operator="equal">
      <formula>"X"</formula>
    </cfRule>
    <cfRule type="cellIs" dxfId="1590" priority="797" operator="equal">
      <formula>"L"</formula>
    </cfRule>
    <cfRule type="cellIs" dxfId="1589" priority="798" operator="equal">
      <formula>"V"</formula>
    </cfRule>
  </conditionalFormatting>
  <conditionalFormatting sqref="AN236">
    <cfRule type="cellIs" dxfId="1581" priority="785" operator="equal">
      <formula>"NA"</formula>
    </cfRule>
    <cfRule type="cellIs" dxfId="1580" priority="786" operator="equal">
      <formula>"NS"</formula>
    </cfRule>
    <cfRule type="cellIs" dxfId="1579" priority="787" operator="equal">
      <formula>"S"</formula>
    </cfRule>
    <cfRule type="cellIs" dxfId="1578" priority="788" operator="equal">
      <formula>"A"</formula>
    </cfRule>
    <cfRule type="cellIs" dxfId="1577" priority="789" operator="equal">
      <formula>"X"</formula>
    </cfRule>
    <cfRule type="cellIs" dxfId="1576" priority="790" operator="equal">
      <formula>"L"</formula>
    </cfRule>
    <cfRule type="cellIs" dxfId="1575" priority="791" operator="equal">
      <formula>"V"</formula>
    </cfRule>
  </conditionalFormatting>
  <conditionalFormatting sqref="AL236">
    <cfRule type="cellIs" dxfId="1567" priority="778" operator="equal">
      <formula>"NA"</formula>
    </cfRule>
    <cfRule type="cellIs" dxfId="1566" priority="779" operator="equal">
      <formula>"NS"</formula>
    </cfRule>
    <cfRule type="cellIs" dxfId="1565" priority="780" operator="equal">
      <formula>"S"</formula>
    </cfRule>
    <cfRule type="cellIs" dxfId="1564" priority="781" operator="equal">
      <formula>"A"</formula>
    </cfRule>
    <cfRule type="cellIs" dxfId="1563" priority="782" operator="equal">
      <formula>"X"</formula>
    </cfRule>
    <cfRule type="cellIs" dxfId="1562" priority="783" operator="equal">
      <formula>"L"</formula>
    </cfRule>
    <cfRule type="cellIs" dxfId="1561" priority="784" operator="equal">
      <formula>"V"</formula>
    </cfRule>
  </conditionalFormatting>
  <conditionalFormatting sqref="AM237 AO237">
    <cfRule type="cellIs" dxfId="1553" priority="771" operator="equal">
      <formula>"NA"</formula>
    </cfRule>
    <cfRule type="cellIs" dxfId="1552" priority="772" operator="equal">
      <formula>"NS"</formula>
    </cfRule>
    <cfRule type="cellIs" dxfId="1551" priority="773" operator="equal">
      <formula>"S"</formula>
    </cfRule>
    <cfRule type="cellIs" dxfId="1550" priority="774" operator="equal">
      <formula>"A"</formula>
    </cfRule>
    <cfRule type="cellIs" dxfId="1549" priority="775" operator="equal">
      <formula>"X"</formula>
    </cfRule>
    <cfRule type="cellIs" dxfId="1548" priority="776" operator="equal">
      <formula>"L"</formula>
    </cfRule>
    <cfRule type="cellIs" dxfId="1547" priority="777" operator="equal">
      <formula>"V"</formula>
    </cfRule>
  </conditionalFormatting>
  <conditionalFormatting sqref="AN237">
    <cfRule type="cellIs" dxfId="1539" priority="764" operator="equal">
      <formula>"NA"</formula>
    </cfRule>
    <cfRule type="cellIs" dxfId="1538" priority="765" operator="equal">
      <formula>"NS"</formula>
    </cfRule>
    <cfRule type="cellIs" dxfId="1537" priority="766" operator="equal">
      <formula>"S"</formula>
    </cfRule>
    <cfRule type="cellIs" dxfId="1536" priority="767" operator="equal">
      <formula>"A"</formula>
    </cfRule>
    <cfRule type="cellIs" dxfId="1535" priority="768" operator="equal">
      <formula>"X"</formula>
    </cfRule>
    <cfRule type="cellIs" dxfId="1534" priority="769" operator="equal">
      <formula>"L"</formula>
    </cfRule>
    <cfRule type="cellIs" dxfId="1533" priority="770" operator="equal">
      <formula>"V"</formula>
    </cfRule>
  </conditionalFormatting>
  <conditionalFormatting sqref="AL237">
    <cfRule type="cellIs" dxfId="1525" priority="757" operator="equal">
      <formula>"NA"</formula>
    </cfRule>
    <cfRule type="cellIs" dxfId="1524" priority="758" operator="equal">
      <formula>"NS"</formula>
    </cfRule>
    <cfRule type="cellIs" dxfId="1523" priority="759" operator="equal">
      <formula>"S"</formula>
    </cfRule>
    <cfRule type="cellIs" dxfId="1522" priority="760" operator="equal">
      <formula>"A"</formula>
    </cfRule>
    <cfRule type="cellIs" dxfId="1521" priority="761" operator="equal">
      <formula>"X"</formula>
    </cfRule>
    <cfRule type="cellIs" dxfId="1520" priority="762" operator="equal">
      <formula>"L"</formula>
    </cfRule>
    <cfRule type="cellIs" dxfId="1519" priority="763" operator="equal">
      <formula>"V"</formula>
    </cfRule>
  </conditionalFormatting>
  <conditionalFormatting sqref="AM238 AO238">
    <cfRule type="cellIs" dxfId="1511" priority="750" operator="equal">
      <formula>"NA"</formula>
    </cfRule>
    <cfRule type="cellIs" dxfId="1510" priority="751" operator="equal">
      <formula>"NS"</formula>
    </cfRule>
    <cfRule type="cellIs" dxfId="1509" priority="752" operator="equal">
      <formula>"S"</formula>
    </cfRule>
    <cfRule type="cellIs" dxfId="1508" priority="753" operator="equal">
      <formula>"A"</formula>
    </cfRule>
    <cfRule type="cellIs" dxfId="1507" priority="754" operator="equal">
      <formula>"X"</formula>
    </cfRule>
    <cfRule type="cellIs" dxfId="1506" priority="755" operator="equal">
      <formula>"L"</formula>
    </cfRule>
    <cfRule type="cellIs" dxfId="1505" priority="756" operator="equal">
      <formula>"V"</formula>
    </cfRule>
  </conditionalFormatting>
  <conditionalFormatting sqref="AN238">
    <cfRule type="cellIs" dxfId="1497" priority="743" operator="equal">
      <formula>"NA"</formula>
    </cfRule>
    <cfRule type="cellIs" dxfId="1496" priority="744" operator="equal">
      <formula>"NS"</formula>
    </cfRule>
    <cfRule type="cellIs" dxfId="1495" priority="745" operator="equal">
      <formula>"S"</formula>
    </cfRule>
    <cfRule type="cellIs" dxfId="1494" priority="746" operator="equal">
      <formula>"A"</formula>
    </cfRule>
    <cfRule type="cellIs" dxfId="1493" priority="747" operator="equal">
      <formula>"X"</formula>
    </cfRule>
    <cfRule type="cellIs" dxfId="1492" priority="748" operator="equal">
      <formula>"L"</formula>
    </cfRule>
    <cfRule type="cellIs" dxfId="1491" priority="749" operator="equal">
      <formula>"V"</formula>
    </cfRule>
  </conditionalFormatting>
  <conditionalFormatting sqref="AL238">
    <cfRule type="cellIs" dxfId="1483" priority="736" operator="equal">
      <formula>"NA"</formula>
    </cfRule>
    <cfRule type="cellIs" dxfId="1482" priority="737" operator="equal">
      <formula>"NS"</formula>
    </cfRule>
    <cfRule type="cellIs" dxfId="1481" priority="738" operator="equal">
      <formula>"S"</formula>
    </cfRule>
    <cfRule type="cellIs" dxfId="1480" priority="739" operator="equal">
      <formula>"A"</formula>
    </cfRule>
    <cfRule type="cellIs" dxfId="1479" priority="740" operator="equal">
      <formula>"X"</formula>
    </cfRule>
    <cfRule type="cellIs" dxfId="1478" priority="741" operator="equal">
      <formula>"L"</formula>
    </cfRule>
    <cfRule type="cellIs" dxfId="1477" priority="742" operator="equal">
      <formula>"V"</formula>
    </cfRule>
  </conditionalFormatting>
  <conditionalFormatting sqref="AM239 AO239">
    <cfRule type="cellIs" dxfId="1469" priority="729" operator="equal">
      <formula>"NA"</formula>
    </cfRule>
    <cfRule type="cellIs" dxfId="1468" priority="730" operator="equal">
      <formula>"NS"</formula>
    </cfRule>
    <cfRule type="cellIs" dxfId="1467" priority="731" operator="equal">
      <formula>"S"</formula>
    </cfRule>
    <cfRule type="cellIs" dxfId="1466" priority="732" operator="equal">
      <formula>"A"</formula>
    </cfRule>
    <cfRule type="cellIs" dxfId="1465" priority="733" operator="equal">
      <formula>"X"</formula>
    </cfRule>
    <cfRule type="cellIs" dxfId="1464" priority="734" operator="equal">
      <formula>"L"</formula>
    </cfRule>
    <cfRule type="cellIs" dxfId="1463" priority="735" operator="equal">
      <formula>"V"</formula>
    </cfRule>
  </conditionalFormatting>
  <conditionalFormatting sqref="AN239">
    <cfRule type="cellIs" dxfId="1455" priority="722" operator="equal">
      <formula>"NA"</formula>
    </cfRule>
    <cfRule type="cellIs" dxfId="1454" priority="723" operator="equal">
      <formula>"NS"</formula>
    </cfRule>
    <cfRule type="cellIs" dxfId="1453" priority="724" operator="equal">
      <formula>"S"</formula>
    </cfRule>
    <cfRule type="cellIs" dxfId="1452" priority="725" operator="equal">
      <formula>"A"</formula>
    </cfRule>
    <cfRule type="cellIs" dxfId="1451" priority="726" operator="equal">
      <formula>"X"</formula>
    </cfRule>
    <cfRule type="cellIs" dxfId="1450" priority="727" operator="equal">
      <formula>"L"</formula>
    </cfRule>
    <cfRule type="cellIs" dxfId="1449" priority="728" operator="equal">
      <formula>"V"</formula>
    </cfRule>
  </conditionalFormatting>
  <conditionalFormatting sqref="AL239">
    <cfRule type="cellIs" dxfId="1441" priority="715" operator="equal">
      <formula>"NA"</formula>
    </cfRule>
    <cfRule type="cellIs" dxfId="1440" priority="716" operator="equal">
      <formula>"NS"</formula>
    </cfRule>
    <cfRule type="cellIs" dxfId="1439" priority="717" operator="equal">
      <formula>"S"</formula>
    </cfRule>
    <cfRule type="cellIs" dxfId="1438" priority="718" operator="equal">
      <formula>"A"</formula>
    </cfRule>
    <cfRule type="cellIs" dxfId="1437" priority="719" operator="equal">
      <formula>"X"</formula>
    </cfRule>
    <cfRule type="cellIs" dxfId="1436" priority="720" operator="equal">
      <formula>"L"</formula>
    </cfRule>
    <cfRule type="cellIs" dxfId="1435" priority="721" operator="equal">
      <formula>"V"</formula>
    </cfRule>
  </conditionalFormatting>
  <conditionalFormatting sqref="AM240 AO240">
    <cfRule type="cellIs" dxfId="1427" priority="708" operator="equal">
      <formula>"NA"</formula>
    </cfRule>
    <cfRule type="cellIs" dxfId="1426" priority="709" operator="equal">
      <formula>"NS"</formula>
    </cfRule>
    <cfRule type="cellIs" dxfId="1425" priority="710" operator="equal">
      <formula>"S"</formula>
    </cfRule>
    <cfRule type="cellIs" dxfId="1424" priority="711" operator="equal">
      <formula>"A"</formula>
    </cfRule>
    <cfRule type="cellIs" dxfId="1423" priority="712" operator="equal">
      <formula>"X"</formula>
    </cfRule>
    <cfRule type="cellIs" dxfId="1422" priority="713" operator="equal">
      <formula>"L"</formula>
    </cfRule>
    <cfRule type="cellIs" dxfId="1421" priority="714" operator="equal">
      <formula>"V"</formula>
    </cfRule>
  </conditionalFormatting>
  <conditionalFormatting sqref="AN240">
    <cfRule type="cellIs" dxfId="1413" priority="701" operator="equal">
      <formula>"NA"</formula>
    </cfRule>
    <cfRule type="cellIs" dxfId="1412" priority="702" operator="equal">
      <formula>"NS"</formula>
    </cfRule>
    <cfRule type="cellIs" dxfId="1411" priority="703" operator="equal">
      <formula>"S"</formula>
    </cfRule>
    <cfRule type="cellIs" dxfId="1410" priority="704" operator="equal">
      <formula>"A"</formula>
    </cfRule>
    <cfRule type="cellIs" dxfId="1409" priority="705" operator="equal">
      <formula>"X"</formula>
    </cfRule>
    <cfRule type="cellIs" dxfId="1408" priority="706" operator="equal">
      <formula>"L"</formula>
    </cfRule>
    <cfRule type="cellIs" dxfId="1407" priority="707" operator="equal">
      <formula>"V"</formula>
    </cfRule>
  </conditionalFormatting>
  <conditionalFormatting sqref="AL240">
    <cfRule type="cellIs" dxfId="1399" priority="694" operator="equal">
      <formula>"NA"</formula>
    </cfRule>
    <cfRule type="cellIs" dxfId="1398" priority="695" operator="equal">
      <formula>"NS"</formula>
    </cfRule>
    <cfRule type="cellIs" dxfId="1397" priority="696" operator="equal">
      <formula>"S"</formula>
    </cfRule>
    <cfRule type="cellIs" dxfId="1396" priority="697" operator="equal">
      <formula>"A"</formula>
    </cfRule>
    <cfRule type="cellIs" dxfId="1395" priority="698" operator="equal">
      <formula>"X"</formula>
    </cfRule>
    <cfRule type="cellIs" dxfId="1394" priority="699" operator="equal">
      <formula>"L"</formula>
    </cfRule>
    <cfRule type="cellIs" dxfId="1393" priority="700" operator="equal">
      <formula>"V"</formula>
    </cfRule>
  </conditionalFormatting>
  <conditionalFormatting sqref="AM241 AO241">
    <cfRule type="cellIs" dxfId="1385" priority="687" operator="equal">
      <formula>"NA"</formula>
    </cfRule>
    <cfRule type="cellIs" dxfId="1384" priority="688" operator="equal">
      <formula>"NS"</formula>
    </cfRule>
    <cfRule type="cellIs" dxfId="1383" priority="689" operator="equal">
      <formula>"S"</formula>
    </cfRule>
    <cfRule type="cellIs" dxfId="1382" priority="690" operator="equal">
      <formula>"A"</formula>
    </cfRule>
    <cfRule type="cellIs" dxfId="1381" priority="691" operator="equal">
      <formula>"X"</formula>
    </cfRule>
    <cfRule type="cellIs" dxfId="1380" priority="692" operator="equal">
      <formula>"L"</formula>
    </cfRule>
    <cfRule type="cellIs" dxfId="1379" priority="693" operator="equal">
      <formula>"V"</formula>
    </cfRule>
  </conditionalFormatting>
  <conditionalFormatting sqref="AN241">
    <cfRule type="cellIs" dxfId="1371" priority="680" operator="equal">
      <formula>"NA"</formula>
    </cfRule>
    <cfRule type="cellIs" dxfId="1370" priority="681" operator="equal">
      <formula>"NS"</formula>
    </cfRule>
    <cfRule type="cellIs" dxfId="1369" priority="682" operator="equal">
      <formula>"S"</formula>
    </cfRule>
    <cfRule type="cellIs" dxfId="1368" priority="683" operator="equal">
      <formula>"A"</formula>
    </cfRule>
    <cfRule type="cellIs" dxfId="1367" priority="684" operator="equal">
      <formula>"X"</formula>
    </cfRule>
    <cfRule type="cellIs" dxfId="1366" priority="685" operator="equal">
      <formula>"L"</formula>
    </cfRule>
    <cfRule type="cellIs" dxfId="1365" priority="686" operator="equal">
      <formula>"V"</formula>
    </cfRule>
  </conditionalFormatting>
  <conditionalFormatting sqref="AL241">
    <cfRule type="cellIs" dxfId="1357" priority="673" operator="equal">
      <formula>"NA"</formula>
    </cfRule>
    <cfRule type="cellIs" dxfId="1356" priority="674" operator="equal">
      <formula>"NS"</formula>
    </cfRule>
    <cfRule type="cellIs" dxfId="1355" priority="675" operator="equal">
      <formula>"S"</formula>
    </cfRule>
    <cfRule type="cellIs" dxfId="1354" priority="676" operator="equal">
      <formula>"A"</formula>
    </cfRule>
    <cfRule type="cellIs" dxfId="1353" priority="677" operator="equal">
      <formula>"X"</formula>
    </cfRule>
    <cfRule type="cellIs" dxfId="1352" priority="678" operator="equal">
      <formula>"L"</formula>
    </cfRule>
    <cfRule type="cellIs" dxfId="1351" priority="679" operator="equal">
      <formula>"V"</formula>
    </cfRule>
  </conditionalFormatting>
  <conditionalFormatting sqref="AM242 AO242">
    <cfRule type="cellIs" dxfId="1343" priority="666" operator="equal">
      <formula>"NA"</formula>
    </cfRule>
    <cfRule type="cellIs" dxfId="1342" priority="667" operator="equal">
      <formula>"NS"</formula>
    </cfRule>
    <cfRule type="cellIs" dxfId="1341" priority="668" operator="equal">
      <formula>"S"</formula>
    </cfRule>
    <cfRule type="cellIs" dxfId="1340" priority="669" operator="equal">
      <formula>"A"</formula>
    </cfRule>
    <cfRule type="cellIs" dxfId="1339" priority="670" operator="equal">
      <formula>"X"</formula>
    </cfRule>
    <cfRule type="cellIs" dxfId="1338" priority="671" operator="equal">
      <formula>"L"</formula>
    </cfRule>
    <cfRule type="cellIs" dxfId="1337" priority="672" operator="equal">
      <formula>"V"</formula>
    </cfRule>
  </conditionalFormatting>
  <conditionalFormatting sqref="AN242">
    <cfRule type="cellIs" dxfId="1329" priority="659" operator="equal">
      <formula>"NA"</formula>
    </cfRule>
    <cfRule type="cellIs" dxfId="1328" priority="660" operator="equal">
      <formula>"NS"</formula>
    </cfRule>
    <cfRule type="cellIs" dxfId="1327" priority="661" operator="equal">
      <formula>"S"</formula>
    </cfRule>
    <cfRule type="cellIs" dxfId="1326" priority="662" operator="equal">
      <formula>"A"</formula>
    </cfRule>
    <cfRule type="cellIs" dxfId="1325" priority="663" operator="equal">
      <formula>"X"</formula>
    </cfRule>
    <cfRule type="cellIs" dxfId="1324" priority="664" operator="equal">
      <formula>"L"</formula>
    </cfRule>
    <cfRule type="cellIs" dxfId="1323" priority="665" operator="equal">
      <formula>"V"</formula>
    </cfRule>
  </conditionalFormatting>
  <conditionalFormatting sqref="AL242">
    <cfRule type="cellIs" dxfId="1315" priority="652" operator="equal">
      <formula>"NA"</formula>
    </cfRule>
    <cfRule type="cellIs" dxfId="1314" priority="653" operator="equal">
      <formula>"NS"</formula>
    </cfRule>
    <cfRule type="cellIs" dxfId="1313" priority="654" operator="equal">
      <formula>"S"</formula>
    </cfRule>
    <cfRule type="cellIs" dxfId="1312" priority="655" operator="equal">
      <formula>"A"</formula>
    </cfRule>
    <cfRule type="cellIs" dxfId="1311" priority="656" operator="equal">
      <formula>"X"</formula>
    </cfRule>
    <cfRule type="cellIs" dxfId="1310" priority="657" operator="equal">
      <formula>"L"</formula>
    </cfRule>
    <cfRule type="cellIs" dxfId="1309" priority="658" operator="equal">
      <formula>"V"</formula>
    </cfRule>
  </conditionalFormatting>
  <conditionalFormatting sqref="AM243 AO243">
    <cfRule type="cellIs" dxfId="1301" priority="645" operator="equal">
      <formula>"NA"</formula>
    </cfRule>
    <cfRule type="cellIs" dxfId="1300" priority="646" operator="equal">
      <formula>"NS"</formula>
    </cfRule>
    <cfRule type="cellIs" dxfId="1299" priority="647" operator="equal">
      <formula>"S"</formula>
    </cfRule>
    <cfRule type="cellIs" dxfId="1298" priority="648" operator="equal">
      <formula>"A"</formula>
    </cfRule>
    <cfRule type="cellIs" dxfId="1297" priority="649" operator="equal">
      <formula>"X"</formula>
    </cfRule>
    <cfRule type="cellIs" dxfId="1296" priority="650" operator="equal">
      <formula>"L"</formula>
    </cfRule>
    <cfRule type="cellIs" dxfId="1295" priority="651" operator="equal">
      <formula>"V"</formula>
    </cfRule>
  </conditionalFormatting>
  <conditionalFormatting sqref="AN243">
    <cfRule type="cellIs" dxfId="1287" priority="638" operator="equal">
      <formula>"NA"</formula>
    </cfRule>
    <cfRule type="cellIs" dxfId="1286" priority="639" operator="equal">
      <formula>"NS"</formula>
    </cfRule>
    <cfRule type="cellIs" dxfId="1285" priority="640" operator="equal">
      <formula>"S"</formula>
    </cfRule>
    <cfRule type="cellIs" dxfId="1284" priority="641" operator="equal">
      <formula>"A"</formula>
    </cfRule>
    <cfRule type="cellIs" dxfId="1283" priority="642" operator="equal">
      <formula>"X"</formula>
    </cfRule>
    <cfRule type="cellIs" dxfId="1282" priority="643" operator="equal">
      <formula>"L"</formula>
    </cfRule>
    <cfRule type="cellIs" dxfId="1281" priority="644" operator="equal">
      <formula>"V"</formula>
    </cfRule>
  </conditionalFormatting>
  <conditionalFormatting sqref="AL243">
    <cfRule type="cellIs" dxfId="1273" priority="631" operator="equal">
      <formula>"NA"</formula>
    </cfRule>
    <cfRule type="cellIs" dxfId="1272" priority="632" operator="equal">
      <formula>"NS"</formula>
    </cfRule>
    <cfRule type="cellIs" dxfId="1271" priority="633" operator="equal">
      <formula>"S"</formula>
    </cfRule>
    <cfRule type="cellIs" dxfId="1270" priority="634" operator="equal">
      <formula>"A"</formula>
    </cfRule>
    <cfRule type="cellIs" dxfId="1269" priority="635" operator="equal">
      <formula>"X"</formula>
    </cfRule>
    <cfRule type="cellIs" dxfId="1268" priority="636" operator="equal">
      <formula>"L"</formula>
    </cfRule>
    <cfRule type="cellIs" dxfId="1267" priority="637" operator="equal">
      <formula>"V"</formula>
    </cfRule>
  </conditionalFormatting>
  <conditionalFormatting sqref="AN244">
    <cfRule type="cellIs" dxfId="1259" priority="624" operator="equal">
      <formula>"NA"</formula>
    </cfRule>
    <cfRule type="cellIs" dxfId="1258" priority="625" operator="equal">
      <formula>"NS"</formula>
    </cfRule>
    <cfRule type="cellIs" dxfId="1257" priority="626" operator="equal">
      <formula>"S"</formula>
    </cfRule>
    <cfRule type="cellIs" dxfId="1256" priority="627" operator="equal">
      <formula>"A"</formula>
    </cfRule>
    <cfRule type="cellIs" dxfId="1255" priority="628" operator="equal">
      <formula>"X"</formula>
    </cfRule>
    <cfRule type="cellIs" dxfId="1254" priority="629" operator="equal">
      <formula>"L"</formula>
    </cfRule>
    <cfRule type="cellIs" dxfId="1253" priority="630" operator="equal">
      <formula>"V"</formula>
    </cfRule>
  </conditionalFormatting>
  <conditionalFormatting sqref="AO244">
    <cfRule type="cellIs" dxfId="1245" priority="617" operator="equal">
      <formula>"NA"</formula>
    </cfRule>
    <cfRule type="cellIs" dxfId="1244" priority="618" operator="equal">
      <formula>"NS"</formula>
    </cfRule>
    <cfRule type="cellIs" dxfId="1243" priority="619" operator="equal">
      <formula>"S"</formula>
    </cfRule>
    <cfRule type="cellIs" dxfId="1242" priority="620" operator="equal">
      <formula>"A"</formula>
    </cfRule>
    <cfRule type="cellIs" dxfId="1241" priority="621" operator="equal">
      <formula>"X"</formula>
    </cfRule>
    <cfRule type="cellIs" dxfId="1240" priority="622" operator="equal">
      <formula>"L"</formula>
    </cfRule>
    <cfRule type="cellIs" dxfId="1239" priority="623" operator="equal">
      <formula>"V"</formula>
    </cfRule>
  </conditionalFormatting>
  <conditionalFormatting sqref="AM229">
    <cfRule type="cellIs" dxfId="1231" priority="610" operator="equal">
      <formula>"NA"</formula>
    </cfRule>
    <cfRule type="cellIs" dxfId="1230" priority="611" operator="equal">
      <formula>"NS"</formula>
    </cfRule>
    <cfRule type="cellIs" dxfId="1229" priority="612" operator="equal">
      <formula>"S"</formula>
    </cfRule>
    <cfRule type="cellIs" dxfId="1228" priority="613" operator="equal">
      <formula>"A"</formula>
    </cfRule>
    <cfRule type="cellIs" dxfId="1227" priority="614" operator="equal">
      <formula>"X"</formula>
    </cfRule>
    <cfRule type="cellIs" dxfId="1226" priority="615" operator="equal">
      <formula>"L"</formula>
    </cfRule>
    <cfRule type="cellIs" dxfId="1225" priority="616" operator="equal">
      <formula>"V"</formula>
    </cfRule>
  </conditionalFormatting>
  <conditionalFormatting sqref="AL245:AO254">
    <cfRule type="cellIs" dxfId="1217" priority="603" operator="equal">
      <formula>"NA"</formula>
    </cfRule>
    <cfRule type="cellIs" dxfId="1216" priority="604" operator="equal">
      <formula>"NS"</formula>
    </cfRule>
    <cfRule type="cellIs" dxfId="1215" priority="605" operator="equal">
      <formula>"S"</formula>
    </cfRule>
    <cfRule type="cellIs" dxfId="1214" priority="606" operator="equal">
      <formula>"A"</formula>
    </cfRule>
    <cfRule type="cellIs" dxfId="1213" priority="607" operator="equal">
      <formula>"X"</formula>
    </cfRule>
    <cfRule type="cellIs" dxfId="1212" priority="608" operator="equal">
      <formula>"L"</formula>
    </cfRule>
    <cfRule type="cellIs" dxfId="1211" priority="609" operator="equal">
      <formula>"V"</formula>
    </cfRule>
  </conditionalFormatting>
  <conditionalFormatting sqref="AL255:AO255">
    <cfRule type="cellIs" dxfId="1203" priority="596" operator="equal">
      <formula>"NA"</formula>
    </cfRule>
    <cfRule type="cellIs" dxfId="1202" priority="597" operator="equal">
      <formula>"NS"</formula>
    </cfRule>
    <cfRule type="cellIs" dxfId="1201" priority="598" operator="equal">
      <formula>"S"</formula>
    </cfRule>
    <cfRule type="cellIs" dxfId="1200" priority="599" operator="equal">
      <formula>"A"</formula>
    </cfRule>
    <cfRule type="cellIs" dxfId="1199" priority="600" operator="equal">
      <formula>"X"</formula>
    </cfRule>
    <cfRule type="cellIs" dxfId="1198" priority="601" operator="equal">
      <formula>"L"</formula>
    </cfRule>
    <cfRule type="cellIs" dxfId="1197" priority="602" operator="equal">
      <formula>"V"</formula>
    </cfRule>
  </conditionalFormatting>
  <conditionalFormatting sqref="AL256:AO263">
    <cfRule type="cellIs" dxfId="1189" priority="589" operator="equal">
      <formula>"NA"</formula>
    </cfRule>
    <cfRule type="cellIs" dxfId="1188" priority="590" operator="equal">
      <formula>"NS"</formula>
    </cfRule>
    <cfRule type="cellIs" dxfId="1187" priority="591" operator="equal">
      <formula>"S"</formula>
    </cfRule>
    <cfRule type="cellIs" dxfId="1186" priority="592" operator="equal">
      <formula>"A"</formula>
    </cfRule>
    <cfRule type="cellIs" dxfId="1185" priority="593" operator="equal">
      <formula>"X"</formula>
    </cfRule>
    <cfRule type="cellIs" dxfId="1184" priority="594" operator="equal">
      <formula>"L"</formula>
    </cfRule>
    <cfRule type="cellIs" dxfId="1183" priority="595" operator="equal">
      <formula>"V"</formula>
    </cfRule>
  </conditionalFormatting>
  <conditionalFormatting sqref="AN264">
    <cfRule type="cellIs" dxfId="1175" priority="582" operator="equal">
      <formula>"NA"</formula>
    </cfRule>
    <cfRule type="cellIs" dxfId="1174" priority="583" operator="equal">
      <formula>"NS"</formula>
    </cfRule>
    <cfRule type="cellIs" dxfId="1173" priority="584" operator="equal">
      <formula>"S"</formula>
    </cfRule>
    <cfRule type="cellIs" dxfId="1172" priority="585" operator="equal">
      <formula>"A"</formula>
    </cfRule>
    <cfRule type="cellIs" dxfId="1171" priority="586" operator="equal">
      <formula>"X"</formula>
    </cfRule>
    <cfRule type="cellIs" dxfId="1170" priority="587" operator="equal">
      <formula>"L"</formula>
    </cfRule>
    <cfRule type="cellIs" dxfId="1169" priority="588" operator="equal">
      <formula>"V"</formula>
    </cfRule>
  </conditionalFormatting>
  <conditionalFormatting sqref="AL264">
    <cfRule type="cellIs" dxfId="1161" priority="575" operator="equal">
      <formula>"NA"</formula>
    </cfRule>
    <cfRule type="cellIs" dxfId="1160" priority="576" operator="equal">
      <formula>"NS"</formula>
    </cfRule>
    <cfRule type="cellIs" dxfId="1159" priority="577" operator="equal">
      <formula>"S"</formula>
    </cfRule>
    <cfRule type="cellIs" dxfId="1158" priority="578" operator="equal">
      <formula>"A"</formula>
    </cfRule>
    <cfRule type="cellIs" dxfId="1157" priority="579" operator="equal">
      <formula>"X"</formula>
    </cfRule>
    <cfRule type="cellIs" dxfId="1156" priority="580" operator="equal">
      <formula>"L"</formula>
    </cfRule>
    <cfRule type="cellIs" dxfId="1155" priority="581" operator="equal">
      <formula>"V"</formula>
    </cfRule>
  </conditionalFormatting>
  <conditionalFormatting sqref="AL265:AO274">
    <cfRule type="cellIs" dxfId="1147" priority="568" operator="equal">
      <formula>"NA"</formula>
    </cfRule>
    <cfRule type="cellIs" dxfId="1146" priority="569" operator="equal">
      <formula>"NS"</formula>
    </cfRule>
    <cfRule type="cellIs" dxfId="1145" priority="570" operator="equal">
      <formula>"S"</formula>
    </cfRule>
    <cfRule type="cellIs" dxfId="1144" priority="571" operator="equal">
      <formula>"A"</formula>
    </cfRule>
    <cfRule type="cellIs" dxfId="1143" priority="572" operator="equal">
      <formula>"X"</formula>
    </cfRule>
    <cfRule type="cellIs" dxfId="1142" priority="573" operator="equal">
      <formula>"L"</formula>
    </cfRule>
    <cfRule type="cellIs" dxfId="1141" priority="574" operator="equal">
      <formula>"V"</formula>
    </cfRule>
  </conditionalFormatting>
  <conditionalFormatting sqref="AN631:AO631">
    <cfRule type="cellIs" dxfId="1133" priority="561" operator="equal">
      <formula>"NA"</formula>
    </cfRule>
    <cfRule type="cellIs" dxfId="1132" priority="562" operator="equal">
      <formula>"NS"</formula>
    </cfRule>
    <cfRule type="cellIs" dxfId="1131" priority="563" operator="equal">
      <formula>"S"</formula>
    </cfRule>
    <cfRule type="cellIs" dxfId="1130" priority="564" operator="equal">
      <formula>"A"</formula>
    </cfRule>
    <cfRule type="cellIs" dxfId="1129" priority="565" operator="equal">
      <formula>"X"</formula>
    </cfRule>
    <cfRule type="cellIs" dxfId="1128" priority="566" operator="equal">
      <formula>"L"</formula>
    </cfRule>
    <cfRule type="cellIs" dxfId="1127" priority="567" operator="equal">
      <formula>"V"</formula>
    </cfRule>
  </conditionalFormatting>
  <conditionalFormatting sqref="AL632:AM632">
    <cfRule type="cellIs" dxfId="1119" priority="554" operator="equal">
      <formula>"NA"</formula>
    </cfRule>
    <cfRule type="cellIs" dxfId="1118" priority="555" operator="equal">
      <formula>"NS"</formula>
    </cfRule>
    <cfRule type="cellIs" dxfId="1117" priority="556" operator="equal">
      <formula>"S"</formula>
    </cfRule>
    <cfRule type="cellIs" dxfId="1116" priority="557" operator="equal">
      <formula>"A"</formula>
    </cfRule>
    <cfRule type="cellIs" dxfId="1115" priority="558" operator="equal">
      <formula>"X"</formula>
    </cfRule>
    <cfRule type="cellIs" dxfId="1114" priority="559" operator="equal">
      <formula>"L"</formula>
    </cfRule>
    <cfRule type="cellIs" dxfId="1113" priority="560" operator="equal">
      <formula>"V"</formula>
    </cfRule>
  </conditionalFormatting>
  <conditionalFormatting sqref="AN632:AO632">
    <cfRule type="cellIs" dxfId="1105" priority="547" operator="equal">
      <formula>"NA"</formula>
    </cfRule>
    <cfRule type="cellIs" dxfId="1104" priority="548" operator="equal">
      <formula>"NS"</formula>
    </cfRule>
    <cfRule type="cellIs" dxfId="1103" priority="549" operator="equal">
      <formula>"S"</formula>
    </cfRule>
    <cfRule type="cellIs" dxfId="1102" priority="550" operator="equal">
      <formula>"A"</formula>
    </cfRule>
    <cfRule type="cellIs" dxfId="1101" priority="551" operator="equal">
      <formula>"X"</formula>
    </cfRule>
    <cfRule type="cellIs" dxfId="1100" priority="552" operator="equal">
      <formula>"L"</formula>
    </cfRule>
    <cfRule type="cellIs" dxfId="1099" priority="553" operator="equal">
      <formula>"V"</formula>
    </cfRule>
  </conditionalFormatting>
  <conditionalFormatting sqref="AL633:AM633">
    <cfRule type="cellIs" dxfId="1091" priority="540" operator="equal">
      <formula>"NA"</formula>
    </cfRule>
    <cfRule type="cellIs" dxfId="1090" priority="541" operator="equal">
      <formula>"NS"</formula>
    </cfRule>
    <cfRule type="cellIs" dxfId="1089" priority="542" operator="equal">
      <formula>"S"</formula>
    </cfRule>
    <cfRule type="cellIs" dxfId="1088" priority="543" operator="equal">
      <formula>"A"</formula>
    </cfRule>
    <cfRule type="cellIs" dxfId="1087" priority="544" operator="equal">
      <formula>"X"</formula>
    </cfRule>
    <cfRule type="cellIs" dxfId="1086" priority="545" operator="equal">
      <formula>"L"</formula>
    </cfRule>
    <cfRule type="cellIs" dxfId="1085" priority="546" operator="equal">
      <formula>"V"</formula>
    </cfRule>
  </conditionalFormatting>
  <conditionalFormatting sqref="AN633:AO633">
    <cfRule type="cellIs" dxfId="1077" priority="533" operator="equal">
      <formula>"NA"</formula>
    </cfRule>
    <cfRule type="cellIs" dxfId="1076" priority="534" operator="equal">
      <formula>"NS"</formula>
    </cfRule>
    <cfRule type="cellIs" dxfId="1075" priority="535" operator="equal">
      <formula>"S"</formula>
    </cfRule>
    <cfRule type="cellIs" dxfId="1074" priority="536" operator="equal">
      <formula>"A"</formula>
    </cfRule>
    <cfRule type="cellIs" dxfId="1073" priority="537" operator="equal">
      <formula>"X"</formula>
    </cfRule>
    <cfRule type="cellIs" dxfId="1072" priority="538" operator="equal">
      <formula>"L"</formula>
    </cfRule>
    <cfRule type="cellIs" dxfId="1071" priority="539" operator="equal">
      <formula>"V"</formula>
    </cfRule>
  </conditionalFormatting>
  <conditionalFormatting sqref="AL634:AM634">
    <cfRule type="cellIs" dxfId="1063" priority="526" operator="equal">
      <formula>"NA"</formula>
    </cfRule>
    <cfRule type="cellIs" dxfId="1062" priority="527" operator="equal">
      <formula>"NS"</formula>
    </cfRule>
    <cfRule type="cellIs" dxfId="1061" priority="528" operator="equal">
      <formula>"S"</formula>
    </cfRule>
    <cfRule type="cellIs" dxfId="1060" priority="529" operator="equal">
      <formula>"A"</formula>
    </cfRule>
    <cfRule type="cellIs" dxfId="1059" priority="530" operator="equal">
      <formula>"X"</formula>
    </cfRule>
    <cfRule type="cellIs" dxfId="1058" priority="531" operator="equal">
      <formula>"L"</formula>
    </cfRule>
    <cfRule type="cellIs" dxfId="1057" priority="532" operator="equal">
      <formula>"V"</formula>
    </cfRule>
  </conditionalFormatting>
  <conditionalFormatting sqref="AN634:AO634">
    <cfRule type="cellIs" dxfId="1049" priority="519" operator="equal">
      <formula>"NA"</formula>
    </cfRule>
    <cfRule type="cellIs" dxfId="1048" priority="520" operator="equal">
      <formula>"NS"</formula>
    </cfRule>
    <cfRule type="cellIs" dxfId="1047" priority="521" operator="equal">
      <formula>"S"</formula>
    </cfRule>
    <cfRule type="cellIs" dxfId="1046" priority="522" operator="equal">
      <formula>"A"</formula>
    </cfRule>
    <cfRule type="cellIs" dxfId="1045" priority="523" operator="equal">
      <formula>"X"</formula>
    </cfRule>
    <cfRule type="cellIs" dxfId="1044" priority="524" operator="equal">
      <formula>"L"</formula>
    </cfRule>
    <cfRule type="cellIs" dxfId="1043" priority="525" operator="equal">
      <formula>"V"</formula>
    </cfRule>
  </conditionalFormatting>
  <conditionalFormatting sqref="AL635:AM635">
    <cfRule type="cellIs" dxfId="1035" priority="512" operator="equal">
      <formula>"NA"</formula>
    </cfRule>
    <cfRule type="cellIs" dxfId="1034" priority="513" operator="equal">
      <formula>"NS"</formula>
    </cfRule>
    <cfRule type="cellIs" dxfId="1033" priority="514" operator="equal">
      <formula>"S"</formula>
    </cfRule>
    <cfRule type="cellIs" dxfId="1032" priority="515" operator="equal">
      <formula>"A"</formula>
    </cfRule>
    <cfRule type="cellIs" dxfId="1031" priority="516" operator="equal">
      <formula>"X"</formula>
    </cfRule>
    <cfRule type="cellIs" dxfId="1030" priority="517" operator="equal">
      <formula>"L"</formula>
    </cfRule>
    <cfRule type="cellIs" dxfId="1029" priority="518" operator="equal">
      <formula>"V"</formula>
    </cfRule>
  </conditionalFormatting>
  <conditionalFormatting sqref="AN635:AO635">
    <cfRule type="cellIs" dxfId="1021" priority="505" operator="equal">
      <formula>"NA"</formula>
    </cfRule>
    <cfRule type="cellIs" dxfId="1020" priority="506" operator="equal">
      <formula>"NS"</formula>
    </cfRule>
    <cfRule type="cellIs" dxfId="1019" priority="507" operator="equal">
      <formula>"S"</formula>
    </cfRule>
    <cfRule type="cellIs" dxfId="1018" priority="508" operator="equal">
      <formula>"A"</formula>
    </cfRule>
    <cfRule type="cellIs" dxfId="1017" priority="509" operator="equal">
      <formula>"X"</formula>
    </cfRule>
    <cfRule type="cellIs" dxfId="1016" priority="510" operator="equal">
      <formula>"L"</formula>
    </cfRule>
    <cfRule type="cellIs" dxfId="1015" priority="511" operator="equal">
      <formula>"V"</formula>
    </cfRule>
  </conditionalFormatting>
  <conditionalFormatting sqref="AL636:AO638">
    <cfRule type="cellIs" dxfId="1007" priority="498" operator="equal">
      <formula>"NA"</formula>
    </cfRule>
    <cfRule type="cellIs" dxfId="1006" priority="499" operator="equal">
      <formula>"NS"</formula>
    </cfRule>
    <cfRule type="cellIs" dxfId="1005" priority="500" operator="equal">
      <formula>"S"</formula>
    </cfRule>
    <cfRule type="cellIs" dxfId="1004" priority="501" operator="equal">
      <formula>"A"</formula>
    </cfRule>
    <cfRule type="cellIs" dxfId="1003" priority="502" operator="equal">
      <formula>"X"</formula>
    </cfRule>
    <cfRule type="cellIs" dxfId="1002" priority="503" operator="equal">
      <formula>"L"</formula>
    </cfRule>
    <cfRule type="cellIs" dxfId="1001" priority="504" operator="equal">
      <formula>"V"</formula>
    </cfRule>
  </conditionalFormatting>
  <conditionalFormatting sqref="AL639:AO644">
    <cfRule type="cellIs" dxfId="993" priority="491" operator="equal">
      <formula>"NA"</formula>
    </cfRule>
    <cfRule type="cellIs" dxfId="992" priority="492" operator="equal">
      <formula>"NS"</formula>
    </cfRule>
    <cfRule type="cellIs" dxfId="991" priority="493" operator="equal">
      <formula>"S"</formula>
    </cfRule>
    <cfRule type="cellIs" dxfId="990" priority="494" operator="equal">
      <formula>"A"</formula>
    </cfRule>
    <cfRule type="cellIs" dxfId="989" priority="495" operator="equal">
      <formula>"X"</formula>
    </cfRule>
    <cfRule type="cellIs" dxfId="988" priority="496" operator="equal">
      <formula>"L"</formula>
    </cfRule>
    <cfRule type="cellIs" dxfId="987" priority="497" operator="equal">
      <formula>"V"</formula>
    </cfRule>
  </conditionalFormatting>
  <conditionalFormatting sqref="AN646:AO646">
    <cfRule type="cellIs" dxfId="979" priority="484" operator="equal">
      <formula>"NA"</formula>
    </cfRule>
    <cfRule type="cellIs" dxfId="978" priority="485" operator="equal">
      <formula>"NS"</formula>
    </cfRule>
    <cfRule type="cellIs" dxfId="977" priority="486" operator="equal">
      <formula>"S"</formula>
    </cfRule>
    <cfRule type="cellIs" dxfId="976" priority="487" operator="equal">
      <formula>"A"</formula>
    </cfRule>
    <cfRule type="cellIs" dxfId="975" priority="488" operator="equal">
      <formula>"X"</formula>
    </cfRule>
    <cfRule type="cellIs" dxfId="974" priority="489" operator="equal">
      <formula>"L"</formula>
    </cfRule>
    <cfRule type="cellIs" dxfId="973" priority="490" operator="equal">
      <formula>"V"</formula>
    </cfRule>
  </conditionalFormatting>
  <conditionalFormatting sqref="AL647:AM647">
    <cfRule type="cellIs" dxfId="965" priority="477" operator="equal">
      <formula>"NA"</formula>
    </cfRule>
    <cfRule type="cellIs" dxfId="964" priority="478" operator="equal">
      <formula>"NS"</formula>
    </cfRule>
    <cfRule type="cellIs" dxfId="963" priority="479" operator="equal">
      <formula>"S"</formula>
    </cfRule>
    <cfRule type="cellIs" dxfId="962" priority="480" operator="equal">
      <formula>"A"</formula>
    </cfRule>
    <cfRule type="cellIs" dxfId="961" priority="481" operator="equal">
      <formula>"X"</formula>
    </cfRule>
    <cfRule type="cellIs" dxfId="960" priority="482" operator="equal">
      <formula>"L"</formula>
    </cfRule>
    <cfRule type="cellIs" dxfId="959" priority="483" operator="equal">
      <formula>"V"</formula>
    </cfRule>
  </conditionalFormatting>
  <conditionalFormatting sqref="AN647:AO647">
    <cfRule type="cellIs" dxfId="951" priority="470" operator="equal">
      <formula>"NA"</formula>
    </cfRule>
    <cfRule type="cellIs" dxfId="950" priority="471" operator="equal">
      <formula>"NS"</formula>
    </cfRule>
    <cfRule type="cellIs" dxfId="949" priority="472" operator="equal">
      <formula>"S"</formula>
    </cfRule>
    <cfRule type="cellIs" dxfId="948" priority="473" operator="equal">
      <formula>"A"</formula>
    </cfRule>
    <cfRule type="cellIs" dxfId="947" priority="474" operator="equal">
      <formula>"X"</formula>
    </cfRule>
    <cfRule type="cellIs" dxfId="946" priority="475" operator="equal">
      <formula>"L"</formula>
    </cfRule>
    <cfRule type="cellIs" dxfId="945" priority="476" operator="equal">
      <formula>"V"</formula>
    </cfRule>
  </conditionalFormatting>
  <conditionalFormatting sqref="AL645:AM645">
    <cfRule type="cellIs" dxfId="937" priority="463" operator="equal">
      <formula>"NA"</formula>
    </cfRule>
    <cfRule type="cellIs" dxfId="936" priority="464" operator="equal">
      <formula>"NS"</formula>
    </cfRule>
    <cfRule type="cellIs" dxfId="935" priority="465" operator="equal">
      <formula>"S"</formula>
    </cfRule>
    <cfRule type="cellIs" dxfId="934" priority="466" operator="equal">
      <formula>"A"</formula>
    </cfRule>
    <cfRule type="cellIs" dxfId="933" priority="467" operator="equal">
      <formula>"X"</formula>
    </cfRule>
    <cfRule type="cellIs" dxfId="932" priority="468" operator="equal">
      <formula>"L"</formula>
    </cfRule>
    <cfRule type="cellIs" dxfId="931" priority="469" operator="equal">
      <formula>"V"</formula>
    </cfRule>
  </conditionalFormatting>
  <conditionalFormatting sqref="AN645:AO645">
    <cfRule type="cellIs" dxfId="923" priority="456" operator="equal">
      <formula>"NA"</formula>
    </cfRule>
    <cfRule type="cellIs" dxfId="922" priority="457" operator="equal">
      <formula>"NS"</formula>
    </cfRule>
    <cfRule type="cellIs" dxfId="921" priority="458" operator="equal">
      <formula>"S"</formula>
    </cfRule>
    <cfRule type="cellIs" dxfId="920" priority="459" operator="equal">
      <formula>"A"</formula>
    </cfRule>
    <cfRule type="cellIs" dxfId="919" priority="460" operator="equal">
      <formula>"X"</formula>
    </cfRule>
    <cfRule type="cellIs" dxfId="918" priority="461" operator="equal">
      <formula>"L"</formula>
    </cfRule>
    <cfRule type="cellIs" dxfId="917" priority="462" operator="equal">
      <formula>"V"</formula>
    </cfRule>
  </conditionalFormatting>
  <conditionalFormatting sqref="AL646:AM646">
    <cfRule type="cellIs" dxfId="909" priority="449" operator="equal">
      <formula>"NA"</formula>
    </cfRule>
    <cfRule type="cellIs" dxfId="908" priority="450" operator="equal">
      <formula>"NS"</formula>
    </cfRule>
    <cfRule type="cellIs" dxfId="907" priority="451" operator="equal">
      <formula>"S"</formula>
    </cfRule>
    <cfRule type="cellIs" dxfId="906" priority="452" operator="equal">
      <formula>"A"</formula>
    </cfRule>
    <cfRule type="cellIs" dxfId="905" priority="453" operator="equal">
      <formula>"X"</formula>
    </cfRule>
    <cfRule type="cellIs" dxfId="904" priority="454" operator="equal">
      <formula>"L"</formula>
    </cfRule>
    <cfRule type="cellIs" dxfId="903" priority="455" operator="equal">
      <formula>"V"</formula>
    </cfRule>
  </conditionalFormatting>
  <conditionalFormatting sqref="AM648">
    <cfRule type="cellIs" dxfId="895" priority="442" operator="equal">
      <formula>"NA"</formula>
    </cfRule>
    <cfRule type="cellIs" dxfId="894" priority="443" operator="equal">
      <formula>"NS"</formula>
    </cfRule>
    <cfRule type="cellIs" dxfId="893" priority="444" operator="equal">
      <formula>"S"</formula>
    </cfRule>
    <cfRule type="cellIs" dxfId="892" priority="445" operator="equal">
      <formula>"A"</formula>
    </cfRule>
    <cfRule type="cellIs" dxfId="891" priority="446" operator="equal">
      <formula>"X"</formula>
    </cfRule>
    <cfRule type="cellIs" dxfId="890" priority="447" operator="equal">
      <formula>"L"</formula>
    </cfRule>
    <cfRule type="cellIs" dxfId="889" priority="448" operator="equal">
      <formula>"V"</formula>
    </cfRule>
  </conditionalFormatting>
  <conditionalFormatting sqref="AN648">
    <cfRule type="cellIs" dxfId="881" priority="435" operator="equal">
      <formula>"NA"</formula>
    </cfRule>
    <cfRule type="cellIs" dxfId="880" priority="436" operator="equal">
      <formula>"NS"</formula>
    </cfRule>
    <cfRule type="cellIs" dxfId="879" priority="437" operator="equal">
      <formula>"S"</formula>
    </cfRule>
    <cfRule type="cellIs" dxfId="878" priority="438" operator="equal">
      <formula>"A"</formula>
    </cfRule>
    <cfRule type="cellIs" dxfId="877" priority="439" operator="equal">
      <formula>"X"</formula>
    </cfRule>
    <cfRule type="cellIs" dxfId="876" priority="440" operator="equal">
      <formula>"L"</formula>
    </cfRule>
    <cfRule type="cellIs" dxfId="875" priority="441" operator="equal">
      <formula>"V"</formula>
    </cfRule>
  </conditionalFormatting>
  <conditionalFormatting sqref="AL649:AL653 AO649:AO653">
    <cfRule type="cellIs" dxfId="867" priority="428" operator="equal">
      <formula>"NA"</formula>
    </cfRule>
    <cfRule type="cellIs" dxfId="866" priority="429" operator="equal">
      <formula>"NS"</formula>
    </cfRule>
    <cfRule type="cellIs" dxfId="865" priority="430" operator="equal">
      <formula>"S"</formula>
    </cfRule>
    <cfRule type="cellIs" dxfId="864" priority="431" operator="equal">
      <formula>"A"</formula>
    </cfRule>
    <cfRule type="cellIs" dxfId="863" priority="432" operator="equal">
      <formula>"X"</formula>
    </cfRule>
    <cfRule type="cellIs" dxfId="862" priority="433" operator="equal">
      <formula>"L"</formula>
    </cfRule>
    <cfRule type="cellIs" dxfId="861" priority="434" operator="equal">
      <formula>"V"</formula>
    </cfRule>
  </conditionalFormatting>
  <conditionalFormatting sqref="AM649:AM653">
    <cfRule type="cellIs" dxfId="853" priority="421" operator="equal">
      <formula>"NA"</formula>
    </cfRule>
    <cfRule type="cellIs" dxfId="852" priority="422" operator="equal">
      <formula>"NS"</formula>
    </cfRule>
    <cfRule type="cellIs" dxfId="851" priority="423" operator="equal">
      <formula>"S"</formula>
    </cfRule>
    <cfRule type="cellIs" dxfId="850" priority="424" operator="equal">
      <formula>"A"</formula>
    </cfRule>
    <cfRule type="cellIs" dxfId="849" priority="425" operator="equal">
      <formula>"X"</formula>
    </cfRule>
    <cfRule type="cellIs" dxfId="848" priority="426" operator="equal">
      <formula>"L"</formula>
    </cfRule>
    <cfRule type="cellIs" dxfId="847" priority="427" operator="equal">
      <formula>"V"</formula>
    </cfRule>
  </conditionalFormatting>
  <conditionalFormatting sqref="AN649:AN653">
    <cfRule type="cellIs" dxfId="839" priority="414" operator="equal">
      <formula>"NA"</formula>
    </cfRule>
    <cfRule type="cellIs" dxfId="838" priority="415" operator="equal">
      <formula>"NS"</formula>
    </cfRule>
    <cfRule type="cellIs" dxfId="837" priority="416" operator="equal">
      <formula>"S"</formula>
    </cfRule>
    <cfRule type="cellIs" dxfId="836" priority="417" operator="equal">
      <formula>"A"</formula>
    </cfRule>
    <cfRule type="cellIs" dxfId="835" priority="418" operator="equal">
      <formula>"X"</formula>
    </cfRule>
    <cfRule type="cellIs" dxfId="834" priority="419" operator="equal">
      <formula>"L"</formula>
    </cfRule>
    <cfRule type="cellIs" dxfId="833" priority="420" operator="equal">
      <formula>"V"</formula>
    </cfRule>
  </conditionalFormatting>
  <conditionalFormatting sqref="AL654:AL663 AO654:AO663">
    <cfRule type="cellIs" dxfId="825" priority="407" operator="equal">
      <formula>"NA"</formula>
    </cfRule>
    <cfRule type="cellIs" dxfId="824" priority="408" operator="equal">
      <formula>"NS"</formula>
    </cfRule>
    <cfRule type="cellIs" dxfId="823" priority="409" operator="equal">
      <formula>"S"</formula>
    </cfRule>
    <cfRule type="cellIs" dxfId="822" priority="410" operator="equal">
      <formula>"A"</formula>
    </cfRule>
    <cfRule type="cellIs" dxfId="821" priority="411" operator="equal">
      <formula>"X"</formula>
    </cfRule>
    <cfRule type="cellIs" dxfId="820" priority="412" operator="equal">
      <formula>"L"</formula>
    </cfRule>
    <cfRule type="cellIs" dxfId="819" priority="413" operator="equal">
      <formula>"V"</formula>
    </cfRule>
  </conditionalFormatting>
  <conditionalFormatting sqref="AM654:AM663">
    <cfRule type="cellIs" dxfId="811" priority="400" operator="equal">
      <formula>"NA"</formula>
    </cfRule>
    <cfRule type="cellIs" dxfId="810" priority="401" operator="equal">
      <formula>"NS"</formula>
    </cfRule>
    <cfRule type="cellIs" dxfId="809" priority="402" operator="equal">
      <formula>"S"</formula>
    </cfRule>
    <cfRule type="cellIs" dxfId="808" priority="403" operator="equal">
      <formula>"A"</formula>
    </cfRule>
    <cfRule type="cellIs" dxfId="807" priority="404" operator="equal">
      <formula>"X"</formula>
    </cfRule>
    <cfRule type="cellIs" dxfId="806" priority="405" operator="equal">
      <formula>"L"</formula>
    </cfRule>
    <cfRule type="cellIs" dxfId="805" priority="406" operator="equal">
      <formula>"V"</formula>
    </cfRule>
  </conditionalFormatting>
  <conditionalFormatting sqref="AN654:AN663">
    <cfRule type="cellIs" dxfId="797" priority="393" operator="equal">
      <formula>"NA"</formula>
    </cfRule>
    <cfRule type="cellIs" dxfId="796" priority="394" operator="equal">
      <formula>"NS"</formula>
    </cfRule>
    <cfRule type="cellIs" dxfId="795" priority="395" operator="equal">
      <formula>"S"</formula>
    </cfRule>
    <cfRule type="cellIs" dxfId="794" priority="396" operator="equal">
      <formula>"A"</formula>
    </cfRule>
    <cfRule type="cellIs" dxfId="793" priority="397" operator="equal">
      <formula>"X"</formula>
    </cfRule>
    <cfRule type="cellIs" dxfId="792" priority="398" operator="equal">
      <formula>"L"</formula>
    </cfRule>
    <cfRule type="cellIs" dxfId="791" priority="399" operator="equal">
      <formula>"V"</formula>
    </cfRule>
  </conditionalFormatting>
  <conditionalFormatting sqref="AL664:AL673 AO664:AO673">
    <cfRule type="cellIs" dxfId="783" priority="386" operator="equal">
      <formula>"NA"</formula>
    </cfRule>
    <cfRule type="cellIs" dxfId="782" priority="387" operator="equal">
      <formula>"NS"</formula>
    </cfRule>
    <cfRule type="cellIs" dxfId="781" priority="388" operator="equal">
      <formula>"S"</formula>
    </cfRule>
    <cfRule type="cellIs" dxfId="780" priority="389" operator="equal">
      <formula>"A"</formula>
    </cfRule>
    <cfRule type="cellIs" dxfId="779" priority="390" operator="equal">
      <formula>"X"</formula>
    </cfRule>
    <cfRule type="cellIs" dxfId="778" priority="391" operator="equal">
      <formula>"L"</formula>
    </cfRule>
    <cfRule type="cellIs" dxfId="777" priority="392" operator="equal">
      <formula>"V"</formula>
    </cfRule>
  </conditionalFormatting>
  <conditionalFormatting sqref="AM664:AM673 AL668:AL673 AN668:AO673">
    <cfRule type="cellIs" dxfId="769" priority="379" operator="equal">
      <formula>"NA"</formula>
    </cfRule>
    <cfRule type="cellIs" dxfId="768" priority="380" operator="equal">
      <formula>"NS"</formula>
    </cfRule>
    <cfRule type="cellIs" dxfId="767" priority="381" operator="equal">
      <formula>"S"</formula>
    </cfRule>
    <cfRule type="cellIs" dxfId="766" priority="382" operator="equal">
      <formula>"A"</formula>
    </cfRule>
    <cfRule type="cellIs" dxfId="765" priority="383" operator="equal">
      <formula>"X"</formula>
    </cfRule>
    <cfRule type="cellIs" dxfId="764" priority="384" operator="equal">
      <formula>"L"</formula>
    </cfRule>
    <cfRule type="cellIs" dxfId="763" priority="385" operator="equal">
      <formula>"V"</formula>
    </cfRule>
  </conditionalFormatting>
  <conditionalFormatting sqref="AN664:AN673">
    <cfRule type="cellIs" dxfId="755" priority="372" operator="equal">
      <formula>"NA"</formula>
    </cfRule>
    <cfRule type="cellIs" dxfId="754" priority="373" operator="equal">
      <formula>"NS"</formula>
    </cfRule>
    <cfRule type="cellIs" dxfId="753" priority="374" operator="equal">
      <formula>"S"</formula>
    </cfRule>
    <cfRule type="cellIs" dxfId="752" priority="375" operator="equal">
      <formula>"A"</formula>
    </cfRule>
    <cfRule type="cellIs" dxfId="751" priority="376" operator="equal">
      <formula>"X"</formula>
    </cfRule>
    <cfRule type="cellIs" dxfId="750" priority="377" operator="equal">
      <formula>"L"</formula>
    </cfRule>
    <cfRule type="cellIs" dxfId="749" priority="378" operator="equal">
      <formula>"V"</formula>
    </cfRule>
  </conditionalFormatting>
  <conditionalFormatting sqref="AL674:AO675">
    <cfRule type="cellIs" dxfId="741" priority="365" operator="equal">
      <formula>"NA"</formula>
    </cfRule>
    <cfRule type="cellIs" dxfId="740" priority="366" operator="equal">
      <formula>"NS"</formula>
    </cfRule>
    <cfRule type="cellIs" dxfId="739" priority="367" operator="equal">
      <formula>"S"</formula>
    </cfRule>
    <cfRule type="cellIs" dxfId="738" priority="368" operator="equal">
      <formula>"A"</formula>
    </cfRule>
    <cfRule type="cellIs" dxfId="737" priority="369" operator="equal">
      <formula>"X"</formula>
    </cfRule>
    <cfRule type="cellIs" dxfId="736" priority="370" operator="equal">
      <formula>"L"</formula>
    </cfRule>
    <cfRule type="cellIs" dxfId="735" priority="371" operator="equal">
      <formula>"V"</formula>
    </cfRule>
  </conditionalFormatting>
  <conditionalFormatting sqref="AL676 AO676">
    <cfRule type="cellIs" dxfId="727" priority="358" operator="equal">
      <formula>"NA"</formula>
    </cfRule>
    <cfRule type="cellIs" dxfId="726" priority="359" operator="equal">
      <formula>"NS"</formula>
    </cfRule>
    <cfRule type="cellIs" dxfId="725" priority="360" operator="equal">
      <formula>"S"</formula>
    </cfRule>
    <cfRule type="cellIs" dxfId="724" priority="361" operator="equal">
      <formula>"A"</formula>
    </cfRule>
    <cfRule type="cellIs" dxfId="723" priority="362" operator="equal">
      <formula>"X"</formula>
    </cfRule>
    <cfRule type="cellIs" dxfId="722" priority="363" operator="equal">
      <formula>"L"</formula>
    </cfRule>
    <cfRule type="cellIs" dxfId="721" priority="364" operator="equal">
      <formula>"V"</formula>
    </cfRule>
  </conditionalFormatting>
  <conditionalFormatting sqref="AM676">
    <cfRule type="cellIs" dxfId="713" priority="351" operator="equal">
      <formula>"NA"</formula>
    </cfRule>
    <cfRule type="cellIs" dxfId="712" priority="352" operator="equal">
      <formula>"NS"</formula>
    </cfRule>
    <cfRule type="cellIs" dxfId="711" priority="353" operator="equal">
      <formula>"S"</formula>
    </cfRule>
    <cfRule type="cellIs" dxfId="710" priority="354" operator="equal">
      <formula>"A"</formula>
    </cfRule>
    <cfRule type="cellIs" dxfId="709" priority="355" operator="equal">
      <formula>"X"</formula>
    </cfRule>
    <cfRule type="cellIs" dxfId="708" priority="356" operator="equal">
      <formula>"L"</formula>
    </cfRule>
    <cfRule type="cellIs" dxfId="707" priority="357" operator="equal">
      <formula>"V"</formula>
    </cfRule>
  </conditionalFormatting>
  <conditionalFormatting sqref="AN676">
    <cfRule type="cellIs" dxfId="699" priority="344" operator="equal">
      <formula>"NA"</formula>
    </cfRule>
    <cfRule type="cellIs" dxfId="698" priority="345" operator="equal">
      <formula>"NS"</formula>
    </cfRule>
    <cfRule type="cellIs" dxfId="697" priority="346" operator="equal">
      <formula>"S"</formula>
    </cfRule>
    <cfRule type="cellIs" dxfId="696" priority="347" operator="equal">
      <formula>"A"</formula>
    </cfRule>
    <cfRule type="cellIs" dxfId="695" priority="348" operator="equal">
      <formula>"X"</formula>
    </cfRule>
    <cfRule type="cellIs" dxfId="694" priority="349" operator="equal">
      <formula>"L"</formula>
    </cfRule>
    <cfRule type="cellIs" dxfId="693" priority="350" operator="equal">
      <formula>"V"</formula>
    </cfRule>
  </conditionalFormatting>
  <conditionalFormatting sqref="AL677 AO677">
    <cfRule type="cellIs" dxfId="685" priority="337" operator="equal">
      <formula>"NA"</formula>
    </cfRule>
    <cfRule type="cellIs" dxfId="684" priority="338" operator="equal">
      <formula>"NS"</formula>
    </cfRule>
    <cfRule type="cellIs" dxfId="683" priority="339" operator="equal">
      <formula>"S"</formula>
    </cfRule>
    <cfRule type="cellIs" dxfId="682" priority="340" operator="equal">
      <formula>"A"</formula>
    </cfRule>
    <cfRule type="cellIs" dxfId="681" priority="341" operator="equal">
      <formula>"X"</formula>
    </cfRule>
    <cfRule type="cellIs" dxfId="680" priority="342" operator="equal">
      <formula>"L"</formula>
    </cfRule>
    <cfRule type="cellIs" dxfId="679" priority="343" operator="equal">
      <formula>"V"</formula>
    </cfRule>
  </conditionalFormatting>
  <conditionalFormatting sqref="AM677">
    <cfRule type="cellIs" dxfId="671" priority="330" operator="equal">
      <formula>"NA"</formula>
    </cfRule>
    <cfRule type="cellIs" dxfId="670" priority="331" operator="equal">
      <formula>"NS"</formula>
    </cfRule>
    <cfRule type="cellIs" dxfId="669" priority="332" operator="equal">
      <formula>"S"</formula>
    </cfRule>
    <cfRule type="cellIs" dxfId="668" priority="333" operator="equal">
      <formula>"A"</formula>
    </cfRule>
    <cfRule type="cellIs" dxfId="667" priority="334" operator="equal">
      <formula>"X"</formula>
    </cfRule>
    <cfRule type="cellIs" dxfId="666" priority="335" operator="equal">
      <formula>"L"</formula>
    </cfRule>
    <cfRule type="cellIs" dxfId="665" priority="336" operator="equal">
      <formula>"V"</formula>
    </cfRule>
  </conditionalFormatting>
  <conditionalFormatting sqref="AN677">
    <cfRule type="cellIs" dxfId="657" priority="323" operator="equal">
      <formula>"NA"</formula>
    </cfRule>
    <cfRule type="cellIs" dxfId="656" priority="324" operator="equal">
      <formula>"NS"</formula>
    </cfRule>
    <cfRule type="cellIs" dxfId="655" priority="325" operator="equal">
      <formula>"S"</formula>
    </cfRule>
    <cfRule type="cellIs" dxfId="654" priority="326" operator="equal">
      <formula>"A"</formula>
    </cfRule>
    <cfRule type="cellIs" dxfId="653" priority="327" operator="equal">
      <formula>"X"</formula>
    </cfRule>
    <cfRule type="cellIs" dxfId="652" priority="328" operator="equal">
      <formula>"L"</formula>
    </cfRule>
    <cfRule type="cellIs" dxfId="651" priority="329" operator="equal">
      <formula>"V"</formula>
    </cfRule>
  </conditionalFormatting>
  <conditionalFormatting sqref="AL678 AO678">
    <cfRule type="cellIs" dxfId="643" priority="316" operator="equal">
      <formula>"NA"</formula>
    </cfRule>
    <cfRule type="cellIs" dxfId="642" priority="317" operator="equal">
      <formula>"NS"</formula>
    </cfRule>
    <cfRule type="cellIs" dxfId="641" priority="318" operator="equal">
      <formula>"S"</formula>
    </cfRule>
    <cfRule type="cellIs" dxfId="640" priority="319" operator="equal">
      <formula>"A"</formula>
    </cfRule>
    <cfRule type="cellIs" dxfId="639" priority="320" operator="equal">
      <formula>"X"</formula>
    </cfRule>
    <cfRule type="cellIs" dxfId="638" priority="321" operator="equal">
      <formula>"L"</formula>
    </cfRule>
    <cfRule type="cellIs" dxfId="637" priority="322" operator="equal">
      <formula>"V"</formula>
    </cfRule>
  </conditionalFormatting>
  <conditionalFormatting sqref="AM678">
    <cfRule type="cellIs" dxfId="629" priority="309" operator="equal">
      <formula>"NA"</formula>
    </cfRule>
    <cfRule type="cellIs" dxfId="628" priority="310" operator="equal">
      <formula>"NS"</formula>
    </cfRule>
    <cfRule type="cellIs" dxfId="627" priority="311" operator="equal">
      <formula>"S"</formula>
    </cfRule>
    <cfRule type="cellIs" dxfId="626" priority="312" operator="equal">
      <formula>"A"</formula>
    </cfRule>
    <cfRule type="cellIs" dxfId="625" priority="313" operator="equal">
      <formula>"X"</formula>
    </cfRule>
    <cfRule type="cellIs" dxfId="624" priority="314" operator="equal">
      <formula>"L"</formula>
    </cfRule>
    <cfRule type="cellIs" dxfId="623" priority="315" operator="equal">
      <formula>"V"</formula>
    </cfRule>
  </conditionalFormatting>
  <conditionalFormatting sqref="AN678">
    <cfRule type="cellIs" dxfId="615" priority="302" operator="equal">
      <formula>"NA"</formula>
    </cfRule>
    <cfRule type="cellIs" dxfId="614" priority="303" operator="equal">
      <formula>"NS"</formula>
    </cfRule>
    <cfRule type="cellIs" dxfId="613" priority="304" operator="equal">
      <formula>"S"</formula>
    </cfRule>
    <cfRule type="cellIs" dxfId="612" priority="305" operator="equal">
      <formula>"A"</formula>
    </cfRule>
    <cfRule type="cellIs" dxfId="611" priority="306" operator="equal">
      <formula>"X"</formula>
    </cfRule>
    <cfRule type="cellIs" dxfId="610" priority="307" operator="equal">
      <formula>"L"</formula>
    </cfRule>
    <cfRule type="cellIs" dxfId="609" priority="308" operator="equal">
      <formula>"V"</formula>
    </cfRule>
  </conditionalFormatting>
  <conditionalFormatting sqref="AL679 AO679">
    <cfRule type="cellIs" dxfId="601" priority="295" operator="equal">
      <formula>"NA"</formula>
    </cfRule>
    <cfRule type="cellIs" dxfId="600" priority="296" operator="equal">
      <formula>"NS"</formula>
    </cfRule>
    <cfRule type="cellIs" dxfId="599" priority="297" operator="equal">
      <formula>"S"</formula>
    </cfRule>
    <cfRule type="cellIs" dxfId="598" priority="298" operator="equal">
      <formula>"A"</formula>
    </cfRule>
    <cfRule type="cellIs" dxfId="597" priority="299" operator="equal">
      <formula>"X"</formula>
    </cfRule>
    <cfRule type="cellIs" dxfId="596" priority="300" operator="equal">
      <formula>"L"</formula>
    </cfRule>
    <cfRule type="cellIs" dxfId="595" priority="301" operator="equal">
      <formula>"V"</formula>
    </cfRule>
  </conditionalFormatting>
  <conditionalFormatting sqref="AL679:AO679">
    <cfRule type="cellIs" dxfId="587" priority="288" operator="equal">
      <formula>"NA"</formula>
    </cfRule>
    <cfRule type="cellIs" dxfId="586" priority="289" operator="equal">
      <formula>"NS"</formula>
    </cfRule>
    <cfRule type="cellIs" dxfId="585" priority="290" operator="equal">
      <formula>"S"</formula>
    </cfRule>
    <cfRule type="cellIs" dxfId="584" priority="291" operator="equal">
      <formula>"A"</formula>
    </cfRule>
    <cfRule type="cellIs" dxfId="583" priority="292" operator="equal">
      <formula>"X"</formula>
    </cfRule>
    <cfRule type="cellIs" dxfId="582" priority="293" operator="equal">
      <formula>"L"</formula>
    </cfRule>
    <cfRule type="cellIs" dxfId="581" priority="294" operator="equal">
      <formula>"V"</formula>
    </cfRule>
  </conditionalFormatting>
  <conditionalFormatting sqref="AN679">
    <cfRule type="cellIs" dxfId="573" priority="281" operator="equal">
      <formula>"NA"</formula>
    </cfRule>
    <cfRule type="cellIs" dxfId="572" priority="282" operator="equal">
      <formula>"NS"</formula>
    </cfRule>
    <cfRule type="cellIs" dxfId="571" priority="283" operator="equal">
      <formula>"S"</formula>
    </cfRule>
    <cfRule type="cellIs" dxfId="570" priority="284" operator="equal">
      <formula>"A"</formula>
    </cfRule>
    <cfRule type="cellIs" dxfId="569" priority="285" operator="equal">
      <formula>"X"</formula>
    </cfRule>
    <cfRule type="cellIs" dxfId="568" priority="286" operator="equal">
      <formula>"L"</formula>
    </cfRule>
    <cfRule type="cellIs" dxfId="567" priority="287" operator="equal">
      <formula>"V"</formula>
    </cfRule>
  </conditionalFormatting>
  <conditionalFormatting sqref="AL680 AO680">
    <cfRule type="cellIs" dxfId="559" priority="274" operator="equal">
      <formula>"NA"</formula>
    </cfRule>
    <cfRule type="cellIs" dxfId="558" priority="275" operator="equal">
      <formula>"NS"</formula>
    </cfRule>
    <cfRule type="cellIs" dxfId="557" priority="276" operator="equal">
      <formula>"S"</formula>
    </cfRule>
    <cfRule type="cellIs" dxfId="556" priority="277" operator="equal">
      <formula>"A"</formula>
    </cfRule>
    <cfRule type="cellIs" dxfId="555" priority="278" operator="equal">
      <formula>"X"</formula>
    </cfRule>
    <cfRule type="cellIs" dxfId="554" priority="279" operator="equal">
      <formula>"L"</formula>
    </cfRule>
    <cfRule type="cellIs" dxfId="553" priority="280" operator="equal">
      <formula>"V"</formula>
    </cfRule>
  </conditionalFormatting>
  <conditionalFormatting sqref="AM680">
    <cfRule type="cellIs" dxfId="545" priority="267" operator="equal">
      <formula>"NA"</formula>
    </cfRule>
    <cfRule type="cellIs" dxfId="544" priority="268" operator="equal">
      <formula>"NS"</formula>
    </cfRule>
    <cfRule type="cellIs" dxfId="543" priority="269" operator="equal">
      <formula>"S"</formula>
    </cfRule>
    <cfRule type="cellIs" dxfId="542" priority="270" operator="equal">
      <formula>"A"</formula>
    </cfRule>
    <cfRule type="cellIs" dxfId="541" priority="271" operator="equal">
      <formula>"X"</formula>
    </cfRule>
    <cfRule type="cellIs" dxfId="540" priority="272" operator="equal">
      <formula>"L"</formula>
    </cfRule>
    <cfRule type="cellIs" dxfId="539" priority="273" operator="equal">
      <formula>"V"</formula>
    </cfRule>
  </conditionalFormatting>
  <conditionalFormatting sqref="AN680">
    <cfRule type="cellIs" dxfId="531" priority="260" operator="equal">
      <formula>"NA"</formula>
    </cfRule>
    <cfRule type="cellIs" dxfId="530" priority="261" operator="equal">
      <formula>"NS"</formula>
    </cfRule>
    <cfRule type="cellIs" dxfId="529" priority="262" operator="equal">
      <formula>"S"</formula>
    </cfRule>
    <cfRule type="cellIs" dxfId="528" priority="263" operator="equal">
      <formula>"A"</formula>
    </cfRule>
    <cfRule type="cellIs" dxfId="527" priority="264" operator="equal">
      <formula>"X"</formula>
    </cfRule>
    <cfRule type="cellIs" dxfId="526" priority="265" operator="equal">
      <formula>"L"</formula>
    </cfRule>
    <cfRule type="cellIs" dxfId="525" priority="266" operator="equal">
      <formula>"V"</formula>
    </cfRule>
  </conditionalFormatting>
  <conditionalFormatting sqref="AL681 AO681">
    <cfRule type="cellIs" dxfId="517" priority="253" operator="equal">
      <formula>"NA"</formula>
    </cfRule>
    <cfRule type="cellIs" dxfId="516" priority="254" operator="equal">
      <formula>"NS"</formula>
    </cfRule>
    <cfRule type="cellIs" dxfId="515" priority="255" operator="equal">
      <formula>"S"</formula>
    </cfRule>
    <cfRule type="cellIs" dxfId="514" priority="256" operator="equal">
      <formula>"A"</formula>
    </cfRule>
    <cfRule type="cellIs" dxfId="513" priority="257" operator="equal">
      <formula>"X"</formula>
    </cfRule>
    <cfRule type="cellIs" dxfId="512" priority="258" operator="equal">
      <formula>"L"</formula>
    </cfRule>
    <cfRule type="cellIs" dxfId="511" priority="259" operator="equal">
      <formula>"V"</formula>
    </cfRule>
  </conditionalFormatting>
  <conditionalFormatting sqref="AM681">
    <cfRule type="cellIs" dxfId="503" priority="246" operator="equal">
      <formula>"NA"</formula>
    </cfRule>
    <cfRule type="cellIs" dxfId="502" priority="247" operator="equal">
      <formula>"NS"</formula>
    </cfRule>
    <cfRule type="cellIs" dxfId="501" priority="248" operator="equal">
      <formula>"S"</formula>
    </cfRule>
    <cfRule type="cellIs" dxfId="500" priority="249" operator="equal">
      <formula>"A"</formula>
    </cfRule>
    <cfRule type="cellIs" dxfId="499" priority="250" operator="equal">
      <formula>"X"</formula>
    </cfRule>
    <cfRule type="cellIs" dxfId="498" priority="251" operator="equal">
      <formula>"L"</formula>
    </cfRule>
    <cfRule type="cellIs" dxfId="497" priority="252" operator="equal">
      <formula>"V"</formula>
    </cfRule>
  </conditionalFormatting>
  <conditionalFormatting sqref="AN681">
    <cfRule type="cellIs" dxfId="489" priority="239" operator="equal">
      <formula>"NA"</formula>
    </cfRule>
    <cfRule type="cellIs" dxfId="488" priority="240" operator="equal">
      <formula>"NS"</formula>
    </cfRule>
    <cfRule type="cellIs" dxfId="487" priority="241" operator="equal">
      <formula>"S"</formula>
    </cfRule>
    <cfRule type="cellIs" dxfId="486" priority="242" operator="equal">
      <formula>"A"</formula>
    </cfRule>
    <cfRule type="cellIs" dxfId="485" priority="243" operator="equal">
      <formula>"X"</formula>
    </cfRule>
    <cfRule type="cellIs" dxfId="484" priority="244" operator="equal">
      <formula>"L"</formula>
    </cfRule>
    <cfRule type="cellIs" dxfId="483" priority="245" operator="equal">
      <formula>"V"</formula>
    </cfRule>
  </conditionalFormatting>
  <conditionalFormatting sqref="AL682 AO682">
    <cfRule type="cellIs" dxfId="475" priority="232" operator="equal">
      <formula>"NA"</formula>
    </cfRule>
    <cfRule type="cellIs" dxfId="474" priority="233" operator="equal">
      <formula>"NS"</formula>
    </cfRule>
    <cfRule type="cellIs" dxfId="473" priority="234" operator="equal">
      <formula>"S"</formula>
    </cfRule>
    <cfRule type="cellIs" dxfId="472" priority="235" operator="equal">
      <formula>"A"</formula>
    </cfRule>
    <cfRule type="cellIs" dxfId="471" priority="236" operator="equal">
      <formula>"X"</formula>
    </cfRule>
    <cfRule type="cellIs" dxfId="470" priority="237" operator="equal">
      <formula>"L"</formula>
    </cfRule>
    <cfRule type="cellIs" dxfId="469" priority="238" operator="equal">
      <formula>"V"</formula>
    </cfRule>
  </conditionalFormatting>
  <conditionalFormatting sqref="AM682">
    <cfRule type="cellIs" dxfId="461" priority="225" operator="equal">
      <formula>"NA"</formula>
    </cfRule>
    <cfRule type="cellIs" dxfId="460" priority="226" operator="equal">
      <formula>"NS"</formula>
    </cfRule>
    <cfRule type="cellIs" dxfId="459" priority="227" operator="equal">
      <formula>"S"</formula>
    </cfRule>
    <cfRule type="cellIs" dxfId="458" priority="228" operator="equal">
      <formula>"A"</formula>
    </cfRule>
    <cfRule type="cellIs" dxfId="457" priority="229" operator="equal">
      <formula>"X"</formula>
    </cfRule>
    <cfRule type="cellIs" dxfId="456" priority="230" operator="equal">
      <formula>"L"</formula>
    </cfRule>
    <cfRule type="cellIs" dxfId="455" priority="231" operator="equal">
      <formula>"V"</formula>
    </cfRule>
  </conditionalFormatting>
  <conditionalFormatting sqref="AN682">
    <cfRule type="cellIs" dxfId="447" priority="218" operator="equal">
      <formula>"NA"</formula>
    </cfRule>
    <cfRule type="cellIs" dxfId="446" priority="219" operator="equal">
      <formula>"NS"</formula>
    </cfRule>
    <cfRule type="cellIs" dxfId="445" priority="220" operator="equal">
      <formula>"S"</formula>
    </cfRule>
    <cfRule type="cellIs" dxfId="444" priority="221" operator="equal">
      <formula>"A"</formula>
    </cfRule>
    <cfRule type="cellIs" dxfId="443" priority="222" operator="equal">
      <formula>"X"</formula>
    </cfRule>
    <cfRule type="cellIs" dxfId="442" priority="223" operator="equal">
      <formula>"L"</formula>
    </cfRule>
    <cfRule type="cellIs" dxfId="441" priority="224" operator="equal">
      <formula>"V"</formula>
    </cfRule>
  </conditionalFormatting>
  <conditionalFormatting sqref="AL683 AO683">
    <cfRule type="cellIs" dxfId="433" priority="211" operator="equal">
      <formula>"NA"</formula>
    </cfRule>
    <cfRule type="cellIs" dxfId="432" priority="212" operator="equal">
      <formula>"NS"</formula>
    </cfRule>
    <cfRule type="cellIs" dxfId="431" priority="213" operator="equal">
      <formula>"S"</formula>
    </cfRule>
    <cfRule type="cellIs" dxfId="430" priority="214" operator="equal">
      <formula>"A"</formula>
    </cfRule>
    <cfRule type="cellIs" dxfId="429" priority="215" operator="equal">
      <formula>"X"</formula>
    </cfRule>
    <cfRule type="cellIs" dxfId="428" priority="216" operator="equal">
      <formula>"L"</formula>
    </cfRule>
    <cfRule type="cellIs" dxfId="427" priority="217" operator="equal">
      <formula>"V"</formula>
    </cfRule>
  </conditionalFormatting>
  <conditionalFormatting sqref="AM683">
    <cfRule type="cellIs" dxfId="419" priority="204" operator="equal">
      <formula>"NA"</formula>
    </cfRule>
    <cfRule type="cellIs" dxfId="418" priority="205" operator="equal">
      <formula>"NS"</formula>
    </cfRule>
    <cfRule type="cellIs" dxfId="417" priority="206" operator="equal">
      <formula>"S"</formula>
    </cfRule>
    <cfRule type="cellIs" dxfId="416" priority="207" operator="equal">
      <formula>"A"</formula>
    </cfRule>
    <cfRule type="cellIs" dxfId="415" priority="208" operator="equal">
      <formula>"X"</formula>
    </cfRule>
    <cfRule type="cellIs" dxfId="414" priority="209" operator="equal">
      <formula>"L"</formula>
    </cfRule>
    <cfRule type="cellIs" dxfId="413" priority="210" operator="equal">
      <formula>"V"</formula>
    </cfRule>
  </conditionalFormatting>
  <conditionalFormatting sqref="AN683">
    <cfRule type="cellIs" dxfId="405" priority="197" operator="equal">
      <formula>"NA"</formula>
    </cfRule>
    <cfRule type="cellIs" dxfId="404" priority="198" operator="equal">
      <formula>"NS"</formula>
    </cfRule>
    <cfRule type="cellIs" dxfId="403" priority="199" operator="equal">
      <formula>"S"</formula>
    </cfRule>
    <cfRule type="cellIs" dxfId="402" priority="200" operator="equal">
      <formula>"A"</formula>
    </cfRule>
    <cfRule type="cellIs" dxfId="401" priority="201" operator="equal">
      <formula>"X"</formula>
    </cfRule>
    <cfRule type="cellIs" dxfId="400" priority="202" operator="equal">
      <formula>"L"</formula>
    </cfRule>
    <cfRule type="cellIs" dxfId="399" priority="203" operator="equal">
      <formula>"V"</formula>
    </cfRule>
  </conditionalFormatting>
  <conditionalFormatting sqref="AL684:AO684">
    <cfRule type="cellIs" dxfId="391" priority="190" operator="equal">
      <formula>"NA"</formula>
    </cfRule>
    <cfRule type="cellIs" dxfId="390" priority="191" operator="equal">
      <formula>"NS"</formula>
    </cfRule>
    <cfRule type="cellIs" dxfId="389" priority="192" operator="equal">
      <formula>"S"</formula>
    </cfRule>
    <cfRule type="cellIs" dxfId="388" priority="193" operator="equal">
      <formula>"A"</formula>
    </cfRule>
    <cfRule type="cellIs" dxfId="387" priority="194" operator="equal">
      <formula>"X"</formula>
    </cfRule>
    <cfRule type="cellIs" dxfId="386" priority="195" operator="equal">
      <formula>"L"</formula>
    </cfRule>
    <cfRule type="cellIs" dxfId="385" priority="196" operator="equal">
      <formula>"V"</formula>
    </cfRule>
  </conditionalFormatting>
  <conditionalFormatting sqref="AL685:AO685">
    <cfRule type="cellIs" dxfId="377" priority="183" operator="equal">
      <formula>"NA"</formula>
    </cfRule>
    <cfRule type="cellIs" dxfId="376" priority="184" operator="equal">
      <formula>"NS"</formula>
    </cfRule>
    <cfRule type="cellIs" dxfId="375" priority="185" operator="equal">
      <formula>"S"</formula>
    </cfRule>
    <cfRule type="cellIs" dxfId="374" priority="186" operator="equal">
      <formula>"A"</formula>
    </cfRule>
    <cfRule type="cellIs" dxfId="373" priority="187" operator="equal">
      <formula>"X"</formula>
    </cfRule>
    <cfRule type="cellIs" dxfId="372" priority="188" operator="equal">
      <formula>"L"</formula>
    </cfRule>
    <cfRule type="cellIs" dxfId="371" priority="189" operator="equal">
      <formula>"V"</formula>
    </cfRule>
  </conditionalFormatting>
  <conditionalFormatting sqref="AL686:AO690">
    <cfRule type="cellIs" dxfId="363" priority="176" operator="equal">
      <formula>"NA"</formula>
    </cfRule>
    <cfRule type="cellIs" dxfId="362" priority="177" operator="equal">
      <formula>"NS"</formula>
    </cfRule>
    <cfRule type="cellIs" dxfId="361" priority="178" operator="equal">
      <formula>"S"</formula>
    </cfRule>
    <cfRule type="cellIs" dxfId="360" priority="179" operator="equal">
      <formula>"A"</formula>
    </cfRule>
    <cfRule type="cellIs" dxfId="359" priority="180" operator="equal">
      <formula>"X"</formula>
    </cfRule>
    <cfRule type="cellIs" dxfId="358" priority="181" operator="equal">
      <formula>"L"</formula>
    </cfRule>
    <cfRule type="cellIs" dxfId="357" priority="182" operator="equal">
      <formula>"V"</formula>
    </cfRule>
  </conditionalFormatting>
  <conditionalFormatting sqref="AL691:AL701 AO691:AO701">
    <cfRule type="cellIs" dxfId="349" priority="169" operator="equal">
      <formula>"NA"</formula>
    </cfRule>
    <cfRule type="cellIs" dxfId="348" priority="170" operator="equal">
      <formula>"NS"</formula>
    </cfRule>
    <cfRule type="cellIs" dxfId="347" priority="171" operator="equal">
      <formula>"S"</formula>
    </cfRule>
    <cfRule type="cellIs" dxfId="346" priority="172" operator="equal">
      <formula>"A"</formula>
    </cfRule>
    <cfRule type="cellIs" dxfId="345" priority="173" operator="equal">
      <formula>"X"</formula>
    </cfRule>
    <cfRule type="cellIs" dxfId="344" priority="174" operator="equal">
      <formula>"L"</formula>
    </cfRule>
    <cfRule type="cellIs" dxfId="343" priority="175" operator="equal">
      <formula>"V"</formula>
    </cfRule>
  </conditionalFormatting>
  <conditionalFormatting sqref="AM691:AM701">
    <cfRule type="cellIs" dxfId="335" priority="162" operator="equal">
      <formula>"NA"</formula>
    </cfRule>
    <cfRule type="cellIs" dxfId="334" priority="163" operator="equal">
      <formula>"NS"</formula>
    </cfRule>
    <cfRule type="cellIs" dxfId="333" priority="164" operator="equal">
      <formula>"S"</formula>
    </cfRule>
    <cfRule type="cellIs" dxfId="332" priority="165" operator="equal">
      <formula>"A"</formula>
    </cfRule>
    <cfRule type="cellIs" dxfId="331" priority="166" operator="equal">
      <formula>"X"</formula>
    </cfRule>
    <cfRule type="cellIs" dxfId="330" priority="167" operator="equal">
      <formula>"L"</formula>
    </cfRule>
    <cfRule type="cellIs" dxfId="329" priority="168" operator="equal">
      <formula>"V"</formula>
    </cfRule>
  </conditionalFormatting>
  <conditionalFormatting sqref="AN691:AN701">
    <cfRule type="cellIs" dxfId="321" priority="155" operator="equal">
      <formula>"NA"</formula>
    </cfRule>
    <cfRule type="cellIs" dxfId="320" priority="156" operator="equal">
      <formula>"NS"</formula>
    </cfRule>
    <cfRule type="cellIs" dxfId="319" priority="157" operator="equal">
      <formula>"S"</formula>
    </cfRule>
    <cfRule type="cellIs" dxfId="318" priority="158" operator="equal">
      <formula>"A"</formula>
    </cfRule>
    <cfRule type="cellIs" dxfId="317" priority="159" operator="equal">
      <formula>"X"</formula>
    </cfRule>
    <cfRule type="cellIs" dxfId="316" priority="160" operator="equal">
      <formula>"L"</formula>
    </cfRule>
    <cfRule type="cellIs" dxfId="315" priority="161" operator="equal">
      <formula>"V"</formula>
    </cfRule>
  </conditionalFormatting>
  <conditionalFormatting sqref="AL702:AO710">
    <cfRule type="cellIs" dxfId="307" priority="148" operator="equal">
      <formula>"NA"</formula>
    </cfRule>
    <cfRule type="cellIs" dxfId="306" priority="149" operator="equal">
      <formula>"NS"</formula>
    </cfRule>
    <cfRule type="cellIs" dxfId="305" priority="150" operator="equal">
      <formula>"S"</formula>
    </cfRule>
    <cfRule type="cellIs" dxfId="304" priority="151" operator="equal">
      <formula>"A"</formula>
    </cfRule>
    <cfRule type="cellIs" dxfId="303" priority="152" operator="equal">
      <formula>"X"</formula>
    </cfRule>
    <cfRule type="cellIs" dxfId="302" priority="153" operator="equal">
      <formula>"L"</formula>
    </cfRule>
    <cfRule type="cellIs" dxfId="301" priority="154" operator="equal">
      <formula>"V"</formula>
    </cfRule>
  </conditionalFormatting>
  <conditionalFormatting sqref="AL711:AL715 AO711:AO715 AL717 AO717">
    <cfRule type="cellIs" dxfId="293" priority="141" operator="equal">
      <formula>"NA"</formula>
    </cfRule>
    <cfRule type="cellIs" dxfId="292" priority="142" operator="equal">
      <formula>"NS"</formula>
    </cfRule>
    <cfRule type="cellIs" dxfId="291" priority="143" operator="equal">
      <formula>"S"</formula>
    </cfRule>
    <cfRule type="cellIs" dxfId="290" priority="144" operator="equal">
      <formula>"A"</formula>
    </cfRule>
    <cfRule type="cellIs" dxfId="289" priority="145" operator="equal">
      <formula>"X"</formula>
    </cfRule>
    <cfRule type="cellIs" dxfId="288" priority="146" operator="equal">
      <formula>"L"</formula>
    </cfRule>
    <cfRule type="cellIs" dxfId="287" priority="147" operator="equal">
      <formula>"V"</formula>
    </cfRule>
  </conditionalFormatting>
  <conditionalFormatting sqref="AM711:AM717">
    <cfRule type="cellIs" dxfId="279" priority="134" operator="equal">
      <formula>"NA"</formula>
    </cfRule>
    <cfRule type="cellIs" dxfId="278" priority="135" operator="equal">
      <formula>"NS"</formula>
    </cfRule>
    <cfRule type="cellIs" dxfId="277" priority="136" operator="equal">
      <formula>"S"</formula>
    </cfRule>
    <cfRule type="cellIs" dxfId="276" priority="137" operator="equal">
      <formula>"A"</formula>
    </cfRule>
    <cfRule type="cellIs" dxfId="275" priority="138" operator="equal">
      <formula>"X"</formula>
    </cfRule>
    <cfRule type="cellIs" dxfId="274" priority="139" operator="equal">
      <formula>"L"</formula>
    </cfRule>
    <cfRule type="cellIs" dxfId="273" priority="140" operator="equal">
      <formula>"V"</formula>
    </cfRule>
  </conditionalFormatting>
  <conditionalFormatting sqref="AN711:AN717">
    <cfRule type="cellIs" dxfId="265" priority="127" operator="equal">
      <formula>"NA"</formula>
    </cfRule>
    <cfRule type="cellIs" dxfId="264" priority="128" operator="equal">
      <formula>"NS"</formula>
    </cfRule>
    <cfRule type="cellIs" dxfId="263" priority="129" operator="equal">
      <formula>"S"</formula>
    </cfRule>
    <cfRule type="cellIs" dxfId="262" priority="130" operator="equal">
      <formula>"A"</formula>
    </cfRule>
    <cfRule type="cellIs" dxfId="261" priority="131" operator="equal">
      <formula>"X"</formula>
    </cfRule>
    <cfRule type="cellIs" dxfId="260" priority="132" operator="equal">
      <formula>"L"</formula>
    </cfRule>
    <cfRule type="cellIs" dxfId="259" priority="133" operator="equal">
      <formula>"V"</formula>
    </cfRule>
  </conditionalFormatting>
  <conditionalFormatting sqref="AL718:AO718">
    <cfRule type="cellIs" dxfId="251" priority="120" operator="equal">
      <formula>"NA"</formula>
    </cfRule>
    <cfRule type="cellIs" dxfId="250" priority="121" operator="equal">
      <formula>"NS"</formula>
    </cfRule>
    <cfRule type="cellIs" dxfId="249" priority="122" operator="equal">
      <formula>"S"</formula>
    </cfRule>
    <cfRule type="cellIs" dxfId="248" priority="123" operator="equal">
      <formula>"A"</formula>
    </cfRule>
    <cfRule type="cellIs" dxfId="247" priority="124" operator="equal">
      <formula>"X"</formula>
    </cfRule>
    <cfRule type="cellIs" dxfId="246" priority="125" operator="equal">
      <formula>"L"</formula>
    </cfRule>
    <cfRule type="cellIs" dxfId="245" priority="126" operator="equal">
      <formula>"V"</formula>
    </cfRule>
  </conditionalFormatting>
  <conditionalFormatting sqref="AL719:AO726">
    <cfRule type="cellIs" dxfId="237" priority="113" operator="equal">
      <formula>"NA"</formula>
    </cfRule>
    <cfRule type="cellIs" dxfId="236" priority="114" operator="equal">
      <formula>"NS"</formula>
    </cfRule>
    <cfRule type="cellIs" dxfId="235" priority="115" operator="equal">
      <formula>"S"</formula>
    </cfRule>
    <cfRule type="cellIs" dxfId="234" priority="116" operator="equal">
      <formula>"A"</formula>
    </cfRule>
    <cfRule type="cellIs" dxfId="233" priority="117" operator="equal">
      <formula>"X"</formula>
    </cfRule>
    <cfRule type="cellIs" dxfId="232" priority="118" operator="equal">
      <formula>"L"</formula>
    </cfRule>
    <cfRule type="cellIs" dxfId="231" priority="119" operator="equal">
      <formula>"V"</formula>
    </cfRule>
  </conditionalFormatting>
  <conditionalFormatting sqref="AL716">
    <cfRule type="cellIs" dxfId="223" priority="106" operator="equal">
      <formula>"NA"</formula>
    </cfRule>
    <cfRule type="cellIs" dxfId="222" priority="107" operator="equal">
      <formula>"NS"</formula>
    </cfRule>
    <cfRule type="cellIs" dxfId="221" priority="108" operator="equal">
      <formula>"S"</formula>
    </cfRule>
    <cfRule type="cellIs" dxfId="220" priority="109" operator="equal">
      <formula>"A"</formula>
    </cfRule>
    <cfRule type="cellIs" dxfId="219" priority="110" operator="equal">
      <formula>"X"</formula>
    </cfRule>
    <cfRule type="cellIs" dxfId="218" priority="111" operator="equal">
      <formula>"L"</formula>
    </cfRule>
    <cfRule type="cellIs" dxfId="217" priority="112" operator="equal">
      <formula>"V"</formula>
    </cfRule>
  </conditionalFormatting>
  <conditionalFormatting sqref="AO716">
    <cfRule type="cellIs" dxfId="209" priority="99" operator="equal">
      <formula>"NA"</formula>
    </cfRule>
    <cfRule type="cellIs" dxfId="208" priority="100" operator="equal">
      <formula>"NS"</formula>
    </cfRule>
    <cfRule type="cellIs" dxfId="207" priority="101" operator="equal">
      <formula>"S"</formula>
    </cfRule>
    <cfRule type="cellIs" dxfId="206" priority="102" operator="equal">
      <formula>"A"</formula>
    </cfRule>
    <cfRule type="cellIs" dxfId="205" priority="103" operator="equal">
      <formula>"X"</formula>
    </cfRule>
    <cfRule type="cellIs" dxfId="204" priority="104" operator="equal">
      <formula>"L"</formula>
    </cfRule>
    <cfRule type="cellIs" dxfId="203" priority="105" operator="equal">
      <formula>"V"</formula>
    </cfRule>
  </conditionalFormatting>
  <conditionalFormatting sqref="AL837:AO837">
    <cfRule type="cellIs" dxfId="195" priority="92" operator="equal">
      <formula>"NA"</formula>
    </cfRule>
    <cfRule type="cellIs" dxfId="194" priority="93" operator="equal">
      <formula>"NS"</formula>
    </cfRule>
    <cfRule type="cellIs" dxfId="193" priority="94" operator="equal">
      <formula>"S"</formula>
    </cfRule>
    <cfRule type="cellIs" dxfId="192" priority="95" operator="equal">
      <formula>"A"</formula>
    </cfRule>
    <cfRule type="cellIs" dxfId="191" priority="96" operator="equal">
      <formula>"X"</formula>
    </cfRule>
    <cfRule type="cellIs" dxfId="190" priority="97" operator="equal">
      <formula>"L"</formula>
    </cfRule>
    <cfRule type="cellIs" dxfId="189" priority="98" operator="equal">
      <formula>"V"</formula>
    </cfRule>
  </conditionalFormatting>
  <conditionalFormatting sqref="AL941:AO950">
    <cfRule type="cellIs" dxfId="181" priority="85" operator="equal">
      <formula>"NA"</formula>
    </cfRule>
    <cfRule type="cellIs" dxfId="180" priority="86" operator="equal">
      <formula>"NS"</formula>
    </cfRule>
    <cfRule type="cellIs" dxfId="179" priority="87" operator="equal">
      <formula>"S"</formula>
    </cfRule>
    <cfRule type="cellIs" dxfId="178" priority="88" operator="equal">
      <formula>"A"</formula>
    </cfRule>
    <cfRule type="cellIs" dxfId="177" priority="89" operator="equal">
      <formula>"X"</formula>
    </cfRule>
    <cfRule type="cellIs" dxfId="176" priority="90" operator="equal">
      <formula>"L"</formula>
    </cfRule>
    <cfRule type="cellIs" dxfId="175" priority="91" operator="equal">
      <formula>"V"</formula>
    </cfRule>
  </conditionalFormatting>
  <conditionalFormatting sqref="AM228">
    <cfRule type="cellIs" dxfId="167" priority="78" operator="equal">
      <formula>"NA"</formula>
    </cfRule>
    <cfRule type="cellIs" dxfId="166" priority="79" operator="equal">
      <formula>"NS"</formula>
    </cfRule>
    <cfRule type="cellIs" dxfId="165" priority="80" operator="equal">
      <formula>"S"</formula>
    </cfRule>
    <cfRule type="cellIs" dxfId="164" priority="81" operator="equal">
      <formula>"A"</formula>
    </cfRule>
    <cfRule type="cellIs" dxfId="163" priority="82" operator="equal">
      <formula>"X"</formula>
    </cfRule>
    <cfRule type="cellIs" dxfId="162" priority="83" operator="equal">
      <formula>"L"</formula>
    </cfRule>
    <cfRule type="cellIs" dxfId="161" priority="84" operator="equal">
      <formula>"V"</formula>
    </cfRule>
  </conditionalFormatting>
  <conditionalFormatting sqref="AL228">
    <cfRule type="cellIs" dxfId="153" priority="71" operator="equal">
      <formula>"NA"</formula>
    </cfRule>
    <cfRule type="cellIs" dxfId="152" priority="72" operator="equal">
      <formula>"NS"</formula>
    </cfRule>
    <cfRule type="cellIs" dxfId="151" priority="73" operator="equal">
      <formula>"S"</formula>
    </cfRule>
    <cfRule type="cellIs" dxfId="150" priority="74" operator="equal">
      <formula>"A"</formula>
    </cfRule>
    <cfRule type="cellIs" dxfId="149" priority="75" operator="equal">
      <formula>"X"</formula>
    </cfRule>
    <cfRule type="cellIs" dxfId="148" priority="76" operator="equal">
      <formula>"L"</formula>
    </cfRule>
    <cfRule type="cellIs" dxfId="147" priority="77" operator="equal">
      <formula>"V"</formula>
    </cfRule>
  </conditionalFormatting>
  <conditionalFormatting sqref="AL234">
    <cfRule type="cellIs" dxfId="139" priority="64" operator="equal">
      <formula>"NA"</formula>
    </cfRule>
    <cfRule type="cellIs" dxfId="138" priority="65" operator="equal">
      <formula>"NS"</formula>
    </cfRule>
    <cfRule type="cellIs" dxfId="137" priority="66" operator="equal">
      <formula>"S"</formula>
    </cfRule>
    <cfRule type="cellIs" dxfId="136" priority="67" operator="equal">
      <formula>"A"</formula>
    </cfRule>
    <cfRule type="cellIs" dxfId="135" priority="68" operator="equal">
      <formula>"X"</formula>
    </cfRule>
    <cfRule type="cellIs" dxfId="134" priority="69" operator="equal">
      <formula>"L"</formula>
    </cfRule>
    <cfRule type="cellIs" dxfId="133" priority="70" operator="equal">
      <formula>"V"</formula>
    </cfRule>
  </conditionalFormatting>
  <conditionalFormatting sqref="AO234">
    <cfRule type="cellIs" dxfId="125" priority="57" operator="equal">
      <formula>"NA"</formula>
    </cfRule>
    <cfRule type="cellIs" dxfId="124" priority="58" operator="equal">
      <formula>"NS"</formula>
    </cfRule>
    <cfRule type="cellIs" dxfId="123" priority="59" operator="equal">
      <formula>"S"</formula>
    </cfRule>
    <cfRule type="cellIs" dxfId="122" priority="60" operator="equal">
      <formula>"A"</formula>
    </cfRule>
    <cfRule type="cellIs" dxfId="121" priority="61" operator="equal">
      <formula>"X"</formula>
    </cfRule>
    <cfRule type="cellIs" dxfId="120" priority="62" operator="equal">
      <formula>"L"</formula>
    </cfRule>
    <cfRule type="cellIs" dxfId="119" priority="63" operator="equal">
      <formula>"V"</formula>
    </cfRule>
  </conditionalFormatting>
  <conditionalFormatting sqref="AL230">
    <cfRule type="cellIs" dxfId="111" priority="50" operator="equal">
      <formula>"NA"</formula>
    </cfRule>
    <cfRule type="cellIs" dxfId="110" priority="51" operator="equal">
      <formula>"NS"</formula>
    </cfRule>
    <cfRule type="cellIs" dxfId="109" priority="52" operator="equal">
      <formula>"S"</formula>
    </cfRule>
    <cfRule type="cellIs" dxfId="108" priority="53" operator="equal">
      <formula>"A"</formula>
    </cfRule>
    <cfRule type="cellIs" dxfId="107" priority="54" operator="equal">
      <formula>"X"</formula>
    </cfRule>
    <cfRule type="cellIs" dxfId="106" priority="55" operator="equal">
      <formula>"L"</formula>
    </cfRule>
    <cfRule type="cellIs" dxfId="105" priority="56" operator="equal">
      <formula>"V"</formula>
    </cfRule>
  </conditionalFormatting>
  <conditionalFormatting sqref="AN230">
    <cfRule type="cellIs" dxfId="97" priority="43" operator="equal">
      <formula>"NA"</formula>
    </cfRule>
    <cfRule type="cellIs" dxfId="96" priority="44" operator="equal">
      <formula>"NS"</formula>
    </cfRule>
    <cfRule type="cellIs" dxfId="95" priority="45" operator="equal">
      <formula>"S"</formula>
    </cfRule>
    <cfRule type="cellIs" dxfId="94" priority="46" operator="equal">
      <formula>"A"</formula>
    </cfRule>
    <cfRule type="cellIs" dxfId="93" priority="47" operator="equal">
      <formula>"X"</formula>
    </cfRule>
    <cfRule type="cellIs" dxfId="92" priority="48" operator="equal">
      <formula>"L"</formula>
    </cfRule>
    <cfRule type="cellIs" dxfId="91" priority="49" operator="equal">
      <formula>"V"</formula>
    </cfRule>
  </conditionalFormatting>
  <conditionalFormatting sqref="AM234">
    <cfRule type="cellIs" dxfId="83" priority="36" operator="equal">
      <formula>"NA"</formula>
    </cfRule>
    <cfRule type="cellIs" dxfId="82" priority="37" operator="equal">
      <formula>"NS"</formula>
    </cfRule>
    <cfRule type="cellIs" dxfId="81" priority="38" operator="equal">
      <formula>"S"</formula>
    </cfRule>
    <cfRule type="cellIs" dxfId="80" priority="39" operator="equal">
      <formula>"A"</formula>
    </cfRule>
    <cfRule type="cellIs" dxfId="79" priority="40" operator="equal">
      <formula>"X"</formula>
    </cfRule>
    <cfRule type="cellIs" dxfId="78" priority="41" operator="equal">
      <formula>"L"</formula>
    </cfRule>
    <cfRule type="cellIs" dxfId="77" priority="42" operator="equal">
      <formula>"V"</formula>
    </cfRule>
  </conditionalFormatting>
  <conditionalFormatting sqref="AN234">
    <cfRule type="cellIs" dxfId="69" priority="29" operator="equal">
      <formula>"NA"</formula>
    </cfRule>
    <cfRule type="cellIs" dxfId="68" priority="30" operator="equal">
      <formula>"NS"</formula>
    </cfRule>
    <cfRule type="cellIs" dxfId="67" priority="31" operator="equal">
      <formula>"S"</formula>
    </cfRule>
    <cfRule type="cellIs" dxfId="66" priority="32" operator="equal">
      <formula>"A"</formula>
    </cfRule>
    <cfRule type="cellIs" dxfId="65" priority="33" operator="equal">
      <formula>"X"</formula>
    </cfRule>
    <cfRule type="cellIs" dxfId="64" priority="34" operator="equal">
      <formula>"L"</formula>
    </cfRule>
    <cfRule type="cellIs" dxfId="63" priority="35" operator="equal">
      <formula>"V"</formula>
    </cfRule>
  </conditionalFormatting>
  <conditionalFormatting sqref="AM235">
    <cfRule type="cellIs" dxfId="55" priority="22" operator="equal">
      <formula>"NA"</formula>
    </cfRule>
    <cfRule type="cellIs" dxfId="54" priority="23" operator="equal">
      <formula>"NS"</formula>
    </cfRule>
    <cfRule type="cellIs" dxfId="53" priority="24" operator="equal">
      <formula>"S"</formula>
    </cfRule>
    <cfRule type="cellIs" dxfId="52" priority="25" operator="equal">
      <formula>"A"</formula>
    </cfRule>
    <cfRule type="cellIs" dxfId="51" priority="26" operator="equal">
      <formula>"X"</formula>
    </cfRule>
    <cfRule type="cellIs" dxfId="50" priority="27" operator="equal">
      <formula>"L"</formula>
    </cfRule>
    <cfRule type="cellIs" dxfId="49" priority="28" operator="equal">
      <formula>"V"</formula>
    </cfRule>
  </conditionalFormatting>
  <conditionalFormatting sqref="AM236">
    <cfRule type="cellIs" dxfId="41" priority="15" operator="equal">
      <formula>"NA"</formula>
    </cfRule>
    <cfRule type="cellIs" dxfId="40" priority="16" operator="equal">
      <formula>"NS"</formula>
    </cfRule>
    <cfRule type="cellIs" dxfId="39" priority="17" operator="equal">
      <formula>"S"</formula>
    </cfRule>
    <cfRule type="cellIs" dxfId="38" priority="18" operator="equal">
      <formula>"A"</formula>
    </cfRule>
    <cfRule type="cellIs" dxfId="37" priority="19" operator="equal">
      <formula>"X"</formula>
    </cfRule>
    <cfRule type="cellIs" dxfId="36" priority="20" operator="equal">
      <formula>"L"</formula>
    </cfRule>
    <cfRule type="cellIs" dxfId="35" priority="21" operator="equal">
      <formula>"V"</formula>
    </cfRule>
  </conditionalFormatting>
  <conditionalFormatting sqref="AL244">
    <cfRule type="cellIs" dxfId="27" priority="8" operator="equal">
      <formula>"NA"</formula>
    </cfRule>
    <cfRule type="cellIs" dxfId="26" priority="9" operator="equal">
      <formula>"NS"</formula>
    </cfRule>
    <cfRule type="cellIs" dxfId="25" priority="10" operator="equal">
      <formula>"S"</formula>
    </cfRule>
    <cfRule type="cellIs" dxfId="24" priority="11" operator="equal">
      <formula>"A"</formula>
    </cfRule>
    <cfRule type="cellIs" dxfId="23" priority="12" operator="equal">
      <formula>"X"</formula>
    </cfRule>
    <cfRule type="cellIs" dxfId="22" priority="13" operator="equal">
      <formula>"L"</formula>
    </cfRule>
    <cfRule type="cellIs" dxfId="21" priority="14" operator="equal">
      <formula>"V"</formula>
    </cfRule>
  </conditionalFormatting>
  <conditionalFormatting sqref="AM244">
    <cfRule type="cellIs" dxfId="13" priority="1" operator="equal">
      <formula>"NA"</formula>
    </cfRule>
    <cfRule type="cellIs" dxfId="12" priority="2" operator="equal">
      <formula>"NS"</formula>
    </cfRule>
    <cfRule type="cellIs" dxfId="11" priority="3" operator="equal">
      <formula>"S"</formula>
    </cfRule>
    <cfRule type="cellIs" dxfId="10" priority="4" operator="equal">
      <formula>"A"</formula>
    </cfRule>
    <cfRule type="cellIs" dxfId="9" priority="5" operator="equal">
      <formula>"X"</formula>
    </cfRule>
    <cfRule type="cellIs" dxfId="8" priority="6" operator="equal">
      <formula>"L"</formula>
    </cfRule>
    <cfRule type="cellIs" dxfId="7" priority="7" operator="equal">
      <formula>"V"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[1]Phase!#REF!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FF00"/>
  </sheetPr>
  <dimension ref="A1:AU14"/>
  <sheetViews>
    <sheetView workbookViewId="0">
      <selection activeCell="C11" sqref="C11"/>
    </sheetView>
  </sheetViews>
  <sheetFormatPr defaultColWidth="9.44921875" defaultRowHeight="17.399999999999999" outlineLevelCol="1"/>
  <cols>
    <col min="1" max="1" width="29" style="27" customWidth="1"/>
    <col min="2" max="2" width="29" style="28" customWidth="1"/>
    <col min="3" max="4" width="29" style="22" customWidth="1"/>
    <col min="5" max="5" width="31.09765625" style="10" customWidth="1"/>
    <col min="6" max="6" width="9.44921875" style="11"/>
    <col min="7" max="7" width="9.44921875" style="12"/>
    <col min="8" max="8" width="9.44921875" style="13"/>
    <col min="9" max="10" width="9.44921875" style="14"/>
    <col min="11" max="11" width="9.44921875" style="15"/>
    <col min="12" max="17" width="9.44921875" style="16" outlineLevel="1"/>
    <col min="18" max="18" width="9.44921875" style="17" outlineLevel="1"/>
    <col min="19" max="19" width="9.44921875" style="16"/>
    <col min="20" max="20" width="9.44921875" style="14" collapsed="1"/>
    <col min="21" max="22" width="9.44921875" style="17"/>
    <col min="23" max="23" width="9.44921875" style="16"/>
    <col min="24" max="24" width="9.44921875" style="14"/>
    <col min="25" max="25" width="9.44921875" style="18"/>
    <col min="26" max="26" width="9.44921875" style="16"/>
    <col min="27" max="27" width="9.44921875" style="14"/>
    <col min="28" max="28" width="9.44921875" style="16"/>
    <col min="29" max="30" width="9.44921875" style="14"/>
    <col min="31" max="32" width="9.44921875" style="16"/>
    <col min="33" max="34" width="9.44921875" style="14"/>
    <col min="35" max="35" width="9.44921875" style="16"/>
    <col min="36" max="36" width="9.44921875" style="17"/>
    <col min="37" max="46" width="9.44921875" style="16" outlineLevel="1"/>
    <col min="47" max="47" width="9.44921875" style="14"/>
    <col min="48" max="16384" width="9.44921875" style="18"/>
  </cols>
  <sheetData>
    <row r="1" spans="1:5" ht="30.55" customHeight="1" thickBot="1">
      <c r="A1" s="34" t="s">
        <v>2</v>
      </c>
      <c r="B1" s="35" t="s">
        <v>3</v>
      </c>
      <c r="C1" s="36" t="s">
        <v>4</v>
      </c>
      <c r="D1" s="35" t="s">
        <v>5</v>
      </c>
    </row>
    <row r="2" spans="1:5">
      <c r="A2" s="19"/>
      <c r="B2" s="71" t="s">
        <v>7</v>
      </c>
      <c r="C2" s="20" t="s">
        <v>8</v>
      </c>
      <c r="D2" s="21" t="s">
        <v>12</v>
      </c>
    </row>
    <row r="3" spans="1:5">
      <c r="A3" s="19"/>
      <c r="B3" s="71"/>
      <c r="D3" s="23"/>
      <c r="E3" s="18" t="s">
        <v>13</v>
      </c>
    </row>
    <row r="4" spans="1:5">
      <c r="A4" s="19"/>
      <c r="B4" s="71"/>
      <c r="D4" s="23"/>
      <c r="E4" s="39">
        <v>44096</v>
      </c>
    </row>
    <row r="5" spans="1:5" ht="17.7" thickBot="1">
      <c r="A5" s="24"/>
      <c r="B5" s="72"/>
      <c r="C5" s="25"/>
      <c r="D5" s="26"/>
    </row>
    <row r="6" spans="1:5">
      <c r="A6" s="27" t="s">
        <v>9</v>
      </c>
      <c r="C6" s="29" t="s">
        <v>10</v>
      </c>
    </row>
    <row r="7" spans="1:5">
      <c r="A7" s="30">
        <f ca="1">NOW()</f>
        <v>44096.547518518521</v>
      </c>
      <c r="B7" s="31" t="s">
        <v>85</v>
      </c>
    </row>
    <row r="10" spans="1:5">
      <c r="C10" s="29" t="s">
        <v>6</v>
      </c>
    </row>
    <row r="11" spans="1:5">
      <c r="A11" s="32" t="s">
        <v>11</v>
      </c>
    </row>
    <row r="12" spans="1:5">
      <c r="A12" s="33" t="s">
        <v>86</v>
      </c>
    </row>
    <row r="13" spans="1:5">
      <c r="A13" s="38"/>
    </row>
    <row r="14" spans="1:5">
      <c r="A14" s="38"/>
    </row>
  </sheetData>
  <protectedRanges>
    <protectedRange sqref="C2:C3 X6 X981 X966 B1356:AW1376 D2 AD8:AF1374 U8:W1374 AH8:AH1374 AK8:AW1374 AB8:AB1374 Z8:Z1374 S8:S1374" name="範圍1"/>
  </protectedRanges>
  <mergeCells count="1">
    <mergeCell ref="B2:B5"/>
  </mergeCells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tacalculate">
                <anchor moveWithCells="1" sizeWithCells="1">
                  <from>
                    <xdr:col>2</xdr:col>
                    <xdr:colOff>38100</xdr:colOff>
                    <xdr:row>2</xdr:row>
                    <xdr:rowOff>30480</xdr:rowOff>
                  </from>
                  <to>
                    <xdr:col>2</xdr:col>
                    <xdr:colOff>1973580</xdr:colOff>
                    <xdr:row>4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eps12">
                <anchor moveWithCells="1" sizeWithCells="1">
                  <from>
                    <xdr:col>3</xdr:col>
                    <xdr:colOff>57150</xdr:colOff>
                    <xdr:row>2</xdr:row>
                    <xdr:rowOff>49530</xdr:rowOff>
                  </from>
                  <to>
                    <xdr:col>3</xdr:col>
                    <xdr:colOff>1962150</xdr:colOff>
                    <xdr:row>4</xdr:row>
                    <xdr:rowOff>140970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leanup">
                <anchor moveWithCells="1" sizeWithCells="1">
                  <from>
                    <xdr:col>0</xdr:col>
                    <xdr:colOff>121920</xdr:colOff>
                    <xdr:row>1</xdr:row>
                    <xdr:rowOff>87630</xdr:rowOff>
                  </from>
                  <to>
                    <xdr:col>0</xdr:col>
                    <xdr:colOff>1878330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cleanupcal1">
                <anchor moveWithCells="1" sizeWithCells="1">
                  <from>
                    <xdr:col>2</xdr:col>
                    <xdr:colOff>57150</xdr:colOff>
                    <xdr:row>6</xdr:row>
                    <xdr:rowOff>45720</xdr:rowOff>
                  </from>
                  <to>
                    <xdr:col>2</xdr:col>
                    <xdr:colOff>1943100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C1:AKH1"/>
  <sheetViews>
    <sheetView workbookViewId="0">
      <selection sqref="A1:XFD1048576"/>
    </sheetView>
  </sheetViews>
  <sheetFormatPr defaultColWidth="8.6484375" defaultRowHeight="15.6" outlineLevelCol="1"/>
  <cols>
    <col min="1" max="2" width="8.6484375" style="1"/>
    <col min="3" max="3" width="8.6484375" style="4"/>
    <col min="4" max="817" width="8.6484375" style="3"/>
    <col min="818" max="831" width="8.6484375" style="5"/>
    <col min="832" max="833" width="8.6484375" style="6"/>
    <col min="834" max="848" width="8.6484375" style="7"/>
    <col min="849" max="849" width="8.6484375" style="8"/>
    <col min="850" max="878" width="8.6484375" style="7" outlineLevel="1"/>
    <col min="879" max="879" width="8.6484375" style="9" outlineLevel="1"/>
    <col min="880" max="890" width="8.6484375" style="7"/>
    <col min="891" max="891" width="8.6484375" style="7" collapsed="1"/>
    <col min="892" max="893" width="8.6484375" style="9"/>
    <col min="894" max="905" width="8.6484375" style="7"/>
    <col min="906" max="906" width="8.6484375" style="1"/>
    <col min="907" max="936" width="8.6484375" style="7"/>
    <col min="937" max="937" width="8.6484375" style="9"/>
    <col min="938" max="967" width="8.6484375" style="7" outlineLevel="1"/>
    <col min="968" max="970" width="8.6484375" style="7"/>
    <col min="971" max="16384" width="8.6484375" style="1"/>
  </cols>
  <sheetData/>
  <protectedRanges>
    <protectedRange sqref="ALM2:ALX3" name="範圍1_2_9"/>
    <protectedRange sqref="AKY2:ALJ9" name="範圍1_2_10"/>
    <protectedRange sqref="AKK2:AKV15" name="範圍1_2_11"/>
    <protectedRange sqref="AJW2:AKH22" name="範圍1_2_12"/>
    <protectedRange sqref="AJD2:AJT29" name="範圍1_2_13"/>
    <protectedRange sqref="AIP2:AJA36" name="範圍1_1_4"/>
    <protectedRange sqref="AHM2:AIM59" name="範圍1_2"/>
    <protectedRange sqref="AGX2:AHI109" name="範圍1_7"/>
    <protectedRange sqref="AGI2:AGT109" name="範圍1_10"/>
    <protectedRange sqref="AFT2:AGE113" name="範圍1_15"/>
    <protectedRange sqref="AFE2:AFP122" name="範圍1_1"/>
    <protectedRange sqref="AEP2:AFA122" name="範圍1_19"/>
    <protectedRange sqref="AEA2:AEL128" name="範圍1_9"/>
    <protectedRange sqref="ADL2:ADW136" name="範圍1_1_1"/>
    <protectedRange sqref="ACW2:ADH141" name="範圍1_13"/>
    <protectedRange sqref="ACH2:ACS141" name="範圍1_1_2"/>
    <protectedRange sqref="ABS2:ACD141" name="範圍1_16"/>
    <protectedRange sqref="ABD2:ABO141" name="範圍1_1_3"/>
    <protectedRange sqref="AAO2:AAZ141" name="範圍1_29"/>
    <protectedRange sqref="ZZ2:AAK142" name="範圍1_1_5"/>
    <protectedRange sqref="ZK2:ZV144" name="範圍1_18"/>
    <protectedRange sqref="YV2:ZG148" name="範圍1_1_6"/>
    <protectedRange sqref="YG2:YR154" name="範圍1_22"/>
    <protectedRange sqref="XR2:YC102 XD103:YC104 WP105:YC159" name="範圍1_1_7"/>
    <protectedRange sqref="XD2:XO102" name="範圍1_26"/>
    <protectedRange sqref="WP2:XA103" name="範圍1_1_8"/>
    <protectedRange sqref="VM137:WL178 WA2:WL136" name="範圍1_41"/>
    <protectedRange sqref="VM2:VX106" name="範圍1_1_9"/>
    <protectedRange sqref="UX2:VI179" name="範圍1_36"/>
    <protectedRange sqref="UI2:UT179" name="範圍1_1_10"/>
    <protectedRange sqref="TT2:UE185" name="範圍1_30"/>
    <protectedRange sqref="TC2:TN195" name="範圍1_1_12"/>
    <protectedRange sqref="SN2:SY202" name="範圍1_49"/>
    <protectedRange sqref="RY2:SL208" name="範圍1_1_11"/>
    <protectedRange sqref="RS2:RX220" name="範圍1_55"/>
    <protectedRange sqref="RG2:RR220" name="範圍1_1_13"/>
    <protectedRange sqref="PB2:PD242" name="範圍1_1_14"/>
    <protectedRange sqref="ML143:MO267" name="範圍1_1_17"/>
    <protectedRange sqref="JD263:JF287 KT162:KY181 IP288:IT310 IV288:JF310 JI263:KY310 KF182:KY242 JR243:KY262" name="範圍1_1_16"/>
    <protectedRange sqref="FV373:GA409 FG410:GA736 EW737:GA749" name="範圍1_1_18"/>
    <protectedRange sqref="AA140:AB839 AA840:AB849" name="範圍1_1_21"/>
    <protectedRange sqref="AA21:AB102 AA2:AB20" name="範圍1_1_4_1"/>
    <protectedRange sqref="AL1:BE1" name="範圍1_2_1_13"/>
  </protectedRange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BH1805"/>
  <sheetViews>
    <sheetView workbookViewId="0">
      <selection sqref="A1:BH2"/>
    </sheetView>
  </sheetViews>
  <sheetFormatPr defaultColWidth="8.6484375" defaultRowHeight="15.6" outlineLevelCol="1"/>
  <cols>
    <col min="1" max="1" width="9.6484375" style="1" bestFit="1" customWidth="1"/>
    <col min="2" max="2" width="10.44921875" style="1" customWidth="1"/>
    <col min="3" max="3" width="17" style="4" customWidth="1"/>
    <col min="4" max="5" width="33.8984375" style="3" customWidth="1"/>
    <col min="6" max="6" width="12.6484375" style="3" customWidth="1"/>
    <col min="7" max="7" width="13.546875" style="3" customWidth="1"/>
    <col min="8" max="8" width="12.75" style="3" customWidth="1"/>
    <col min="9" max="9" width="10.44921875" style="5" customWidth="1"/>
    <col min="10" max="10" width="7.8984375" style="5" customWidth="1"/>
    <col min="11" max="11" width="6.796875" style="6" customWidth="1"/>
    <col min="12" max="12" width="9" style="6" customWidth="1"/>
    <col min="13" max="13" width="8.796875" style="7" customWidth="1"/>
    <col min="14" max="14" width="11.09765625" style="7" customWidth="1"/>
    <col min="15" max="15" width="10.546875" style="8" customWidth="1"/>
    <col min="16" max="18" width="8.09765625" style="7" customWidth="1" outlineLevel="1"/>
    <col min="19" max="19" width="5.19921875" style="7" customWidth="1" outlineLevel="1"/>
    <col min="20" max="20" width="7.34765625" style="7" customWidth="1" outlineLevel="1"/>
    <col min="21" max="23" width="5" style="7" customWidth="1" outlineLevel="1"/>
    <col min="24" max="24" width="25.6484375" style="9" customWidth="1" outlineLevel="1"/>
    <col min="25" max="25" width="13.796875" style="7" customWidth="1"/>
    <col min="26" max="26" width="10" style="7" customWidth="1" collapsed="1"/>
    <col min="27" max="27" width="6.796875" style="9" customWidth="1"/>
    <col min="28" max="28" width="11.19921875" style="9" customWidth="1"/>
    <col min="29" max="29" width="9.34765625" style="7" customWidth="1"/>
    <col min="30" max="30" width="14.44921875" style="7" customWidth="1"/>
    <col min="31" max="31" width="13.8984375" style="1" customWidth="1"/>
    <col min="32" max="33" width="10.546875" style="7" customWidth="1"/>
    <col min="34" max="35" width="9.796875" style="7" customWidth="1"/>
    <col min="36" max="36" width="35.546875" style="7" customWidth="1"/>
    <col min="37" max="39" width="9.796875" style="7" customWidth="1"/>
    <col min="40" max="40" width="35.546875" style="7" customWidth="1"/>
    <col min="41" max="41" width="9.796875" style="7" customWidth="1"/>
    <col min="42" max="42" width="9.6484375" style="9" customWidth="1"/>
    <col min="43" max="60" width="8.8984375" style="7" customWidth="1" outlineLevel="1"/>
    <col min="61" max="1024" width="9" style="1" customWidth="1"/>
    <col min="1025" max="16384" width="8.6484375" style="1"/>
  </cols>
  <sheetData>
    <row r="1" spans="1:60" ht="43.2">
      <c r="A1" s="59" t="s">
        <v>27</v>
      </c>
      <c r="B1" s="59" t="s">
        <v>28</v>
      </c>
      <c r="C1" s="59" t="s">
        <v>29</v>
      </c>
      <c r="D1" s="59" t="s">
        <v>30</v>
      </c>
      <c r="E1" s="59" t="s">
        <v>31</v>
      </c>
      <c r="F1" s="59" t="s">
        <v>32</v>
      </c>
      <c r="G1" s="59" t="s">
        <v>33</v>
      </c>
      <c r="H1" s="60" t="s">
        <v>34</v>
      </c>
      <c r="I1" s="59" t="s">
        <v>35</v>
      </c>
      <c r="J1" s="61" t="s">
        <v>36</v>
      </c>
      <c r="K1" s="62" t="s">
        <v>37</v>
      </c>
      <c r="L1" s="62" t="s">
        <v>38</v>
      </c>
      <c r="M1" s="62" t="s">
        <v>39</v>
      </c>
      <c r="N1" s="62" t="s">
        <v>40</v>
      </c>
      <c r="O1" s="62" t="s">
        <v>41</v>
      </c>
      <c r="P1" s="63" t="s">
        <v>42</v>
      </c>
      <c r="Q1" s="63" t="s">
        <v>43</v>
      </c>
      <c r="R1" s="44" t="s">
        <v>44</v>
      </c>
      <c r="S1" s="44" t="s">
        <v>45</v>
      </c>
      <c r="T1" s="44" t="s">
        <v>46</v>
      </c>
      <c r="U1" s="44" t="s">
        <v>47</v>
      </c>
      <c r="V1" s="44" t="s">
        <v>48</v>
      </c>
      <c r="W1" s="64" t="s">
        <v>49</v>
      </c>
      <c r="X1" s="65" t="s">
        <v>50</v>
      </c>
      <c r="Y1" s="66" t="s">
        <v>51</v>
      </c>
      <c r="Z1" s="66" t="s">
        <v>52</v>
      </c>
      <c r="AA1" s="67" t="s">
        <v>53</v>
      </c>
      <c r="AB1" s="67" t="s">
        <v>54</v>
      </c>
      <c r="AC1" s="67" t="s">
        <v>55</v>
      </c>
      <c r="AD1" s="68" t="s">
        <v>56</v>
      </c>
      <c r="AE1" s="67" t="s">
        <v>57</v>
      </c>
      <c r="AF1" s="68" t="s">
        <v>58</v>
      </c>
      <c r="AG1" s="67" t="s">
        <v>59</v>
      </c>
      <c r="AH1" s="68" t="s">
        <v>60</v>
      </c>
      <c r="AI1" s="66" t="s">
        <v>61</v>
      </c>
      <c r="AJ1" s="68" t="s">
        <v>62</v>
      </c>
      <c r="AK1" s="68" t="s">
        <v>63</v>
      </c>
      <c r="AL1" s="43" t="s">
        <v>14</v>
      </c>
      <c r="AM1" s="43" t="s">
        <v>1</v>
      </c>
      <c r="AN1" s="43" t="s">
        <v>15</v>
      </c>
      <c r="AO1" s="43" t="s">
        <v>16</v>
      </c>
      <c r="AP1" s="43" t="s">
        <v>17</v>
      </c>
      <c r="AQ1" s="43" t="s">
        <v>18</v>
      </c>
      <c r="AR1" s="43" t="s">
        <v>19</v>
      </c>
      <c r="AS1" s="43" t="s">
        <v>20</v>
      </c>
      <c r="AT1" s="43" t="s">
        <v>21</v>
      </c>
      <c r="AU1" s="43" t="s">
        <v>22</v>
      </c>
      <c r="AV1" s="43" t="s">
        <v>67</v>
      </c>
      <c r="AW1" s="43" t="s">
        <v>68</v>
      </c>
      <c r="AX1" s="43" t="s">
        <v>69</v>
      </c>
      <c r="AY1" s="43" t="s">
        <v>70</v>
      </c>
      <c r="AZ1" s="43" t="s">
        <v>71</v>
      </c>
      <c r="BA1" s="43" t="s">
        <v>72</v>
      </c>
      <c r="BB1" s="43" t="s">
        <v>73</v>
      </c>
      <c r="BC1" s="43" t="s">
        <v>74</v>
      </c>
      <c r="BD1" s="43" t="s">
        <v>75</v>
      </c>
      <c r="BE1" s="43" t="s">
        <v>76</v>
      </c>
      <c r="BF1" s="69" t="s">
        <v>64</v>
      </c>
      <c r="BG1" s="69" t="s">
        <v>65</v>
      </c>
      <c r="BH1" s="69" t="s">
        <v>66</v>
      </c>
    </row>
    <row r="2" spans="1:60" s="2" customFormat="1">
      <c r="A2" s="45" t="s">
        <v>77</v>
      </c>
      <c r="B2" s="45" t="s">
        <v>78</v>
      </c>
      <c r="C2" s="46" t="s">
        <v>23</v>
      </c>
      <c r="D2" s="47" t="s">
        <v>23</v>
      </c>
      <c r="E2" s="47" t="s">
        <v>23</v>
      </c>
      <c r="F2" s="48" t="s">
        <v>24</v>
      </c>
      <c r="G2" s="49" t="s">
        <v>79</v>
      </c>
      <c r="H2" s="70" t="s">
        <v>80</v>
      </c>
      <c r="I2" s="50" t="s">
        <v>25</v>
      </c>
      <c r="J2" s="51">
        <f>SUM(K2:L2)</f>
        <v>480</v>
      </c>
      <c r="K2" s="51">
        <v>480</v>
      </c>
      <c r="L2" s="51">
        <v>0</v>
      </c>
      <c r="M2" s="51"/>
      <c r="N2" s="51">
        <v>8</v>
      </c>
      <c r="O2" s="50">
        <v>0</v>
      </c>
      <c r="P2" s="52">
        <v>1</v>
      </c>
      <c r="Q2" s="53"/>
      <c r="R2" s="54" t="s">
        <v>0</v>
      </c>
      <c r="S2" s="54" t="s">
        <v>0</v>
      </c>
      <c r="T2" s="54" t="s">
        <v>0</v>
      </c>
      <c r="U2" s="54" t="s">
        <v>0</v>
      </c>
      <c r="V2" s="53" t="s">
        <v>26</v>
      </c>
      <c r="W2" s="53"/>
      <c r="X2" s="53">
        <f>SUMIF(W2,"Y",K2)</f>
        <v>0</v>
      </c>
      <c r="Y2" s="55"/>
      <c r="Z2" s="55"/>
      <c r="AA2" s="52">
        <f>(COUNTA(AL2:AU2)-COUNTIF(AL2:AU2, "X"))</f>
        <v>5</v>
      </c>
      <c r="AB2" s="53">
        <f>(COUNTA(AL2:AU2)-COUNTIF(AL2:AU2, "X"))*P2*K2</f>
        <v>2400</v>
      </c>
      <c r="AC2" s="53">
        <f>COUNTIF(AL2:AU2,"A")</f>
        <v>1</v>
      </c>
      <c r="AD2" s="53">
        <f>COUNTIF(AL2:AU2,"V")*P2*M2</f>
        <v>0</v>
      </c>
      <c r="AE2" s="53">
        <f>COUNTIF(AL2:AU2,"L")</f>
        <v>1</v>
      </c>
      <c r="AF2" s="53">
        <f>COUNTIF(AL2:AU2,"L")*K2*P2</f>
        <v>480</v>
      </c>
      <c r="AG2" s="56">
        <f>IF(Q2="Y",1,0)</f>
        <v>0</v>
      </c>
      <c r="AH2" s="53">
        <f>IF(Q2="Y", AA2, 0)*K2*P2/2</f>
        <v>0</v>
      </c>
      <c r="AI2" s="55"/>
      <c r="AJ2" s="53">
        <f>COUNTIF(AL2:AU2, "V")</f>
        <v>2</v>
      </c>
      <c r="AK2" s="53">
        <f>AB2-AD2-AF2-AH2</f>
        <v>1920</v>
      </c>
      <c r="AL2" s="56" t="s">
        <v>81</v>
      </c>
      <c r="AM2" s="56" t="s">
        <v>81</v>
      </c>
      <c r="AN2" s="56" t="s">
        <v>82</v>
      </c>
      <c r="AO2" s="56" t="s">
        <v>83</v>
      </c>
      <c r="AP2" s="56" t="s">
        <v>84</v>
      </c>
      <c r="AQ2" s="56"/>
      <c r="AR2" s="56"/>
      <c r="AS2" s="56"/>
      <c r="AT2" s="56"/>
      <c r="AU2" s="56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</row>
    <row r="3" spans="1:60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</row>
    <row r="7" spans="1:60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</row>
    <row r="8" spans="1:60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</row>
    <row r="9" spans="1:60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</row>
    <row r="10" spans="1:60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</row>
    <row r="11" spans="1:60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</row>
    <row r="12" spans="1:60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</row>
    <row r="13" spans="1:60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</row>
    <row r="14" spans="1:60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</row>
    <row r="15" spans="1:60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3:60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3:60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</row>
    <row r="19" spans="3:60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</row>
    <row r="20" spans="3:60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</row>
    <row r="21" spans="3:60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</row>
    <row r="22" spans="3:60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</row>
    <row r="23" spans="3:60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</row>
    <row r="24" spans="3:60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</row>
    <row r="25" spans="3:60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</row>
    <row r="26" spans="3:60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</row>
    <row r="27" spans="3:60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</row>
    <row r="28" spans="3:60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</row>
    <row r="29" spans="3:60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</row>
    <row r="30" spans="3:60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</row>
    <row r="31" spans="3:60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</row>
    <row r="32" spans="3:60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</row>
    <row r="33" spans="3:60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</row>
    <row r="34" spans="3:60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</row>
    <row r="35" spans="3:60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</row>
    <row r="36" spans="3:60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</row>
    <row r="37" spans="3:60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</row>
    <row r="38" spans="3:60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</row>
    <row r="39" spans="3:60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</row>
    <row r="40" spans="3:60"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</row>
    <row r="41" spans="3:60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</row>
    <row r="42" spans="3:60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</row>
    <row r="43" spans="3:60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</row>
    <row r="44" spans="3:60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</row>
    <row r="45" spans="3:60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</row>
    <row r="46" spans="3:60"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</row>
    <row r="47" spans="3:60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</row>
    <row r="48" spans="3:60"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</row>
    <row r="49" spans="3:60"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</row>
    <row r="50" spans="3:60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</row>
    <row r="51" spans="3:60"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</row>
    <row r="52" spans="3:60"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</row>
    <row r="53" spans="3:60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</row>
    <row r="54" spans="3:60"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</row>
    <row r="55" spans="3:60"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</row>
    <row r="56" spans="3:60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</row>
    <row r="57" spans="3:60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</row>
    <row r="58" spans="3:60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</row>
    <row r="59" spans="3:60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</row>
    <row r="60" spans="3:60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</row>
    <row r="61" spans="3:60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</row>
    <row r="62" spans="3:60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</row>
    <row r="63" spans="3:60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</row>
    <row r="64" spans="3:60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</row>
    <row r="65" spans="3:60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</row>
    <row r="66" spans="3:60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</row>
    <row r="67" spans="3:60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</row>
    <row r="68" spans="3:60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</row>
    <row r="69" spans="3:60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</row>
    <row r="70" spans="3:60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</row>
    <row r="71" spans="3:60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</row>
    <row r="72" spans="3:60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</row>
    <row r="73" spans="3:60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</row>
    <row r="74" spans="3:60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</row>
    <row r="75" spans="3:60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</row>
    <row r="76" spans="3:60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</row>
    <row r="77" spans="3:60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</row>
    <row r="78" spans="3:60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</row>
    <row r="79" spans="3:60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</row>
    <row r="80" spans="3:60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</row>
    <row r="81" spans="3:60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</row>
    <row r="82" spans="3:60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</row>
    <row r="83" spans="3:60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</row>
    <row r="84" spans="3:60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</row>
    <row r="85" spans="3:60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</row>
    <row r="86" spans="3:60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</row>
    <row r="87" spans="3:60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</row>
    <row r="88" spans="3:60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</row>
    <row r="89" spans="3:60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</row>
    <row r="90" spans="3:60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</row>
    <row r="91" spans="3:60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</row>
    <row r="92" spans="3:60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</row>
    <row r="93" spans="3:60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</row>
    <row r="94" spans="3:60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</row>
    <row r="95" spans="3:60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</row>
    <row r="96" spans="3:60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</row>
    <row r="97" spans="3:60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</row>
    <row r="98" spans="3:60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</row>
    <row r="99" spans="3:60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</row>
    <row r="100" spans="3:60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</row>
    <row r="101" spans="3:60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</row>
    <row r="102" spans="3:60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</row>
    <row r="103" spans="3:60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</row>
    <row r="104" spans="3:60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</row>
    <row r="105" spans="3:60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</row>
    <row r="106" spans="3:60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</row>
    <row r="107" spans="3:60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</row>
    <row r="108" spans="3:60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</row>
    <row r="109" spans="3:60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</row>
    <row r="110" spans="3:60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</row>
    <row r="111" spans="3:60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</row>
    <row r="112" spans="3:60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</row>
    <row r="113" spans="3:60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</row>
    <row r="114" spans="3:60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</row>
    <row r="115" spans="3:60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</row>
    <row r="116" spans="3:60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</row>
    <row r="117" spans="3:60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</row>
    <row r="118" spans="3:60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</row>
    <row r="119" spans="3:60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</row>
    <row r="120" spans="3:60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</row>
    <row r="121" spans="3:60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</row>
    <row r="122" spans="3:60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</row>
    <row r="123" spans="3:60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</row>
    <row r="124" spans="3:60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</row>
    <row r="125" spans="3:60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</row>
    <row r="126" spans="3:60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</row>
    <row r="127" spans="3:60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</row>
    <row r="128" spans="3:60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</row>
    <row r="129" spans="3:60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</row>
    <row r="130" spans="3:60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</row>
    <row r="131" spans="3:60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</row>
    <row r="132" spans="3:60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</row>
    <row r="133" spans="3:60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</row>
    <row r="134" spans="3:60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</row>
    <row r="135" spans="3:60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</row>
    <row r="136" spans="3:60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</row>
    <row r="137" spans="3:60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</row>
    <row r="138" spans="3:60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</row>
    <row r="139" spans="3:60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</row>
    <row r="140" spans="3:60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</row>
    <row r="141" spans="3:60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</row>
    <row r="142" spans="3:60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</row>
    <row r="143" spans="3:60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</row>
    <row r="144" spans="3:60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</row>
    <row r="145" spans="3:60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</row>
    <row r="146" spans="3:60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</row>
    <row r="147" spans="3:60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</row>
    <row r="148" spans="3:60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</row>
    <row r="149" spans="3:60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</row>
    <row r="150" spans="3:60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</row>
    <row r="151" spans="3:60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</row>
    <row r="152" spans="3:60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</row>
    <row r="153" spans="3:60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</row>
    <row r="154" spans="3:60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</row>
    <row r="155" spans="3:60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</row>
    <row r="156" spans="3:60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</row>
    <row r="157" spans="3:60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</row>
    <row r="158" spans="3:60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</row>
    <row r="159" spans="3:60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</row>
    <row r="160" spans="3:60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</row>
    <row r="161" spans="3:60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</row>
    <row r="162" spans="3:60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</row>
    <row r="163" spans="3:60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</row>
    <row r="164" spans="3:60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</row>
    <row r="165" spans="3:60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</row>
    <row r="166" spans="3:60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</row>
    <row r="167" spans="3:60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</row>
    <row r="168" spans="3:60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</row>
    <row r="169" spans="3:60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</row>
    <row r="170" spans="3:60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</row>
    <row r="171" spans="3:60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</row>
    <row r="172" spans="3:60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</row>
    <row r="173" spans="3:60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</row>
    <row r="174" spans="3:60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</row>
    <row r="175" spans="3:60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</row>
    <row r="176" spans="3:60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</row>
    <row r="177" spans="3:60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</row>
    <row r="178" spans="3:60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</row>
    <row r="179" spans="3:60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</row>
    <row r="180" spans="3:60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</row>
    <row r="181" spans="3:60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</row>
    <row r="182" spans="3:60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</row>
    <row r="183" spans="3:60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</row>
    <row r="184" spans="3:60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</row>
    <row r="185" spans="3:60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</row>
    <row r="186" spans="3:60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</row>
    <row r="187" spans="3:60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</row>
    <row r="188" spans="3:60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</row>
    <row r="189" spans="3:60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</row>
    <row r="190" spans="3:60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</row>
    <row r="191" spans="3:60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</row>
    <row r="192" spans="3:60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</row>
    <row r="193" spans="3:60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</row>
    <row r="194" spans="3:60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</row>
    <row r="195" spans="3:60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</row>
    <row r="196" spans="3:60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</row>
    <row r="197" spans="3:60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</row>
    <row r="198" spans="3:60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</row>
    <row r="199" spans="3:60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</row>
    <row r="200" spans="3:60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</row>
    <row r="201" spans="3:60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</row>
    <row r="202" spans="3:60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</row>
    <row r="203" spans="3:60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</row>
    <row r="204" spans="3:60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</row>
    <row r="205" spans="3:60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</row>
    <row r="206" spans="3:60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</row>
    <row r="207" spans="3:60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</row>
    <row r="208" spans="3:60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</row>
    <row r="209" spans="3:60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</row>
    <row r="210" spans="3:60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</row>
    <row r="211" spans="3:60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</row>
    <row r="212" spans="3:60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</row>
    <row r="213" spans="3:60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</row>
    <row r="214" spans="3:60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</row>
    <row r="215" spans="3:60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</row>
    <row r="216" spans="3:60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</row>
    <row r="217" spans="3:60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</row>
    <row r="218" spans="3:60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</row>
    <row r="219" spans="3:60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</row>
    <row r="220" spans="3:60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</row>
    <row r="221" spans="3:60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</row>
    <row r="222" spans="3:60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</row>
    <row r="223" spans="3:60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</row>
    <row r="224" spans="3:60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</row>
    <row r="225" spans="3:60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</row>
    <row r="226" spans="3:60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</row>
    <row r="227" spans="3:60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</row>
    <row r="228" spans="3:60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</row>
    <row r="229" spans="3:60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</row>
    <row r="230" spans="3:60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</row>
    <row r="231" spans="3:60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</row>
    <row r="232" spans="3:60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</row>
    <row r="233" spans="3:60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</row>
    <row r="234" spans="3:60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</row>
    <row r="235" spans="3:60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</row>
    <row r="236" spans="3:60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</row>
    <row r="237" spans="3:60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</row>
    <row r="238" spans="3:60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</row>
    <row r="239" spans="3:60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</row>
    <row r="240" spans="3:60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</row>
    <row r="241" spans="3:60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</row>
    <row r="242" spans="3:60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</row>
    <row r="243" spans="3:60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</row>
    <row r="244" spans="3:60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</row>
    <row r="245" spans="3:60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</row>
    <row r="246" spans="3:60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</row>
    <row r="247" spans="3:60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</row>
    <row r="248" spans="3:60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</row>
    <row r="249" spans="3:60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</row>
    <row r="250" spans="3:60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</row>
    <row r="251" spans="3:60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</row>
    <row r="252" spans="3:60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</row>
    <row r="253" spans="3:60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</row>
    <row r="254" spans="3:60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</row>
    <row r="255" spans="3:60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</row>
    <row r="256" spans="3:60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</row>
    <row r="257" spans="3:60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</row>
    <row r="258" spans="3:60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</row>
    <row r="259" spans="3:60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</row>
    <row r="260" spans="3:60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</row>
    <row r="261" spans="3:60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</row>
    <row r="262" spans="3:60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</row>
    <row r="263" spans="3:60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</row>
    <row r="264" spans="3:60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</row>
    <row r="265" spans="3:60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</row>
    <row r="266" spans="3:60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</row>
    <row r="267" spans="3:60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</row>
    <row r="268" spans="3:60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</row>
    <row r="269" spans="3:60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</row>
    <row r="270" spans="3:60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</row>
    <row r="271" spans="3:60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</row>
    <row r="272" spans="3:60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</row>
    <row r="273" spans="3:60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</row>
    <row r="274" spans="3:60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</row>
    <row r="275" spans="3:60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</row>
    <row r="276" spans="3:60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</row>
    <row r="277" spans="3:60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</row>
    <row r="278" spans="3:60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</row>
    <row r="279" spans="3:60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</row>
    <row r="280" spans="3:60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</row>
    <row r="281" spans="3:60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</row>
    <row r="282" spans="3:60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</row>
    <row r="283" spans="3:60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</row>
    <row r="284" spans="3:60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</row>
    <row r="285" spans="3:60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</row>
    <row r="286" spans="3:60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</row>
    <row r="287" spans="3:60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</row>
    <row r="288" spans="3:60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</row>
    <row r="289" spans="3:60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</row>
    <row r="290" spans="3:60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</row>
    <row r="291" spans="3:60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</row>
    <row r="292" spans="3:60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</row>
    <row r="293" spans="3:60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</row>
    <row r="294" spans="3:60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</row>
    <row r="295" spans="3:60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</row>
    <row r="296" spans="3:60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</row>
    <row r="297" spans="3:60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</row>
    <row r="298" spans="3:60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</row>
    <row r="299" spans="3:60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</row>
    <row r="300" spans="3:60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</row>
    <row r="301" spans="3:60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</row>
    <row r="302" spans="3:60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</row>
    <row r="303" spans="3:60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</row>
    <row r="304" spans="3:60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</row>
    <row r="305" spans="3:60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</row>
    <row r="306" spans="3:60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</row>
    <row r="307" spans="3:60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</row>
    <row r="308" spans="3:60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</row>
    <row r="309" spans="3:60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</row>
    <row r="310" spans="3:60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</row>
    <row r="311" spans="3:60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</row>
    <row r="312" spans="3:60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</row>
    <row r="313" spans="3:60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</row>
    <row r="314" spans="3:60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</row>
    <row r="315" spans="3:60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</row>
    <row r="316" spans="3:60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</row>
    <row r="317" spans="3:60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</row>
    <row r="318" spans="3:60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</row>
    <row r="319" spans="3:60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</row>
    <row r="320" spans="3:60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</row>
    <row r="321" spans="3:60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</row>
    <row r="322" spans="3:60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</row>
    <row r="323" spans="3:60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</row>
    <row r="324" spans="3:60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</row>
    <row r="325" spans="3:60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</row>
    <row r="326" spans="3:60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</row>
    <row r="327" spans="3:60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</row>
    <row r="328" spans="3:60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</row>
    <row r="329" spans="3:60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</row>
    <row r="330" spans="3:60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</row>
    <row r="331" spans="3:60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</row>
    <row r="332" spans="3:60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</row>
    <row r="333" spans="3:60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</row>
    <row r="334" spans="3:60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</row>
    <row r="335" spans="3:60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</row>
    <row r="336" spans="3:60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</row>
    <row r="337" spans="3:60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</row>
    <row r="338" spans="3:60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</row>
    <row r="339" spans="3:60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</row>
    <row r="340" spans="3:60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</row>
    <row r="341" spans="3:60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</row>
    <row r="342" spans="3:60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</row>
    <row r="343" spans="3:60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</row>
    <row r="344" spans="3:60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</row>
    <row r="345" spans="3:60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</row>
    <row r="346" spans="3:60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</row>
    <row r="347" spans="3:60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</row>
    <row r="348" spans="3:60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</row>
    <row r="349" spans="3:60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</row>
    <row r="350" spans="3:60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</row>
    <row r="351" spans="3:60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</row>
    <row r="352" spans="3:60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</row>
    <row r="353" spans="3:60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</row>
    <row r="354" spans="3:60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</row>
    <row r="355" spans="3:60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</row>
    <row r="356" spans="3:60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</row>
    <row r="357" spans="3:60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</row>
    <row r="358" spans="3:60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</row>
    <row r="359" spans="3:60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</row>
    <row r="360" spans="3:60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</row>
    <row r="361" spans="3:60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</row>
    <row r="362" spans="3:60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</row>
    <row r="363" spans="3:60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</row>
    <row r="364" spans="3:60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</row>
    <row r="365" spans="3:60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</row>
    <row r="366" spans="3:60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</row>
    <row r="367" spans="3:60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</row>
    <row r="368" spans="3:60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</row>
    <row r="369" spans="3:60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</row>
    <row r="370" spans="3:60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</row>
    <row r="371" spans="3:60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</row>
    <row r="372" spans="3:60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</row>
    <row r="373" spans="3:60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</row>
    <row r="374" spans="3:60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</row>
    <row r="375" spans="3:60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</row>
    <row r="376" spans="3:60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</row>
    <row r="377" spans="3:60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</row>
    <row r="378" spans="3:60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</row>
    <row r="379" spans="3:60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</row>
    <row r="380" spans="3:60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</row>
    <row r="381" spans="3:60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</row>
    <row r="382" spans="3:60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</row>
    <row r="383" spans="3:60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</row>
    <row r="384" spans="3:60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</row>
    <row r="385" spans="3:60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</row>
    <row r="386" spans="3:60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</row>
    <row r="387" spans="3:60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</row>
    <row r="388" spans="3:60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</row>
    <row r="389" spans="3:60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</row>
    <row r="390" spans="3:60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</row>
    <row r="391" spans="3:60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</row>
    <row r="392" spans="3:60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</row>
    <row r="393" spans="3:60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</row>
    <row r="394" spans="3:60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</row>
    <row r="395" spans="3:60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</row>
    <row r="396" spans="3:60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</row>
    <row r="397" spans="3:60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</row>
    <row r="398" spans="3:60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</row>
    <row r="399" spans="3:60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</row>
    <row r="400" spans="3:60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</row>
    <row r="401" spans="3:60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</row>
    <row r="402" spans="3:60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</row>
    <row r="403" spans="3:60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</row>
    <row r="404" spans="3:60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</row>
    <row r="405" spans="3:60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</row>
    <row r="406" spans="3:60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</row>
    <row r="407" spans="3:60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</row>
    <row r="408" spans="3:60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</row>
    <row r="409" spans="3:60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</row>
    <row r="410" spans="3:60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</row>
    <row r="411" spans="3:60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</row>
    <row r="412" spans="3:60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</row>
    <row r="413" spans="3:60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</row>
    <row r="414" spans="3:60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</row>
    <row r="415" spans="3:60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</row>
    <row r="416" spans="3:60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</row>
    <row r="417" spans="3:60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</row>
    <row r="418" spans="3:60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</row>
    <row r="419" spans="3:60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</row>
    <row r="420" spans="3:60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</row>
    <row r="421" spans="3:60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</row>
    <row r="422" spans="3:60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</row>
    <row r="423" spans="3:60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</row>
    <row r="424" spans="3:60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</row>
    <row r="425" spans="3:60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</row>
    <row r="426" spans="3:60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</row>
    <row r="427" spans="3:60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</row>
    <row r="428" spans="3:60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</row>
    <row r="429" spans="3:60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</row>
    <row r="430" spans="3:60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</row>
    <row r="431" spans="3:60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</row>
    <row r="432" spans="3:60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</row>
    <row r="433" spans="3:60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</row>
    <row r="434" spans="3:60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</row>
    <row r="435" spans="3:60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</row>
    <row r="436" spans="3:60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</row>
    <row r="437" spans="3:60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</row>
    <row r="438" spans="3:60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</row>
    <row r="439" spans="3:60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</row>
    <row r="440" spans="3:60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</row>
    <row r="441" spans="3:60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</row>
    <row r="442" spans="3:60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</row>
    <row r="443" spans="3:60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</row>
    <row r="444" spans="3:60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</row>
    <row r="445" spans="3:60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</row>
    <row r="446" spans="3:60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</row>
    <row r="447" spans="3:60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</row>
    <row r="448" spans="3:60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</row>
    <row r="449" spans="3:60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</row>
    <row r="450" spans="3:60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</row>
    <row r="451" spans="3:60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</row>
    <row r="452" spans="3:60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</row>
    <row r="453" spans="3:60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</row>
    <row r="454" spans="3:60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</row>
    <row r="455" spans="3:60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</row>
    <row r="456" spans="3:60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</row>
    <row r="457" spans="3:60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</row>
    <row r="458" spans="3:60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</row>
    <row r="459" spans="3:60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</row>
    <row r="460" spans="3:60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</row>
    <row r="461" spans="3:60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</row>
    <row r="462" spans="3:60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</row>
    <row r="463" spans="3:60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</row>
    <row r="464" spans="3:60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</row>
    <row r="465" spans="3:60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</row>
    <row r="466" spans="3:60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</row>
    <row r="467" spans="3:60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</row>
    <row r="468" spans="3:60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</row>
    <row r="469" spans="3:60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</row>
    <row r="470" spans="3:60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</row>
    <row r="471" spans="3:60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</row>
    <row r="472" spans="3:60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</row>
    <row r="473" spans="3:60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</row>
    <row r="474" spans="3:60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</row>
    <row r="475" spans="3:60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</row>
    <row r="476" spans="3:60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</row>
    <row r="477" spans="3:60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</row>
    <row r="478" spans="3:60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</row>
    <row r="479" spans="3:60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</row>
    <row r="480" spans="3:60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</row>
    <row r="481" spans="3:60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</row>
    <row r="482" spans="3:60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</row>
    <row r="483" spans="3:60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</row>
    <row r="484" spans="3:60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</row>
    <row r="485" spans="3:60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</row>
    <row r="486" spans="3:60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</row>
    <row r="487" spans="3:60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</row>
    <row r="488" spans="3:60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</row>
    <row r="489" spans="3:60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</row>
    <row r="490" spans="3:60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</row>
    <row r="491" spans="3:60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</row>
    <row r="492" spans="3:60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</row>
    <row r="493" spans="3:60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</row>
    <row r="494" spans="3:60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</row>
    <row r="495" spans="3:60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</row>
    <row r="496" spans="3:60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</row>
    <row r="497" spans="3:60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</row>
    <row r="498" spans="3:60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</row>
    <row r="499" spans="3:60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</row>
    <row r="500" spans="3:60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</row>
    <row r="501" spans="3:60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</row>
    <row r="502" spans="3:60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</row>
    <row r="503" spans="3:60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</row>
    <row r="504" spans="3:60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</row>
    <row r="505" spans="3:60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</row>
    <row r="506" spans="3:60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</row>
    <row r="507" spans="3:60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</row>
    <row r="508" spans="3:60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</row>
    <row r="509" spans="3:60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</row>
    <row r="510" spans="3:60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</row>
    <row r="511" spans="3:60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</row>
    <row r="512" spans="3:60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</row>
    <row r="513" spans="3:60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</row>
    <row r="514" spans="3:60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</row>
    <row r="515" spans="3:60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</row>
    <row r="516" spans="3:60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</row>
    <row r="517" spans="3:60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</row>
    <row r="518" spans="3:60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</row>
    <row r="519" spans="3:60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</row>
    <row r="520" spans="3:60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</row>
    <row r="521" spans="3:60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</row>
    <row r="522" spans="3:60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</row>
    <row r="523" spans="3:60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</row>
    <row r="524" spans="3:60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</row>
    <row r="525" spans="3:60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</row>
    <row r="526" spans="3:60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</row>
    <row r="527" spans="3:60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</row>
    <row r="528" spans="3:60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</row>
    <row r="529" spans="3:60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</row>
    <row r="530" spans="3:60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</row>
    <row r="531" spans="3:60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</row>
    <row r="532" spans="3:60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</row>
    <row r="533" spans="3:60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</row>
    <row r="534" spans="3:60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</row>
    <row r="535" spans="3:60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</row>
    <row r="536" spans="3:60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</row>
    <row r="537" spans="3:60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</row>
    <row r="538" spans="3:60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</row>
    <row r="539" spans="3:60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</row>
    <row r="540" spans="3:60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</row>
    <row r="541" spans="3:60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</row>
    <row r="542" spans="3:60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</row>
    <row r="543" spans="3:60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</row>
    <row r="544" spans="3:60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</row>
    <row r="545" spans="3:60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</row>
    <row r="546" spans="3:60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</row>
    <row r="547" spans="3:60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</row>
    <row r="548" spans="3:60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</row>
    <row r="549" spans="3:60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</row>
    <row r="550" spans="3:60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</row>
    <row r="551" spans="3:60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</row>
    <row r="552" spans="3:60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</row>
    <row r="553" spans="3:60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</row>
    <row r="554" spans="3:60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</row>
    <row r="555" spans="3:60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</row>
    <row r="556" spans="3:60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</row>
    <row r="557" spans="3:60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</row>
    <row r="558" spans="3:60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</row>
    <row r="559" spans="3:60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</row>
    <row r="560" spans="3:60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</row>
    <row r="561" spans="3:60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</row>
    <row r="562" spans="3:60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</row>
    <row r="563" spans="3:60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</row>
    <row r="564" spans="3:60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</row>
    <row r="565" spans="3:60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</row>
    <row r="566" spans="3:60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</row>
    <row r="567" spans="3:60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</row>
    <row r="568" spans="3:60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</row>
    <row r="569" spans="3:60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</row>
    <row r="570" spans="3:60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</row>
    <row r="571" spans="3:60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</row>
    <row r="572" spans="3:60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</row>
    <row r="573" spans="3:60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</row>
    <row r="574" spans="3:60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</row>
    <row r="575" spans="3:60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</row>
    <row r="576" spans="3:60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</row>
    <row r="577" spans="3:60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</row>
    <row r="578" spans="3:60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</row>
    <row r="579" spans="3:60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</row>
    <row r="580" spans="3:60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</row>
    <row r="581" spans="3:60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</row>
    <row r="582" spans="3:60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</row>
    <row r="583" spans="3:60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</row>
    <row r="584" spans="3:60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</row>
    <row r="585" spans="3:60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</row>
    <row r="586" spans="3:60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</row>
    <row r="587" spans="3:60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</row>
    <row r="588" spans="3:60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</row>
    <row r="589" spans="3:60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</row>
    <row r="590" spans="3:60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</row>
    <row r="591" spans="3:60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</row>
    <row r="592" spans="3:60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</row>
    <row r="593" spans="3:60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</row>
    <row r="594" spans="3:60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</row>
    <row r="595" spans="3:60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</row>
    <row r="596" spans="3:60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</row>
    <row r="597" spans="3:60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</row>
    <row r="598" spans="3:60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</row>
    <row r="599" spans="3:60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</row>
    <row r="600" spans="3:60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</row>
    <row r="601" spans="3:60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</row>
    <row r="602" spans="3:60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</row>
    <row r="603" spans="3:60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</row>
    <row r="604" spans="3:60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</row>
    <row r="605" spans="3:60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</row>
    <row r="606" spans="3:60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</row>
    <row r="607" spans="3:60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</row>
    <row r="608" spans="3:60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</row>
    <row r="609" spans="3:60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</row>
    <row r="610" spans="3:60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</row>
    <row r="611" spans="3:60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</row>
    <row r="612" spans="3:60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</row>
    <row r="613" spans="3:60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</row>
    <row r="614" spans="3:60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</row>
    <row r="615" spans="3:60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</row>
    <row r="616" spans="3:60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</row>
    <row r="617" spans="3:60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</row>
    <row r="618" spans="3:60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</row>
    <row r="619" spans="3:60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</row>
    <row r="620" spans="3:60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</row>
    <row r="621" spans="3:60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</row>
    <row r="622" spans="3:60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</row>
    <row r="623" spans="3:60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</row>
    <row r="624" spans="3:60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</row>
    <row r="625" spans="3:60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</row>
    <row r="626" spans="3:60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</row>
    <row r="627" spans="3:60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</row>
    <row r="628" spans="3:60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</row>
    <row r="629" spans="3:60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</row>
    <row r="630" spans="3:60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</row>
    <row r="631" spans="3:60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</row>
    <row r="632" spans="3:60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</row>
    <row r="633" spans="3:60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</row>
    <row r="634" spans="3:60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</row>
    <row r="635" spans="3:60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</row>
    <row r="636" spans="3:60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</row>
    <row r="637" spans="3:60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</row>
    <row r="638" spans="3:60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</row>
    <row r="639" spans="3:60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</row>
    <row r="640" spans="3:60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</row>
    <row r="641" spans="3:60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</row>
    <row r="642" spans="3:60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</row>
    <row r="643" spans="3:60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</row>
    <row r="644" spans="3:60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</row>
    <row r="645" spans="3:60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</row>
    <row r="646" spans="3:60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</row>
    <row r="647" spans="3:60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</row>
    <row r="648" spans="3:60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</row>
    <row r="649" spans="3:60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</row>
    <row r="650" spans="3:60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</row>
    <row r="651" spans="3:60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</row>
    <row r="652" spans="3:60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</row>
    <row r="653" spans="3:60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</row>
    <row r="654" spans="3:60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</row>
    <row r="655" spans="3:60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</row>
    <row r="656" spans="3:60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</row>
    <row r="657" spans="3:60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</row>
    <row r="658" spans="3:60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</row>
    <row r="659" spans="3:60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</row>
    <row r="660" spans="3:60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</row>
    <row r="661" spans="3:60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</row>
    <row r="662" spans="3:60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</row>
    <row r="663" spans="3:60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</row>
    <row r="664" spans="3:60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</row>
    <row r="665" spans="3:60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</row>
    <row r="666" spans="3:60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</row>
    <row r="667" spans="3:60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</row>
    <row r="668" spans="3:60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</row>
    <row r="669" spans="3:60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</row>
    <row r="670" spans="3:60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</row>
    <row r="671" spans="3:60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</row>
    <row r="672" spans="3:60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</row>
    <row r="673" spans="3:60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</row>
    <row r="674" spans="3:60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</row>
    <row r="675" spans="3:60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</row>
    <row r="676" spans="3:60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</row>
    <row r="677" spans="3:60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</row>
    <row r="678" spans="3:60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</row>
    <row r="679" spans="3:60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</row>
    <row r="680" spans="3:60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</row>
    <row r="681" spans="3:60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</row>
    <row r="682" spans="3:60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</row>
    <row r="683" spans="3:60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</row>
    <row r="684" spans="3:60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</row>
    <row r="685" spans="3:60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</row>
    <row r="686" spans="3:60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</row>
    <row r="687" spans="3:60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</row>
    <row r="688" spans="3:60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</row>
    <row r="689" spans="3:60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</row>
    <row r="690" spans="3:60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</row>
    <row r="691" spans="3:60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</row>
    <row r="692" spans="3:60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</row>
    <row r="693" spans="3:60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</row>
    <row r="694" spans="3:60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</row>
    <row r="695" spans="3:60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</row>
    <row r="696" spans="3:60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</row>
    <row r="697" spans="3:60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</row>
    <row r="698" spans="3:60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</row>
    <row r="699" spans="3:60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</row>
    <row r="700" spans="3:60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</row>
    <row r="701" spans="3:60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</row>
    <row r="702" spans="3:60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</row>
    <row r="703" spans="3:60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</row>
    <row r="704" spans="3:60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</row>
    <row r="705" spans="3:60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</row>
    <row r="706" spans="3:60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</row>
    <row r="707" spans="3:60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</row>
    <row r="708" spans="3:60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</row>
    <row r="709" spans="3:60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</row>
    <row r="710" spans="3:60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</row>
    <row r="711" spans="3:60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</row>
    <row r="712" spans="3:60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</row>
    <row r="713" spans="3:60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</row>
    <row r="714" spans="3:60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</row>
    <row r="715" spans="3:60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</row>
    <row r="716" spans="3:60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</row>
    <row r="717" spans="3:60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</row>
    <row r="718" spans="3:60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</row>
    <row r="719" spans="3:60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</row>
    <row r="720" spans="3:60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</row>
    <row r="721" spans="3:60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</row>
    <row r="722" spans="3:60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</row>
    <row r="723" spans="3:60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</row>
    <row r="724" spans="3:60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</row>
    <row r="725" spans="3:60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</row>
    <row r="726" spans="3:60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</row>
    <row r="727" spans="3:60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</row>
    <row r="728" spans="3:60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</row>
    <row r="729" spans="3:60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</row>
    <row r="730" spans="3:60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</row>
    <row r="731" spans="3:60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</row>
    <row r="732" spans="3:60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</row>
    <row r="733" spans="3:60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</row>
    <row r="734" spans="3:60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</row>
    <row r="735" spans="3:60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</row>
    <row r="736" spans="3:60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</row>
    <row r="737" spans="3:60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</row>
    <row r="738" spans="3:60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</row>
    <row r="739" spans="3:60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</row>
    <row r="740" spans="3:60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</row>
    <row r="741" spans="3:60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</row>
    <row r="742" spans="3:60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</row>
    <row r="743" spans="3:60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</row>
    <row r="744" spans="3:60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</row>
    <row r="745" spans="3:60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</row>
    <row r="746" spans="3:60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</row>
    <row r="747" spans="3:60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</row>
    <row r="748" spans="3:60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</row>
    <row r="749" spans="3:60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</row>
    <row r="750" spans="3:60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</row>
    <row r="751" spans="3:60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</row>
    <row r="752" spans="3:60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</row>
    <row r="753" spans="3:60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</row>
    <row r="754" spans="3:60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</row>
    <row r="755" spans="3:60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</row>
    <row r="756" spans="3:60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</row>
    <row r="757" spans="3:60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</row>
    <row r="758" spans="3:60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</row>
    <row r="759" spans="3:60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</row>
    <row r="760" spans="3:60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</row>
    <row r="761" spans="3:60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</row>
    <row r="762" spans="3:60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</row>
    <row r="763" spans="3:60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</row>
    <row r="764" spans="3:60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</row>
    <row r="765" spans="3:60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</row>
    <row r="766" spans="3:60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</row>
    <row r="767" spans="3:60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</row>
    <row r="768" spans="3:60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</row>
    <row r="769" spans="3:60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</row>
    <row r="770" spans="3:60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</row>
    <row r="771" spans="3:60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</row>
    <row r="772" spans="3:60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</row>
    <row r="773" spans="3:60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</row>
    <row r="774" spans="3:60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</row>
    <row r="775" spans="3:60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</row>
    <row r="776" spans="3:60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</row>
    <row r="777" spans="3:60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</row>
    <row r="778" spans="3:60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</row>
    <row r="779" spans="3:60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</row>
    <row r="780" spans="3:60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</row>
    <row r="781" spans="3:60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</row>
    <row r="782" spans="3:60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</row>
    <row r="783" spans="3:60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</row>
    <row r="784" spans="3:60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</row>
    <row r="785" spans="3:60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</row>
    <row r="786" spans="3:60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</row>
    <row r="787" spans="3:60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</row>
    <row r="788" spans="3:60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</row>
    <row r="789" spans="3:60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</row>
    <row r="790" spans="3:60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</row>
    <row r="791" spans="3:60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</row>
    <row r="792" spans="3:60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</row>
    <row r="793" spans="3:60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</row>
    <row r="794" spans="3:60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</row>
    <row r="795" spans="3:60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</row>
    <row r="796" spans="3:60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</row>
    <row r="797" spans="3:60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</row>
    <row r="798" spans="3:60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</row>
    <row r="799" spans="3:60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</row>
    <row r="800" spans="3:60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</row>
    <row r="801" spans="3:60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</row>
    <row r="802" spans="3:60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</row>
    <row r="803" spans="3:60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</row>
    <row r="804" spans="3:60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</row>
    <row r="805" spans="3:60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</row>
    <row r="806" spans="3:60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</row>
    <row r="807" spans="3:60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</row>
    <row r="808" spans="3:60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</row>
    <row r="809" spans="3:60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</row>
    <row r="810" spans="3:60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</row>
    <row r="811" spans="3:60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</row>
    <row r="812" spans="3:60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</row>
    <row r="813" spans="3:60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</row>
    <row r="814" spans="3:60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</row>
    <row r="815" spans="3:60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</row>
    <row r="816" spans="3:60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</row>
    <row r="817" spans="3:60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</row>
    <row r="818" spans="3:60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</row>
    <row r="819" spans="3:60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</row>
    <row r="820" spans="3:60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</row>
    <row r="821" spans="3:60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</row>
    <row r="822" spans="3:60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</row>
    <row r="823" spans="3:60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</row>
    <row r="824" spans="3:60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</row>
    <row r="825" spans="3:60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</row>
    <row r="826" spans="3:60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</row>
    <row r="827" spans="3:60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</row>
    <row r="828" spans="3:60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</row>
    <row r="829" spans="3:60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</row>
    <row r="830" spans="3:60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</row>
    <row r="831" spans="3:60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</row>
    <row r="832" spans="3:60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</row>
    <row r="833" spans="3:60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</row>
    <row r="834" spans="3:60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</row>
    <row r="835" spans="3:60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</row>
    <row r="836" spans="3:60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</row>
    <row r="837" spans="3:60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</row>
    <row r="838" spans="3:60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</row>
    <row r="839" spans="3:60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</row>
    <row r="840" spans="3:60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</row>
    <row r="841" spans="3:60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</row>
    <row r="842" spans="3:60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</row>
    <row r="843" spans="3:60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</row>
    <row r="844" spans="3:60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</row>
    <row r="845" spans="3:60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</row>
    <row r="846" spans="3:60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</row>
    <row r="847" spans="3:60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</row>
    <row r="848" spans="3:60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</row>
    <row r="849" spans="3:60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</row>
    <row r="850" spans="3:60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</row>
    <row r="851" spans="3:60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</row>
    <row r="852" spans="3:60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</row>
    <row r="853" spans="3:60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</row>
    <row r="854" spans="3:60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</row>
    <row r="855" spans="3:60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</row>
    <row r="856" spans="3:60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</row>
    <row r="857" spans="3:60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</row>
    <row r="858" spans="3:60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</row>
    <row r="859" spans="3:60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</row>
    <row r="860" spans="3:60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</row>
    <row r="861" spans="3:60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</row>
    <row r="862" spans="3:60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</row>
    <row r="863" spans="3:60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</row>
    <row r="864" spans="3:60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</row>
    <row r="865" spans="3:60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</row>
    <row r="866" spans="3:60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</row>
    <row r="867" spans="3:60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</row>
    <row r="868" spans="3:60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</row>
    <row r="869" spans="3:60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</row>
    <row r="870" spans="3:60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</row>
    <row r="871" spans="3:60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</row>
    <row r="872" spans="3:60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</row>
    <row r="873" spans="3:60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</row>
    <row r="874" spans="3:60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</row>
    <row r="875" spans="3:60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</row>
    <row r="876" spans="3:60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</row>
    <row r="877" spans="3:60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</row>
    <row r="878" spans="3:60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</row>
    <row r="879" spans="3:60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</row>
    <row r="880" spans="3:60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</row>
    <row r="881" spans="3:60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</row>
    <row r="882" spans="3:60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</row>
    <row r="883" spans="3:60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</row>
    <row r="884" spans="3:60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</row>
    <row r="885" spans="3:60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</row>
    <row r="886" spans="3:60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</row>
    <row r="887" spans="3:60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</row>
    <row r="888" spans="3:60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</row>
    <row r="889" spans="3:60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</row>
    <row r="890" spans="3:60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</row>
    <row r="891" spans="3:60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</row>
    <row r="892" spans="3:60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</row>
    <row r="893" spans="3:60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</row>
    <row r="894" spans="3:60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</row>
    <row r="895" spans="3:60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</row>
    <row r="896" spans="3:60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</row>
    <row r="897" spans="3:60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</row>
    <row r="898" spans="3:60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</row>
    <row r="899" spans="3:60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</row>
    <row r="900" spans="3:60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</row>
    <row r="901" spans="3:60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</row>
    <row r="902" spans="3:60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</row>
    <row r="903" spans="3:60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</row>
    <row r="904" spans="3:60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</row>
    <row r="905" spans="3:60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</row>
    <row r="906" spans="3:60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</row>
    <row r="907" spans="3:60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</row>
    <row r="908" spans="3:60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</row>
    <row r="909" spans="3:60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</row>
    <row r="910" spans="3:60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</row>
    <row r="911" spans="3:60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</row>
    <row r="912" spans="3:60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</row>
    <row r="913" spans="3:60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</row>
    <row r="914" spans="3:60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</row>
    <row r="915" spans="3:60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</row>
    <row r="916" spans="3:60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</row>
    <row r="917" spans="3:60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</row>
    <row r="918" spans="3:60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</row>
    <row r="919" spans="3:60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</row>
    <row r="920" spans="3:60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</row>
    <row r="921" spans="3:60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</row>
    <row r="922" spans="3:60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</row>
    <row r="923" spans="3:60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</row>
    <row r="924" spans="3:60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</row>
    <row r="925" spans="3:60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</row>
    <row r="926" spans="3:60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</row>
    <row r="927" spans="3:60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</row>
    <row r="928" spans="3:60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</row>
    <row r="929" spans="3:60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</row>
    <row r="930" spans="3:60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</row>
    <row r="931" spans="3:60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</row>
    <row r="932" spans="3:60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</row>
    <row r="933" spans="3:60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</row>
    <row r="934" spans="3:60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</row>
    <row r="935" spans="3:60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</row>
    <row r="936" spans="3:60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</row>
    <row r="937" spans="3:60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</row>
    <row r="938" spans="3:60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</row>
    <row r="939" spans="3:60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</row>
    <row r="940" spans="3:60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</row>
    <row r="941" spans="3:60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</row>
    <row r="942" spans="3:60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</row>
    <row r="943" spans="3:60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</row>
    <row r="944" spans="3:60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</row>
    <row r="945" spans="3:60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</row>
    <row r="946" spans="3:60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</row>
    <row r="947" spans="3:60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</row>
    <row r="948" spans="3:60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</row>
    <row r="949" spans="3:60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</row>
    <row r="950" spans="3:60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</row>
    <row r="951" spans="3:60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</row>
    <row r="952" spans="3:60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</row>
    <row r="953" spans="3:60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</row>
    <row r="954" spans="3:60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</row>
    <row r="955" spans="3:60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</row>
    <row r="956" spans="3:60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</row>
    <row r="957" spans="3:60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</row>
    <row r="958" spans="3:60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</row>
    <row r="959" spans="3:60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</row>
    <row r="960" spans="3:60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</row>
    <row r="961" spans="3:60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</row>
    <row r="962" spans="3:60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</row>
    <row r="963" spans="3:60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</row>
    <row r="964" spans="3:60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</row>
    <row r="965" spans="3:60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</row>
    <row r="966" spans="3:60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</row>
    <row r="967" spans="3:60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</row>
    <row r="968" spans="3:60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</row>
    <row r="969" spans="3:60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</row>
    <row r="970" spans="3:60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</row>
    <row r="971" spans="3:60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</row>
    <row r="972" spans="3:60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</row>
    <row r="973" spans="3:60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</row>
    <row r="974" spans="3:60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</row>
    <row r="975" spans="3:60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</row>
    <row r="976" spans="3:60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</row>
    <row r="977" spans="3:60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</row>
    <row r="978" spans="3:60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</row>
    <row r="979" spans="3:60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</row>
    <row r="980" spans="3:60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</row>
    <row r="981" spans="3:60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</row>
    <row r="982" spans="3:60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</row>
    <row r="983" spans="3:60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</row>
    <row r="984" spans="3:60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</row>
    <row r="985" spans="3:60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</row>
    <row r="986" spans="3:60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</row>
    <row r="987" spans="3:60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</row>
    <row r="988" spans="3:60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</row>
    <row r="989" spans="3:60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</row>
    <row r="990" spans="3:60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</row>
    <row r="991" spans="3:60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</row>
    <row r="992" spans="3:60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</row>
    <row r="993" spans="3:60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</row>
    <row r="994" spans="3:60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</row>
    <row r="995" spans="3:60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</row>
    <row r="996" spans="3:60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</row>
    <row r="997" spans="3:60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</row>
    <row r="998" spans="3:60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</row>
    <row r="999" spans="3:60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</row>
    <row r="1000" spans="3:60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</row>
    <row r="1001" spans="3:60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</row>
    <row r="1002" spans="3:60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</row>
    <row r="1003" spans="3:60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</row>
    <row r="1004" spans="3:60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</row>
    <row r="1005" spans="3:60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</row>
    <row r="1006" spans="3:60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</row>
    <row r="1007" spans="3:60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</row>
    <row r="1008" spans="3:60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</row>
    <row r="1009" spans="3:60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</row>
    <row r="1010" spans="3:60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</row>
    <row r="1011" spans="3:60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</row>
    <row r="1012" spans="3:60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</row>
    <row r="1013" spans="3:60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</row>
    <row r="1014" spans="3:60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</row>
    <row r="1015" spans="3:60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</row>
    <row r="1016" spans="3:60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</row>
    <row r="1017" spans="3:60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</row>
    <row r="1018" spans="3:60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</row>
    <row r="1019" spans="3:60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</row>
    <row r="1020" spans="3:60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</row>
    <row r="1021" spans="3:60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</row>
    <row r="1022" spans="3:60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</row>
    <row r="1023" spans="3:60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</row>
    <row r="1024" spans="3:60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</row>
    <row r="1025" spans="3:60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</row>
    <row r="1026" spans="3:60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</row>
    <row r="1027" spans="3:60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</row>
    <row r="1028" spans="3:60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</row>
    <row r="1029" spans="3:60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</row>
    <row r="1030" spans="3:60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</row>
    <row r="1031" spans="3:60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</row>
    <row r="1032" spans="3:60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</row>
    <row r="1033" spans="3:60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</row>
    <row r="1034" spans="3:60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</row>
    <row r="1035" spans="3:60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</row>
    <row r="1036" spans="3:60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</row>
    <row r="1037" spans="3:60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</row>
    <row r="1038" spans="3:60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</row>
    <row r="1039" spans="3:60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</row>
    <row r="1040" spans="3:60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</row>
    <row r="1041" spans="3:60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</row>
    <row r="1042" spans="3:60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</row>
    <row r="1043" spans="3:60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</row>
    <row r="1044" spans="3:60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</row>
    <row r="1045" spans="3:60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</row>
    <row r="1046" spans="3:60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</row>
    <row r="1047" spans="3:60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</row>
    <row r="1048" spans="3:60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</row>
    <row r="1049" spans="3:60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</row>
    <row r="1050" spans="3:60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</row>
    <row r="1051" spans="3:60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</row>
    <row r="1052" spans="3:60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</row>
    <row r="1053" spans="3:60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</row>
    <row r="1054" spans="3:60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</row>
    <row r="1055" spans="3:60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</row>
    <row r="1056" spans="3:60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</row>
    <row r="1057" spans="3:60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</row>
    <row r="1058" spans="3:60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</row>
    <row r="1059" spans="3:60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</row>
    <row r="1060" spans="3:60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</row>
    <row r="1061" spans="3:60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</row>
    <row r="1062" spans="3:60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</row>
    <row r="1063" spans="3:60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</row>
    <row r="1064" spans="3:60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</row>
    <row r="1065" spans="3:60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</row>
    <row r="1066" spans="3:60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</row>
    <row r="1067" spans="3:60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</row>
    <row r="1068" spans="3:60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</row>
    <row r="1069" spans="3:60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</row>
    <row r="1070" spans="3:60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</row>
    <row r="1071" spans="3:60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</row>
    <row r="1072" spans="3:60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</row>
    <row r="1073" spans="3:60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</row>
    <row r="1074" spans="3:60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</row>
    <row r="1075" spans="3:60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</row>
    <row r="1076" spans="3:60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</row>
    <row r="1077" spans="3:60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</row>
    <row r="1078" spans="3:60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</row>
    <row r="1079" spans="3:60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</row>
    <row r="1080" spans="3:60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</row>
    <row r="1081" spans="3:60"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</row>
    <row r="1082" spans="3:60"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</row>
    <row r="1083" spans="3:60"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</row>
    <row r="1084" spans="3:60"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</row>
    <row r="1085" spans="3:60"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</row>
    <row r="1086" spans="3:60"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</row>
    <row r="1087" spans="3:60"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</row>
    <row r="1088" spans="3:60"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</row>
    <row r="1089" spans="3:60"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</row>
    <row r="1090" spans="3:60"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</row>
    <row r="1091" spans="3:60"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</row>
    <row r="1092" spans="3:60"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</row>
    <row r="1093" spans="3:60"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</row>
    <row r="1094" spans="3:60"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</row>
    <row r="1095" spans="3:60"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</row>
    <row r="1096" spans="3:60"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</row>
    <row r="1097" spans="3:60"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</row>
    <row r="1098" spans="3:60"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</row>
    <row r="1099" spans="3:60"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</row>
    <row r="1100" spans="3:60"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</row>
    <row r="1101" spans="3:60"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</row>
    <row r="1102" spans="3:60"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</row>
    <row r="1103" spans="3:60"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</row>
    <row r="1104" spans="3:60"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</row>
    <row r="1105" spans="3:60"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</row>
    <row r="1106" spans="3:60"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</row>
    <row r="1107" spans="3:60"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</row>
    <row r="1108" spans="3:60"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</row>
    <row r="1109" spans="3:60"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</row>
    <row r="1110" spans="3:60"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</row>
    <row r="1111" spans="3:60"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</row>
    <row r="1112" spans="3:60"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</row>
    <row r="1113" spans="3:60"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</row>
    <row r="1114" spans="3:60"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</row>
    <row r="1115" spans="3:60"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</row>
    <row r="1116" spans="3:60"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</row>
    <row r="1117" spans="3:60"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</row>
    <row r="1118" spans="3:60"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</row>
    <row r="1119" spans="3:60"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</row>
    <row r="1120" spans="3:60"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</row>
    <row r="1121" spans="3:60"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</row>
    <row r="1122" spans="3:60"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</row>
    <row r="1123" spans="3:60"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</row>
    <row r="1124" spans="3:60"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</row>
    <row r="1125" spans="3:60"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</row>
    <row r="1126" spans="3:60"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</row>
    <row r="1127" spans="3:60"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</row>
    <row r="1128" spans="3:60"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</row>
    <row r="1129" spans="3:60"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</row>
    <row r="1130" spans="3:60"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</row>
    <row r="1131" spans="3:60"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</row>
    <row r="1132" spans="3:60"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</row>
    <row r="1133" spans="3:60"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</row>
    <row r="1134" spans="3:60"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</row>
    <row r="1135" spans="3:60"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</row>
    <row r="1136" spans="3:60"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</row>
    <row r="1137" spans="3:60"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</row>
    <row r="1138" spans="3:60"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</row>
    <row r="1139" spans="3:60"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</row>
    <row r="1140" spans="3:60"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</row>
    <row r="1141" spans="3:60"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</row>
    <row r="1142" spans="3:60"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</row>
    <row r="1143" spans="3:60"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</row>
    <row r="1144" spans="3:60"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</row>
    <row r="1145" spans="3:60"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</row>
    <row r="1146" spans="3:60"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</row>
    <row r="1147" spans="3:60"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</row>
    <row r="1148" spans="3:60"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</row>
    <row r="1149" spans="3:60"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</row>
    <row r="1150" spans="3:60"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</row>
    <row r="1151" spans="3:60"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</row>
    <row r="1152" spans="3:60"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</row>
    <row r="1153" spans="3:60"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</row>
    <row r="1154" spans="3:60"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</row>
    <row r="1155" spans="3:60"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</row>
    <row r="1156" spans="3:60"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</row>
    <row r="1157" spans="3:60"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</row>
    <row r="1158" spans="3:60"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</row>
    <row r="1159" spans="3:60"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</row>
    <row r="1160" spans="3:60"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</row>
    <row r="1161" spans="3:60"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</row>
    <row r="1162" spans="3:60"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</row>
    <row r="1163" spans="3:60"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</row>
    <row r="1164" spans="3:60"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</row>
    <row r="1165" spans="3:60"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</row>
    <row r="1166" spans="3:60"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</row>
    <row r="1167" spans="3:60"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</row>
    <row r="1168" spans="3:60"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</row>
    <row r="1169" spans="3:60"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</row>
    <row r="1170" spans="3:60"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</row>
    <row r="1171" spans="3:60"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</row>
    <row r="1172" spans="3:60"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</row>
    <row r="1173" spans="3:60"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</row>
    <row r="1174" spans="3:60"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</row>
    <row r="1175" spans="3:60"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</row>
    <row r="1176" spans="3:60"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</row>
    <row r="1177" spans="3:60"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</row>
    <row r="1178" spans="3:60"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</row>
    <row r="1179" spans="3:60"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</row>
    <row r="1180" spans="3:60"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</row>
    <row r="1181" spans="3:60"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</row>
    <row r="1182" spans="3:60"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</row>
    <row r="1183" spans="3:60"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</row>
    <row r="1184" spans="3:60"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</row>
    <row r="1185" spans="3:60"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</row>
    <row r="1186" spans="3:60"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</row>
    <row r="1187" spans="3:60"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</row>
    <row r="1188" spans="3:60"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</row>
    <row r="1189" spans="3:60"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</row>
    <row r="1190" spans="3:60"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</row>
    <row r="1191" spans="3:60"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</row>
    <row r="1192" spans="3:60"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</row>
    <row r="1193" spans="3:60"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</row>
    <row r="1194" spans="3:60"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</row>
    <row r="1195" spans="3:60"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</row>
    <row r="1196" spans="3:60"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</row>
    <row r="1197" spans="3:60"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</row>
    <row r="1198" spans="3:60"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</row>
    <row r="1199" spans="3:60"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</row>
    <row r="1200" spans="3:60"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</row>
    <row r="1201" spans="3:60"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</row>
    <row r="1202" spans="3:60"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</row>
    <row r="1203" spans="3:60"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</row>
    <row r="1204" spans="3:60"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</row>
    <row r="1205" spans="3:60"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</row>
    <row r="1206" spans="3:60"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</row>
    <row r="1207" spans="3:60"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</row>
    <row r="1208" spans="3:60"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</row>
    <row r="1209" spans="3:60"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</row>
    <row r="1210" spans="3:60"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</row>
    <row r="1211" spans="3:60"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</row>
    <row r="1212" spans="3:60"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</row>
    <row r="1213" spans="3:60"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</row>
    <row r="1214" spans="3:60"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</row>
    <row r="1215" spans="3:60"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</row>
    <row r="1216" spans="3:60"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</row>
    <row r="1217" spans="3:60"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</row>
    <row r="1218" spans="3:60"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</row>
    <row r="1219" spans="3:60"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</row>
    <row r="1220" spans="3:60"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</row>
    <row r="1221" spans="3:60"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</row>
    <row r="1222" spans="3:60"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</row>
    <row r="1223" spans="3:60"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</row>
    <row r="1224" spans="3:60"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</row>
    <row r="1225" spans="3:60"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</row>
    <row r="1226" spans="3:60"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</row>
    <row r="1227" spans="3:60"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</row>
    <row r="1228" spans="3:60"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</row>
    <row r="1229" spans="3:60"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</row>
    <row r="1230" spans="3:60"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</row>
    <row r="1231" spans="3:60"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</row>
    <row r="1232" spans="3:60"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</row>
    <row r="1233" spans="3:60"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</row>
    <row r="1234" spans="3:60"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</row>
    <row r="1235" spans="3:60"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</row>
    <row r="1236" spans="3:60"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</row>
    <row r="1237" spans="3:60"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</row>
    <row r="1238" spans="3:60"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</row>
    <row r="1239" spans="3:60"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</row>
    <row r="1240" spans="3:60"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</row>
    <row r="1241" spans="3:60"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</row>
    <row r="1242" spans="3:60"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</row>
    <row r="1243" spans="3:60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</row>
    <row r="1244" spans="3:60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</row>
    <row r="1245" spans="3:60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</row>
    <row r="1246" spans="3:60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</row>
    <row r="1247" spans="3:60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</row>
    <row r="1248" spans="3:60"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</row>
    <row r="1249" spans="3:60"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</row>
    <row r="1250" spans="3:60"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</row>
    <row r="1251" spans="3:60"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</row>
    <row r="1252" spans="3:60"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</row>
    <row r="1253" spans="3:60"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</row>
    <row r="1254" spans="3:60"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</row>
    <row r="1255" spans="3:60"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</row>
    <row r="1256" spans="3:60"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</row>
    <row r="1257" spans="3:60"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</row>
    <row r="1258" spans="3:60"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</row>
    <row r="1259" spans="3:60"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</row>
    <row r="1260" spans="3:60"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</row>
    <row r="1261" spans="3:60"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</row>
    <row r="1262" spans="3:60"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</row>
    <row r="1263" spans="3:60"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</row>
    <row r="1264" spans="3:60"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</row>
    <row r="1265" spans="3:60"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</row>
    <row r="1266" spans="3:60"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</row>
    <row r="1267" spans="3:60"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</row>
    <row r="1268" spans="3:60"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</row>
    <row r="1269" spans="3:60"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</row>
    <row r="1270" spans="3:60"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</row>
    <row r="1271" spans="3:60"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</row>
    <row r="1272" spans="3:60"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</row>
    <row r="1273" spans="3:60"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</row>
    <row r="1274" spans="3:60"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</row>
    <row r="1275" spans="3:60"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</row>
    <row r="1276" spans="3:60"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</row>
    <row r="1277" spans="3:60"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</row>
    <row r="1278" spans="3:60"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</row>
    <row r="1279" spans="3:60"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</row>
    <row r="1280" spans="3:60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</row>
    <row r="1281" spans="3:60"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</row>
    <row r="1282" spans="3:60"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</row>
    <row r="1283" spans="3:60"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</row>
    <row r="1284" spans="3:60"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</row>
    <row r="1285" spans="3:60"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</row>
    <row r="1286" spans="3:60"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</row>
    <row r="1287" spans="3:60"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</row>
    <row r="1288" spans="3:60"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</row>
    <row r="1289" spans="3:60"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</row>
    <row r="1290" spans="3:60"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</row>
    <row r="1291" spans="3:60"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</row>
    <row r="1292" spans="3:60"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</row>
    <row r="1293" spans="3:60"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</row>
    <row r="1294" spans="3:60"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</row>
    <row r="1295" spans="3:60"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</row>
    <row r="1296" spans="3:60"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</row>
    <row r="1297" spans="3:60"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</row>
    <row r="1298" spans="3:60"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</row>
    <row r="1299" spans="3:60"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</row>
    <row r="1300" spans="3:60"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</row>
    <row r="1301" spans="3:60"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</row>
    <row r="1302" spans="3:60"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</row>
    <row r="1303" spans="3:60"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</row>
    <row r="1304" spans="3:60"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</row>
    <row r="1305" spans="3:60"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</row>
    <row r="1306" spans="3:60"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</row>
    <row r="1307" spans="3:60"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</row>
    <row r="1308" spans="3:60"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</row>
    <row r="1309" spans="3:60"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</row>
    <row r="1310" spans="3:60"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</row>
    <row r="1311" spans="3:60"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</row>
    <row r="1312" spans="3:60"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</row>
    <row r="1313" spans="3:60"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</row>
    <row r="1314" spans="3:60"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</row>
    <row r="1315" spans="3:60"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</row>
    <row r="1316" spans="3:60"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</row>
    <row r="1317" spans="3:60"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</row>
    <row r="1318" spans="3:60"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</row>
    <row r="1319" spans="3:60"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</row>
    <row r="1320" spans="3:60"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</row>
    <row r="1321" spans="3:60"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</row>
    <row r="1322" spans="3:60"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</row>
    <row r="1323" spans="3:60"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</row>
    <row r="1324" spans="3:60"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</row>
    <row r="1325" spans="3:60"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</row>
    <row r="1326" spans="3:60"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</row>
    <row r="1327" spans="3:60"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</row>
    <row r="1328" spans="3:60"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</row>
    <row r="1329" spans="3:60"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</row>
    <row r="1330" spans="3:60"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</row>
    <row r="1331" spans="3:60"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</row>
    <row r="1332" spans="3:60"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</row>
    <row r="1333" spans="3:60"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</row>
    <row r="1334" spans="3:60"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</row>
    <row r="1335" spans="3:60"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</row>
    <row r="1336" spans="3:60"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</row>
    <row r="1337" spans="3:60"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</row>
    <row r="1338" spans="3:60"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</row>
    <row r="1339" spans="3:60"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</row>
    <row r="1340" spans="3:60"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</row>
    <row r="1341" spans="3:60"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</row>
    <row r="1342" spans="3:60"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</row>
    <row r="1343" spans="3:60"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</row>
    <row r="1344" spans="3:60"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</row>
    <row r="1345" spans="3:60"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</row>
    <row r="1346" spans="3:60"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</row>
    <row r="1347" spans="3:60"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</row>
    <row r="1348" spans="3:60"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</row>
    <row r="1349" spans="3:60"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</row>
    <row r="1350" spans="3:60"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</row>
    <row r="1351" spans="3:60"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</row>
    <row r="1352" spans="3:60"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</row>
    <row r="1353" spans="3:60"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</row>
    <row r="1354" spans="3:60"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</row>
    <row r="1355" spans="3:60"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</row>
    <row r="1356" spans="3:60"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</row>
    <row r="1357" spans="3:60"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</row>
    <row r="1358" spans="3:60"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</row>
    <row r="1359" spans="3:60"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</row>
    <row r="1360" spans="3:60"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</row>
    <row r="1361" spans="3:60"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</row>
    <row r="1362" spans="3:60"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</row>
    <row r="1363" spans="3:60"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</row>
    <row r="1364" spans="3:60"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</row>
    <row r="1365" spans="3:60"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</row>
    <row r="1366" spans="3:60"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</row>
    <row r="1367" spans="3:60"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</row>
    <row r="1368" spans="3:60"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</row>
    <row r="1369" spans="3:60"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</row>
    <row r="1370" spans="3:60"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</row>
    <row r="1371" spans="3:60"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</row>
    <row r="1372" spans="3:60"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</row>
    <row r="1373" spans="3:60"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</row>
    <row r="1374" spans="3:60"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</row>
    <row r="1375" spans="3:60"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</row>
    <row r="1376" spans="3:60"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</row>
    <row r="1377" spans="3:60"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</row>
    <row r="1378" spans="3:60"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</row>
    <row r="1379" spans="3:60"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</row>
    <row r="1380" spans="3:60"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</row>
    <row r="1381" spans="3:60"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</row>
    <row r="1382" spans="3:60"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</row>
    <row r="1383" spans="3:60"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</row>
    <row r="1384" spans="3:60"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</row>
    <row r="1385" spans="3:60"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</row>
    <row r="1386" spans="3:60"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</row>
    <row r="1387" spans="3:60"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</row>
    <row r="1388" spans="3:60"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</row>
    <row r="1389" spans="3:60"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</row>
    <row r="1390" spans="3:60"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</row>
    <row r="1391" spans="3:60"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</row>
    <row r="1392" spans="3:60"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</row>
    <row r="1393" spans="3:60"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</row>
    <row r="1394" spans="3:60"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</row>
    <row r="1395" spans="3:60"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</row>
    <row r="1396" spans="3:60"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</row>
    <row r="1397" spans="3:60"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</row>
    <row r="1398" spans="3:60"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</row>
    <row r="1399" spans="3:60"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</row>
    <row r="1400" spans="3:60"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</row>
    <row r="1401" spans="3:60"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</row>
    <row r="1402" spans="3:60"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</row>
    <row r="1403" spans="3:60"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</row>
    <row r="1404" spans="3:60"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</row>
    <row r="1405" spans="3:60"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</row>
    <row r="1406" spans="3:60"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</row>
    <row r="1407" spans="3:60"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</row>
    <row r="1408" spans="3:60"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</row>
    <row r="1409" spans="3:60"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</row>
    <row r="1410" spans="3:60"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</row>
    <row r="1411" spans="3:60"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</row>
    <row r="1412" spans="3:60"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</row>
    <row r="1413" spans="3:60"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</row>
    <row r="1414" spans="3:60"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</row>
    <row r="1415" spans="3:60"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</row>
    <row r="1416" spans="3:60"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</row>
    <row r="1417" spans="3:60"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</row>
    <row r="1418" spans="3:60"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</row>
    <row r="1419" spans="3:60"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</row>
    <row r="1420" spans="3:60"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</row>
    <row r="1421" spans="3:60"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</row>
    <row r="1422" spans="3:60"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</row>
    <row r="1423" spans="3:60"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</row>
    <row r="1424" spans="3:60"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</row>
    <row r="1425" spans="3:60"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</row>
    <row r="1426" spans="3:60"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</row>
    <row r="1427" spans="3:60"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</row>
    <row r="1428" spans="3:60"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</row>
    <row r="1429" spans="3:60"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</row>
    <row r="1430" spans="3:60"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</row>
    <row r="1431" spans="3:60"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</row>
    <row r="1432" spans="3:60"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</row>
    <row r="1433" spans="3:60"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</row>
    <row r="1434" spans="3:60"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</row>
    <row r="1435" spans="3:60"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</row>
    <row r="1436" spans="3:60"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</row>
    <row r="1437" spans="3:60"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</row>
    <row r="1438" spans="3:60"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</row>
    <row r="1439" spans="3:60"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</row>
    <row r="1440" spans="3:60"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</row>
    <row r="1441" spans="3:60"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</row>
    <row r="1442" spans="3:60"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</row>
    <row r="1443" spans="3:60"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</row>
    <row r="1444" spans="3:60"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</row>
    <row r="1445" spans="3:60"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</row>
    <row r="1446" spans="3:60"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</row>
    <row r="1447" spans="3:60"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</row>
    <row r="1448" spans="3:60"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</row>
    <row r="1449" spans="3:60"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</row>
    <row r="1450" spans="3:60"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</row>
    <row r="1451" spans="3:60"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</row>
    <row r="1452" spans="3:60"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</row>
    <row r="1453" spans="3:60"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</row>
    <row r="1454" spans="3:60"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</row>
    <row r="1455" spans="3:60"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</row>
    <row r="1456" spans="3:60"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</row>
    <row r="1457" spans="3:60"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</row>
    <row r="1458" spans="3:60"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</row>
    <row r="1459" spans="3:60"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</row>
    <row r="1460" spans="3:60"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</row>
    <row r="1461" spans="3:60"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</row>
    <row r="1462" spans="3:60"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</row>
    <row r="1463" spans="3:60"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</row>
    <row r="1464" spans="3:60"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</row>
    <row r="1465" spans="3:60"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</row>
    <row r="1466" spans="3:60"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</row>
    <row r="1467" spans="3:60"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</row>
    <row r="1468" spans="3:60"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</row>
    <row r="1469" spans="3:60"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</row>
    <row r="1470" spans="3:60"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</row>
    <row r="1471" spans="3:60"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</row>
    <row r="1472" spans="3:60"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</row>
    <row r="1473" spans="3:60"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</row>
    <row r="1474" spans="3:60"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</row>
    <row r="1475" spans="3:60"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</row>
    <row r="1476" spans="3:60"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</row>
    <row r="1477" spans="3:60"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</row>
    <row r="1478" spans="3:60"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</row>
    <row r="1479" spans="3:60"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F1479" s="1"/>
      <c r="AG1479" s="1"/>
      <c r="AH1479" s="1"/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</row>
    <row r="1480" spans="3:60"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F1480" s="1"/>
      <c r="AG1480" s="1"/>
      <c r="AH1480" s="1"/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</row>
    <row r="1481" spans="3:60"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F1481" s="1"/>
      <c r="AG1481" s="1"/>
      <c r="AH1481" s="1"/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</row>
    <row r="1482" spans="3:60"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F1482" s="1"/>
      <c r="AG1482" s="1"/>
      <c r="AH1482" s="1"/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</row>
    <row r="1483" spans="3:60"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F1483" s="1"/>
      <c r="AG1483" s="1"/>
      <c r="AH1483" s="1"/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</row>
    <row r="1484" spans="3:60"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F1484" s="1"/>
      <c r="AG1484" s="1"/>
      <c r="AH1484" s="1"/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</row>
    <row r="1485" spans="3:60"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F1485" s="1"/>
      <c r="AG1485" s="1"/>
      <c r="AH1485" s="1"/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</row>
    <row r="1486" spans="3:60"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F1486" s="1"/>
      <c r="AG1486" s="1"/>
      <c r="AH1486" s="1"/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</row>
    <row r="1487" spans="3:60"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F1487" s="1"/>
      <c r="AG1487" s="1"/>
      <c r="AH1487" s="1"/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</row>
    <row r="1488" spans="3:60"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F1488" s="1"/>
      <c r="AG1488" s="1"/>
      <c r="AH1488" s="1"/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</row>
    <row r="1489" spans="3:60"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F1489" s="1"/>
      <c r="AG1489" s="1"/>
      <c r="AH1489" s="1"/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</row>
    <row r="1490" spans="3:60"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F1490" s="1"/>
      <c r="AG1490" s="1"/>
      <c r="AH1490" s="1"/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</row>
    <row r="1491" spans="3:60"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F1491" s="1"/>
      <c r="AG1491" s="1"/>
      <c r="AH1491" s="1"/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</row>
    <row r="1492" spans="3:60"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F1492" s="1"/>
      <c r="AG1492" s="1"/>
      <c r="AH1492" s="1"/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</row>
    <row r="1493" spans="3:60"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F1493" s="1"/>
      <c r="AG1493" s="1"/>
      <c r="AH1493" s="1"/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</row>
    <row r="1494" spans="3:60"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F1494" s="1"/>
      <c r="AG1494" s="1"/>
      <c r="AH1494" s="1"/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</row>
    <row r="1495" spans="3:60"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F1495" s="1"/>
      <c r="AG1495" s="1"/>
      <c r="AH1495" s="1"/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</row>
    <row r="1496" spans="3:60"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F1496" s="1"/>
      <c r="AG1496" s="1"/>
      <c r="AH1496" s="1"/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</row>
    <row r="1497" spans="3:60"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F1497" s="1"/>
      <c r="AG1497" s="1"/>
      <c r="AH1497" s="1"/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</row>
    <row r="1498" spans="3:60"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F1498" s="1"/>
      <c r="AG1498" s="1"/>
      <c r="AH1498" s="1"/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</row>
    <row r="1499" spans="3:60"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F1499" s="1"/>
      <c r="AG1499" s="1"/>
      <c r="AH1499" s="1"/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</row>
    <row r="1500" spans="3:60"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F1500" s="1"/>
      <c r="AG1500" s="1"/>
      <c r="AH1500" s="1"/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</row>
    <row r="1501" spans="3:60"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F1501" s="1"/>
      <c r="AG1501" s="1"/>
      <c r="AH1501" s="1"/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</row>
    <row r="1502" spans="3:60"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F1502" s="1"/>
      <c r="AG1502" s="1"/>
      <c r="AH1502" s="1"/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</row>
    <row r="1503" spans="3:60"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F1503" s="1"/>
      <c r="AG1503" s="1"/>
      <c r="AH1503" s="1"/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</row>
    <row r="1504" spans="3:60"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F1504" s="1"/>
      <c r="AG1504" s="1"/>
      <c r="AH1504" s="1"/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</row>
    <row r="1505" spans="3:60"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F1505" s="1"/>
      <c r="AG1505" s="1"/>
      <c r="AH1505" s="1"/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</row>
    <row r="1506" spans="3:60"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F1506" s="1"/>
      <c r="AG1506" s="1"/>
      <c r="AH1506" s="1"/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</row>
    <row r="1507" spans="3:60"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F1507" s="1"/>
      <c r="AG1507" s="1"/>
      <c r="AH1507" s="1"/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</row>
    <row r="1508" spans="3:60"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F1508" s="1"/>
      <c r="AG1508" s="1"/>
      <c r="AH1508" s="1"/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</row>
    <row r="1509" spans="3:60"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F1509" s="1"/>
      <c r="AG1509" s="1"/>
      <c r="AH1509" s="1"/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</row>
    <row r="1510" spans="3:60"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F1510" s="1"/>
      <c r="AG1510" s="1"/>
      <c r="AH1510" s="1"/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</row>
    <row r="1511" spans="3:60"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F1511" s="1"/>
      <c r="AG1511" s="1"/>
      <c r="AH1511" s="1"/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</row>
    <row r="1512" spans="3:60"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F1512" s="1"/>
      <c r="AG1512" s="1"/>
      <c r="AH1512" s="1"/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</row>
    <row r="1513" spans="3:60"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F1513" s="1"/>
      <c r="AG1513" s="1"/>
      <c r="AH1513" s="1"/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</row>
    <row r="1514" spans="3:60"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F1514" s="1"/>
      <c r="AG1514" s="1"/>
      <c r="AH1514" s="1"/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</row>
    <row r="1515" spans="3:60"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F1515" s="1"/>
      <c r="AG1515" s="1"/>
      <c r="AH1515" s="1"/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</row>
    <row r="1516" spans="3:60"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F1516" s="1"/>
      <c r="AG1516" s="1"/>
      <c r="AH1516" s="1"/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</row>
    <row r="1517" spans="3:60"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F1517" s="1"/>
      <c r="AG1517" s="1"/>
      <c r="AH1517" s="1"/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</row>
    <row r="1518" spans="3:60"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F1518" s="1"/>
      <c r="AG1518" s="1"/>
      <c r="AH1518" s="1"/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</row>
    <row r="1519" spans="3:60"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F1519" s="1"/>
      <c r="AG1519" s="1"/>
      <c r="AH1519" s="1"/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</row>
    <row r="1520" spans="3:60"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F1520" s="1"/>
      <c r="AG1520" s="1"/>
      <c r="AH1520" s="1"/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</row>
    <row r="1521" spans="3:60"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F1521" s="1"/>
      <c r="AG1521" s="1"/>
      <c r="AH1521" s="1"/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</row>
    <row r="1522" spans="3:60"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F1522" s="1"/>
      <c r="AG1522" s="1"/>
      <c r="AH1522" s="1"/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</row>
    <row r="1523" spans="3:60"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F1523" s="1"/>
      <c r="AG1523" s="1"/>
      <c r="AH1523" s="1"/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</row>
    <row r="1524" spans="3:60"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F1524" s="1"/>
      <c r="AG1524" s="1"/>
      <c r="AH1524" s="1"/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</row>
    <row r="1525" spans="3:60"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F1525" s="1"/>
      <c r="AG1525" s="1"/>
      <c r="AH1525" s="1"/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</row>
    <row r="1526" spans="3:60"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F1526" s="1"/>
      <c r="AG1526" s="1"/>
      <c r="AH1526" s="1"/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</row>
    <row r="1527" spans="3:60"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F1527" s="1"/>
      <c r="AG1527" s="1"/>
      <c r="AH1527" s="1"/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</row>
    <row r="1528" spans="3:60"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F1528" s="1"/>
      <c r="AG1528" s="1"/>
      <c r="AH1528" s="1"/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</row>
    <row r="1529" spans="3:60"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F1529" s="1"/>
      <c r="AG1529" s="1"/>
      <c r="AH1529" s="1"/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</row>
    <row r="1530" spans="3:60"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F1530" s="1"/>
      <c r="AG1530" s="1"/>
      <c r="AH1530" s="1"/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</row>
    <row r="1531" spans="3:60"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F1531" s="1"/>
      <c r="AG1531" s="1"/>
      <c r="AH1531" s="1"/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</row>
    <row r="1532" spans="3:60"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F1532" s="1"/>
      <c r="AG1532" s="1"/>
      <c r="AH1532" s="1"/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</row>
    <row r="1533" spans="3:60"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F1533" s="1"/>
      <c r="AG1533" s="1"/>
      <c r="AH1533" s="1"/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</row>
    <row r="1534" spans="3:60"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F1534" s="1"/>
      <c r="AG1534" s="1"/>
      <c r="AH1534" s="1"/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</row>
    <row r="1535" spans="3:60"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F1535" s="1"/>
      <c r="AG1535" s="1"/>
      <c r="AH1535" s="1"/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</row>
    <row r="1536" spans="3:60"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F1536" s="1"/>
      <c r="AG1536" s="1"/>
      <c r="AH1536" s="1"/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</row>
    <row r="1537" spans="3:60"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F1537" s="1"/>
      <c r="AG1537" s="1"/>
      <c r="AH1537" s="1"/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</row>
    <row r="1538" spans="3:60"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F1538" s="1"/>
      <c r="AG1538" s="1"/>
      <c r="AH1538" s="1"/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</row>
    <row r="1539" spans="3:60"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F1539" s="1"/>
      <c r="AG1539" s="1"/>
      <c r="AH1539" s="1"/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</row>
    <row r="1540" spans="3:60"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F1540" s="1"/>
      <c r="AG1540" s="1"/>
      <c r="AH1540" s="1"/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</row>
    <row r="1541" spans="3:60"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F1541" s="1"/>
      <c r="AG1541" s="1"/>
      <c r="AH1541" s="1"/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</row>
    <row r="1542" spans="3:60"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F1542" s="1"/>
      <c r="AG1542" s="1"/>
      <c r="AH1542" s="1"/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</row>
    <row r="1543" spans="3:60"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F1543" s="1"/>
      <c r="AG1543" s="1"/>
      <c r="AH1543" s="1"/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</row>
    <row r="1544" spans="3:60"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F1544" s="1"/>
      <c r="AG1544" s="1"/>
      <c r="AH1544" s="1"/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</row>
    <row r="1545" spans="3:60"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F1545" s="1"/>
      <c r="AG1545" s="1"/>
      <c r="AH1545" s="1"/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</row>
    <row r="1546" spans="3:60"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F1546" s="1"/>
      <c r="AG1546" s="1"/>
      <c r="AH1546" s="1"/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</row>
    <row r="1547" spans="3:60"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F1547" s="1"/>
      <c r="AG1547" s="1"/>
      <c r="AH1547" s="1"/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</row>
    <row r="1548" spans="3:60"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F1548" s="1"/>
      <c r="AG1548" s="1"/>
      <c r="AH1548" s="1"/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</row>
    <row r="1549" spans="3:60"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F1549" s="1"/>
      <c r="AG1549" s="1"/>
      <c r="AH1549" s="1"/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</row>
    <row r="1550" spans="3:60"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F1550" s="1"/>
      <c r="AG1550" s="1"/>
      <c r="AH1550" s="1"/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</row>
    <row r="1551" spans="3:60"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F1551" s="1"/>
      <c r="AG1551" s="1"/>
      <c r="AH1551" s="1"/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</row>
    <row r="1552" spans="3:60"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F1552" s="1"/>
      <c r="AG1552" s="1"/>
      <c r="AH1552" s="1"/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</row>
    <row r="1553" spans="3:60"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F1553" s="1"/>
      <c r="AG1553" s="1"/>
      <c r="AH1553" s="1"/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</row>
    <row r="1554" spans="3:60"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F1554" s="1"/>
      <c r="AG1554" s="1"/>
      <c r="AH1554" s="1"/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</row>
    <row r="1555" spans="3:60"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F1555" s="1"/>
      <c r="AG1555" s="1"/>
      <c r="AH1555" s="1"/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</row>
    <row r="1556" spans="3:60"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F1556" s="1"/>
      <c r="AG1556" s="1"/>
      <c r="AH1556" s="1"/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</row>
    <row r="1557" spans="3:60"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F1557" s="1"/>
      <c r="AG1557" s="1"/>
      <c r="AH1557" s="1"/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</row>
    <row r="1558" spans="3:60"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F1558" s="1"/>
      <c r="AG1558" s="1"/>
      <c r="AH1558" s="1"/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</row>
    <row r="1559" spans="3:60"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F1559" s="1"/>
      <c r="AG1559" s="1"/>
      <c r="AH1559" s="1"/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</row>
    <row r="1560" spans="3:60"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F1560" s="1"/>
      <c r="AG1560" s="1"/>
      <c r="AH1560" s="1"/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</row>
    <row r="1561" spans="3:60"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F1561" s="1"/>
      <c r="AG1561" s="1"/>
      <c r="AH1561" s="1"/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</row>
    <row r="1562" spans="3:60"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F1562" s="1"/>
      <c r="AG1562" s="1"/>
      <c r="AH1562" s="1"/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</row>
    <row r="1563" spans="3:60"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F1563" s="1"/>
      <c r="AG1563" s="1"/>
      <c r="AH1563" s="1"/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</row>
    <row r="1564" spans="3:60"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F1564" s="1"/>
      <c r="AG1564" s="1"/>
      <c r="AH1564" s="1"/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</row>
    <row r="1565" spans="3:60"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F1565" s="1"/>
      <c r="AG1565" s="1"/>
      <c r="AH1565" s="1"/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</row>
    <row r="1566" spans="3:60"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F1566" s="1"/>
      <c r="AG1566" s="1"/>
      <c r="AH1566" s="1"/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</row>
    <row r="1567" spans="3:60"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F1567" s="1"/>
      <c r="AG1567" s="1"/>
      <c r="AH1567" s="1"/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</row>
    <row r="1568" spans="3:60"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F1568" s="1"/>
      <c r="AG1568" s="1"/>
      <c r="AH1568" s="1"/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</row>
    <row r="1569" spans="3:60"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F1569" s="1"/>
      <c r="AG1569" s="1"/>
      <c r="AH1569" s="1"/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</row>
    <row r="1570" spans="3:60"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F1570" s="1"/>
      <c r="AG1570" s="1"/>
      <c r="AH1570" s="1"/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</row>
    <row r="1571" spans="3:60"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F1571" s="1"/>
      <c r="AG1571" s="1"/>
      <c r="AH1571" s="1"/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</row>
    <row r="1572" spans="3:60"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F1572" s="1"/>
      <c r="AG1572" s="1"/>
      <c r="AH1572" s="1"/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</row>
    <row r="1573" spans="3:60"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F1573" s="1"/>
      <c r="AG1573" s="1"/>
      <c r="AH1573" s="1"/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</row>
    <row r="1574" spans="3:60"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F1574" s="1"/>
      <c r="AG1574" s="1"/>
      <c r="AH1574" s="1"/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</row>
    <row r="1575" spans="3:60"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F1575" s="1"/>
      <c r="AG1575" s="1"/>
      <c r="AH1575" s="1"/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</row>
    <row r="1576" spans="3:60"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F1576" s="1"/>
      <c r="AG1576" s="1"/>
      <c r="AH1576" s="1"/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</row>
    <row r="1577" spans="3:60"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F1577" s="1"/>
      <c r="AG1577" s="1"/>
      <c r="AH1577" s="1"/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</row>
    <row r="1578" spans="3:60"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F1578" s="1"/>
      <c r="AG1578" s="1"/>
      <c r="AH1578" s="1"/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</row>
    <row r="1579" spans="3:60"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F1579" s="1"/>
      <c r="AG1579" s="1"/>
      <c r="AH1579" s="1"/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</row>
    <row r="1580" spans="3:60"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F1580" s="1"/>
      <c r="AG1580" s="1"/>
      <c r="AH1580" s="1"/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</row>
    <row r="1581" spans="3:60"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F1581" s="1"/>
      <c r="AG1581" s="1"/>
      <c r="AH1581" s="1"/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</row>
    <row r="1582" spans="3:60"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F1582" s="1"/>
      <c r="AG1582" s="1"/>
      <c r="AH1582" s="1"/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</row>
    <row r="1583" spans="3:60"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F1583" s="1"/>
      <c r="AG1583" s="1"/>
      <c r="AH1583" s="1"/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</row>
    <row r="1584" spans="3:60"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F1584" s="1"/>
      <c r="AG1584" s="1"/>
      <c r="AH1584" s="1"/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</row>
    <row r="1585" spans="3:60"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F1585" s="1"/>
      <c r="AG1585" s="1"/>
      <c r="AH1585" s="1"/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</row>
    <row r="1586" spans="3:60"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F1586" s="1"/>
      <c r="AG1586" s="1"/>
      <c r="AH1586" s="1"/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</row>
    <row r="1587" spans="3:60"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F1587" s="1"/>
      <c r="AG1587" s="1"/>
      <c r="AH1587" s="1"/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</row>
    <row r="1588" spans="3:60"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F1588" s="1"/>
      <c r="AG1588" s="1"/>
      <c r="AH1588" s="1"/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</row>
    <row r="1589" spans="3:60"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F1589" s="1"/>
      <c r="AG1589" s="1"/>
      <c r="AH1589" s="1"/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</row>
    <row r="1590" spans="3:60"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F1590" s="1"/>
      <c r="AG1590" s="1"/>
      <c r="AH1590" s="1"/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</row>
    <row r="1591" spans="3:60"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F1591" s="1"/>
      <c r="AG1591" s="1"/>
      <c r="AH1591" s="1"/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</row>
    <row r="1592" spans="3:60"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F1592" s="1"/>
      <c r="AG1592" s="1"/>
      <c r="AH1592" s="1"/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</row>
    <row r="1593" spans="3:60"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F1593" s="1"/>
      <c r="AG1593" s="1"/>
      <c r="AH1593" s="1"/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</row>
    <row r="1594" spans="3:60"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F1594" s="1"/>
      <c r="AG1594" s="1"/>
      <c r="AH1594" s="1"/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</row>
    <row r="1595" spans="3:60"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F1595" s="1"/>
      <c r="AG1595" s="1"/>
      <c r="AH1595" s="1"/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</row>
    <row r="1596" spans="3:60"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F1596" s="1"/>
      <c r="AG1596" s="1"/>
      <c r="AH1596" s="1"/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</row>
    <row r="1597" spans="3:60"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F1597" s="1"/>
      <c r="AG1597" s="1"/>
      <c r="AH1597" s="1"/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</row>
    <row r="1598" spans="3:60"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F1598" s="1"/>
      <c r="AG1598" s="1"/>
      <c r="AH1598" s="1"/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</row>
    <row r="1599" spans="3:60"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F1599" s="1"/>
      <c r="AG1599" s="1"/>
      <c r="AH1599" s="1"/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</row>
    <row r="1600" spans="3:60"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F1600" s="1"/>
      <c r="AG1600" s="1"/>
      <c r="AH1600" s="1"/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</row>
    <row r="1601" spans="3:60"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F1601" s="1"/>
      <c r="AG1601" s="1"/>
      <c r="AH1601" s="1"/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</row>
    <row r="1602" spans="3:60"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F1602" s="1"/>
      <c r="AG1602" s="1"/>
      <c r="AH1602" s="1"/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</row>
    <row r="1603" spans="3:60"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F1603" s="1"/>
      <c r="AG1603" s="1"/>
      <c r="AH1603" s="1"/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</row>
    <row r="1604" spans="3:60"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F1604" s="1"/>
      <c r="AG1604" s="1"/>
      <c r="AH1604" s="1"/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</row>
    <row r="1605" spans="3:60"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F1605" s="1"/>
      <c r="AG1605" s="1"/>
      <c r="AH1605" s="1"/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</row>
    <row r="1606" spans="3:60"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F1606" s="1"/>
      <c r="AG1606" s="1"/>
      <c r="AH1606" s="1"/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</row>
    <row r="1607" spans="3:60"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F1607" s="1"/>
      <c r="AG1607" s="1"/>
      <c r="AH1607" s="1"/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</row>
    <row r="1608" spans="3:60"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F1608" s="1"/>
      <c r="AG1608" s="1"/>
      <c r="AH1608" s="1"/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</row>
    <row r="1609" spans="3:60"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F1609" s="1"/>
      <c r="AG1609" s="1"/>
      <c r="AH1609" s="1"/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</row>
    <row r="1610" spans="3:60"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F1610" s="1"/>
      <c r="AG1610" s="1"/>
      <c r="AH1610" s="1"/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</row>
    <row r="1611" spans="3:60"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F1611" s="1"/>
      <c r="AG1611" s="1"/>
      <c r="AH1611" s="1"/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</row>
    <row r="1612" spans="3:60"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F1612" s="1"/>
      <c r="AG1612" s="1"/>
      <c r="AH1612" s="1"/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</row>
    <row r="1613" spans="3:60"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F1613" s="1"/>
      <c r="AG1613" s="1"/>
      <c r="AH1613" s="1"/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</row>
    <row r="1614" spans="3:60"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F1614" s="1"/>
      <c r="AG1614" s="1"/>
      <c r="AH1614" s="1"/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</row>
    <row r="1615" spans="3:60"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F1615" s="1"/>
      <c r="AG1615" s="1"/>
      <c r="AH1615" s="1"/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</row>
    <row r="1616" spans="3:60"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</row>
    <row r="1617" spans="3:60"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F1617" s="1"/>
      <c r="AG1617" s="1"/>
      <c r="AH1617" s="1"/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</row>
    <row r="1618" spans="3:60"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F1618" s="1"/>
      <c r="AG1618" s="1"/>
      <c r="AH1618" s="1"/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</row>
    <row r="1619" spans="3:60"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F1619" s="1"/>
      <c r="AG1619" s="1"/>
      <c r="AH1619" s="1"/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</row>
    <row r="1620" spans="3:60"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F1620" s="1"/>
      <c r="AG1620" s="1"/>
      <c r="AH1620" s="1"/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</row>
    <row r="1621" spans="3:60"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F1621" s="1"/>
      <c r="AG1621" s="1"/>
      <c r="AH1621" s="1"/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</row>
    <row r="1622" spans="3:60"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F1622" s="1"/>
      <c r="AG1622" s="1"/>
      <c r="AH1622" s="1"/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</row>
    <row r="1623" spans="3:60"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F1623" s="1"/>
      <c r="AG1623" s="1"/>
      <c r="AH1623" s="1"/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</row>
    <row r="1624" spans="3:60"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F1624" s="1"/>
      <c r="AG1624" s="1"/>
      <c r="AH1624" s="1"/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</row>
    <row r="1625" spans="3:60"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F1625" s="1"/>
      <c r="AG1625" s="1"/>
      <c r="AH1625" s="1"/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</row>
    <row r="1626" spans="3:60"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F1626" s="1"/>
      <c r="AG1626" s="1"/>
      <c r="AH1626" s="1"/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</row>
    <row r="1627" spans="3:60"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F1627" s="1"/>
      <c r="AG1627" s="1"/>
      <c r="AH1627" s="1"/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</row>
    <row r="1628" spans="3:60"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F1628" s="1"/>
      <c r="AG1628" s="1"/>
      <c r="AH1628" s="1"/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</row>
    <row r="1629" spans="3:60"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F1629" s="1"/>
      <c r="AG1629" s="1"/>
      <c r="AH1629" s="1"/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</row>
    <row r="1630" spans="3:60"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F1630" s="1"/>
      <c r="AG1630" s="1"/>
      <c r="AH1630" s="1"/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</row>
    <row r="1631" spans="3:60"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F1631" s="1"/>
      <c r="AG1631" s="1"/>
      <c r="AH1631" s="1"/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</row>
    <row r="1632" spans="3:60"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F1632" s="1"/>
      <c r="AG1632" s="1"/>
      <c r="AH1632" s="1"/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</row>
    <row r="1633" spans="3:60"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F1633" s="1"/>
      <c r="AG1633" s="1"/>
      <c r="AH1633" s="1"/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</row>
    <row r="1634" spans="3:60"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F1634" s="1"/>
      <c r="AG1634" s="1"/>
      <c r="AH1634" s="1"/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</row>
    <row r="1635" spans="3:60"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F1635" s="1"/>
      <c r="AG1635" s="1"/>
      <c r="AH1635" s="1"/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</row>
    <row r="1636" spans="3:60"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F1636" s="1"/>
      <c r="AG1636" s="1"/>
      <c r="AH1636" s="1"/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</row>
    <row r="1637" spans="3:60"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F1637" s="1"/>
      <c r="AG1637" s="1"/>
      <c r="AH1637" s="1"/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</row>
    <row r="1638" spans="3:60"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F1638" s="1"/>
      <c r="AG1638" s="1"/>
      <c r="AH1638" s="1"/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</row>
    <row r="1639" spans="3:60"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F1639" s="1"/>
      <c r="AG1639" s="1"/>
      <c r="AH1639" s="1"/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</row>
    <row r="1640" spans="3:60"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F1640" s="1"/>
      <c r="AG1640" s="1"/>
      <c r="AH1640" s="1"/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</row>
    <row r="1641" spans="3:60"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F1641" s="1"/>
      <c r="AG1641" s="1"/>
      <c r="AH1641" s="1"/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</row>
    <row r="1642" spans="3:60"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F1642" s="1"/>
      <c r="AG1642" s="1"/>
      <c r="AH1642" s="1"/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</row>
    <row r="1643" spans="3:60"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F1643" s="1"/>
      <c r="AG1643" s="1"/>
      <c r="AH1643" s="1"/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</row>
    <row r="1644" spans="3:60"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F1644" s="1"/>
      <c r="AG1644" s="1"/>
      <c r="AH1644" s="1"/>
      <c r="AI1644" s="1"/>
      <c r="AJ1644" s="1"/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</row>
    <row r="1645" spans="3:60"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F1645" s="1"/>
      <c r="AG1645" s="1"/>
      <c r="AH1645" s="1"/>
      <c r="AI1645" s="1"/>
      <c r="AJ1645" s="1"/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</row>
    <row r="1646" spans="3:60"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F1646" s="1"/>
      <c r="AG1646" s="1"/>
      <c r="AH1646" s="1"/>
      <c r="AI1646" s="1"/>
      <c r="AJ1646" s="1"/>
      <c r="AK1646" s="1"/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</row>
    <row r="1647" spans="3:60"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F1647" s="1"/>
      <c r="AG1647" s="1"/>
      <c r="AH1647" s="1"/>
      <c r="AI1647" s="1"/>
      <c r="AJ1647" s="1"/>
      <c r="AK1647" s="1"/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</row>
    <row r="1648" spans="3:60"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F1648" s="1"/>
      <c r="AG1648" s="1"/>
      <c r="AH1648" s="1"/>
      <c r="AI1648" s="1"/>
      <c r="AJ1648" s="1"/>
      <c r="AK1648" s="1"/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</row>
    <row r="1649" spans="3:60"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F1649" s="1"/>
      <c r="AG1649" s="1"/>
      <c r="AH1649" s="1"/>
      <c r="AI1649" s="1"/>
      <c r="AJ1649" s="1"/>
      <c r="AK1649" s="1"/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</row>
    <row r="1650" spans="3:60"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F1650" s="1"/>
      <c r="AG1650" s="1"/>
      <c r="AH1650" s="1"/>
      <c r="AI1650" s="1"/>
      <c r="AJ1650" s="1"/>
      <c r="AK1650" s="1"/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</row>
    <row r="1651" spans="3:60"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F1651" s="1"/>
      <c r="AG1651" s="1"/>
      <c r="AH1651" s="1"/>
      <c r="AI1651" s="1"/>
      <c r="AJ1651" s="1"/>
      <c r="AK1651" s="1"/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</row>
    <row r="1652" spans="3:60"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F1652" s="1"/>
      <c r="AG1652" s="1"/>
      <c r="AH1652" s="1"/>
      <c r="AI1652" s="1"/>
      <c r="AJ1652" s="1"/>
      <c r="AK1652" s="1"/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</row>
    <row r="1653" spans="3:60"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F1653" s="1"/>
      <c r="AG1653" s="1"/>
      <c r="AH1653" s="1"/>
      <c r="AI1653" s="1"/>
      <c r="AJ1653" s="1"/>
      <c r="AK1653" s="1"/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</row>
    <row r="1654" spans="3:60"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F1654" s="1"/>
      <c r="AG1654" s="1"/>
      <c r="AH1654" s="1"/>
      <c r="AI1654" s="1"/>
      <c r="AJ1654" s="1"/>
      <c r="AK1654" s="1"/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</row>
    <row r="1655" spans="3:60"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F1655" s="1"/>
      <c r="AG1655" s="1"/>
      <c r="AH1655" s="1"/>
      <c r="AI1655" s="1"/>
      <c r="AJ1655" s="1"/>
      <c r="AK1655" s="1"/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</row>
    <row r="1656" spans="3:60"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F1656" s="1"/>
      <c r="AG1656" s="1"/>
      <c r="AH1656" s="1"/>
      <c r="AI1656" s="1"/>
      <c r="AJ1656" s="1"/>
      <c r="AK1656" s="1"/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</row>
    <row r="1657" spans="3:60"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F1657" s="1"/>
      <c r="AG1657" s="1"/>
      <c r="AH1657" s="1"/>
      <c r="AI1657" s="1"/>
      <c r="AJ1657" s="1"/>
      <c r="AK1657" s="1"/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</row>
    <row r="1658" spans="3:60"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F1658" s="1"/>
      <c r="AG1658" s="1"/>
      <c r="AH1658" s="1"/>
      <c r="AI1658" s="1"/>
      <c r="AJ1658" s="1"/>
      <c r="AK1658" s="1"/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</row>
    <row r="1659" spans="3:60"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F1659" s="1"/>
      <c r="AG1659" s="1"/>
      <c r="AH1659" s="1"/>
      <c r="AI1659" s="1"/>
      <c r="AJ1659" s="1"/>
      <c r="AK1659" s="1"/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</row>
    <row r="1660" spans="3:60"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F1660" s="1"/>
      <c r="AG1660" s="1"/>
      <c r="AH1660" s="1"/>
      <c r="AI1660" s="1"/>
      <c r="AJ1660" s="1"/>
      <c r="AK1660" s="1"/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</row>
    <row r="1661" spans="3:60"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F1661" s="1"/>
      <c r="AG1661" s="1"/>
      <c r="AH1661" s="1"/>
      <c r="AI1661" s="1"/>
      <c r="AJ1661" s="1"/>
      <c r="AK1661" s="1"/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</row>
    <row r="1662" spans="3:60"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F1662" s="1"/>
      <c r="AG1662" s="1"/>
      <c r="AH1662" s="1"/>
      <c r="AI1662" s="1"/>
      <c r="AJ1662" s="1"/>
      <c r="AK1662" s="1"/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</row>
    <row r="1663" spans="3:60"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F1663" s="1"/>
      <c r="AG1663" s="1"/>
      <c r="AH1663" s="1"/>
      <c r="AI1663" s="1"/>
      <c r="AJ1663" s="1"/>
      <c r="AK1663" s="1"/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</row>
    <row r="1664" spans="3:60"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F1664" s="1"/>
      <c r="AG1664" s="1"/>
      <c r="AH1664" s="1"/>
      <c r="AI1664" s="1"/>
      <c r="AJ1664" s="1"/>
      <c r="AK1664" s="1"/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</row>
    <row r="1665" spans="3:60"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F1665" s="1"/>
      <c r="AG1665" s="1"/>
      <c r="AH1665" s="1"/>
      <c r="AI1665" s="1"/>
      <c r="AJ1665" s="1"/>
      <c r="AK1665" s="1"/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</row>
    <row r="1666" spans="3:60"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F1666" s="1"/>
      <c r="AG1666" s="1"/>
      <c r="AH1666" s="1"/>
      <c r="AI1666" s="1"/>
      <c r="AJ1666" s="1"/>
      <c r="AK1666" s="1"/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</row>
    <row r="1667" spans="3:60"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F1667" s="1"/>
      <c r="AG1667" s="1"/>
      <c r="AH1667" s="1"/>
      <c r="AI1667" s="1"/>
      <c r="AJ1667" s="1"/>
      <c r="AK1667" s="1"/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</row>
    <row r="1668" spans="3:60"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F1668" s="1"/>
      <c r="AG1668" s="1"/>
      <c r="AH1668" s="1"/>
      <c r="AI1668" s="1"/>
      <c r="AJ1668" s="1"/>
      <c r="AK1668" s="1"/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</row>
    <row r="1669" spans="3:60"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F1669" s="1"/>
      <c r="AG1669" s="1"/>
      <c r="AH1669" s="1"/>
      <c r="AI1669" s="1"/>
      <c r="AJ1669" s="1"/>
      <c r="AK1669" s="1"/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</row>
    <row r="1670" spans="3:60"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F1670" s="1"/>
      <c r="AG1670" s="1"/>
      <c r="AH1670" s="1"/>
      <c r="AI1670" s="1"/>
      <c r="AJ1670" s="1"/>
      <c r="AK1670" s="1"/>
      <c r="AL1670" s="1"/>
      <c r="AM1670" s="1"/>
      <c r="AN1670" s="1"/>
      <c r="AO1670" s="1"/>
      <c r="AP1670" s="1"/>
      <c r="AQ1670" s="1"/>
      <c r="AR1670" s="1"/>
      <c r="AS1670" s="1"/>
      <c r="AT1670" s="1"/>
      <c r="AU1670" s="1"/>
      <c r="AV1670" s="1"/>
      <c r="AW1670" s="1"/>
      <c r="AX1670" s="1"/>
      <c r="AY1670" s="1"/>
      <c r="AZ1670" s="1"/>
      <c r="BA1670" s="1"/>
      <c r="BB1670" s="1"/>
      <c r="BC1670" s="1"/>
      <c r="BD1670" s="1"/>
      <c r="BE1670" s="1"/>
      <c r="BF1670" s="1"/>
      <c r="BG1670" s="1"/>
      <c r="BH1670" s="1"/>
    </row>
    <row r="1671" spans="3:60"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F1671" s="1"/>
      <c r="AG1671" s="1"/>
      <c r="AH1671" s="1"/>
      <c r="AI1671" s="1"/>
      <c r="AJ1671" s="1"/>
      <c r="AK1671" s="1"/>
      <c r="AL1671" s="1"/>
      <c r="AM1671" s="1"/>
      <c r="AN1671" s="1"/>
      <c r="AO1671" s="1"/>
      <c r="AP1671" s="1"/>
      <c r="AQ1671" s="1"/>
      <c r="AR1671" s="1"/>
      <c r="AS1671" s="1"/>
      <c r="AT1671" s="1"/>
      <c r="AU1671" s="1"/>
      <c r="AV1671" s="1"/>
      <c r="AW1671" s="1"/>
      <c r="AX1671" s="1"/>
      <c r="AY1671" s="1"/>
      <c r="AZ1671" s="1"/>
      <c r="BA1671" s="1"/>
      <c r="BB1671" s="1"/>
      <c r="BC1671" s="1"/>
      <c r="BD1671" s="1"/>
      <c r="BE1671" s="1"/>
      <c r="BF1671" s="1"/>
      <c r="BG1671" s="1"/>
      <c r="BH1671" s="1"/>
    </row>
    <row r="1672" spans="3:60"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F1672" s="1"/>
      <c r="AG1672" s="1"/>
      <c r="AH1672" s="1"/>
      <c r="AI1672" s="1"/>
      <c r="AJ1672" s="1"/>
      <c r="AK1672" s="1"/>
      <c r="AL1672" s="1"/>
      <c r="AM1672" s="1"/>
      <c r="AN1672" s="1"/>
      <c r="AO1672" s="1"/>
      <c r="AP1672" s="1"/>
      <c r="AQ1672" s="1"/>
      <c r="AR1672" s="1"/>
      <c r="AS1672" s="1"/>
      <c r="AT1672" s="1"/>
      <c r="AU1672" s="1"/>
      <c r="AV1672" s="1"/>
      <c r="AW1672" s="1"/>
      <c r="AX1672" s="1"/>
      <c r="AY1672" s="1"/>
      <c r="AZ1672" s="1"/>
      <c r="BA1672" s="1"/>
      <c r="BB1672" s="1"/>
      <c r="BC1672" s="1"/>
      <c r="BD1672" s="1"/>
      <c r="BE1672" s="1"/>
      <c r="BF1672" s="1"/>
      <c r="BG1672" s="1"/>
      <c r="BH1672" s="1"/>
    </row>
    <row r="1673" spans="3:60"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F1673" s="1"/>
      <c r="AG1673" s="1"/>
      <c r="AH1673" s="1"/>
      <c r="AI1673" s="1"/>
      <c r="AJ1673" s="1"/>
      <c r="AK1673" s="1"/>
      <c r="AL1673" s="1"/>
      <c r="AM1673" s="1"/>
      <c r="AN1673" s="1"/>
      <c r="AO1673" s="1"/>
      <c r="AP1673" s="1"/>
      <c r="AQ1673" s="1"/>
      <c r="AR1673" s="1"/>
      <c r="AS1673" s="1"/>
      <c r="AT1673" s="1"/>
      <c r="AU1673" s="1"/>
      <c r="AV1673" s="1"/>
      <c r="AW1673" s="1"/>
      <c r="AX1673" s="1"/>
      <c r="AY1673" s="1"/>
      <c r="AZ1673" s="1"/>
      <c r="BA1673" s="1"/>
      <c r="BB1673" s="1"/>
      <c r="BC1673" s="1"/>
      <c r="BD1673" s="1"/>
      <c r="BE1673" s="1"/>
      <c r="BF1673" s="1"/>
      <c r="BG1673" s="1"/>
      <c r="BH1673" s="1"/>
    </row>
    <row r="1674" spans="3:60"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F1674" s="1"/>
      <c r="AG1674" s="1"/>
      <c r="AH1674" s="1"/>
      <c r="AI1674" s="1"/>
      <c r="AJ1674" s="1"/>
      <c r="AK1674" s="1"/>
      <c r="AL1674" s="1"/>
      <c r="AM1674" s="1"/>
      <c r="AN1674" s="1"/>
      <c r="AO1674" s="1"/>
      <c r="AP1674" s="1"/>
      <c r="AQ1674" s="1"/>
      <c r="AR1674" s="1"/>
      <c r="AS1674" s="1"/>
      <c r="AT1674" s="1"/>
      <c r="AU1674" s="1"/>
      <c r="AV1674" s="1"/>
      <c r="AW1674" s="1"/>
      <c r="AX1674" s="1"/>
      <c r="AY1674" s="1"/>
      <c r="AZ1674" s="1"/>
      <c r="BA1674" s="1"/>
      <c r="BB1674" s="1"/>
      <c r="BC1674" s="1"/>
      <c r="BD1674" s="1"/>
      <c r="BE1674" s="1"/>
      <c r="BF1674" s="1"/>
      <c r="BG1674" s="1"/>
      <c r="BH1674" s="1"/>
    </row>
    <row r="1675" spans="3:60"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F1675" s="1"/>
      <c r="AG1675" s="1"/>
      <c r="AH1675" s="1"/>
      <c r="AI1675" s="1"/>
      <c r="AJ1675" s="1"/>
      <c r="AK1675" s="1"/>
      <c r="AL1675" s="1"/>
      <c r="AM1675" s="1"/>
      <c r="AN1675" s="1"/>
      <c r="AO1675" s="1"/>
      <c r="AP1675" s="1"/>
      <c r="AQ1675" s="1"/>
      <c r="AR1675" s="1"/>
      <c r="AS1675" s="1"/>
      <c r="AT1675" s="1"/>
      <c r="AU1675" s="1"/>
      <c r="AV1675" s="1"/>
      <c r="AW1675" s="1"/>
      <c r="AX1675" s="1"/>
      <c r="AY1675" s="1"/>
      <c r="AZ1675" s="1"/>
      <c r="BA1675" s="1"/>
      <c r="BB1675" s="1"/>
      <c r="BC1675" s="1"/>
      <c r="BD1675" s="1"/>
      <c r="BE1675" s="1"/>
      <c r="BF1675" s="1"/>
      <c r="BG1675" s="1"/>
      <c r="BH1675" s="1"/>
    </row>
    <row r="1676" spans="3:60"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F1676" s="1"/>
      <c r="AG1676" s="1"/>
      <c r="AH1676" s="1"/>
      <c r="AI1676" s="1"/>
      <c r="AJ1676" s="1"/>
      <c r="AK1676" s="1"/>
      <c r="AL1676" s="1"/>
      <c r="AM1676" s="1"/>
      <c r="AN1676" s="1"/>
      <c r="AO1676" s="1"/>
      <c r="AP1676" s="1"/>
      <c r="AQ1676" s="1"/>
      <c r="AR1676" s="1"/>
      <c r="AS1676" s="1"/>
      <c r="AT1676" s="1"/>
      <c r="AU1676" s="1"/>
      <c r="AV1676" s="1"/>
      <c r="AW1676" s="1"/>
      <c r="AX1676" s="1"/>
      <c r="AY1676" s="1"/>
      <c r="AZ1676" s="1"/>
      <c r="BA1676" s="1"/>
      <c r="BB1676" s="1"/>
      <c r="BC1676" s="1"/>
      <c r="BD1676" s="1"/>
      <c r="BE1676" s="1"/>
      <c r="BF1676" s="1"/>
      <c r="BG1676" s="1"/>
      <c r="BH1676" s="1"/>
    </row>
    <row r="1677" spans="3:60"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F1677" s="1"/>
      <c r="AG1677" s="1"/>
      <c r="AH1677" s="1"/>
      <c r="AI1677" s="1"/>
      <c r="AJ1677" s="1"/>
      <c r="AK1677" s="1"/>
      <c r="AL1677" s="1"/>
      <c r="AM1677" s="1"/>
      <c r="AN1677" s="1"/>
      <c r="AO1677" s="1"/>
      <c r="AP1677" s="1"/>
      <c r="AQ1677" s="1"/>
      <c r="AR1677" s="1"/>
      <c r="AS1677" s="1"/>
      <c r="AT1677" s="1"/>
      <c r="AU1677" s="1"/>
      <c r="AV1677" s="1"/>
      <c r="AW1677" s="1"/>
      <c r="AX1677" s="1"/>
      <c r="AY1677" s="1"/>
      <c r="AZ1677" s="1"/>
      <c r="BA1677" s="1"/>
      <c r="BB1677" s="1"/>
      <c r="BC1677" s="1"/>
      <c r="BD1677" s="1"/>
      <c r="BE1677" s="1"/>
      <c r="BF1677" s="1"/>
      <c r="BG1677" s="1"/>
      <c r="BH1677" s="1"/>
    </row>
    <row r="1678" spans="3:60"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F1678" s="1"/>
      <c r="AG1678" s="1"/>
      <c r="AH1678" s="1"/>
      <c r="AI1678" s="1"/>
      <c r="AJ1678" s="1"/>
      <c r="AK1678" s="1"/>
      <c r="AL1678" s="1"/>
      <c r="AM1678" s="1"/>
      <c r="AN1678" s="1"/>
      <c r="AO1678" s="1"/>
      <c r="AP1678" s="1"/>
      <c r="AQ1678" s="1"/>
      <c r="AR1678" s="1"/>
      <c r="AS1678" s="1"/>
      <c r="AT1678" s="1"/>
      <c r="AU1678" s="1"/>
      <c r="AV1678" s="1"/>
      <c r="AW1678" s="1"/>
      <c r="AX1678" s="1"/>
      <c r="AY1678" s="1"/>
      <c r="AZ1678" s="1"/>
      <c r="BA1678" s="1"/>
      <c r="BB1678" s="1"/>
      <c r="BC1678" s="1"/>
      <c r="BD1678" s="1"/>
      <c r="BE1678" s="1"/>
      <c r="BF1678" s="1"/>
      <c r="BG1678" s="1"/>
      <c r="BH1678" s="1"/>
    </row>
    <row r="1679" spans="3:60"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F1679" s="1"/>
      <c r="AG1679" s="1"/>
      <c r="AH1679" s="1"/>
      <c r="AI1679" s="1"/>
      <c r="AJ1679" s="1"/>
      <c r="AK1679" s="1"/>
      <c r="AL1679" s="1"/>
      <c r="AM1679" s="1"/>
      <c r="AN1679" s="1"/>
      <c r="AO1679" s="1"/>
      <c r="AP1679" s="1"/>
      <c r="AQ1679" s="1"/>
      <c r="AR1679" s="1"/>
      <c r="AS1679" s="1"/>
      <c r="AT1679" s="1"/>
      <c r="AU1679" s="1"/>
      <c r="AV1679" s="1"/>
      <c r="AW1679" s="1"/>
      <c r="AX1679" s="1"/>
      <c r="AY1679" s="1"/>
      <c r="AZ1679" s="1"/>
      <c r="BA1679" s="1"/>
      <c r="BB1679" s="1"/>
      <c r="BC1679" s="1"/>
      <c r="BD1679" s="1"/>
      <c r="BE1679" s="1"/>
      <c r="BF1679" s="1"/>
      <c r="BG1679" s="1"/>
      <c r="BH1679" s="1"/>
    </row>
    <row r="1680" spans="3:60"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F1680" s="1"/>
      <c r="AG1680" s="1"/>
      <c r="AH1680" s="1"/>
      <c r="AI1680" s="1"/>
      <c r="AJ1680" s="1"/>
      <c r="AK1680" s="1"/>
      <c r="AL1680" s="1"/>
      <c r="AM1680" s="1"/>
      <c r="AN1680" s="1"/>
      <c r="AO1680" s="1"/>
      <c r="AP1680" s="1"/>
      <c r="AQ1680" s="1"/>
      <c r="AR1680" s="1"/>
      <c r="AS1680" s="1"/>
      <c r="AT1680" s="1"/>
      <c r="AU1680" s="1"/>
      <c r="AV1680" s="1"/>
      <c r="AW1680" s="1"/>
      <c r="AX1680" s="1"/>
      <c r="AY1680" s="1"/>
      <c r="AZ1680" s="1"/>
      <c r="BA1680" s="1"/>
      <c r="BB1680" s="1"/>
      <c r="BC1680" s="1"/>
      <c r="BD1680" s="1"/>
      <c r="BE1680" s="1"/>
      <c r="BF1680" s="1"/>
      <c r="BG1680" s="1"/>
      <c r="BH1680" s="1"/>
    </row>
    <row r="1681" spans="3:60"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F1681" s="1"/>
      <c r="AG1681" s="1"/>
      <c r="AH1681" s="1"/>
      <c r="AI1681" s="1"/>
      <c r="AJ1681" s="1"/>
      <c r="AK1681" s="1"/>
      <c r="AL1681" s="1"/>
      <c r="AM1681" s="1"/>
      <c r="AN1681" s="1"/>
      <c r="AO1681" s="1"/>
      <c r="AP1681" s="1"/>
      <c r="AQ1681" s="1"/>
      <c r="AR1681" s="1"/>
      <c r="AS1681" s="1"/>
      <c r="AT1681" s="1"/>
      <c r="AU1681" s="1"/>
      <c r="AV1681" s="1"/>
      <c r="AW1681" s="1"/>
      <c r="AX1681" s="1"/>
      <c r="AY1681" s="1"/>
      <c r="AZ1681" s="1"/>
      <c r="BA1681" s="1"/>
      <c r="BB1681" s="1"/>
      <c r="BC1681" s="1"/>
      <c r="BD1681" s="1"/>
      <c r="BE1681" s="1"/>
      <c r="BF1681" s="1"/>
      <c r="BG1681" s="1"/>
      <c r="BH1681" s="1"/>
    </row>
    <row r="1682" spans="3:60"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F1682" s="1"/>
      <c r="AG1682" s="1"/>
      <c r="AH1682" s="1"/>
      <c r="AI1682" s="1"/>
      <c r="AJ1682" s="1"/>
      <c r="AK1682" s="1"/>
      <c r="AL1682" s="1"/>
      <c r="AM1682" s="1"/>
      <c r="AN1682" s="1"/>
      <c r="AO1682" s="1"/>
      <c r="AP1682" s="1"/>
      <c r="AQ1682" s="1"/>
      <c r="AR1682" s="1"/>
      <c r="AS1682" s="1"/>
      <c r="AT1682" s="1"/>
      <c r="AU1682" s="1"/>
      <c r="AV1682" s="1"/>
      <c r="AW1682" s="1"/>
      <c r="AX1682" s="1"/>
      <c r="AY1682" s="1"/>
      <c r="AZ1682" s="1"/>
      <c r="BA1682" s="1"/>
      <c r="BB1682" s="1"/>
      <c r="BC1682" s="1"/>
      <c r="BD1682" s="1"/>
      <c r="BE1682" s="1"/>
      <c r="BF1682" s="1"/>
      <c r="BG1682" s="1"/>
      <c r="BH1682" s="1"/>
    </row>
    <row r="1683" spans="3:60"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F1683" s="1"/>
      <c r="AG1683" s="1"/>
      <c r="AH1683" s="1"/>
      <c r="AI1683" s="1"/>
      <c r="AJ1683" s="1"/>
      <c r="AK1683" s="1"/>
      <c r="AL1683" s="1"/>
      <c r="AM1683" s="1"/>
      <c r="AN1683" s="1"/>
      <c r="AO1683" s="1"/>
      <c r="AP1683" s="1"/>
      <c r="AQ1683" s="1"/>
      <c r="AR1683" s="1"/>
      <c r="AS1683" s="1"/>
      <c r="AT1683" s="1"/>
      <c r="AU1683" s="1"/>
      <c r="AV1683" s="1"/>
      <c r="AW1683" s="1"/>
      <c r="AX1683" s="1"/>
      <c r="AY1683" s="1"/>
      <c r="AZ1683" s="1"/>
      <c r="BA1683" s="1"/>
      <c r="BB1683" s="1"/>
      <c r="BC1683" s="1"/>
      <c r="BD1683" s="1"/>
      <c r="BE1683" s="1"/>
      <c r="BF1683" s="1"/>
      <c r="BG1683" s="1"/>
      <c r="BH1683" s="1"/>
    </row>
    <row r="1684" spans="3:60"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F1684" s="1"/>
      <c r="AG1684" s="1"/>
      <c r="AH1684" s="1"/>
      <c r="AI1684" s="1"/>
      <c r="AJ1684" s="1"/>
      <c r="AK1684" s="1"/>
      <c r="AL1684" s="1"/>
      <c r="AM1684" s="1"/>
      <c r="AN1684" s="1"/>
      <c r="AO1684" s="1"/>
      <c r="AP1684" s="1"/>
      <c r="AQ1684" s="1"/>
      <c r="AR1684" s="1"/>
      <c r="AS1684" s="1"/>
      <c r="AT1684" s="1"/>
      <c r="AU1684" s="1"/>
      <c r="AV1684" s="1"/>
      <c r="AW1684" s="1"/>
      <c r="AX1684" s="1"/>
      <c r="AY1684" s="1"/>
      <c r="AZ1684" s="1"/>
      <c r="BA1684" s="1"/>
      <c r="BB1684" s="1"/>
      <c r="BC1684" s="1"/>
      <c r="BD1684" s="1"/>
      <c r="BE1684" s="1"/>
      <c r="BF1684" s="1"/>
      <c r="BG1684" s="1"/>
      <c r="BH1684" s="1"/>
    </row>
    <row r="1685" spans="3:60"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F1685" s="1"/>
      <c r="AG1685" s="1"/>
      <c r="AH1685" s="1"/>
      <c r="AI1685" s="1"/>
      <c r="AJ1685" s="1"/>
      <c r="AK1685" s="1"/>
      <c r="AL1685" s="1"/>
      <c r="AM1685" s="1"/>
      <c r="AN1685" s="1"/>
      <c r="AO1685" s="1"/>
      <c r="AP1685" s="1"/>
      <c r="AQ1685" s="1"/>
      <c r="AR1685" s="1"/>
      <c r="AS1685" s="1"/>
      <c r="AT1685" s="1"/>
      <c r="AU1685" s="1"/>
      <c r="AV1685" s="1"/>
      <c r="AW1685" s="1"/>
      <c r="AX1685" s="1"/>
      <c r="AY1685" s="1"/>
      <c r="AZ1685" s="1"/>
      <c r="BA1685" s="1"/>
      <c r="BB1685" s="1"/>
      <c r="BC1685" s="1"/>
      <c r="BD1685" s="1"/>
      <c r="BE1685" s="1"/>
      <c r="BF1685" s="1"/>
      <c r="BG1685" s="1"/>
      <c r="BH1685" s="1"/>
    </row>
    <row r="1686" spans="3:60"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F1686" s="1"/>
      <c r="AG1686" s="1"/>
      <c r="AH1686" s="1"/>
      <c r="AI1686" s="1"/>
      <c r="AJ1686" s="1"/>
      <c r="AK1686" s="1"/>
      <c r="AL1686" s="1"/>
      <c r="AM1686" s="1"/>
      <c r="AN1686" s="1"/>
      <c r="AO1686" s="1"/>
      <c r="AP1686" s="1"/>
      <c r="AQ1686" s="1"/>
      <c r="AR1686" s="1"/>
      <c r="AS1686" s="1"/>
      <c r="AT1686" s="1"/>
      <c r="AU1686" s="1"/>
      <c r="AV1686" s="1"/>
      <c r="AW1686" s="1"/>
      <c r="AX1686" s="1"/>
      <c r="AY1686" s="1"/>
      <c r="AZ1686" s="1"/>
      <c r="BA1686" s="1"/>
      <c r="BB1686" s="1"/>
      <c r="BC1686" s="1"/>
      <c r="BD1686" s="1"/>
      <c r="BE1686" s="1"/>
      <c r="BF1686" s="1"/>
      <c r="BG1686" s="1"/>
      <c r="BH1686" s="1"/>
    </row>
    <row r="1687" spans="3:60"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F1687" s="1"/>
      <c r="AG1687" s="1"/>
      <c r="AH1687" s="1"/>
      <c r="AI1687" s="1"/>
      <c r="AJ1687" s="1"/>
      <c r="AK1687" s="1"/>
      <c r="AL1687" s="1"/>
      <c r="AM1687" s="1"/>
      <c r="AN1687" s="1"/>
      <c r="AO1687" s="1"/>
      <c r="AP1687" s="1"/>
      <c r="AQ1687" s="1"/>
      <c r="AR1687" s="1"/>
      <c r="AS1687" s="1"/>
      <c r="AT1687" s="1"/>
      <c r="AU1687" s="1"/>
      <c r="AV1687" s="1"/>
      <c r="AW1687" s="1"/>
      <c r="AX1687" s="1"/>
      <c r="AY1687" s="1"/>
      <c r="AZ1687" s="1"/>
      <c r="BA1687" s="1"/>
      <c r="BB1687" s="1"/>
      <c r="BC1687" s="1"/>
      <c r="BD1687" s="1"/>
      <c r="BE1687" s="1"/>
      <c r="BF1687" s="1"/>
      <c r="BG1687" s="1"/>
      <c r="BH1687" s="1"/>
    </row>
    <row r="1688" spans="3:60"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F1688" s="1"/>
      <c r="AG1688" s="1"/>
      <c r="AH1688" s="1"/>
      <c r="AI1688" s="1"/>
      <c r="AJ1688" s="1"/>
      <c r="AK1688" s="1"/>
      <c r="AL1688" s="1"/>
      <c r="AM1688" s="1"/>
      <c r="AN1688" s="1"/>
      <c r="AO1688" s="1"/>
      <c r="AP1688" s="1"/>
      <c r="AQ1688" s="1"/>
      <c r="AR1688" s="1"/>
      <c r="AS1688" s="1"/>
      <c r="AT1688" s="1"/>
      <c r="AU1688" s="1"/>
      <c r="AV1688" s="1"/>
      <c r="AW1688" s="1"/>
      <c r="AX1688" s="1"/>
      <c r="AY1688" s="1"/>
      <c r="AZ1688" s="1"/>
      <c r="BA1688" s="1"/>
      <c r="BB1688" s="1"/>
      <c r="BC1688" s="1"/>
      <c r="BD1688" s="1"/>
      <c r="BE1688" s="1"/>
      <c r="BF1688" s="1"/>
      <c r="BG1688" s="1"/>
      <c r="BH1688" s="1"/>
    </row>
    <row r="1689" spans="3:60"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F1689" s="1"/>
      <c r="AG1689" s="1"/>
      <c r="AH1689" s="1"/>
      <c r="AI1689" s="1"/>
      <c r="AJ1689" s="1"/>
      <c r="AK1689" s="1"/>
      <c r="AL1689" s="1"/>
      <c r="AM1689" s="1"/>
      <c r="AN1689" s="1"/>
      <c r="AO1689" s="1"/>
      <c r="AP1689" s="1"/>
      <c r="AQ1689" s="1"/>
      <c r="AR1689" s="1"/>
      <c r="AS1689" s="1"/>
      <c r="AT1689" s="1"/>
      <c r="AU1689" s="1"/>
      <c r="AV1689" s="1"/>
      <c r="AW1689" s="1"/>
      <c r="AX1689" s="1"/>
      <c r="AY1689" s="1"/>
      <c r="AZ1689" s="1"/>
      <c r="BA1689" s="1"/>
      <c r="BB1689" s="1"/>
      <c r="BC1689" s="1"/>
      <c r="BD1689" s="1"/>
      <c r="BE1689" s="1"/>
      <c r="BF1689" s="1"/>
      <c r="BG1689" s="1"/>
      <c r="BH1689" s="1"/>
    </row>
    <row r="1690" spans="3:60"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F1690" s="1"/>
      <c r="AG1690" s="1"/>
      <c r="AH1690" s="1"/>
      <c r="AI1690" s="1"/>
      <c r="AJ1690" s="1"/>
      <c r="AK1690" s="1"/>
      <c r="AL1690" s="1"/>
      <c r="AM1690" s="1"/>
      <c r="AN1690" s="1"/>
      <c r="AO1690" s="1"/>
      <c r="AP1690" s="1"/>
      <c r="AQ1690" s="1"/>
      <c r="AR1690" s="1"/>
      <c r="AS1690" s="1"/>
      <c r="AT1690" s="1"/>
      <c r="AU1690" s="1"/>
      <c r="AV1690" s="1"/>
      <c r="AW1690" s="1"/>
      <c r="AX1690" s="1"/>
      <c r="AY1690" s="1"/>
      <c r="AZ1690" s="1"/>
      <c r="BA1690" s="1"/>
      <c r="BB1690" s="1"/>
      <c r="BC1690" s="1"/>
      <c r="BD1690" s="1"/>
      <c r="BE1690" s="1"/>
      <c r="BF1690" s="1"/>
      <c r="BG1690" s="1"/>
      <c r="BH1690" s="1"/>
    </row>
    <row r="1691" spans="3:60"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F1691" s="1"/>
      <c r="AG1691" s="1"/>
      <c r="AH1691" s="1"/>
      <c r="AI1691" s="1"/>
      <c r="AJ1691" s="1"/>
      <c r="AK1691" s="1"/>
      <c r="AL1691" s="1"/>
      <c r="AM1691" s="1"/>
      <c r="AN1691" s="1"/>
      <c r="AO1691" s="1"/>
      <c r="AP1691" s="1"/>
      <c r="AQ1691" s="1"/>
      <c r="AR1691" s="1"/>
      <c r="AS1691" s="1"/>
      <c r="AT1691" s="1"/>
      <c r="AU1691" s="1"/>
      <c r="AV1691" s="1"/>
      <c r="AW1691" s="1"/>
      <c r="AX1691" s="1"/>
      <c r="AY1691" s="1"/>
      <c r="AZ1691" s="1"/>
      <c r="BA1691" s="1"/>
      <c r="BB1691" s="1"/>
      <c r="BC1691" s="1"/>
      <c r="BD1691" s="1"/>
      <c r="BE1691" s="1"/>
      <c r="BF1691" s="1"/>
      <c r="BG1691" s="1"/>
      <c r="BH1691" s="1"/>
    </row>
    <row r="1692" spans="3:60"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F1692" s="1"/>
      <c r="AG1692" s="1"/>
      <c r="AH1692" s="1"/>
      <c r="AI1692" s="1"/>
      <c r="AJ1692" s="1"/>
      <c r="AK1692" s="1"/>
      <c r="AL1692" s="1"/>
      <c r="AM1692" s="1"/>
      <c r="AN1692" s="1"/>
      <c r="AO1692" s="1"/>
      <c r="AP1692" s="1"/>
      <c r="AQ1692" s="1"/>
      <c r="AR1692" s="1"/>
      <c r="AS1692" s="1"/>
      <c r="AT1692" s="1"/>
      <c r="AU1692" s="1"/>
      <c r="AV1692" s="1"/>
      <c r="AW1692" s="1"/>
      <c r="AX1692" s="1"/>
      <c r="AY1692" s="1"/>
      <c r="AZ1692" s="1"/>
      <c r="BA1692" s="1"/>
      <c r="BB1692" s="1"/>
      <c r="BC1692" s="1"/>
      <c r="BD1692" s="1"/>
      <c r="BE1692" s="1"/>
      <c r="BF1692" s="1"/>
      <c r="BG1692" s="1"/>
      <c r="BH1692" s="1"/>
    </row>
    <row r="1693" spans="3:60"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F1693" s="1"/>
      <c r="AG1693" s="1"/>
      <c r="AH1693" s="1"/>
      <c r="AI1693" s="1"/>
      <c r="AJ1693" s="1"/>
      <c r="AK1693" s="1"/>
      <c r="AL1693" s="1"/>
      <c r="AM1693" s="1"/>
      <c r="AN1693" s="1"/>
      <c r="AO1693" s="1"/>
      <c r="AP1693" s="1"/>
      <c r="AQ1693" s="1"/>
      <c r="AR1693" s="1"/>
      <c r="AS1693" s="1"/>
      <c r="AT1693" s="1"/>
      <c r="AU1693" s="1"/>
      <c r="AV1693" s="1"/>
      <c r="AW1693" s="1"/>
      <c r="AX1693" s="1"/>
      <c r="AY1693" s="1"/>
      <c r="AZ1693" s="1"/>
      <c r="BA1693" s="1"/>
      <c r="BB1693" s="1"/>
      <c r="BC1693" s="1"/>
      <c r="BD1693" s="1"/>
      <c r="BE1693" s="1"/>
      <c r="BF1693" s="1"/>
      <c r="BG1693" s="1"/>
      <c r="BH1693" s="1"/>
    </row>
    <row r="1694" spans="3:60"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F1694" s="1"/>
      <c r="AG1694" s="1"/>
      <c r="AH1694" s="1"/>
      <c r="AI1694" s="1"/>
      <c r="AJ1694" s="1"/>
      <c r="AK1694" s="1"/>
      <c r="AL1694" s="1"/>
      <c r="AM1694" s="1"/>
      <c r="AN1694" s="1"/>
      <c r="AO1694" s="1"/>
      <c r="AP1694" s="1"/>
      <c r="AQ1694" s="1"/>
      <c r="AR1694" s="1"/>
      <c r="AS1694" s="1"/>
      <c r="AT1694" s="1"/>
      <c r="AU1694" s="1"/>
      <c r="AV1694" s="1"/>
      <c r="AW1694" s="1"/>
      <c r="AX1694" s="1"/>
      <c r="AY1694" s="1"/>
      <c r="AZ1694" s="1"/>
      <c r="BA1694" s="1"/>
      <c r="BB1694" s="1"/>
      <c r="BC1694" s="1"/>
      <c r="BD1694" s="1"/>
      <c r="BE1694" s="1"/>
      <c r="BF1694" s="1"/>
      <c r="BG1694" s="1"/>
      <c r="BH1694" s="1"/>
    </row>
    <row r="1695" spans="3:60"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F1695" s="1"/>
      <c r="AG1695" s="1"/>
      <c r="AH1695" s="1"/>
      <c r="AI1695" s="1"/>
      <c r="AJ1695" s="1"/>
      <c r="AK1695" s="1"/>
      <c r="AL1695" s="1"/>
      <c r="AM1695" s="1"/>
      <c r="AN1695" s="1"/>
      <c r="AO1695" s="1"/>
      <c r="AP1695" s="1"/>
      <c r="AQ1695" s="1"/>
      <c r="AR1695" s="1"/>
      <c r="AS1695" s="1"/>
      <c r="AT1695" s="1"/>
      <c r="AU1695" s="1"/>
      <c r="AV1695" s="1"/>
      <c r="AW1695" s="1"/>
      <c r="AX1695" s="1"/>
      <c r="AY1695" s="1"/>
      <c r="AZ1695" s="1"/>
      <c r="BA1695" s="1"/>
      <c r="BB1695" s="1"/>
      <c r="BC1695" s="1"/>
      <c r="BD1695" s="1"/>
      <c r="BE1695" s="1"/>
      <c r="BF1695" s="1"/>
      <c r="BG1695" s="1"/>
      <c r="BH1695" s="1"/>
    </row>
    <row r="1696" spans="3:60"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F1696" s="1"/>
      <c r="AG1696" s="1"/>
      <c r="AH1696" s="1"/>
      <c r="AI1696" s="1"/>
      <c r="AJ1696" s="1"/>
      <c r="AK1696" s="1"/>
      <c r="AL1696" s="1"/>
      <c r="AM1696" s="1"/>
      <c r="AN1696" s="1"/>
      <c r="AO1696" s="1"/>
      <c r="AP1696" s="1"/>
      <c r="AQ1696" s="1"/>
      <c r="AR1696" s="1"/>
      <c r="AS1696" s="1"/>
      <c r="AT1696" s="1"/>
      <c r="AU1696" s="1"/>
      <c r="AV1696" s="1"/>
      <c r="AW1696" s="1"/>
      <c r="AX1696" s="1"/>
      <c r="AY1696" s="1"/>
      <c r="AZ1696" s="1"/>
      <c r="BA1696" s="1"/>
      <c r="BB1696" s="1"/>
      <c r="BC1696" s="1"/>
      <c r="BD1696" s="1"/>
      <c r="BE1696" s="1"/>
      <c r="BF1696" s="1"/>
      <c r="BG1696" s="1"/>
      <c r="BH1696" s="1"/>
    </row>
    <row r="1697" spans="3:60"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F1697" s="1"/>
      <c r="AG1697" s="1"/>
      <c r="AH1697" s="1"/>
      <c r="AI1697" s="1"/>
      <c r="AJ1697" s="1"/>
      <c r="AK1697" s="1"/>
      <c r="AL1697" s="1"/>
      <c r="AM1697" s="1"/>
      <c r="AN1697" s="1"/>
      <c r="AO1697" s="1"/>
      <c r="AP1697" s="1"/>
      <c r="AQ1697" s="1"/>
      <c r="AR1697" s="1"/>
      <c r="AS1697" s="1"/>
      <c r="AT1697" s="1"/>
      <c r="AU1697" s="1"/>
      <c r="AV1697" s="1"/>
      <c r="AW1697" s="1"/>
      <c r="AX1697" s="1"/>
      <c r="AY1697" s="1"/>
      <c r="AZ1697" s="1"/>
      <c r="BA1697" s="1"/>
      <c r="BB1697" s="1"/>
      <c r="BC1697" s="1"/>
      <c r="BD1697" s="1"/>
      <c r="BE1697" s="1"/>
      <c r="BF1697" s="1"/>
      <c r="BG1697" s="1"/>
      <c r="BH1697" s="1"/>
    </row>
    <row r="1698" spans="3:60"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F1698" s="1"/>
      <c r="AG1698" s="1"/>
      <c r="AH1698" s="1"/>
      <c r="AI1698" s="1"/>
      <c r="AJ1698" s="1"/>
      <c r="AK1698" s="1"/>
      <c r="AL1698" s="1"/>
      <c r="AM1698" s="1"/>
      <c r="AN1698" s="1"/>
      <c r="AO1698" s="1"/>
      <c r="AP1698" s="1"/>
      <c r="AQ1698" s="1"/>
      <c r="AR1698" s="1"/>
      <c r="AS1698" s="1"/>
      <c r="AT1698" s="1"/>
      <c r="AU1698" s="1"/>
      <c r="AV1698" s="1"/>
      <c r="AW1698" s="1"/>
      <c r="AX1698" s="1"/>
      <c r="AY1698" s="1"/>
      <c r="AZ1698" s="1"/>
      <c r="BA1698" s="1"/>
      <c r="BB1698" s="1"/>
      <c r="BC1698" s="1"/>
      <c r="BD1698" s="1"/>
      <c r="BE1698" s="1"/>
      <c r="BF1698" s="1"/>
      <c r="BG1698" s="1"/>
      <c r="BH1698" s="1"/>
    </row>
    <row r="1699" spans="3:60"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F1699" s="1"/>
      <c r="AG1699" s="1"/>
      <c r="AH1699" s="1"/>
      <c r="AI1699" s="1"/>
      <c r="AJ1699" s="1"/>
      <c r="AK1699" s="1"/>
      <c r="AL1699" s="1"/>
      <c r="AM1699" s="1"/>
      <c r="AN1699" s="1"/>
      <c r="AO1699" s="1"/>
      <c r="AP1699" s="1"/>
      <c r="AQ1699" s="1"/>
      <c r="AR1699" s="1"/>
      <c r="AS1699" s="1"/>
      <c r="AT1699" s="1"/>
      <c r="AU1699" s="1"/>
      <c r="AV1699" s="1"/>
      <c r="AW1699" s="1"/>
      <c r="AX1699" s="1"/>
      <c r="AY1699" s="1"/>
      <c r="AZ1699" s="1"/>
      <c r="BA1699" s="1"/>
      <c r="BB1699" s="1"/>
      <c r="BC1699" s="1"/>
      <c r="BD1699" s="1"/>
      <c r="BE1699" s="1"/>
      <c r="BF1699" s="1"/>
      <c r="BG1699" s="1"/>
      <c r="BH1699" s="1"/>
    </row>
    <row r="1700" spans="3:60"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F1700" s="1"/>
      <c r="AG1700" s="1"/>
      <c r="AH1700" s="1"/>
      <c r="AI1700" s="1"/>
      <c r="AJ1700" s="1"/>
      <c r="AK1700" s="1"/>
      <c r="AL1700" s="1"/>
      <c r="AM1700" s="1"/>
      <c r="AN1700" s="1"/>
      <c r="AO1700" s="1"/>
      <c r="AP1700" s="1"/>
      <c r="AQ1700" s="1"/>
      <c r="AR1700" s="1"/>
      <c r="AS1700" s="1"/>
      <c r="AT1700" s="1"/>
      <c r="AU1700" s="1"/>
      <c r="AV1700" s="1"/>
      <c r="AW1700" s="1"/>
      <c r="AX1700" s="1"/>
      <c r="AY1700" s="1"/>
      <c r="AZ1700" s="1"/>
      <c r="BA1700" s="1"/>
      <c r="BB1700" s="1"/>
      <c r="BC1700" s="1"/>
      <c r="BD1700" s="1"/>
      <c r="BE1700" s="1"/>
      <c r="BF1700" s="1"/>
      <c r="BG1700" s="1"/>
      <c r="BH1700" s="1"/>
    </row>
    <row r="1701" spans="3:60"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F1701" s="1"/>
      <c r="AG1701" s="1"/>
      <c r="AH1701" s="1"/>
      <c r="AI1701" s="1"/>
      <c r="AJ1701" s="1"/>
      <c r="AK1701" s="1"/>
      <c r="AL1701" s="1"/>
      <c r="AM1701" s="1"/>
      <c r="AN1701" s="1"/>
      <c r="AO1701" s="1"/>
      <c r="AP1701" s="1"/>
      <c r="AQ1701" s="1"/>
      <c r="AR1701" s="1"/>
      <c r="AS1701" s="1"/>
      <c r="AT1701" s="1"/>
      <c r="AU1701" s="1"/>
      <c r="AV1701" s="1"/>
      <c r="AW1701" s="1"/>
      <c r="AX1701" s="1"/>
      <c r="AY1701" s="1"/>
      <c r="AZ1701" s="1"/>
      <c r="BA1701" s="1"/>
      <c r="BB1701" s="1"/>
      <c r="BC1701" s="1"/>
      <c r="BD1701" s="1"/>
      <c r="BE1701" s="1"/>
      <c r="BF1701" s="1"/>
      <c r="BG1701" s="1"/>
      <c r="BH1701" s="1"/>
    </row>
    <row r="1702" spans="3:60"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F1702" s="1"/>
      <c r="AG1702" s="1"/>
      <c r="AH1702" s="1"/>
      <c r="AI1702" s="1"/>
      <c r="AJ1702" s="1"/>
      <c r="AK1702" s="1"/>
      <c r="AL1702" s="1"/>
      <c r="AM1702" s="1"/>
      <c r="AN1702" s="1"/>
      <c r="AO1702" s="1"/>
      <c r="AP1702" s="1"/>
      <c r="AQ1702" s="1"/>
      <c r="AR1702" s="1"/>
      <c r="AS1702" s="1"/>
      <c r="AT1702" s="1"/>
      <c r="AU1702" s="1"/>
      <c r="AV1702" s="1"/>
      <c r="AW1702" s="1"/>
      <c r="AX1702" s="1"/>
      <c r="AY1702" s="1"/>
      <c r="AZ1702" s="1"/>
      <c r="BA1702" s="1"/>
      <c r="BB1702" s="1"/>
      <c r="BC1702" s="1"/>
      <c r="BD1702" s="1"/>
      <c r="BE1702" s="1"/>
      <c r="BF1702" s="1"/>
      <c r="BG1702" s="1"/>
      <c r="BH1702" s="1"/>
    </row>
    <row r="1703" spans="3:60"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F1703" s="1"/>
      <c r="AG1703" s="1"/>
      <c r="AH1703" s="1"/>
      <c r="AI1703" s="1"/>
      <c r="AJ1703" s="1"/>
      <c r="AK1703" s="1"/>
      <c r="AL1703" s="1"/>
      <c r="AM1703" s="1"/>
      <c r="AN1703" s="1"/>
      <c r="AO1703" s="1"/>
      <c r="AP1703" s="1"/>
      <c r="AQ1703" s="1"/>
      <c r="AR1703" s="1"/>
      <c r="AS1703" s="1"/>
      <c r="AT1703" s="1"/>
      <c r="AU1703" s="1"/>
      <c r="AV1703" s="1"/>
      <c r="AW1703" s="1"/>
      <c r="AX1703" s="1"/>
      <c r="AY1703" s="1"/>
      <c r="AZ1703" s="1"/>
      <c r="BA1703" s="1"/>
      <c r="BB1703" s="1"/>
      <c r="BC1703" s="1"/>
      <c r="BD1703" s="1"/>
      <c r="BE1703" s="1"/>
      <c r="BF1703" s="1"/>
      <c r="BG1703" s="1"/>
      <c r="BH1703" s="1"/>
    </row>
    <row r="1704" spans="3:60"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F1704" s="1"/>
      <c r="AG1704" s="1"/>
      <c r="AH1704" s="1"/>
      <c r="AI1704" s="1"/>
      <c r="AJ1704" s="1"/>
      <c r="AK1704" s="1"/>
      <c r="AL1704" s="1"/>
      <c r="AM1704" s="1"/>
      <c r="AN1704" s="1"/>
      <c r="AO1704" s="1"/>
      <c r="AP1704" s="1"/>
      <c r="AQ1704" s="1"/>
      <c r="AR1704" s="1"/>
      <c r="AS1704" s="1"/>
      <c r="AT1704" s="1"/>
      <c r="AU1704" s="1"/>
      <c r="AV1704" s="1"/>
      <c r="AW1704" s="1"/>
      <c r="AX1704" s="1"/>
      <c r="AY1704" s="1"/>
      <c r="AZ1704" s="1"/>
      <c r="BA1704" s="1"/>
      <c r="BB1704" s="1"/>
      <c r="BC1704" s="1"/>
      <c r="BD1704" s="1"/>
      <c r="BE1704" s="1"/>
      <c r="BF1704" s="1"/>
      <c r="BG1704" s="1"/>
      <c r="BH1704" s="1"/>
    </row>
    <row r="1705" spans="3:60"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F1705" s="1"/>
      <c r="AG1705" s="1"/>
      <c r="AH1705" s="1"/>
      <c r="AI1705" s="1"/>
      <c r="AJ1705" s="1"/>
      <c r="AK1705" s="1"/>
      <c r="AL1705" s="1"/>
      <c r="AM1705" s="1"/>
      <c r="AN1705" s="1"/>
      <c r="AO1705" s="1"/>
      <c r="AP1705" s="1"/>
      <c r="AQ1705" s="1"/>
      <c r="AR1705" s="1"/>
      <c r="AS1705" s="1"/>
      <c r="AT1705" s="1"/>
      <c r="AU1705" s="1"/>
      <c r="AV1705" s="1"/>
      <c r="AW1705" s="1"/>
      <c r="AX1705" s="1"/>
      <c r="AY1705" s="1"/>
      <c r="AZ1705" s="1"/>
      <c r="BA1705" s="1"/>
      <c r="BB1705" s="1"/>
      <c r="BC1705" s="1"/>
      <c r="BD1705" s="1"/>
      <c r="BE1705" s="1"/>
      <c r="BF1705" s="1"/>
      <c r="BG1705" s="1"/>
      <c r="BH1705" s="1"/>
    </row>
    <row r="1706" spans="3:60"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F1706" s="1"/>
      <c r="AG1706" s="1"/>
      <c r="AH1706" s="1"/>
      <c r="AI1706" s="1"/>
      <c r="AJ1706" s="1"/>
      <c r="AK1706" s="1"/>
      <c r="AL1706" s="1"/>
      <c r="AM1706" s="1"/>
      <c r="AN1706" s="1"/>
      <c r="AO1706" s="1"/>
      <c r="AP1706" s="1"/>
      <c r="AQ1706" s="1"/>
      <c r="AR1706" s="1"/>
      <c r="AS1706" s="1"/>
      <c r="AT1706" s="1"/>
      <c r="AU1706" s="1"/>
      <c r="AV1706" s="1"/>
      <c r="AW1706" s="1"/>
      <c r="AX1706" s="1"/>
      <c r="AY1706" s="1"/>
      <c r="AZ1706" s="1"/>
      <c r="BA1706" s="1"/>
      <c r="BB1706" s="1"/>
      <c r="BC1706" s="1"/>
      <c r="BD1706" s="1"/>
      <c r="BE1706" s="1"/>
      <c r="BF1706" s="1"/>
      <c r="BG1706" s="1"/>
      <c r="BH1706" s="1"/>
    </row>
    <row r="1707" spans="3:60"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F1707" s="1"/>
      <c r="AG1707" s="1"/>
      <c r="AH1707" s="1"/>
      <c r="AI1707" s="1"/>
      <c r="AJ1707" s="1"/>
      <c r="AK1707" s="1"/>
      <c r="AL1707" s="1"/>
      <c r="AM1707" s="1"/>
      <c r="AN1707" s="1"/>
      <c r="AO1707" s="1"/>
      <c r="AP1707" s="1"/>
      <c r="AQ1707" s="1"/>
      <c r="AR1707" s="1"/>
      <c r="AS1707" s="1"/>
      <c r="AT1707" s="1"/>
      <c r="AU1707" s="1"/>
      <c r="AV1707" s="1"/>
      <c r="AW1707" s="1"/>
      <c r="AX1707" s="1"/>
      <c r="AY1707" s="1"/>
      <c r="AZ1707" s="1"/>
      <c r="BA1707" s="1"/>
      <c r="BB1707" s="1"/>
      <c r="BC1707" s="1"/>
      <c r="BD1707" s="1"/>
      <c r="BE1707" s="1"/>
      <c r="BF1707" s="1"/>
      <c r="BG1707" s="1"/>
      <c r="BH1707" s="1"/>
    </row>
    <row r="1708" spans="3:60"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F1708" s="1"/>
      <c r="AG1708" s="1"/>
      <c r="AH1708" s="1"/>
      <c r="AI1708" s="1"/>
      <c r="AJ1708" s="1"/>
      <c r="AK1708" s="1"/>
      <c r="AL1708" s="1"/>
      <c r="AM1708" s="1"/>
      <c r="AN1708" s="1"/>
      <c r="AO1708" s="1"/>
      <c r="AP1708" s="1"/>
      <c r="AQ1708" s="1"/>
      <c r="AR1708" s="1"/>
      <c r="AS1708" s="1"/>
      <c r="AT1708" s="1"/>
      <c r="AU1708" s="1"/>
      <c r="AV1708" s="1"/>
      <c r="AW1708" s="1"/>
      <c r="AX1708" s="1"/>
      <c r="AY1708" s="1"/>
      <c r="AZ1708" s="1"/>
      <c r="BA1708" s="1"/>
      <c r="BB1708" s="1"/>
      <c r="BC1708" s="1"/>
      <c r="BD1708" s="1"/>
      <c r="BE1708" s="1"/>
      <c r="BF1708" s="1"/>
      <c r="BG1708" s="1"/>
      <c r="BH1708" s="1"/>
    </row>
    <row r="1709" spans="3:60"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F1709" s="1"/>
      <c r="AG1709" s="1"/>
      <c r="AH1709" s="1"/>
      <c r="AI1709" s="1"/>
      <c r="AJ1709" s="1"/>
      <c r="AK1709" s="1"/>
      <c r="AL1709" s="1"/>
      <c r="AM1709" s="1"/>
      <c r="AN1709" s="1"/>
      <c r="AO1709" s="1"/>
      <c r="AP1709" s="1"/>
      <c r="AQ1709" s="1"/>
      <c r="AR1709" s="1"/>
      <c r="AS1709" s="1"/>
      <c r="AT1709" s="1"/>
      <c r="AU1709" s="1"/>
      <c r="AV1709" s="1"/>
      <c r="AW1709" s="1"/>
      <c r="AX1709" s="1"/>
      <c r="AY1709" s="1"/>
      <c r="AZ1709" s="1"/>
      <c r="BA1709" s="1"/>
      <c r="BB1709" s="1"/>
      <c r="BC1709" s="1"/>
      <c r="BD1709" s="1"/>
      <c r="BE1709" s="1"/>
      <c r="BF1709" s="1"/>
      <c r="BG1709" s="1"/>
      <c r="BH1709" s="1"/>
    </row>
    <row r="1710" spans="3:60"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F1710" s="1"/>
      <c r="AG1710" s="1"/>
      <c r="AH1710" s="1"/>
      <c r="AI1710" s="1"/>
      <c r="AJ1710" s="1"/>
      <c r="AK1710" s="1"/>
      <c r="AL1710" s="1"/>
      <c r="AM1710" s="1"/>
      <c r="AN1710" s="1"/>
      <c r="AO1710" s="1"/>
      <c r="AP1710" s="1"/>
      <c r="AQ1710" s="1"/>
      <c r="AR1710" s="1"/>
      <c r="AS1710" s="1"/>
      <c r="AT1710" s="1"/>
      <c r="AU1710" s="1"/>
      <c r="AV1710" s="1"/>
      <c r="AW1710" s="1"/>
      <c r="AX1710" s="1"/>
      <c r="AY1710" s="1"/>
      <c r="AZ1710" s="1"/>
      <c r="BA1710" s="1"/>
      <c r="BB1710" s="1"/>
      <c r="BC1710" s="1"/>
      <c r="BD1710" s="1"/>
      <c r="BE1710" s="1"/>
      <c r="BF1710" s="1"/>
      <c r="BG1710" s="1"/>
      <c r="BH1710" s="1"/>
    </row>
    <row r="1711" spans="3:60"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F1711" s="1"/>
      <c r="AG1711" s="1"/>
      <c r="AH1711" s="1"/>
      <c r="AI1711" s="1"/>
      <c r="AJ1711" s="1"/>
      <c r="AK1711" s="1"/>
      <c r="AL1711" s="1"/>
      <c r="AM1711" s="1"/>
      <c r="AN1711" s="1"/>
      <c r="AO1711" s="1"/>
      <c r="AP1711" s="1"/>
      <c r="AQ1711" s="1"/>
      <c r="AR1711" s="1"/>
      <c r="AS1711" s="1"/>
      <c r="AT1711" s="1"/>
      <c r="AU1711" s="1"/>
      <c r="AV1711" s="1"/>
      <c r="AW1711" s="1"/>
      <c r="AX1711" s="1"/>
      <c r="AY1711" s="1"/>
      <c r="AZ1711" s="1"/>
      <c r="BA1711" s="1"/>
      <c r="BB1711" s="1"/>
      <c r="BC1711" s="1"/>
      <c r="BD1711" s="1"/>
      <c r="BE1711" s="1"/>
      <c r="BF1711" s="1"/>
      <c r="BG1711" s="1"/>
      <c r="BH1711" s="1"/>
    </row>
    <row r="1712" spans="3:60"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F1712" s="1"/>
      <c r="AG1712" s="1"/>
      <c r="AH1712" s="1"/>
      <c r="AI1712" s="1"/>
      <c r="AJ1712" s="1"/>
      <c r="AK1712" s="1"/>
      <c r="AL1712" s="1"/>
      <c r="AM1712" s="1"/>
      <c r="AN1712" s="1"/>
      <c r="AO1712" s="1"/>
      <c r="AP1712" s="1"/>
      <c r="AQ1712" s="1"/>
      <c r="AR1712" s="1"/>
      <c r="AS1712" s="1"/>
      <c r="AT1712" s="1"/>
      <c r="AU1712" s="1"/>
      <c r="AV1712" s="1"/>
      <c r="AW1712" s="1"/>
      <c r="AX1712" s="1"/>
      <c r="AY1712" s="1"/>
      <c r="AZ1712" s="1"/>
      <c r="BA1712" s="1"/>
      <c r="BB1712" s="1"/>
      <c r="BC1712" s="1"/>
      <c r="BD1712" s="1"/>
      <c r="BE1712" s="1"/>
      <c r="BF1712" s="1"/>
      <c r="BG1712" s="1"/>
      <c r="BH1712" s="1"/>
    </row>
    <row r="1713" spans="3:60"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F1713" s="1"/>
      <c r="AG1713" s="1"/>
      <c r="AH1713" s="1"/>
      <c r="AI1713" s="1"/>
      <c r="AJ1713" s="1"/>
      <c r="AK1713" s="1"/>
      <c r="AL1713" s="1"/>
      <c r="AM1713" s="1"/>
      <c r="AN1713" s="1"/>
      <c r="AO1713" s="1"/>
      <c r="AP1713" s="1"/>
      <c r="AQ1713" s="1"/>
      <c r="AR1713" s="1"/>
      <c r="AS1713" s="1"/>
      <c r="AT1713" s="1"/>
      <c r="AU1713" s="1"/>
      <c r="AV1713" s="1"/>
      <c r="AW1713" s="1"/>
      <c r="AX1713" s="1"/>
      <c r="AY1713" s="1"/>
      <c r="AZ1713" s="1"/>
      <c r="BA1713" s="1"/>
      <c r="BB1713" s="1"/>
      <c r="BC1713" s="1"/>
      <c r="BD1713" s="1"/>
      <c r="BE1713" s="1"/>
      <c r="BF1713" s="1"/>
      <c r="BG1713" s="1"/>
      <c r="BH1713" s="1"/>
    </row>
    <row r="1714" spans="3:60"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F1714" s="1"/>
      <c r="AG1714" s="1"/>
      <c r="AH1714" s="1"/>
      <c r="AI1714" s="1"/>
      <c r="AJ1714" s="1"/>
      <c r="AK1714" s="1"/>
      <c r="AL1714" s="1"/>
      <c r="AM1714" s="1"/>
      <c r="AN1714" s="1"/>
      <c r="AO1714" s="1"/>
      <c r="AP1714" s="1"/>
      <c r="AQ1714" s="1"/>
      <c r="AR1714" s="1"/>
      <c r="AS1714" s="1"/>
      <c r="AT1714" s="1"/>
      <c r="AU1714" s="1"/>
      <c r="AV1714" s="1"/>
      <c r="AW1714" s="1"/>
      <c r="AX1714" s="1"/>
      <c r="AY1714" s="1"/>
      <c r="AZ1714" s="1"/>
      <c r="BA1714" s="1"/>
      <c r="BB1714" s="1"/>
      <c r="BC1714" s="1"/>
      <c r="BD1714" s="1"/>
      <c r="BE1714" s="1"/>
      <c r="BF1714" s="1"/>
      <c r="BG1714" s="1"/>
      <c r="BH1714" s="1"/>
    </row>
    <row r="1715" spans="3:60"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F1715" s="1"/>
      <c r="AG1715" s="1"/>
      <c r="AH1715" s="1"/>
      <c r="AI1715" s="1"/>
      <c r="AJ1715" s="1"/>
      <c r="AK1715" s="1"/>
      <c r="AL1715" s="1"/>
      <c r="AM1715" s="1"/>
      <c r="AN1715" s="1"/>
      <c r="AO1715" s="1"/>
      <c r="AP1715" s="1"/>
      <c r="AQ1715" s="1"/>
      <c r="AR1715" s="1"/>
      <c r="AS1715" s="1"/>
      <c r="AT1715" s="1"/>
      <c r="AU1715" s="1"/>
      <c r="AV1715" s="1"/>
      <c r="AW1715" s="1"/>
      <c r="AX1715" s="1"/>
      <c r="AY1715" s="1"/>
      <c r="AZ1715" s="1"/>
      <c r="BA1715" s="1"/>
      <c r="BB1715" s="1"/>
      <c r="BC1715" s="1"/>
      <c r="BD1715" s="1"/>
      <c r="BE1715" s="1"/>
      <c r="BF1715" s="1"/>
      <c r="BG1715" s="1"/>
      <c r="BH1715" s="1"/>
    </row>
    <row r="1716" spans="3:60"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F1716" s="1"/>
      <c r="AG1716" s="1"/>
      <c r="AH1716" s="1"/>
      <c r="AI1716" s="1"/>
      <c r="AJ1716" s="1"/>
      <c r="AK1716" s="1"/>
      <c r="AL1716" s="1"/>
      <c r="AM1716" s="1"/>
      <c r="AN1716" s="1"/>
      <c r="AO1716" s="1"/>
      <c r="AP1716" s="1"/>
      <c r="AQ1716" s="1"/>
      <c r="AR1716" s="1"/>
      <c r="AS1716" s="1"/>
      <c r="AT1716" s="1"/>
      <c r="AU1716" s="1"/>
      <c r="AV1716" s="1"/>
      <c r="AW1716" s="1"/>
      <c r="AX1716" s="1"/>
      <c r="AY1716" s="1"/>
      <c r="AZ1716" s="1"/>
      <c r="BA1716" s="1"/>
      <c r="BB1716" s="1"/>
      <c r="BC1716" s="1"/>
      <c r="BD1716" s="1"/>
      <c r="BE1716" s="1"/>
      <c r="BF1716" s="1"/>
      <c r="BG1716" s="1"/>
      <c r="BH1716" s="1"/>
    </row>
    <row r="1717" spans="3:60"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F1717" s="1"/>
      <c r="AG1717" s="1"/>
      <c r="AH1717" s="1"/>
      <c r="AI1717" s="1"/>
      <c r="AJ1717" s="1"/>
      <c r="AK1717" s="1"/>
      <c r="AL1717" s="1"/>
      <c r="AM1717" s="1"/>
      <c r="AN1717" s="1"/>
      <c r="AO1717" s="1"/>
      <c r="AP1717" s="1"/>
      <c r="AQ1717" s="1"/>
      <c r="AR1717" s="1"/>
      <c r="AS1717" s="1"/>
      <c r="AT1717" s="1"/>
      <c r="AU1717" s="1"/>
      <c r="AV1717" s="1"/>
      <c r="AW1717" s="1"/>
      <c r="AX1717" s="1"/>
      <c r="AY1717" s="1"/>
      <c r="AZ1717" s="1"/>
      <c r="BA1717" s="1"/>
      <c r="BB1717" s="1"/>
      <c r="BC1717" s="1"/>
      <c r="BD1717" s="1"/>
      <c r="BE1717" s="1"/>
      <c r="BF1717" s="1"/>
      <c r="BG1717" s="1"/>
      <c r="BH1717" s="1"/>
    </row>
    <row r="1718" spans="3:60"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F1718" s="1"/>
      <c r="AG1718" s="1"/>
      <c r="AH1718" s="1"/>
      <c r="AI1718" s="1"/>
      <c r="AJ1718" s="1"/>
      <c r="AK1718" s="1"/>
      <c r="AL1718" s="1"/>
      <c r="AM1718" s="1"/>
      <c r="AN1718" s="1"/>
      <c r="AO1718" s="1"/>
      <c r="AP1718" s="1"/>
      <c r="AQ1718" s="1"/>
      <c r="AR1718" s="1"/>
      <c r="AS1718" s="1"/>
      <c r="AT1718" s="1"/>
      <c r="AU1718" s="1"/>
      <c r="AV1718" s="1"/>
      <c r="AW1718" s="1"/>
      <c r="AX1718" s="1"/>
      <c r="AY1718" s="1"/>
      <c r="AZ1718" s="1"/>
      <c r="BA1718" s="1"/>
      <c r="BB1718" s="1"/>
      <c r="BC1718" s="1"/>
      <c r="BD1718" s="1"/>
      <c r="BE1718" s="1"/>
      <c r="BF1718" s="1"/>
      <c r="BG1718" s="1"/>
      <c r="BH1718" s="1"/>
    </row>
    <row r="1719" spans="3:60"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F1719" s="1"/>
      <c r="AG1719" s="1"/>
      <c r="AH1719" s="1"/>
      <c r="AI1719" s="1"/>
      <c r="AJ1719" s="1"/>
      <c r="AK1719" s="1"/>
      <c r="AL1719" s="1"/>
      <c r="AM1719" s="1"/>
      <c r="AN1719" s="1"/>
      <c r="AO1719" s="1"/>
      <c r="AP1719" s="1"/>
      <c r="AQ1719" s="1"/>
      <c r="AR1719" s="1"/>
      <c r="AS1719" s="1"/>
      <c r="AT1719" s="1"/>
      <c r="AU1719" s="1"/>
      <c r="AV1719" s="1"/>
      <c r="AW1719" s="1"/>
      <c r="AX1719" s="1"/>
      <c r="AY1719" s="1"/>
      <c r="AZ1719" s="1"/>
      <c r="BA1719" s="1"/>
      <c r="BB1719" s="1"/>
      <c r="BC1719" s="1"/>
      <c r="BD1719" s="1"/>
      <c r="BE1719" s="1"/>
      <c r="BF1719" s="1"/>
      <c r="BG1719" s="1"/>
      <c r="BH1719" s="1"/>
    </row>
    <row r="1720" spans="3:60"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F1720" s="1"/>
      <c r="AG1720" s="1"/>
      <c r="AH1720" s="1"/>
      <c r="AI1720" s="1"/>
      <c r="AJ1720" s="1"/>
      <c r="AK1720" s="1"/>
      <c r="AL1720" s="1"/>
      <c r="AM1720" s="1"/>
      <c r="AN1720" s="1"/>
      <c r="AO1720" s="1"/>
      <c r="AP1720" s="1"/>
      <c r="AQ1720" s="1"/>
      <c r="AR1720" s="1"/>
      <c r="AS1720" s="1"/>
      <c r="AT1720" s="1"/>
      <c r="AU1720" s="1"/>
      <c r="AV1720" s="1"/>
      <c r="AW1720" s="1"/>
      <c r="AX1720" s="1"/>
      <c r="AY1720" s="1"/>
      <c r="AZ1720" s="1"/>
      <c r="BA1720" s="1"/>
      <c r="BB1720" s="1"/>
      <c r="BC1720" s="1"/>
      <c r="BD1720" s="1"/>
      <c r="BE1720" s="1"/>
      <c r="BF1720" s="1"/>
      <c r="BG1720" s="1"/>
      <c r="BH1720" s="1"/>
    </row>
    <row r="1721" spans="3:60"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F1721" s="1"/>
      <c r="AG1721" s="1"/>
      <c r="AH1721" s="1"/>
      <c r="AI1721" s="1"/>
      <c r="AJ1721" s="1"/>
      <c r="AK1721" s="1"/>
      <c r="AL1721" s="1"/>
      <c r="AM1721" s="1"/>
      <c r="AN1721" s="1"/>
      <c r="AO1721" s="1"/>
      <c r="AP1721" s="1"/>
      <c r="AQ1721" s="1"/>
      <c r="AR1721" s="1"/>
      <c r="AS1721" s="1"/>
      <c r="AT1721" s="1"/>
      <c r="AU1721" s="1"/>
      <c r="AV1721" s="1"/>
      <c r="AW1721" s="1"/>
      <c r="AX1721" s="1"/>
      <c r="AY1721" s="1"/>
      <c r="AZ1721" s="1"/>
      <c r="BA1721" s="1"/>
      <c r="BB1721" s="1"/>
      <c r="BC1721" s="1"/>
      <c r="BD1721" s="1"/>
      <c r="BE1721" s="1"/>
      <c r="BF1721" s="1"/>
      <c r="BG1721" s="1"/>
      <c r="BH1721" s="1"/>
    </row>
    <row r="1722" spans="3:60"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F1722" s="1"/>
      <c r="AG1722" s="1"/>
      <c r="AH1722" s="1"/>
      <c r="AI1722" s="1"/>
      <c r="AJ1722" s="1"/>
      <c r="AK1722" s="1"/>
      <c r="AL1722" s="1"/>
      <c r="AM1722" s="1"/>
      <c r="AN1722" s="1"/>
      <c r="AO1722" s="1"/>
      <c r="AP1722" s="1"/>
      <c r="AQ1722" s="1"/>
      <c r="AR1722" s="1"/>
      <c r="AS1722" s="1"/>
      <c r="AT1722" s="1"/>
      <c r="AU1722" s="1"/>
      <c r="AV1722" s="1"/>
      <c r="AW1722" s="1"/>
      <c r="AX1722" s="1"/>
      <c r="AY1722" s="1"/>
      <c r="AZ1722" s="1"/>
      <c r="BA1722" s="1"/>
      <c r="BB1722" s="1"/>
      <c r="BC1722" s="1"/>
      <c r="BD1722" s="1"/>
      <c r="BE1722" s="1"/>
      <c r="BF1722" s="1"/>
      <c r="BG1722" s="1"/>
      <c r="BH1722" s="1"/>
    </row>
    <row r="1723" spans="3:60"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F1723" s="1"/>
      <c r="AG1723" s="1"/>
      <c r="AH1723" s="1"/>
      <c r="AI1723" s="1"/>
      <c r="AJ1723" s="1"/>
      <c r="AK1723" s="1"/>
      <c r="AL1723" s="1"/>
      <c r="AM1723" s="1"/>
      <c r="AN1723" s="1"/>
      <c r="AO1723" s="1"/>
      <c r="AP1723" s="1"/>
      <c r="AQ1723" s="1"/>
      <c r="AR1723" s="1"/>
      <c r="AS1723" s="1"/>
      <c r="AT1723" s="1"/>
      <c r="AU1723" s="1"/>
      <c r="AV1723" s="1"/>
      <c r="AW1723" s="1"/>
      <c r="AX1723" s="1"/>
      <c r="AY1723" s="1"/>
      <c r="AZ1723" s="1"/>
      <c r="BA1723" s="1"/>
      <c r="BB1723" s="1"/>
      <c r="BC1723" s="1"/>
      <c r="BD1723" s="1"/>
      <c r="BE1723" s="1"/>
      <c r="BF1723" s="1"/>
      <c r="BG1723" s="1"/>
      <c r="BH1723" s="1"/>
    </row>
    <row r="1724" spans="3:60"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F1724" s="1"/>
      <c r="AG1724" s="1"/>
      <c r="AH1724" s="1"/>
      <c r="AI1724" s="1"/>
      <c r="AJ1724" s="1"/>
      <c r="AK1724" s="1"/>
      <c r="AL1724" s="1"/>
      <c r="AM1724" s="1"/>
      <c r="AN1724" s="1"/>
      <c r="AO1724" s="1"/>
      <c r="AP1724" s="1"/>
      <c r="AQ1724" s="1"/>
      <c r="AR1724" s="1"/>
      <c r="AS1724" s="1"/>
      <c r="AT1724" s="1"/>
      <c r="AU1724" s="1"/>
      <c r="AV1724" s="1"/>
      <c r="AW1724" s="1"/>
      <c r="AX1724" s="1"/>
      <c r="AY1724" s="1"/>
      <c r="AZ1724" s="1"/>
      <c r="BA1724" s="1"/>
      <c r="BB1724" s="1"/>
      <c r="BC1724" s="1"/>
      <c r="BD1724" s="1"/>
      <c r="BE1724" s="1"/>
      <c r="BF1724" s="1"/>
      <c r="BG1724" s="1"/>
      <c r="BH1724" s="1"/>
    </row>
    <row r="1725" spans="3:60"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F1725" s="1"/>
      <c r="AG1725" s="1"/>
      <c r="AH1725" s="1"/>
      <c r="AI1725" s="1"/>
      <c r="AJ1725" s="1"/>
      <c r="AK1725" s="1"/>
      <c r="AL1725" s="1"/>
      <c r="AM1725" s="1"/>
      <c r="AN1725" s="1"/>
      <c r="AO1725" s="1"/>
      <c r="AP1725" s="1"/>
      <c r="AQ1725" s="1"/>
      <c r="AR1725" s="1"/>
      <c r="AS1725" s="1"/>
      <c r="AT1725" s="1"/>
      <c r="AU1725" s="1"/>
      <c r="AV1725" s="1"/>
      <c r="AW1725" s="1"/>
      <c r="AX1725" s="1"/>
      <c r="AY1725" s="1"/>
      <c r="AZ1725" s="1"/>
      <c r="BA1725" s="1"/>
      <c r="BB1725" s="1"/>
      <c r="BC1725" s="1"/>
      <c r="BD1725" s="1"/>
      <c r="BE1725" s="1"/>
      <c r="BF1725" s="1"/>
      <c r="BG1725" s="1"/>
      <c r="BH1725" s="1"/>
    </row>
    <row r="1726" spans="3:60"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F1726" s="1"/>
      <c r="AG1726" s="1"/>
      <c r="AH1726" s="1"/>
      <c r="AI1726" s="1"/>
      <c r="AJ1726" s="1"/>
      <c r="AK1726" s="1"/>
      <c r="AL1726" s="1"/>
      <c r="AM1726" s="1"/>
      <c r="AN1726" s="1"/>
      <c r="AO1726" s="1"/>
      <c r="AP1726" s="1"/>
      <c r="AQ1726" s="1"/>
      <c r="AR1726" s="1"/>
      <c r="AS1726" s="1"/>
      <c r="AT1726" s="1"/>
      <c r="AU1726" s="1"/>
      <c r="AV1726" s="1"/>
      <c r="AW1726" s="1"/>
      <c r="AX1726" s="1"/>
      <c r="AY1726" s="1"/>
      <c r="AZ1726" s="1"/>
      <c r="BA1726" s="1"/>
      <c r="BB1726" s="1"/>
      <c r="BC1726" s="1"/>
      <c r="BD1726" s="1"/>
      <c r="BE1726" s="1"/>
      <c r="BF1726" s="1"/>
      <c r="BG1726" s="1"/>
      <c r="BH1726" s="1"/>
    </row>
    <row r="1727" spans="3:60"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F1727" s="1"/>
      <c r="AG1727" s="1"/>
      <c r="AH1727" s="1"/>
      <c r="AI1727" s="1"/>
      <c r="AJ1727" s="1"/>
      <c r="AK1727" s="1"/>
      <c r="AL1727" s="1"/>
      <c r="AM1727" s="1"/>
      <c r="AN1727" s="1"/>
      <c r="AO1727" s="1"/>
      <c r="AP1727" s="1"/>
      <c r="AQ1727" s="1"/>
      <c r="AR1727" s="1"/>
      <c r="AS1727" s="1"/>
      <c r="AT1727" s="1"/>
      <c r="AU1727" s="1"/>
      <c r="AV1727" s="1"/>
      <c r="AW1727" s="1"/>
      <c r="AX1727" s="1"/>
      <c r="AY1727" s="1"/>
      <c r="AZ1727" s="1"/>
      <c r="BA1727" s="1"/>
      <c r="BB1727" s="1"/>
      <c r="BC1727" s="1"/>
      <c r="BD1727" s="1"/>
      <c r="BE1727" s="1"/>
      <c r="BF1727" s="1"/>
      <c r="BG1727" s="1"/>
      <c r="BH1727" s="1"/>
    </row>
    <row r="1728" spans="3:60"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F1728" s="1"/>
      <c r="AG1728" s="1"/>
      <c r="AH1728" s="1"/>
      <c r="AI1728" s="1"/>
      <c r="AJ1728" s="1"/>
      <c r="AK1728" s="1"/>
      <c r="AL1728" s="1"/>
      <c r="AM1728" s="1"/>
      <c r="AN1728" s="1"/>
      <c r="AO1728" s="1"/>
      <c r="AP1728" s="1"/>
      <c r="AQ1728" s="1"/>
      <c r="AR1728" s="1"/>
      <c r="AS1728" s="1"/>
      <c r="AT1728" s="1"/>
      <c r="AU1728" s="1"/>
      <c r="AV1728" s="1"/>
      <c r="AW1728" s="1"/>
      <c r="AX1728" s="1"/>
      <c r="AY1728" s="1"/>
      <c r="AZ1728" s="1"/>
      <c r="BA1728" s="1"/>
      <c r="BB1728" s="1"/>
      <c r="BC1728" s="1"/>
      <c r="BD1728" s="1"/>
      <c r="BE1728" s="1"/>
      <c r="BF1728" s="1"/>
      <c r="BG1728" s="1"/>
      <c r="BH1728" s="1"/>
    </row>
    <row r="1729" spans="3:60"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F1729" s="1"/>
      <c r="AG1729" s="1"/>
      <c r="AH1729" s="1"/>
      <c r="AI1729" s="1"/>
      <c r="AJ1729" s="1"/>
      <c r="AK1729" s="1"/>
      <c r="AL1729" s="1"/>
      <c r="AM1729" s="1"/>
      <c r="AN1729" s="1"/>
      <c r="AO1729" s="1"/>
      <c r="AP1729" s="1"/>
      <c r="AQ1729" s="1"/>
      <c r="AR1729" s="1"/>
      <c r="AS1729" s="1"/>
      <c r="AT1729" s="1"/>
      <c r="AU1729" s="1"/>
      <c r="AV1729" s="1"/>
      <c r="AW1729" s="1"/>
      <c r="AX1729" s="1"/>
      <c r="AY1729" s="1"/>
      <c r="AZ1729" s="1"/>
      <c r="BA1729" s="1"/>
      <c r="BB1729" s="1"/>
      <c r="BC1729" s="1"/>
      <c r="BD1729" s="1"/>
      <c r="BE1729" s="1"/>
      <c r="BF1729" s="1"/>
      <c r="BG1729" s="1"/>
      <c r="BH1729" s="1"/>
    </row>
    <row r="1730" spans="3:60"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F1730" s="1"/>
      <c r="AG1730" s="1"/>
      <c r="AH1730" s="1"/>
      <c r="AI1730" s="1"/>
      <c r="AJ1730" s="1"/>
      <c r="AK1730" s="1"/>
      <c r="AL1730" s="1"/>
      <c r="AM1730" s="1"/>
      <c r="AN1730" s="1"/>
      <c r="AO1730" s="1"/>
      <c r="AP1730" s="1"/>
      <c r="AQ1730" s="1"/>
      <c r="AR1730" s="1"/>
      <c r="AS1730" s="1"/>
      <c r="AT1730" s="1"/>
      <c r="AU1730" s="1"/>
      <c r="AV1730" s="1"/>
      <c r="AW1730" s="1"/>
      <c r="AX1730" s="1"/>
      <c r="AY1730" s="1"/>
      <c r="AZ1730" s="1"/>
      <c r="BA1730" s="1"/>
      <c r="BB1730" s="1"/>
      <c r="BC1730" s="1"/>
      <c r="BD1730" s="1"/>
      <c r="BE1730" s="1"/>
      <c r="BF1730" s="1"/>
      <c r="BG1730" s="1"/>
      <c r="BH1730" s="1"/>
    </row>
    <row r="1731" spans="3:60"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F1731" s="1"/>
      <c r="AG1731" s="1"/>
      <c r="AH1731" s="1"/>
      <c r="AI1731" s="1"/>
      <c r="AJ1731" s="1"/>
      <c r="AK1731" s="1"/>
      <c r="AL1731" s="1"/>
      <c r="AM1731" s="1"/>
      <c r="AN1731" s="1"/>
      <c r="AO1731" s="1"/>
      <c r="AP1731" s="1"/>
      <c r="AQ1731" s="1"/>
      <c r="AR1731" s="1"/>
      <c r="AS1731" s="1"/>
      <c r="AT1731" s="1"/>
      <c r="AU1731" s="1"/>
      <c r="AV1731" s="1"/>
      <c r="AW1731" s="1"/>
      <c r="AX1731" s="1"/>
      <c r="AY1731" s="1"/>
      <c r="AZ1731" s="1"/>
      <c r="BA1731" s="1"/>
      <c r="BB1731" s="1"/>
      <c r="BC1731" s="1"/>
      <c r="BD1731" s="1"/>
      <c r="BE1731" s="1"/>
      <c r="BF1731" s="1"/>
      <c r="BG1731" s="1"/>
      <c r="BH1731" s="1"/>
    </row>
    <row r="1732" spans="3:60"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F1732" s="1"/>
      <c r="AG1732" s="1"/>
      <c r="AH1732" s="1"/>
      <c r="AI1732" s="1"/>
      <c r="AJ1732" s="1"/>
      <c r="AK1732" s="1"/>
      <c r="AL1732" s="1"/>
      <c r="AM1732" s="1"/>
      <c r="AN1732" s="1"/>
      <c r="AO1732" s="1"/>
      <c r="AP1732" s="1"/>
      <c r="AQ1732" s="1"/>
      <c r="AR1732" s="1"/>
      <c r="AS1732" s="1"/>
      <c r="AT1732" s="1"/>
      <c r="AU1732" s="1"/>
      <c r="AV1732" s="1"/>
      <c r="AW1732" s="1"/>
      <c r="AX1732" s="1"/>
      <c r="AY1732" s="1"/>
      <c r="AZ1732" s="1"/>
      <c r="BA1732" s="1"/>
      <c r="BB1732" s="1"/>
      <c r="BC1732" s="1"/>
      <c r="BD1732" s="1"/>
      <c r="BE1732" s="1"/>
      <c r="BF1732" s="1"/>
      <c r="BG1732" s="1"/>
      <c r="BH1732" s="1"/>
    </row>
    <row r="1733" spans="3:60"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F1733" s="1"/>
      <c r="AG1733" s="1"/>
      <c r="AH1733" s="1"/>
      <c r="AI1733" s="1"/>
      <c r="AJ1733" s="1"/>
      <c r="AK1733" s="1"/>
      <c r="AL1733" s="1"/>
      <c r="AM1733" s="1"/>
      <c r="AN1733" s="1"/>
      <c r="AO1733" s="1"/>
      <c r="AP1733" s="1"/>
      <c r="AQ1733" s="1"/>
      <c r="AR1733" s="1"/>
      <c r="AS1733" s="1"/>
      <c r="AT1733" s="1"/>
      <c r="AU1733" s="1"/>
      <c r="AV1733" s="1"/>
      <c r="AW1733" s="1"/>
      <c r="AX1733" s="1"/>
      <c r="AY1733" s="1"/>
      <c r="AZ1733" s="1"/>
      <c r="BA1733" s="1"/>
      <c r="BB1733" s="1"/>
      <c r="BC1733" s="1"/>
      <c r="BD1733" s="1"/>
      <c r="BE1733" s="1"/>
      <c r="BF1733" s="1"/>
      <c r="BG1733" s="1"/>
      <c r="BH1733" s="1"/>
    </row>
    <row r="1734" spans="3:60"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F1734" s="1"/>
      <c r="AG1734" s="1"/>
      <c r="AH1734" s="1"/>
      <c r="AI1734" s="1"/>
      <c r="AJ1734" s="1"/>
      <c r="AK1734" s="1"/>
      <c r="AL1734" s="1"/>
      <c r="AM1734" s="1"/>
      <c r="AN1734" s="1"/>
      <c r="AO1734" s="1"/>
      <c r="AP1734" s="1"/>
      <c r="AQ1734" s="1"/>
      <c r="AR1734" s="1"/>
      <c r="AS1734" s="1"/>
      <c r="AT1734" s="1"/>
      <c r="AU1734" s="1"/>
      <c r="AV1734" s="1"/>
      <c r="AW1734" s="1"/>
      <c r="AX1734" s="1"/>
      <c r="AY1734" s="1"/>
      <c r="AZ1734" s="1"/>
      <c r="BA1734" s="1"/>
      <c r="BB1734" s="1"/>
      <c r="BC1734" s="1"/>
      <c r="BD1734" s="1"/>
      <c r="BE1734" s="1"/>
      <c r="BF1734" s="1"/>
      <c r="BG1734" s="1"/>
      <c r="BH1734" s="1"/>
    </row>
    <row r="1735" spans="3:60"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F1735" s="1"/>
      <c r="AG1735" s="1"/>
      <c r="AH1735" s="1"/>
      <c r="AI1735" s="1"/>
      <c r="AJ1735" s="1"/>
      <c r="AK1735" s="1"/>
      <c r="AL1735" s="1"/>
      <c r="AM1735" s="1"/>
      <c r="AN1735" s="1"/>
      <c r="AO1735" s="1"/>
      <c r="AP1735" s="1"/>
      <c r="AQ1735" s="1"/>
      <c r="AR1735" s="1"/>
      <c r="AS1735" s="1"/>
      <c r="AT1735" s="1"/>
      <c r="AU1735" s="1"/>
      <c r="AV1735" s="1"/>
      <c r="AW1735" s="1"/>
      <c r="AX1735" s="1"/>
      <c r="AY1735" s="1"/>
      <c r="AZ1735" s="1"/>
      <c r="BA1735" s="1"/>
      <c r="BB1735" s="1"/>
      <c r="BC1735" s="1"/>
      <c r="BD1735" s="1"/>
      <c r="BE1735" s="1"/>
      <c r="BF1735" s="1"/>
      <c r="BG1735" s="1"/>
      <c r="BH1735" s="1"/>
    </row>
    <row r="1736" spans="3:60"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F1736" s="1"/>
      <c r="AG1736" s="1"/>
      <c r="AH1736" s="1"/>
      <c r="AI1736" s="1"/>
      <c r="AJ1736" s="1"/>
      <c r="AK1736" s="1"/>
      <c r="AL1736" s="1"/>
      <c r="AM1736" s="1"/>
      <c r="AN1736" s="1"/>
      <c r="AO1736" s="1"/>
      <c r="AP1736" s="1"/>
      <c r="AQ1736" s="1"/>
      <c r="AR1736" s="1"/>
      <c r="AS1736" s="1"/>
      <c r="AT1736" s="1"/>
      <c r="AU1736" s="1"/>
      <c r="AV1736" s="1"/>
      <c r="AW1736" s="1"/>
      <c r="AX1736" s="1"/>
      <c r="AY1736" s="1"/>
      <c r="AZ1736" s="1"/>
      <c r="BA1736" s="1"/>
      <c r="BB1736" s="1"/>
      <c r="BC1736" s="1"/>
      <c r="BD1736" s="1"/>
      <c r="BE1736" s="1"/>
      <c r="BF1736" s="1"/>
      <c r="BG1736" s="1"/>
      <c r="BH1736" s="1"/>
    </row>
    <row r="1737" spans="3:60"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F1737" s="1"/>
      <c r="AG1737" s="1"/>
      <c r="AH1737" s="1"/>
      <c r="AI1737" s="1"/>
      <c r="AJ1737" s="1"/>
      <c r="AK1737" s="1"/>
      <c r="AL1737" s="1"/>
      <c r="AM1737" s="1"/>
      <c r="AN1737" s="1"/>
      <c r="AO1737" s="1"/>
      <c r="AP1737" s="1"/>
      <c r="AQ1737" s="1"/>
      <c r="AR1737" s="1"/>
      <c r="AS1737" s="1"/>
      <c r="AT1737" s="1"/>
      <c r="AU1737" s="1"/>
      <c r="AV1737" s="1"/>
      <c r="AW1737" s="1"/>
      <c r="AX1737" s="1"/>
      <c r="AY1737" s="1"/>
      <c r="AZ1737" s="1"/>
      <c r="BA1737" s="1"/>
      <c r="BB1737" s="1"/>
      <c r="BC1737" s="1"/>
      <c r="BD1737" s="1"/>
      <c r="BE1737" s="1"/>
      <c r="BF1737" s="1"/>
      <c r="BG1737" s="1"/>
      <c r="BH1737" s="1"/>
    </row>
    <row r="1738" spans="3:60"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F1738" s="1"/>
      <c r="AG1738" s="1"/>
      <c r="AH1738" s="1"/>
      <c r="AI1738" s="1"/>
      <c r="AJ1738" s="1"/>
      <c r="AK1738" s="1"/>
      <c r="AL1738" s="1"/>
      <c r="AM1738" s="1"/>
      <c r="AN1738" s="1"/>
      <c r="AO1738" s="1"/>
      <c r="AP1738" s="1"/>
      <c r="AQ1738" s="1"/>
      <c r="AR1738" s="1"/>
      <c r="AS1738" s="1"/>
      <c r="AT1738" s="1"/>
      <c r="AU1738" s="1"/>
      <c r="AV1738" s="1"/>
      <c r="AW1738" s="1"/>
      <c r="AX1738" s="1"/>
      <c r="AY1738" s="1"/>
      <c r="AZ1738" s="1"/>
      <c r="BA1738" s="1"/>
      <c r="BB1738" s="1"/>
      <c r="BC1738" s="1"/>
      <c r="BD1738" s="1"/>
      <c r="BE1738" s="1"/>
      <c r="BF1738" s="1"/>
      <c r="BG1738" s="1"/>
      <c r="BH1738" s="1"/>
    </row>
    <row r="1739" spans="3:60"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F1739" s="1"/>
      <c r="AG1739" s="1"/>
      <c r="AH1739" s="1"/>
      <c r="AI1739" s="1"/>
      <c r="AJ1739" s="1"/>
      <c r="AK1739" s="1"/>
      <c r="AL1739" s="1"/>
      <c r="AM1739" s="1"/>
      <c r="AN1739" s="1"/>
      <c r="AO1739" s="1"/>
      <c r="AP1739" s="1"/>
      <c r="AQ1739" s="1"/>
      <c r="AR1739" s="1"/>
      <c r="AS1739" s="1"/>
      <c r="AT1739" s="1"/>
      <c r="AU1739" s="1"/>
      <c r="AV1739" s="1"/>
      <c r="AW1739" s="1"/>
      <c r="AX1739" s="1"/>
      <c r="AY1739" s="1"/>
      <c r="AZ1739" s="1"/>
      <c r="BA1739" s="1"/>
      <c r="BB1739" s="1"/>
      <c r="BC1739" s="1"/>
      <c r="BD1739" s="1"/>
      <c r="BE1739" s="1"/>
      <c r="BF1739" s="1"/>
      <c r="BG1739" s="1"/>
      <c r="BH1739" s="1"/>
    </row>
    <row r="1740" spans="3:60"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F1740" s="1"/>
      <c r="AG1740" s="1"/>
      <c r="AH1740" s="1"/>
      <c r="AI1740" s="1"/>
      <c r="AJ1740" s="1"/>
      <c r="AK1740" s="1"/>
      <c r="AL1740" s="1"/>
      <c r="AM1740" s="1"/>
      <c r="AN1740" s="1"/>
      <c r="AO1740" s="1"/>
      <c r="AP1740" s="1"/>
      <c r="AQ1740" s="1"/>
      <c r="AR1740" s="1"/>
      <c r="AS1740" s="1"/>
      <c r="AT1740" s="1"/>
      <c r="AU1740" s="1"/>
      <c r="AV1740" s="1"/>
      <c r="AW1740" s="1"/>
      <c r="AX1740" s="1"/>
      <c r="AY1740" s="1"/>
      <c r="AZ1740" s="1"/>
      <c r="BA1740" s="1"/>
      <c r="BB1740" s="1"/>
      <c r="BC1740" s="1"/>
      <c r="BD1740" s="1"/>
      <c r="BE1740" s="1"/>
      <c r="BF1740" s="1"/>
      <c r="BG1740" s="1"/>
      <c r="BH1740" s="1"/>
    </row>
    <row r="1741" spans="3:60"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F1741" s="1"/>
      <c r="AG1741" s="1"/>
      <c r="AH1741" s="1"/>
      <c r="AI1741" s="1"/>
      <c r="AJ1741" s="1"/>
      <c r="AK1741" s="1"/>
      <c r="AL1741" s="1"/>
      <c r="AM1741" s="1"/>
      <c r="AN1741" s="1"/>
      <c r="AO1741" s="1"/>
      <c r="AP1741" s="1"/>
      <c r="AQ1741" s="1"/>
      <c r="AR1741" s="1"/>
      <c r="AS1741" s="1"/>
      <c r="AT1741" s="1"/>
      <c r="AU1741" s="1"/>
      <c r="AV1741" s="1"/>
      <c r="AW1741" s="1"/>
      <c r="AX1741" s="1"/>
      <c r="AY1741" s="1"/>
      <c r="AZ1741" s="1"/>
      <c r="BA1741" s="1"/>
      <c r="BB1741" s="1"/>
      <c r="BC1741" s="1"/>
      <c r="BD1741" s="1"/>
      <c r="BE1741" s="1"/>
      <c r="BF1741" s="1"/>
      <c r="BG1741" s="1"/>
      <c r="BH1741" s="1"/>
    </row>
    <row r="1742" spans="3:60"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F1742" s="1"/>
      <c r="AG1742" s="1"/>
      <c r="AH1742" s="1"/>
      <c r="AI1742" s="1"/>
      <c r="AJ1742" s="1"/>
      <c r="AK1742" s="1"/>
      <c r="AL1742" s="1"/>
      <c r="AM1742" s="1"/>
      <c r="AN1742" s="1"/>
      <c r="AO1742" s="1"/>
      <c r="AP1742" s="1"/>
      <c r="AQ1742" s="1"/>
      <c r="AR1742" s="1"/>
      <c r="AS1742" s="1"/>
      <c r="AT1742" s="1"/>
      <c r="AU1742" s="1"/>
      <c r="AV1742" s="1"/>
      <c r="AW1742" s="1"/>
      <c r="AX1742" s="1"/>
      <c r="AY1742" s="1"/>
      <c r="AZ1742" s="1"/>
      <c r="BA1742" s="1"/>
      <c r="BB1742" s="1"/>
      <c r="BC1742" s="1"/>
      <c r="BD1742" s="1"/>
      <c r="BE1742" s="1"/>
      <c r="BF1742" s="1"/>
      <c r="BG1742" s="1"/>
      <c r="BH1742" s="1"/>
    </row>
    <row r="1743" spans="3:60"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F1743" s="1"/>
      <c r="AG1743" s="1"/>
      <c r="AH1743" s="1"/>
      <c r="AI1743" s="1"/>
      <c r="AJ1743" s="1"/>
      <c r="AK1743" s="1"/>
      <c r="AL1743" s="1"/>
      <c r="AM1743" s="1"/>
      <c r="AN1743" s="1"/>
      <c r="AO1743" s="1"/>
      <c r="AP1743" s="1"/>
      <c r="AQ1743" s="1"/>
      <c r="AR1743" s="1"/>
      <c r="AS1743" s="1"/>
      <c r="AT1743" s="1"/>
      <c r="AU1743" s="1"/>
      <c r="AV1743" s="1"/>
      <c r="AW1743" s="1"/>
      <c r="AX1743" s="1"/>
      <c r="AY1743" s="1"/>
      <c r="AZ1743" s="1"/>
      <c r="BA1743" s="1"/>
      <c r="BB1743" s="1"/>
      <c r="BC1743" s="1"/>
      <c r="BD1743" s="1"/>
      <c r="BE1743" s="1"/>
      <c r="BF1743" s="1"/>
      <c r="BG1743" s="1"/>
      <c r="BH1743" s="1"/>
    </row>
    <row r="1744" spans="3:60"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F1744" s="1"/>
      <c r="AG1744" s="1"/>
      <c r="AH1744" s="1"/>
      <c r="AI1744" s="1"/>
      <c r="AJ1744" s="1"/>
      <c r="AK1744" s="1"/>
      <c r="AL1744" s="1"/>
      <c r="AM1744" s="1"/>
      <c r="AN1744" s="1"/>
      <c r="AO1744" s="1"/>
      <c r="AP1744" s="1"/>
      <c r="AQ1744" s="1"/>
      <c r="AR1744" s="1"/>
      <c r="AS1744" s="1"/>
      <c r="AT1744" s="1"/>
      <c r="AU1744" s="1"/>
      <c r="AV1744" s="1"/>
      <c r="AW1744" s="1"/>
      <c r="AX1744" s="1"/>
      <c r="AY1744" s="1"/>
      <c r="AZ1744" s="1"/>
      <c r="BA1744" s="1"/>
      <c r="BB1744" s="1"/>
      <c r="BC1744" s="1"/>
      <c r="BD1744" s="1"/>
      <c r="BE1744" s="1"/>
      <c r="BF1744" s="1"/>
      <c r="BG1744" s="1"/>
      <c r="BH1744" s="1"/>
    </row>
    <row r="1745" spans="3:60"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F1745" s="1"/>
      <c r="AG1745" s="1"/>
      <c r="AH1745" s="1"/>
      <c r="AI1745" s="1"/>
      <c r="AJ1745" s="1"/>
      <c r="AK1745" s="1"/>
      <c r="AL1745" s="1"/>
      <c r="AM1745" s="1"/>
      <c r="AN1745" s="1"/>
      <c r="AO1745" s="1"/>
      <c r="AP1745" s="1"/>
      <c r="AQ1745" s="1"/>
      <c r="AR1745" s="1"/>
      <c r="AS1745" s="1"/>
      <c r="AT1745" s="1"/>
      <c r="AU1745" s="1"/>
      <c r="AV1745" s="1"/>
      <c r="AW1745" s="1"/>
      <c r="AX1745" s="1"/>
      <c r="AY1745" s="1"/>
      <c r="AZ1745" s="1"/>
      <c r="BA1745" s="1"/>
      <c r="BB1745" s="1"/>
      <c r="BC1745" s="1"/>
      <c r="BD1745" s="1"/>
      <c r="BE1745" s="1"/>
      <c r="BF1745" s="1"/>
      <c r="BG1745" s="1"/>
      <c r="BH1745" s="1"/>
    </row>
    <row r="1746" spans="3:60"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F1746" s="1"/>
      <c r="AG1746" s="1"/>
      <c r="AH1746" s="1"/>
      <c r="AI1746" s="1"/>
      <c r="AJ1746" s="1"/>
      <c r="AK1746" s="1"/>
      <c r="AL1746" s="1"/>
      <c r="AM1746" s="1"/>
      <c r="AN1746" s="1"/>
      <c r="AO1746" s="1"/>
      <c r="AP1746" s="1"/>
      <c r="AQ1746" s="1"/>
      <c r="AR1746" s="1"/>
      <c r="AS1746" s="1"/>
      <c r="AT1746" s="1"/>
      <c r="AU1746" s="1"/>
      <c r="AV1746" s="1"/>
      <c r="AW1746" s="1"/>
      <c r="AX1746" s="1"/>
      <c r="AY1746" s="1"/>
      <c r="AZ1746" s="1"/>
      <c r="BA1746" s="1"/>
      <c r="BB1746" s="1"/>
      <c r="BC1746" s="1"/>
      <c r="BD1746" s="1"/>
      <c r="BE1746" s="1"/>
      <c r="BF1746" s="1"/>
      <c r="BG1746" s="1"/>
      <c r="BH1746" s="1"/>
    </row>
    <row r="1747" spans="3:60"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F1747" s="1"/>
      <c r="AG1747" s="1"/>
      <c r="AH1747" s="1"/>
      <c r="AI1747" s="1"/>
      <c r="AJ1747" s="1"/>
      <c r="AK1747" s="1"/>
      <c r="AL1747" s="1"/>
      <c r="AM1747" s="1"/>
      <c r="AN1747" s="1"/>
      <c r="AO1747" s="1"/>
      <c r="AP1747" s="1"/>
      <c r="AQ1747" s="1"/>
      <c r="AR1747" s="1"/>
      <c r="AS1747" s="1"/>
      <c r="AT1747" s="1"/>
      <c r="AU1747" s="1"/>
      <c r="AV1747" s="1"/>
      <c r="AW1747" s="1"/>
      <c r="AX1747" s="1"/>
      <c r="AY1747" s="1"/>
      <c r="AZ1747" s="1"/>
      <c r="BA1747" s="1"/>
      <c r="BB1747" s="1"/>
      <c r="BC1747" s="1"/>
      <c r="BD1747" s="1"/>
      <c r="BE1747" s="1"/>
      <c r="BF1747" s="1"/>
      <c r="BG1747" s="1"/>
      <c r="BH1747" s="1"/>
    </row>
    <row r="1748" spans="3:60"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F1748" s="1"/>
      <c r="AG1748" s="1"/>
      <c r="AH1748" s="1"/>
      <c r="AI1748" s="1"/>
      <c r="AJ1748" s="1"/>
      <c r="AK1748" s="1"/>
      <c r="AL1748" s="1"/>
      <c r="AM1748" s="1"/>
      <c r="AN1748" s="1"/>
      <c r="AO1748" s="1"/>
      <c r="AP1748" s="1"/>
      <c r="AQ1748" s="1"/>
      <c r="AR1748" s="1"/>
      <c r="AS1748" s="1"/>
      <c r="AT1748" s="1"/>
      <c r="AU1748" s="1"/>
      <c r="AV1748" s="1"/>
      <c r="AW1748" s="1"/>
      <c r="AX1748" s="1"/>
      <c r="AY1748" s="1"/>
      <c r="AZ1748" s="1"/>
      <c r="BA1748" s="1"/>
      <c r="BB1748" s="1"/>
      <c r="BC1748" s="1"/>
      <c r="BD1748" s="1"/>
      <c r="BE1748" s="1"/>
      <c r="BF1748" s="1"/>
      <c r="BG1748" s="1"/>
      <c r="BH1748" s="1"/>
    </row>
    <row r="1749" spans="3:60"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F1749" s="1"/>
      <c r="AG1749" s="1"/>
      <c r="AH1749" s="1"/>
      <c r="AI1749" s="1"/>
      <c r="AJ1749" s="1"/>
      <c r="AK1749" s="1"/>
      <c r="AL1749" s="1"/>
      <c r="AM1749" s="1"/>
      <c r="AN1749" s="1"/>
      <c r="AO1749" s="1"/>
      <c r="AP1749" s="1"/>
      <c r="AQ1749" s="1"/>
      <c r="AR1749" s="1"/>
      <c r="AS1749" s="1"/>
      <c r="AT1749" s="1"/>
      <c r="AU1749" s="1"/>
      <c r="AV1749" s="1"/>
      <c r="AW1749" s="1"/>
      <c r="AX1749" s="1"/>
      <c r="AY1749" s="1"/>
      <c r="AZ1749" s="1"/>
      <c r="BA1749" s="1"/>
      <c r="BB1749" s="1"/>
      <c r="BC1749" s="1"/>
      <c r="BD1749" s="1"/>
      <c r="BE1749" s="1"/>
      <c r="BF1749" s="1"/>
      <c r="BG1749" s="1"/>
      <c r="BH1749" s="1"/>
    </row>
    <row r="1750" spans="3:60"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F1750" s="1"/>
      <c r="AG1750" s="1"/>
      <c r="AH1750" s="1"/>
      <c r="AI1750" s="1"/>
      <c r="AJ1750" s="1"/>
      <c r="AK1750" s="1"/>
      <c r="AL1750" s="1"/>
      <c r="AM1750" s="1"/>
      <c r="AN1750" s="1"/>
      <c r="AO1750" s="1"/>
      <c r="AP1750" s="1"/>
      <c r="AQ1750" s="1"/>
      <c r="AR1750" s="1"/>
      <c r="AS1750" s="1"/>
      <c r="AT1750" s="1"/>
      <c r="AU1750" s="1"/>
      <c r="AV1750" s="1"/>
      <c r="AW1750" s="1"/>
      <c r="AX1750" s="1"/>
      <c r="AY1750" s="1"/>
      <c r="AZ1750" s="1"/>
      <c r="BA1750" s="1"/>
      <c r="BB1750" s="1"/>
      <c r="BC1750" s="1"/>
      <c r="BD1750" s="1"/>
      <c r="BE1750" s="1"/>
      <c r="BF1750" s="1"/>
      <c r="BG1750" s="1"/>
      <c r="BH1750" s="1"/>
    </row>
    <row r="1751" spans="3:60"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F1751" s="1"/>
      <c r="AG1751" s="1"/>
      <c r="AH1751" s="1"/>
      <c r="AI1751" s="1"/>
      <c r="AJ1751" s="1"/>
      <c r="AK1751" s="1"/>
      <c r="AL1751" s="1"/>
      <c r="AM1751" s="1"/>
      <c r="AN1751" s="1"/>
      <c r="AO1751" s="1"/>
      <c r="AP1751" s="1"/>
      <c r="AQ1751" s="1"/>
      <c r="AR1751" s="1"/>
      <c r="AS1751" s="1"/>
      <c r="AT1751" s="1"/>
      <c r="AU1751" s="1"/>
      <c r="AV1751" s="1"/>
      <c r="AW1751" s="1"/>
      <c r="AX1751" s="1"/>
      <c r="AY1751" s="1"/>
      <c r="AZ1751" s="1"/>
      <c r="BA1751" s="1"/>
      <c r="BB1751" s="1"/>
      <c r="BC1751" s="1"/>
      <c r="BD1751" s="1"/>
      <c r="BE1751" s="1"/>
      <c r="BF1751" s="1"/>
      <c r="BG1751" s="1"/>
      <c r="BH1751" s="1"/>
    </row>
    <row r="1752" spans="3:60"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F1752" s="1"/>
      <c r="AG1752" s="1"/>
      <c r="AH1752" s="1"/>
      <c r="AI1752" s="1"/>
      <c r="AJ1752" s="1"/>
      <c r="AK1752" s="1"/>
      <c r="AL1752" s="1"/>
      <c r="AM1752" s="1"/>
      <c r="AN1752" s="1"/>
      <c r="AO1752" s="1"/>
      <c r="AP1752" s="1"/>
      <c r="AQ1752" s="1"/>
      <c r="AR1752" s="1"/>
      <c r="AS1752" s="1"/>
      <c r="AT1752" s="1"/>
      <c r="AU1752" s="1"/>
      <c r="AV1752" s="1"/>
      <c r="AW1752" s="1"/>
      <c r="AX1752" s="1"/>
      <c r="AY1752" s="1"/>
      <c r="AZ1752" s="1"/>
      <c r="BA1752" s="1"/>
      <c r="BB1752" s="1"/>
      <c r="BC1752" s="1"/>
      <c r="BD1752" s="1"/>
      <c r="BE1752" s="1"/>
      <c r="BF1752" s="1"/>
      <c r="BG1752" s="1"/>
      <c r="BH1752" s="1"/>
    </row>
    <row r="1753" spans="3:60"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F1753" s="1"/>
      <c r="AG1753" s="1"/>
      <c r="AH1753" s="1"/>
      <c r="AI1753" s="1"/>
      <c r="AJ1753" s="1"/>
      <c r="AK1753" s="1"/>
      <c r="AL1753" s="1"/>
      <c r="AM1753" s="1"/>
      <c r="AN1753" s="1"/>
      <c r="AO1753" s="1"/>
      <c r="AP1753" s="1"/>
      <c r="AQ1753" s="1"/>
      <c r="AR1753" s="1"/>
      <c r="AS1753" s="1"/>
      <c r="AT1753" s="1"/>
      <c r="AU1753" s="1"/>
      <c r="AV1753" s="1"/>
      <c r="AW1753" s="1"/>
      <c r="AX1753" s="1"/>
      <c r="AY1753" s="1"/>
      <c r="AZ1753" s="1"/>
      <c r="BA1753" s="1"/>
      <c r="BB1753" s="1"/>
      <c r="BC1753" s="1"/>
      <c r="BD1753" s="1"/>
      <c r="BE1753" s="1"/>
      <c r="BF1753" s="1"/>
      <c r="BG1753" s="1"/>
      <c r="BH1753" s="1"/>
    </row>
    <row r="1754" spans="3:60"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F1754" s="1"/>
      <c r="AG1754" s="1"/>
      <c r="AH1754" s="1"/>
      <c r="AI1754" s="1"/>
      <c r="AJ1754" s="1"/>
      <c r="AK1754" s="1"/>
      <c r="AL1754" s="1"/>
      <c r="AM1754" s="1"/>
      <c r="AN1754" s="1"/>
      <c r="AO1754" s="1"/>
      <c r="AP1754" s="1"/>
      <c r="AQ1754" s="1"/>
      <c r="AR1754" s="1"/>
      <c r="AS1754" s="1"/>
      <c r="AT1754" s="1"/>
      <c r="AU1754" s="1"/>
      <c r="AV1754" s="1"/>
      <c r="AW1754" s="1"/>
      <c r="AX1754" s="1"/>
      <c r="AY1754" s="1"/>
      <c r="AZ1754" s="1"/>
      <c r="BA1754" s="1"/>
      <c r="BB1754" s="1"/>
      <c r="BC1754" s="1"/>
      <c r="BD1754" s="1"/>
      <c r="BE1754" s="1"/>
      <c r="BF1754" s="1"/>
      <c r="BG1754" s="1"/>
      <c r="BH1754" s="1"/>
    </row>
    <row r="1755" spans="3:60"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F1755" s="1"/>
      <c r="AG1755" s="1"/>
      <c r="AH1755" s="1"/>
      <c r="AI1755" s="1"/>
      <c r="AJ1755" s="1"/>
      <c r="AK1755" s="1"/>
      <c r="AL1755" s="1"/>
      <c r="AM1755" s="1"/>
      <c r="AN1755" s="1"/>
      <c r="AO1755" s="1"/>
      <c r="AP1755" s="1"/>
      <c r="AQ1755" s="1"/>
      <c r="AR1755" s="1"/>
      <c r="AS1755" s="1"/>
      <c r="AT1755" s="1"/>
      <c r="AU1755" s="1"/>
      <c r="AV1755" s="1"/>
      <c r="AW1755" s="1"/>
      <c r="AX1755" s="1"/>
      <c r="AY1755" s="1"/>
      <c r="AZ1755" s="1"/>
      <c r="BA1755" s="1"/>
      <c r="BB1755" s="1"/>
      <c r="BC1755" s="1"/>
      <c r="BD1755" s="1"/>
      <c r="BE1755" s="1"/>
      <c r="BF1755" s="1"/>
      <c r="BG1755" s="1"/>
      <c r="BH1755" s="1"/>
    </row>
    <row r="1756" spans="3:60"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F1756" s="1"/>
      <c r="AG1756" s="1"/>
      <c r="AH1756" s="1"/>
      <c r="AI1756" s="1"/>
      <c r="AJ1756" s="1"/>
      <c r="AK1756" s="1"/>
      <c r="AL1756" s="1"/>
      <c r="AM1756" s="1"/>
      <c r="AN1756" s="1"/>
      <c r="AO1756" s="1"/>
      <c r="AP1756" s="1"/>
      <c r="AQ1756" s="1"/>
      <c r="AR1756" s="1"/>
      <c r="AS1756" s="1"/>
      <c r="AT1756" s="1"/>
      <c r="AU1756" s="1"/>
      <c r="AV1756" s="1"/>
      <c r="AW1756" s="1"/>
      <c r="AX1756" s="1"/>
      <c r="AY1756" s="1"/>
      <c r="AZ1756" s="1"/>
      <c r="BA1756" s="1"/>
      <c r="BB1756" s="1"/>
      <c r="BC1756" s="1"/>
      <c r="BD1756" s="1"/>
      <c r="BE1756" s="1"/>
      <c r="BF1756" s="1"/>
      <c r="BG1756" s="1"/>
      <c r="BH1756" s="1"/>
    </row>
    <row r="1757" spans="3:60"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F1757" s="1"/>
      <c r="AG1757" s="1"/>
      <c r="AH1757" s="1"/>
      <c r="AI1757" s="1"/>
      <c r="AJ1757" s="1"/>
      <c r="AK1757" s="1"/>
      <c r="AL1757" s="1"/>
      <c r="AM1757" s="1"/>
      <c r="AN1757" s="1"/>
      <c r="AO1757" s="1"/>
      <c r="AP1757" s="1"/>
      <c r="AQ1757" s="1"/>
      <c r="AR1757" s="1"/>
      <c r="AS1757" s="1"/>
      <c r="AT1757" s="1"/>
      <c r="AU1757" s="1"/>
      <c r="AV1757" s="1"/>
      <c r="AW1757" s="1"/>
      <c r="AX1757" s="1"/>
      <c r="AY1757" s="1"/>
      <c r="AZ1757" s="1"/>
      <c r="BA1757" s="1"/>
      <c r="BB1757" s="1"/>
      <c r="BC1757" s="1"/>
      <c r="BD1757" s="1"/>
      <c r="BE1757" s="1"/>
      <c r="BF1757" s="1"/>
      <c r="BG1757" s="1"/>
      <c r="BH1757" s="1"/>
    </row>
    <row r="1758" spans="3:60"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F1758" s="1"/>
      <c r="AG1758" s="1"/>
      <c r="AH1758" s="1"/>
      <c r="AI1758" s="1"/>
      <c r="AJ1758" s="1"/>
      <c r="AK1758" s="1"/>
      <c r="AL1758" s="1"/>
      <c r="AM1758" s="1"/>
      <c r="AN1758" s="1"/>
      <c r="AO1758" s="1"/>
      <c r="AP1758" s="1"/>
      <c r="AQ1758" s="1"/>
      <c r="AR1758" s="1"/>
      <c r="AS1758" s="1"/>
      <c r="AT1758" s="1"/>
      <c r="AU1758" s="1"/>
      <c r="AV1758" s="1"/>
      <c r="AW1758" s="1"/>
      <c r="AX1758" s="1"/>
      <c r="AY1758" s="1"/>
      <c r="AZ1758" s="1"/>
      <c r="BA1758" s="1"/>
      <c r="BB1758" s="1"/>
      <c r="BC1758" s="1"/>
      <c r="BD1758" s="1"/>
      <c r="BE1758" s="1"/>
      <c r="BF1758" s="1"/>
      <c r="BG1758" s="1"/>
      <c r="BH1758" s="1"/>
    </row>
    <row r="1759" spans="3:60"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F1759" s="1"/>
      <c r="AG1759" s="1"/>
      <c r="AH1759" s="1"/>
      <c r="AI1759" s="1"/>
      <c r="AJ1759" s="1"/>
      <c r="AK1759" s="1"/>
      <c r="AL1759" s="1"/>
      <c r="AM1759" s="1"/>
      <c r="AN1759" s="1"/>
      <c r="AO1759" s="1"/>
      <c r="AP1759" s="1"/>
      <c r="AQ1759" s="1"/>
      <c r="AR1759" s="1"/>
      <c r="AS1759" s="1"/>
      <c r="AT1759" s="1"/>
      <c r="AU1759" s="1"/>
      <c r="AV1759" s="1"/>
      <c r="AW1759" s="1"/>
      <c r="AX1759" s="1"/>
      <c r="AY1759" s="1"/>
      <c r="AZ1759" s="1"/>
      <c r="BA1759" s="1"/>
      <c r="BB1759" s="1"/>
      <c r="BC1759" s="1"/>
      <c r="BD1759" s="1"/>
      <c r="BE1759" s="1"/>
      <c r="BF1759" s="1"/>
      <c r="BG1759" s="1"/>
      <c r="BH1759" s="1"/>
    </row>
    <row r="1760" spans="3:60"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F1760" s="1"/>
      <c r="AG1760" s="1"/>
      <c r="AH1760" s="1"/>
      <c r="AI1760" s="1"/>
      <c r="AJ1760" s="1"/>
      <c r="AK1760" s="1"/>
      <c r="AL1760" s="1"/>
      <c r="AM1760" s="1"/>
      <c r="AN1760" s="1"/>
      <c r="AO1760" s="1"/>
      <c r="AP1760" s="1"/>
      <c r="AQ1760" s="1"/>
      <c r="AR1760" s="1"/>
      <c r="AS1760" s="1"/>
      <c r="AT1760" s="1"/>
      <c r="AU1760" s="1"/>
      <c r="AV1760" s="1"/>
      <c r="AW1760" s="1"/>
      <c r="AX1760" s="1"/>
      <c r="AY1760" s="1"/>
      <c r="AZ1760" s="1"/>
      <c r="BA1760" s="1"/>
      <c r="BB1760" s="1"/>
      <c r="BC1760" s="1"/>
      <c r="BD1760" s="1"/>
      <c r="BE1760" s="1"/>
      <c r="BF1760" s="1"/>
      <c r="BG1760" s="1"/>
      <c r="BH1760" s="1"/>
    </row>
    <row r="1761" spans="3:60"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F1761" s="1"/>
      <c r="AG1761" s="1"/>
      <c r="AH1761" s="1"/>
      <c r="AI1761" s="1"/>
      <c r="AJ1761" s="1"/>
      <c r="AK1761" s="1"/>
      <c r="AL1761" s="1"/>
      <c r="AM1761" s="1"/>
      <c r="AN1761" s="1"/>
      <c r="AO1761" s="1"/>
      <c r="AP1761" s="1"/>
      <c r="AQ1761" s="1"/>
      <c r="AR1761" s="1"/>
      <c r="AS1761" s="1"/>
      <c r="AT1761" s="1"/>
      <c r="AU1761" s="1"/>
      <c r="AV1761" s="1"/>
      <c r="AW1761" s="1"/>
      <c r="AX1761" s="1"/>
      <c r="AY1761" s="1"/>
      <c r="AZ1761" s="1"/>
      <c r="BA1761" s="1"/>
      <c r="BB1761" s="1"/>
      <c r="BC1761" s="1"/>
      <c r="BD1761" s="1"/>
      <c r="BE1761" s="1"/>
      <c r="BF1761" s="1"/>
      <c r="BG1761" s="1"/>
      <c r="BH1761" s="1"/>
    </row>
    <row r="1762" spans="3:60"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F1762" s="1"/>
      <c r="AG1762" s="1"/>
      <c r="AH1762" s="1"/>
      <c r="AI1762" s="1"/>
      <c r="AJ1762" s="1"/>
      <c r="AK1762" s="1"/>
      <c r="AL1762" s="1"/>
      <c r="AM1762" s="1"/>
      <c r="AN1762" s="1"/>
      <c r="AO1762" s="1"/>
      <c r="AP1762" s="1"/>
      <c r="AQ1762" s="1"/>
      <c r="AR1762" s="1"/>
      <c r="AS1762" s="1"/>
      <c r="AT1762" s="1"/>
      <c r="AU1762" s="1"/>
      <c r="AV1762" s="1"/>
      <c r="AW1762" s="1"/>
      <c r="AX1762" s="1"/>
      <c r="AY1762" s="1"/>
      <c r="AZ1762" s="1"/>
      <c r="BA1762" s="1"/>
      <c r="BB1762" s="1"/>
      <c r="BC1762" s="1"/>
      <c r="BD1762" s="1"/>
      <c r="BE1762" s="1"/>
      <c r="BF1762" s="1"/>
      <c r="BG1762" s="1"/>
      <c r="BH1762" s="1"/>
    </row>
    <row r="1763" spans="3:60"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F1763" s="1"/>
      <c r="AG1763" s="1"/>
      <c r="AH1763" s="1"/>
      <c r="AI1763" s="1"/>
      <c r="AJ1763" s="1"/>
      <c r="AK1763" s="1"/>
      <c r="AL1763" s="1"/>
      <c r="AM1763" s="1"/>
      <c r="AN1763" s="1"/>
      <c r="AO1763" s="1"/>
      <c r="AP1763" s="1"/>
      <c r="AQ1763" s="1"/>
      <c r="AR1763" s="1"/>
      <c r="AS1763" s="1"/>
      <c r="AT1763" s="1"/>
      <c r="AU1763" s="1"/>
      <c r="AV1763" s="1"/>
      <c r="AW1763" s="1"/>
      <c r="AX1763" s="1"/>
      <c r="AY1763" s="1"/>
      <c r="AZ1763" s="1"/>
      <c r="BA1763" s="1"/>
      <c r="BB1763" s="1"/>
      <c r="BC1763" s="1"/>
      <c r="BD1763" s="1"/>
      <c r="BE1763" s="1"/>
      <c r="BF1763" s="1"/>
      <c r="BG1763" s="1"/>
      <c r="BH1763" s="1"/>
    </row>
    <row r="1764" spans="3:60"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F1764" s="1"/>
      <c r="AG1764" s="1"/>
      <c r="AH1764" s="1"/>
      <c r="AI1764" s="1"/>
      <c r="AJ1764" s="1"/>
      <c r="AK1764" s="1"/>
      <c r="AL1764" s="1"/>
      <c r="AM1764" s="1"/>
      <c r="AN1764" s="1"/>
      <c r="AO1764" s="1"/>
      <c r="AP1764" s="1"/>
      <c r="AQ1764" s="1"/>
      <c r="AR1764" s="1"/>
      <c r="AS1764" s="1"/>
      <c r="AT1764" s="1"/>
      <c r="AU1764" s="1"/>
      <c r="AV1764" s="1"/>
      <c r="AW1764" s="1"/>
      <c r="AX1764" s="1"/>
      <c r="AY1764" s="1"/>
      <c r="AZ1764" s="1"/>
      <c r="BA1764" s="1"/>
      <c r="BB1764" s="1"/>
      <c r="BC1764" s="1"/>
      <c r="BD1764" s="1"/>
      <c r="BE1764" s="1"/>
      <c r="BF1764" s="1"/>
      <c r="BG1764" s="1"/>
      <c r="BH1764" s="1"/>
    </row>
    <row r="1765" spans="3:60"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F1765" s="1"/>
      <c r="AG1765" s="1"/>
      <c r="AH1765" s="1"/>
      <c r="AI1765" s="1"/>
      <c r="AJ1765" s="1"/>
      <c r="AK1765" s="1"/>
      <c r="AL1765" s="1"/>
      <c r="AM1765" s="1"/>
      <c r="AN1765" s="1"/>
      <c r="AO1765" s="1"/>
      <c r="AP1765" s="1"/>
      <c r="AQ1765" s="1"/>
      <c r="AR1765" s="1"/>
      <c r="AS1765" s="1"/>
      <c r="AT1765" s="1"/>
      <c r="AU1765" s="1"/>
      <c r="AV1765" s="1"/>
      <c r="AW1765" s="1"/>
      <c r="AX1765" s="1"/>
      <c r="AY1765" s="1"/>
      <c r="AZ1765" s="1"/>
      <c r="BA1765" s="1"/>
      <c r="BB1765" s="1"/>
      <c r="BC1765" s="1"/>
      <c r="BD1765" s="1"/>
      <c r="BE1765" s="1"/>
      <c r="BF1765" s="1"/>
      <c r="BG1765" s="1"/>
      <c r="BH1765" s="1"/>
    </row>
    <row r="1766" spans="3:60"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F1766" s="1"/>
      <c r="AG1766" s="1"/>
      <c r="AH1766" s="1"/>
      <c r="AI1766" s="1"/>
      <c r="AJ1766" s="1"/>
      <c r="AK1766" s="1"/>
      <c r="AL1766" s="1"/>
      <c r="AM1766" s="1"/>
      <c r="AN1766" s="1"/>
      <c r="AO1766" s="1"/>
      <c r="AP1766" s="1"/>
      <c r="AQ1766" s="1"/>
      <c r="AR1766" s="1"/>
      <c r="AS1766" s="1"/>
      <c r="AT1766" s="1"/>
      <c r="AU1766" s="1"/>
      <c r="AV1766" s="1"/>
      <c r="AW1766" s="1"/>
      <c r="AX1766" s="1"/>
      <c r="AY1766" s="1"/>
      <c r="AZ1766" s="1"/>
      <c r="BA1766" s="1"/>
      <c r="BB1766" s="1"/>
      <c r="BC1766" s="1"/>
      <c r="BD1766" s="1"/>
      <c r="BE1766" s="1"/>
      <c r="BF1766" s="1"/>
      <c r="BG1766" s="1"/>
      <c r="BH1766" s="1"/>
    </row>
    <row r="1767" spans="3:60"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F1767" s="1"/>
      <c r="AG1767" s="1"/>
      <c r="AH1767" s="1"/>
      <c r="AI1767" s="1"/>
      <c r="AJ1767" s="1"/>
      <c r="AK1767" s="1"/>
      <c r="AL1767" s="1"/>
      <c r="AM1767" s="1"/>
      <c r="AN1767" s="1"/>
      <c r="AO1767" s="1"/>
      <c r="AP1767" s="1"/>
      <c r="AQ1767" s="1"/>
      <c r="AR1767" s="1"/>
      <c r="AS1767" s="1"/>
      <c r="AT1767" s="1"/>
      <c r="AU1767" s="1"/>
      <c r="AV1767" s="1"/>
      <c r="AW1767" s="1"/>
      <c r="AX1767" s="1"/>
      <c r="AY1767" s="1"/>
      <c r="AZ1767" s="1"/>
      <c r="BA1767" s="1"/>
      <c r="BB1767" s="1"/>
      <c r="BC1767" s="1"/>
      <c r="BD1767" s="1"/>
      <c r="BE1767" s="1"/>
      <c r="BF1767" s="1"/>
      <c r="BG1767" s="1"/>
      <c r="BH1767" s="1"/>
    </row>
    <row r="1768" spans="3:60"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F1768" s="1"/>
      <c r="AG1768" s="1"/>
      <c r="AH1768" s="1"/>
      <c r="AI1768" s="1"/>
      <c r="AJ1768" s="1"/>
      <c r="AK1768" s="1"/>
      <c r="AL1768" s="1"/>
      <c r="AM1768" s="1"/>
      <c r="AN1768" s="1"/>
      <c r="AO1768" s="1"/>
      <c r="AP1768" s="1"/>
      <c r="AQ1768" s="1"/>
      <c r="AR1768" s="1"/>
      <c r="AS1768" s="1"/>
      <c r="AT1768" s="1"/>
      <c r="AU1768" s="1"/>
      <c r="AV1768" s="1"/>
      <c r="AW1768" s="1"/>
      <c r="AX1768" s="1"/>
      <c r="AY1768" s="1"/>
      <c r="AZ1768" s="1"/>
      <c r="BA1768" s="1"/>
      <c r="BB1768" s="1"/>
      <c r="BC1768" s="1"/>
      <c r="BD1768" s="1"/>
      <c r="BE1768" s="1"/>
      <c r="BF1768" s="1"/>
      <c r="BG1768" s="1"/>
      <c r="BH1768" s="1"/>
    </row>
    <row r="1769" spans="3:60"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F1769" s="1"/>
      <c r="AG1769" s="1"/>
      <c r="AH1769" s="1"/>
      <c r="AI1769" s="1"/>
      <c r="AJ1769" s="1"/>
      <c r="AK1769" s="1"/>
      <c r="AL1769" s="1"/>
      <c r="AM1769" s="1"/>
      <c r="AN1769" s="1"/>
      <c r="AO1769" s="1"/>
      <c r="AP1769" s="1"/>
      <c r="AQ1769" s="1"/>
      <c r="AR1769" s="1"/>
      <c r="AS1769" s="1"/>
      <c r="AT1769" s="1"/>
      <c r="AU1769" s="1"/>
      <c r="AV1769" s="1"/>
      <c r="AW1769" s="1"/>
      <c r="AX1769" s="1"/>
      <c r="AY1769" s="1"/>
      <c r="AZ1769" s="1"/>
      <c r="BA1769" s="1"/>
      <c r="BB1769" s="1"/>
      <c r="BC1769" s="1"/>
      <c r="BD1769" s="1"/>
      <c r="BE1769" s="1"/>
      <c r="BF1769" s="1"/>
      <c r="BG1769" s="1"/>
      <c r="BH1769" s="1"/>
    </row>
    <row r="1770" spans="3:60"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F1770" s="1"/>
      <c r="AG1770" s="1"/>
      <c r="AH1770" s="1"/>
      <c r="AI1770" s="1"/>
      <c r="AJ1770" s="1"/>
      <c r="AK1770" s="1"/>
      <c r="AL1770" s="1"/>
      <c r="AM1770" s="1"/>
      <c r="AN1770" s="1"/>
      <c r="AO1770" s="1"/>
      <c r="AP1770" s="1"/>
      <c r="AQ1770" s="1"/>
      <c r="AR1770" s="1"/>
      <c r="AS1770" s="1"/>
      <c r="AT1770" s="1"/>
      <c r="AU1770" s="1"/>
      <c r="AV1770" s="1"/>
      <c r="AW1770" s="1"/>
      <c r="AX1770" s="1"/>
      <c r="AY1770" s="1"/>
      <c r="AZ1770" s="1"/>
      <c r="BA1770" s="1"/>
      <c r="BB1770" s="1"/>
      <c r="BC1770" s="1"/>
      <c r="BD1770" s="1"/>
      <c r="BE1770" s="1"/>
      <c r="BF1770" s="1"/>
      <c r="BG1770" s="1"/>
      <c r="BH1770" s="1"/>
    </row>
    <row r="1771" spans="3:60"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F1771" s="1"/>
      <c r="AG1771" s="1"/>
      <c r="AH1771" s="1"/>
      <c r="AI1771" s="1"/>
      <c r="AJ1771" s="1"/>
      <c r="AK1771" s="1"/>
      <c r="AL1771" s="1"/>
      <c r="AM1771" s="1"/>
      <c r="AN1771" s="1"/>
      <c r="AO1771" s="1"/>
      <c r="AP1771" s="1"/>
      <c r="AQ1771" s="1"/>
      <c r="AR1771" s="1"/>
      <c r="AS1771" s="1"/>
      <c r="AT1771" s="1"/>
      <c r="AU1771" s="1"/>
      <c r="AV1771" s="1"/>
      <c r="AW1771" s="1"/>
      <c r="AX1771" s="1"/>
      <c r="AY1771" s="1"/>
      <c r="AZ1771" s="1"/>
      <c r="BA1771" s="1"/>
      <c r="BB1771" s="1"/>
      <c r="BC1771" s="1"/>
      <c r="BD1771" s="1"/>
      <c r="BE1771" s="1"/>
      <c r="BF1771" s="1"/>
      <c r="BG1771" s="1"/>
      <c r="BH1771" s="1"/>
    </row>
    <row r="1772" spans="3:60"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F1772" s="1"/>
      <c r="AG1772" s="1"/>
      <c r="AH1772" s="1"/>
      <c r="AI1772" s="1"/>
      <c r="AJ1772" s="1"/>
      <c r="AK1772" s="1"/>
      <c r="AL1772" s="1"/>
      <c r="AM1772" s="1"/>
      <c r="AN1772" s="1"/>
      <c r="AO1772" s="1"/>
      <c r="AP1772" s="1"/>
      <c r="AQ1772" s="1"/>
      <c r="AR1772" s="1"/>
      <c r="AS1772" s="1"/>
      <c r="AT1772" s="1"/>
      <c r="AU1772" s="1"/>
      <c r="AV1772" s="1"/>
      <c r="AW1772" s="1"/>
      <c r="AX1772" s="1"/>
      <c r="AY1772" s="1"/>
      <c r="AZ1772" s="1"/>
      <c r="BA1772" s="1"/>
      <c r="BB1772" s="1"/>
      <c r="BC1772" s="1"/>
      <c r="BD1772" s="1"/>
      <c r="BE1772" s="1"/>
      <c r="BF1772" s="1"/>
      <c r="BG1772" s="1"/>
      <c r="BH1772" s="1"/>
    </row>
    <row r="1773" spans="3:60"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F1773" s="1"/>
      <c r="AG1773" s="1"/>
      <c r="AH1773" s="1"/>
      <c r="AI1773" s="1"/>
      <c r="AJ1773" s="1"/>
      <c r="AK1773" s="1"/>
      <c r="AL1773" s="1"/>
      <c r="AM1773" s="1"/>
      <c r="AN1773" s="1"/>
      <c r="AO1773" s="1"/>
      <c r="AP1773" s="1"/>
      <c r="AQ1773" s="1"/>
      <c r="AR1773" s="1"/>
      <c r="AS1773" s="1"/>
      <c r="AT1773" s="1"/>
      <c r="AU1773" s="1"/>
      <c r="AV1773" s="1"/>
      <c r="AW1773" s="1"/>
      <c r="AX1773" s="1"/>
      <c r="AY1773" s="1"/>
      <c r="AZ1773" s="1"/>
      <c r="BA1773" s="1"/>
      <c r="BB1773" s="1"/>
      <c r="BC1773" s="1"/>
      <c r="BD1773" s="1"/>
      <c r="BE1773" s="1"/>
      <c r="BF1773" s="1"/>
      <c r="BG1773" s="1"/>
      <c r="BH1773" s="1"/>
    </row>
    <row r="1774" spans="3:60"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F1774" s="1"/>
      <c r="AG1774" s="1"/>
      <c r="AH1774" s="1"/>
      <c r="AI1774" s="1"/>
      <c r="AJ1774" s="1"/>
      <c r="AK1774" s="1"/>
      <c r="AL1774" s="1"/>
      <c r="AM1774" s="1"/>
      <c r="AN1774" s="1"/>
      <c r="AO1774" s="1"/>
      <c r="AP1774" s="1"/>
      <c r="AQ1774" s="1"/>
      <c r="AR1774" s="1"/>
      <c r="AS1774" s="1"/>
      <c r="AT1774" s="1"/>
      <c r="AU1774" s="1"/>
      <c r="AV1774" s="1"/>
      <c r="AW1774" s="1"/>
      <c r="AX1774" s="1"/>
      <c r="AY1774" s="1"/>
      <c r="AZ1774" s="1"/>
      <c r="BA1774" s="1"/>
      <c r="BB1774" s="1"/>
      <c r="BC1774" s="1"/>
      <c r="BD1774" s="1"/>
      <c r="BE1774" s="1"/>
      <c r="BF1774" s="1"/>
      <c r="BG1774" s="1"/>
      <c r="BH1774" s="1"/>
    </row>
    <row r="1775" spans="3:60"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F1775" s="1"/>
      <c r="AG1775" s="1"/>
      <c r="AH1775" s="1"/>
      <c r="AI1775" s="1"/>
      <c r="AJ1775" s="1"/>
      <c r="AK1775" s="1"/>
      <c r="AL1775" s="1"/>
      <c r="AM1775" s="1"/>
      <c r="AN1775" s="1"/>
      <c r="AO1775" s="1"/>
      <c r="AP1775" s="1"/>
      <c r="AQ1775" s="1"/>
      <c r="AR1775" s="1"/>
      <c r="AS1775" s="1"/>
      <c r="AT1775" s="1"/>
      <c r="AU1775" s="1"/>
      <c r="AV1775" s="1"/>
      <c r="AW1775" s="1"/>
      <c r="AX1775" s="1"/>
      <c r="AY1775" s="1"/>
      <c r="AZ1775" s="1"/>
      <c r="BA1775" s="1"/>
      <c r="BB1775" s="1"/>
      <c r="BC1775" s="1"/>
      <c r="BD1775" s="1"/>
      <c r="BE1775" s="1"/>
      <c r="BF1775" s="1"/>
      <c r="BG1775" s="1"/>
      <c r="BH1775" s="1"/>
    </row>
    <row r="1776" spans="3:60"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F1776" s="1"/>
      <c r="AG1776" s="1"/>
      <c r="AH1776" s="1"/>
      <c r="AI1776" s="1"/>
      <c r="AJ1776" s="1"/>
      <c r="AK1776" s="1"/>
      <c r="AL1776" s="1"/>
      <c r="AM1776" s="1"/>
      <c r="AN1776" s="1"/>
      <c r="AO1776" s="1"/>
      <c r="AP1776" s="1"/>
      <c r="AQ1776" s="1"/>
      <c r="AR1776" s="1"/>
      <c r="AS1776" s="1"/>
      <c r="AT1776" s="1"/>
      <c r="AU1776" s="1"/>
      <c r="AV1776" s="1"/>
      <c r="AW1776" s="1"/>
      <c r="AX1776" s="1"/>
      <c r="AY1776" s="1"/>
      <c r="AZ1776" s="1"/>
      <c r="BA1776" s="1"/>
      <c r="BB1776" s="1"/>
      <c r="BC1776" s="1"/>
      <c r="BD1776" s="1"/>
      <c r="BE1776" s="1"/>
      <c r="BF1776" s="1"/>
      <c r="BG1776" s="1"/>
      <c r="BH1776" s="1"/>
    </row>
    <row r="1777" spans="3:60"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F1777" s="1"/>
      <c r="AG1777" s="1"/>
      <c r="AH1777" s="1"/>
      <c r="AI1777" s="1"/>
      <c r="AJ1777" s="1"/>
      <c r="AK1777" s="1"/>
      <c r="AL1777" s="1"/>
      <c r="AM1777" s="1"/>
      <c r="AN1777" s="1"/>
      <c r="AO1777" s="1"/>
      <c r="AP1777" s="1"/>
      <c r="AQ1777" s="1"/>
      <c r="AR1777" s="1"/>
      <c r="AS1777" s="1"/>
      <c r="AT1777" s="1"/>
      <c r="AU1777" s="1"/>
      <c r="AV1777" s="1"/>
      <c r="AW1777" s="1"/>
      <c r="AX1777" s="1"/>
      <c r="AY1777" s="1"/>
      <c r="AZ1777" s="1"/>
      <c r="BA1777" s="1"/>
      <c r="BB1777" s="1"/>
      <c r="BC1777" s="1"/>
      <c r="BD1777" s="1"/>
      <c r="BE1777" s="1"/>
      <c r="BF1777" s="1"/>
      <c r="BG1777" s="1"/>
      <c r="BH1777" s="1"/>
    </row>
    <row r="1778" spans="3:60"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F1778" s="1"/>
      <c r="AG1778" s="1"/>
      <c r="AH1778" s="1"/>
      <c r="AI1778" s="1"/>
      <c r="AJ1778" s="1"/>
      <c r="AK1778" s="1"/>
      <c r="AL1778" s="1"/>
      <c r="AM1778" s="1"/>
      <c r="AN1778" s="1"/>
      <c r="AO1778" s="1"/>
      <c r="AP1778" s="1"/>
      <c r="AQ1778" s="1"/>
      <c r="AR1778" s="1"/>
      <c r="AS1778" s="1"/>
      <c r="AT1778" s="1"/>
      <c r="AU1778" s="1"/>
      <c r="AV1778" s="1"/>
      <c r="AW1778" s="1"/>
      <c r="AX1778" s="1"/>
      <c r="AY1778" s="1"/>
      <c r="AZ1778" s="1"/>
      <c r="BA1778" s="1"/>
      <c r="BB1778" s="1"/>
      <c r="BC1778" s="1"/>
      <c r="BD1778" s="1"/>
      <c r="BE1778" s="1"/>
      <c r="BF1778" s="1"/>
      <c r="BG1778" s="1"/>
      <c r="BH1778" s="1"/>
    </row>
    <row r="1779" spans="3:60"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F1779" s="1"/>
      <c r="AG1779" s="1"/>
      <c r="AH1779" s="1"/>
      <c r="AI1779" s="1"/>
      <c r="AJ1779" s="1"/>
      <c r="AK1779" s="1"/>
      <c r="AL1779" s="1"/>
      <c r="AM1779" s="1"/>
      <c r="AN1779" s="1"/>
      <c r="AO1779" s="1"/>
      <c r="AP1779" s="1"/>
      <c r="AQ1779" s="1"/>
      <c r="AR1779" s="1"/>
      <c r="AS1779" s="1"/>
      <c r="AT1779" s="1"/>
      <c r="AU1779" s="1"/>
      <c r="AV1779" s="1"/>
      <c r="AW1779" s="1"/>
      <c r="AX1779" s="1"/>
      <c r="AY1779" s="1"/>
      <c r="AZ1779" s="1"/>
      <c r="BA1779" s="1"/>
      <c r="BB1779" s="1"/>
      <c r="BC1779" s="1"/>
      <c r="BD1779" s="1"/>
      <c r="BE1779" s="1"/>
      <c r="BF1779" s="1"/>
      <c r="BG1779" s="1"/>
      <c r="BH1779" s="1"/>
    </row>
    <row r="1780" spans="3:60"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F1780" s="1"/>
      <c r="AG1780" s="1"/>
      <c r="AH1780" s="1"/>
      <c r="AI1780" s="1"/>
      <c r="AJ1780" s="1"/>
      <c r="AK1780" s="1"/>
      <c r="AL1780" s="1"/>
      <c r="AM1780" s="1"/>
      <c r="AN1780" s="1"/>
      <c r="AO1780" s="1"/>
      <c r="AP1780" s="1"/>
      <c r="AQ1780" s="1"/>
      <c r="AR1780" s="1"/>
      <c r="AS1780" s="1"/>
      <c r="AT1780" s="1"/>
      <c r="AU1780" s="1"/>
      <c r="AV1780" s="1"/>
      <c r="AW1780" s="1"/>
      <c r="AX1780" s="1"/>
      <c r="AY1780" s="1"/>
      <c r="AZ1780" s="1"/>
      <c r="BA1780" s="1"/>
      <c r="BB1780" s="1"/>
      <c r="BC1780" s="1"/>
      <c r="BD1780" s="1"/>
      <c r="BE1780" s="1"/>
      <c r="BF1780" s="1"/>
      <c r="BG1780" s="1"/>
      <c r="BH1780" s="1"/>
    </row>
    <row r="1781" spans="3:60"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F1781" s="1"/>
      <c r="AG1781" s="1"/>
      <c r="AH1781" s="1"/>
      <c r="AI1781" s="1"/>
      <c r="AJ1781" s="1"/>
      <c r="AK1781" s="1"/>
      <c r="AL1781" s="1"/>
      <c r="AM1781" s="1"/>
      <c r="AN1781" s="1"/>
      <c r="AO1781" s="1"/>
      <c r="AP1781" s="1"/>
      <c r="AQ1781" s="1"/>
      <c r="AR1781" s="1"/>
      <c r="AS1781" s="1"/>
      <c r="AT1781" s="1"/>
      <c r="AU1781" s="1"/>
      <c r="AV1781" s="1"/>
      <c r="AW1781" s="1"/>
      <c r="AX1781" s="1"/>
      <c r="AY1781" s="1"/>
      <c r="AZ1781" s="1"/>
      <c r="BA1781" s="1"/>
      <c r="BB1781" s="1"/>
      <c r="BC1781" s="1"/>
      <c r="BD1781" s="1"/>
      <c r="BE1781" s="1"/>
      <c r="BF1781" s="1"/>
      <c r="BG1781" s="1"/>
      <c r="BH1781" s="1"/>
    </row>
    <row r="1782" spans="3:60"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F1782" s="1"/>
      <c r="AG1782" s="1"/>
      <c r="AH1782" s="1"/>
      <c r="AI1782" s="1"/>
      <c r="AJ1782" s="1"/>
      <c r="AK1782" s="1"/>
      <c r="AL1782" s="1"/>
      <c r="AM1782" s="1"/>
      <c r="AN1782" s="1"/>
      <c r="AO1782" s="1"/>
      <c r="AP1782" s="1"/>
      <c r="AQ1782" s="1"/>
      <c r="AR1782" s="1"/>
      <c r="AS1782" s="1"/>
      <c r="AT1782" s="1"/>
      <c r="AU1782" s="1"/>
      <c r="AV1782" s="1"/>
      <c r="AW1782" s="1"/>
      <c r="AX1782" s="1"/>
      <c r="AY1782" s="1"/>
      <c r="AZ1782" s="1"/>
      <c r="BA1782" s="1"/>
      <c r="BB1782" s="1"/>
      <c r="BC1782" s="1"/>
      <c r="BD1782" s="1"/>
      <c r="BE1782" s="1"/>
      <c r="BF1782" s="1"/>
      <c r="BG1782" s="1"/>
      <c r="BH1782" s="1"/>
    </row>
    <row r="1783" spans="3:60"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F1783" s="1"/>
      <c r="AG1783" s="1"/>
      <c r="AH1783" s="1"/>
      <c r="AI1783" s="1"/>
      <c r="AJ1783" s="1"/>
      <c r="AK1783" s="1"/>
      <c r="AL1783" s="1"/>
      <c r="AM1783" s="1"/>
      <c r="AN1783" s="1"/>
      <c r="AO1783" s="1"/>
      <c r="AP1783" s="1"/>
      <c r="AQ1783" s="1"/>
      <c r="AR1783" s="1"/>
      <c r="AS1783" s="1"/>
      <c r="AT1783" s="1"/>
      <c r="AU1783" s="1"/>
      <c r="AV1783" s="1"/>
      <c r="AW1783" s="1"/>
      <c r="AX1783" s="1"/>
      <c r="AY1783" s="1"/>
      <c r="AZ1783" s="1"/>
      <c r="BA1783" s="1"/>
      <c r="BB1783" s="1"/>
      <c r="BC1783" s="1"/>
      <c r="BD1783" s="1"/>
      <c r="BE1783" s="1"/>
      <c r="BF1783" s="1"/>
      <c r="BG1783" s="1"/>
      <c r="BH1783" s="1"/>
    </row>
    <row r="1784" spans="3:60"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F1784" s="1"/>
      <c r="AG1784" s="1"/>
      <c r="AH1784" s="1"/>
      <c r="AI1784" s="1"/>
      <c r="AJ1784" s="1"/>
      <c r="AK1784" s="1"/>
      <c r="AL1784" s="1"/>
      <c r="AM1784" s="1"/>
      <c r="AN1784" s="1"/>
      <c r="AO1784" s="1"/>
      <c r="AP1784" s="1"/>
      <c r="AQ1784" s="1"/>
      <c r="AR1784" s="1"/>
      <c r="AS1784" s="1"/>
      <c r="AT1784" s="1"/>
      <c r="AU1784" s="1"/>
      <c r="AV1784" s="1"/>
      <c r="AW1784" s="1"/>
      <c r="AX1784" s="1"/>
      <c r="AY1784" s="1"/>
      <c r="AZ1784" s="1"/>
      <c r="BA1784" s="1"/>
      <c r="BB1784" s="1"/>
      <c r="BC1784" s="1"/>
      <c r="BD1784" s="1"/>
      <c r="BE1784" s="1"/>
      <c r="BF1784" s="1"/>
      <c r="BG1784" s="1"/>
      <c r="BH1784" s="1"/>
    </row>
    <row r="1785" spans="3:60"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F1785" s="1"/>
      <c r="AG1785" s="1"/>
      <c r="AH1785" s="1"/>
      <c r="AI1785" s="1"/>
      <c r="AJ1785" s="1"/>
      <c r="AK1785" s="1"/>
      <c r="AL1785" s="1"/>
      <c r="AM1785" s="1"/>
      <c r="AN1785" s="1"/>
      <c r="AO1785" s="1"/>
      <c r="AP1785" s="1"/>
      <c r="AQ1785" s="1"/>
      <c r="AR1785" s="1"/>
      <c r="AS1785" s="1"/>
      <c r="AT1785" s="1"/>
      <c r="AU1785" s="1"/>
      <c r="AV1785" s="1"/>
      <c r="AW1785" s="1"/>
      <c r="AX1785" s="1"/>
      <c r="AY1785" s="1"/>
      <c r="AZ1785" s="1"/>
      <c r="BA1785" s="1"/>
      <c r="BB1785" s="1"/>
      <c r="BC1785" s="1"/>
      <c r="BD1785" s="1"/>
      <c r="BE1785" s="1"/>
      <c r="BF1785" s="1"/>
      <c r="BG1785" s="1"/>
      <c r="BH1785" s="1"/>
    </row>
    <row r="1786" spans="3:60"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F1786" s="1"/>
      <c r="AG1786" s="1"/>
      <c r="AH1786" s="1"/>
      <c r="AI1786" s="1"/>
      <c r="AJ1786" s="1"/>
      <c r="AK1786" s="1"/>
      <c r="AL1786" s="1"/>
      <c r="AM1786" s="1"/>
      <c r="AN1786" s="1"/>
      <c r="AO1786" s="1"/>
      <c r="AP1786" s="1"/>
      <c r="AQ1786" s="1"/>
      <c r="AR1786" s="1"/>
      <c r="AS1786" s="1"/>
      <c r="AT1786" s="1"/>
      <c r="AU1786" s="1"/>
      <c r="AV1786" s="1"/>
      <c r="AW1786" s="1"/>
      <c r="AX1786" s="1"/>
      <c r="AY1786" s="1"/>
      <c r="AZ1786" s="1"/>
      <c r="BA1786" s="1"/>
      <c r="BB1786" s="1"/>
      <c r="BC1786" s="1"/>
      <c r="BD1786" s="1"/>
      <c r="BE1786" s="1"/>
      <c r="BF1786" s="1"/>
      <c r="BG1786" s="1"/>
      <c r="BH1786" s="1"/>
    </row>
    <row r="1787" spans="3:60"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F1787" s="1"/>
      <c r="AG1787" s="1"/>
      <c r="AH1787" s="1"/>
      <c r="AI1787" s="1"/>
      <c r="AJ1787" s="1"/>
      <c r="AK1787" s="1"/>
      <c r="AL1787" s="1"/>
      <c r="AM1787" s="1"/>
      <c r="AN1787" s="1"/>
      <c r="AO1787" s="1"/>
      <c r="AP1787" s="1"/>
      <c r="AQ1787" s="1"/>
      <c r="AR1787" s="1"/>
      <c r="AS1787" s="1"/>
      <c r="AT1787" s="1"/>
      <c r="AU1787" s="1"/>
      <c r="AV1787" s="1"/>
      <c r="AW1787" s="1"/>
      <c r="AX1787" s="1"/>
      <c r="AY1787" s="1"/>
      <c r="AZ1787" s="1"/>
      <c r="BA1787" s="1"/>
      <c r="BB1787" s="1"/>
      <c r="BC1787" s="1"/>
      <c r="BD1787" s="1"/>
      <c r="BE1787" s="1"/>
      <c r="BF1787" s="1"/>
      <c r="BG1787" s="1"/>
      <c r="BH1787" s="1"/>
    </row>
    <row r="1788" spans="3:60"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F1788" s="1"/>
      <c r="AG1788" s="1"/>
      <c r="AH1788" s="1"/>
      <c r="AI1788" s="1"/>
      <c r="AJ1788" s="1"/>
      <c r="AK1788" s="1"/>
      <c r="AL1788" s="1"/>
      <c r="AM1788" s="1"/>
      <c r="AN1788" s="1"/>
      <c r="AO1788" s="1"/>
      <c r="AP1788" s="1"/>
      <c r="AQ1788" s="1"/>
      <c r="AR1788" s="1"/>
      <c r="AS1788" s="1"/>
      <c r="AT1788" s="1"/>
      <c r="AU1788" s="1"/>
      <c r="AV1788" s="1"/>
      <c r="AW1788" s="1"/>
      <c r="AX1788" s="1"/>
      <c r="AY1788" s="1"/>
      <c r="AZ1788" s="1"/>
      <c r="BA1788" s="1"/>
      <c r="BB1788" s="1"/>
      <c r="BC1788" s="1"/>
      <c r="BD1788" s="1"/>
      <c r="BE1788" s="1"/>
      <c r="BF1788" s="1"/>
      <c r="BG1788" s="1"/>
      <c r="BH1788" s="1"/>
    </row>
    <row r="1789" spans="3:60"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F1789" s="1"/>
      <c r="AG1789" s="1"/>
      <c r="AH1789" s="1"/>
      <c r="AI1789" s="1"/>
      <c r="AJ1789" s="1"/>
      <c r="AK1789" s="1"/>
      <c r="AL1789" s="1"/>
      <c r="AM1789" s="1"/>
      <c r="AN1789" s="1"/>
      <c r="AO1789" s="1"/>
      <c r="AP1789" s="1"/>
      <c r="AQ1789" s="1"/>
      <c r="AR1789" s="1"/>
      <c r="AS1789" s="1"/>
      <c r="AT1789" s="1"/>
      <c r="AU1789" s="1"/>
      <c r="AV1789" s="1"/>
      <c r="AW1789" s="1"/>
      <c r="AX1789" s="1"/>
      <c r="AY1789" s="1"/>
      <c r="AZ1789" s="1"/>
      <c r="BA1789" s="1"/>
      <c r="BB1789" s="1"/>
      <c r="BC1789" s="1"/>
      <c r="BD1789" s="1"/>
      <c r="BE1789" s="1"/>
      <c r="BF1789" s="1"/>
      <c r="BG1789" s="1"/>
      <c r="BH1789" s="1"/>
    </row>
    <row r="1790" spans="3:60"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F1790" s="1"/>
      <c r="AG1790" s="1"/>
      <c r="AH1790" s="1"/>
      <c r="AI1790" s="1"/>
      <c r="AJ1790" s="1"/>
      <c r="AK1790" s="1"/>
      <c r="AL1790" s="1"/>
      <c r="AM1790" s="1"/>
      <c r="AN1790" s="1"/>
      <c r="AO1790" s="1"/>
      <c r="AP1790" s="1"/>
      <c r="AQ1790" s="1"/>
      <c r="AR1790" s="1"/>
      <c r="AS1790" s="1"/>
      <c r="AT1790" s="1"/>
      <c r="AU1790" s="1"/>
      <c r="AV1790" s="1"/>
      <c r="AW1790" s="1"/>
      <c r="AX1790" s="1"/>
      <c r="AY1790" s="1"/>
      <c r="AZ1790" s="1"/>
      <c r="BA1790" s="1"/>
      <c r="BB1790" s="1"/>
      <c r="BC1790" s="1"/>
      <c r="BD1790" s="1"/>
      <c r="BE1790" s="1"/>
      <c r="BF1790" s="1"/>
      <c r="BG1790" s="1"/>
      <c r="BH1790" s="1"/>
    </row>
    <row r="1791" spans="3:60"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F1791" s="1"/>
      <c r="AG1791" s="1"/>
      <c r="AH1791" s="1"/>
      <c r="AI1791" s="1"/>
      <c r="AJ1791" s="1"/>
      <c r="AK1791" s="1"/>
      <c r="AL1791" s="1"/>
      <c r="AM1791" s="1"/>
      <c r="AN1791" s="1"/>
      <c r="AO1791" s="1"/>
      <c r="AP1791" s="1"/>
      <c r="AQ1791" s="1"/>
      <c r="AR1791" s="1"/>
      <c r="AS1791" s="1"/>
      <c r="AT1791" s="1"/>
      <c r="AU1791" s="1"/>
      <c r="AV1791" s="1"/>
      <c r="AW1791" s="1"/>
      <c r="AX1791" s="1"/>
      <c r="AY1791" s="1"/>
      <c r="AZ1791" s="1"/>
      <c r="BA1791" s="1"/>
      <c r="BB1791" s="1"/>
      <c r="BC1791" s="1"/>
      <c r="BD1791" s="1"/>
      <c r="BE1791" s="1"/>
      <c r="BF1791" s="1"/>
      <c r="BG1791" s="1"/>
      <c r="BH1791" s="1"/>
    </row>
    <row r="1792" spans="3:60"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F1792" s="1"/>
      <c r="AG1792" s="1"/>
      <c r="AH1792" s="1"/>
      <c r="AI1792" s="1"/>
      <c r="AJ1792" s="1"/>
      <c r="AK1792" s="1"/>
      <c r="AL1792" s="1"/>
      <c r="AM1792" s="1"/>
      <c r="AN1792" s="1"/>
      <c r="AO1792" s="1"/>
      <c r="AP1792" s="1"/>
      <c r="AQ1792" s="1"/>
      <c r="AR1792" s="1"/>
      <c r="AS1792" s="1"/>
      <c r="AT1792" s="1"/>
      <c r="AU1792" s="1"/>
      <c r="AV1792" s="1"/>
      <c r="AW1792" s="1"/>
      <c r="AX1792" s="1"/>
      <c r="AY1792" s="1"/>
      <c r="AZ1792" s="1"/>
      <c r="BA1792" s="1"/>
      <c r="BB1792" s="1"/>
      <c r="BC1792" s="1"/>
      <c r="BD1792" s="1"/>
      <c r="BE1792" s="1"/>
      <c r="BF1792" s="1"/>
      <c r="BG1792" s="1"/>
      <c r="BH1792" s="1"/>
    </row>
    <row r="1793" spans="3:60"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F1793" s="1"/>
      <c r="AG1793" s="1"/>
      <c r="AH1793" s="1"/>
      <c r="AI1793" s="1"/>
      <c r="AJ1793" s="1"/>
      <c r="AK1793" s="1"/>
      <c r="AL1793" s="1"/>
      <c r="AM1793" s="1"/>
      <c r="AN1793" s="1"/>
      <c r="AO1793" s="1"/>
      <c r="AP1793" s="1"/>
      <c r="AQ1793" s="1"/>
      <c r="AR1793" s="1"/>
      <c r="AS1793" s="1"/>
      <c r="AT1793" s="1"/>
      <c r="AU1793" s="1"/>
      <c r="AV1793" s="1"/>
      <c r="AW1793" s="1"/>
      <c r="AX1793" s="1"/>
      <c r="AY1793" s="1"/>
      <c r="AZ1793" s="1"/>
      <c r="BA1793" s="1"/>
      <c r="BB1793" s="1"/>
      <c r="BC1793" s="1"/>
      <c r="BD1793" s="1"/>
      <c r="BE1793" s="1"/>
      <c r="BF1793" s="1"/>
      <c r="BG1793" s="1"/>
      <c r="BH1793" s="1"/>
    </row>
    <row r="1794" spans="3:60"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F1794" s="1"/>
      <c r="AG1794" s="1"/>
      <c r="AH1794" s="1"/>
      <c r="AI1794" s="1"/>
      <c r="AJ1794" s="1"/>
      <c r="AK1794" s="1"/>
      <c r="AL1794" s="1"/>
      <c r="AM1794" s="1"/>
      <c r="AN1794" s="1"/>
      <c r="AO1794" s="1"/>
      <c r="AP1794" s="1"/>
      <c r="AQ1794" s="1"/>
      <c r="AR1794" s="1"/>
      <c r="AS1794" s="1"/>
      <c r="AT1794" s="1"/>
      <c r="AU1794" s="1"/>
      <c r="AV1794" s="1"/>
      <c r="AW1794" s="1"/>
      <c r="AX1794" s="1"/>
      <c r="AY1794" s="1"/>
      <c r="AZ1794" s="1"/>
      <c r="BA1794" s="1"/>
      <c r="BB1794" s="1"/>
      <c r="BC1794" s="1"/>
      <c r="BD1794" s="1"/>
      <c r="BE1794" s="1"/>
      <c r="BF1794" s="1"/>
      <c r="BG1794" s="1"/>
      <c r="BH1794" s="1"/>
    </row>
    <row r="1795" spans="3:60"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F1795" s="1"/>
      <c r="AG1795" s="1"/>
      <c r="AH1795" s="1"/>
      <c r="AI1795" s="1"/>
      <c r="AJ1795" s="1"/>
      <c r="AK1795" s="1"/>
      <c r="AL1795" s="1"/>
      <c r="AM1795" s="1"/>
      <c r="AN1795" s="1"/>
      <c r="AO1795" s="1"/>
      <c r="AP1795" s="1"/>
      <c r="AQ1795" s="1"/>
      <c r="AR1795" s="1"/>
      <c r="AS1795" s="1"/>
      <c r="AT1795" s="1"/>
      <c r="AU1795" s="1"/>
      <c r="AV1795" s="1"/>
      <c r="AW1795" s="1"/>
      <c r="AX1795" s="1"/>
      <c r="AY1795" s="1"/>
      <c r="AZ1795" s="1"/>
      <c r="BA1795" s="1"/>
      <c r="BB1795" s="1"/>
      <c r="BC1795" s="1"/>
      <c r="BD1795" s="1"/>
      <c r="BE1795" s="1"/>
      <c r="BF1795" s="1"/>
      <c r="BG1795" s="1"/>
      <c r="BH1795" s="1"/>
    </row>
    <row r="1796" spans="3:60"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F1796" s="1"/>
      <c r="AG1796" s="1"/>
      <c r="AH1796" s="1"/>
      <c r="AI1796" s="1"/>
      <c r="AJ1796" s="1"/>
      <c r="AK1796" s="1"/>
      <c r="AL1796" s="1"/>
      <c r="AM1796" s="1"/>
      <c r="AN1796" s="1"/>
      <c r="AO1796" s="1"/>
      <c r="AP1796" s="1"/>
      <c r="AQ1796" s="1"/>
      <c r="AR1796" s="1"/>
      <c r="AS1796" s="1"/>
      <c r="AT1796" s="1"/>
      <c r="AU1796" s="1"/>
      <c r="AV1796" s="1"/>
      <c r="AW1796" s="1"/>
      <c r="AX1796" s="1"/>
      <c r="AY1796" s="1"/>
      <c r="AZ1796" s="1"/>
      <c r="BA1796" s="1"/>
      <c r="BB1796" s="1"/>
      <c r="BC1796" s="1"/>
      <c r="BD1796" s="1"/>
      <c r="BE1796" s="1"/>
      <c r="BF1796" s="1"/>
      <c r="BG1796" s="1"/>
      <c r="BH1796" s="1"/>
    </row>
    <row r="1797" spans="3:60"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F1797" s="1"/>
      <c r="AG1797" s="1"/>
      <c r="AH1797" s="1"/>
      <c r="AI1797" s="1"/>
      <c r="AJ1797" s="1"/>
      <c r="AK1797" s="1"/>
      <c r="AL1797" s="1"/>
      <c r="AM1797" s="1"/>
      <c r="AN1797" s="1"/>
      <c r="AO1797" s="1"/>
      <c r="AP1797" s="1"/>
      <c r="AQ1797" s="1"/>
      <c r="AR1797" s="1"/>
      <c r="AS1797" s="1"/>
      <c r="AT1797" s="1"/>
      <c r="AU1797" s="1"/>
      <c r="AV1797" s="1"/>
      <c r="AW1797" s="1"/>
      <c r="AX1797" s="1"/>
      <c r="AY1797" s="1"/>
      <c r="AZ1797" s="1"/>
      <c r="BA1797" s="1"/>
      <c r="BB1797" s="1"/>
      <c r="BC1797" s="1"/>
      <c r="BD1797" s="1"/>
      <c r="BE1797" s="1"/>
      <c r="BF1797" s="1"/>
      <c r="BG1797" s="1"/>
      <c r="BH1797" s="1"/>
    </row>
    <row r="1798" spans="3:60"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F1798" s="1"/>
      <c r="AG1798" s="1"/>
      <c r="AH1798" s="1"/>
      <c r="AI1798" s="1"/>
      <c r="AJ1798" s="1"/>
      <c r="AK1798" s="1"/>
      <c r="AL1798" s="1"/>
      <c r="AM1798" s="1"/>
      <c r="AN1798" s="1"/>
      <c r="AO1798" s="1"/>
      <c r="AP1798" s="1"/>
      <c r="AQ1798" s="1"/>
      <c r="AR1798" s="1"/>
      <c r="AS1798" s="1"/>
      <c r="AT1798" s="1"/>
      <c r="AU1798" s="1"/>
      <c r="AV1798" s="1"/>
      <c r="AW1798" s="1"/>
      <c r="AX1798" s="1"/>
      <c r="AY1798" s="1"/>
      <c r="AZ1798" s="1"/>
      <c r="BA1798" s="1"/>
      <c r="BB1798" s="1"/>
      <c r="BC1798" s="1"/>
      <c r="BD1798" s="1"/>
      <c r="BE1798" s="1"/>
      <c r="BF1798" s="1"/>
      <c r="BG1798" s="1"/>
      <c r="BH1798" s="1"/>
    </row>
    <row r="1799" spans="3:60"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F1799" s="1"/>
      <c r="AG1799" s="1"/>
      <c r="AH1799" s="1"/>
      <c r="AI1799" s="1"/>
      <c r="AJ1799" s="1"/>
      <c r="AK1799" s="1"/>
      <c r="AL1799" s="1"/>
      <c r="AM1799" s="1"/>
      <c r="AN1799" s="1"/>
      <c r="AO1799" s="1"/>
      <c r="AP1799" s="1"/>
      <c r="AQ1799" s="1"/>
      <c r="AR1799" s="1"/>
      <c r="AS1799" s="1"/>
      <c r="AT1799" s="1"/>
      <c r="AU1799" s="1"/>
      <c r="AV1799" s="1"/>
      <c r="AW1799" s="1"/>
      <c r="AX1799" s="1"/>
      <c r="AY1799" s="1"/>
      <c r="AZ1799" s="1"/>
      <c r="BA1799" s="1"/>
      <c r="BB1799" s="1"/>
      <c r="BC1799" s="1"/>
      <c r="BD1799" s="1"/>
      <c r="BE1799" s="1"/>
      <c r="BF1799" s="1"/>
      <c r="BG1799" s="1"/>
      <c r="BH1799" s="1"/>
    </row>
    <row r="1800" spans="3:60"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F1800" s="1"/>
      <c r="AG1800" s="1"/>
      <c r="AH1800" s="1"/>
      <c r="AI1800" s="1"/>
      <c r="AJ1800" s="1"/>
      <c r="AK1800" s="1"/>
      <c r="AL1800" s="1"/>
      <c r="AM1800" s="1"/>
      <c r="AN1800" s="1"/>
      <c r="AO1800" s="1"/>
      <c r="AP1800" s="1"/>
      <c r="AQ1800" s="1"/>
      <c r="AR1800" s="1"/>
      <c r="AS1800" s="1"/>
      <c r="AT1800" s="1"/>
      <c r="AU1800" s="1"/>
      <c r="AV1800" s="1"/>
      <c r="AW1800" s="1"/>
      <c r="AX1800" s="1"/>
      <c r="AY1800" s="1"/>
      <c r="AZ1800" s="1"/>
      <c r="BA1800" s="1"/>
      <c r="BB1800" s="1"/>
      <c r="BC1800" s="1"/>
      <c r="BD1800" s="1"/>
      <c r="BE1800" s="1"/>
      <c r="BF1800" s="1"/>
      <c r="BG1800" s="1"/>
      <c r="BH1800" s="1"/>
    </row>
    <row r="1801" spans="3:60"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F1801" s="1"/>
      <c r="AG1801" s="1"/>
      <c r="AH1801" s="1"/>
      <c r="AI1801" s="1"/>
      <c r="AJ1801" s="1"/>
      <c r="AK1801" s="1"/>
      <c r="AL1801" s="1"/>
      <c r="AM1801" s="1"/>
      <c r="AN1801" s="1"/>
      <c r="AO1801" s="1"/>
      <c r="AP1801" s="1"/>
      <c r="AQ1801" s="1"/>
      <c r="AR1801" s="1"/>
      <c r="AS1801" s="1"/>
      <c r="AT1801" s="1"/>
      <c r="AU1801" s="1"/>
      <c r="AV1801" s="1"/>
      <c r="AW1801" s="1"/>
      <c r="AX1801" s="1"/>
      <c r="AY1801" s="1"/>
      <c r="AZ1801" s="1"/>
      <c r="BA1801" s="1"/>
      <c r="BB1801" s="1"/>
      <c r="BC1801" s="1"/>
      <c r="BD1801" s="1"/>
      <c r="BE1801" s="1"/>
      <c r="BF1801" s="1"/>
      <c r="BG1801" s="1"/>
      <c r="BH1801" s="1"/>
    </row>
    <row r="1802" spans="3:60"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F1802" s="1"/>
      <c r="AG1802" s="1"/>
      <c r="AH1802" s="1"/>
      <c r="AI1802" s="1"/>
      <c r="AJ1802" s="1"/>
      <c r="AK1802" s="1"/>
      <c r="AL1802" s="1"/>
      <c r="AM1802" s="1"/>
      <c r="AN1802" s="1"/>
      <c r="AO1802" s="1"/>
      <c r="AP1802" s="1"/>
      <c r="AQ1802" s="1"/>
      <c r="AR1802" s="1"/>
      <c r="AS1802" s="1"/>
      <c r="AT1802" s="1"/>
      <c r="AU1802" s="1"/>
      <c r="AV1802" s="1"/>
      <c r="AW1802" s="1"/>
      <c r="AX1802" s="1"/>
      <c r="AY1802" s="1"/>
      <c r="AZ1802" s="1"/>
      <c r="BA1802" s="1"/>
      <c r="BB1802" s="1"/>
      <c r="BC1802" s="1"/>
      <c r="BD1802" s="1"/>
      <c r="BE1802" s="1"/>
      <c r="BF1802" s="1"/>
      <c r="BG1802" s="1"/>
      <c r="BH1802" s="1"/>
    </row>
    <row r="1803" spans="3:60"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F1803" s="1"/>
      <c r="AG1803" s="1"/>
      <c r="AH1803" s="1"/>
      <c r="AI1803" s="1"/>
      <c r="AJ1803" s="1"/>
      <c r="AK1803" s="1"/>
      <c r="AL1803" s="1"/>
      <c r="AM1803" s="1"/>
      <c r="AN1803" s="1"/>
      <c r="AO1803" s="1"/>
      <c r="AP1803" s="1"/>
      <c r="AQ1803" s="1"/>
      <c r="AR1803" s="1"/>
      <c r="AS1803" s="1"/>
      <c r="AT1803" s="1"/>
      <c r="AU1803" s="1"/>
      <c r="AV1803" s="1"/>
      <c r="AW1803" s="1"/>
      <c r="AX1803" s="1"/>
      <c r="AY1803" s="1"/>
      <c r="AZ1803" s="1"/>
      <c r="BA1803" s="1"/>
      <c r="BB1803" s="1"/>
      <c r="BC1803" s="1"/>
      <c r="BD1803" s="1"/>
      <c r="BE1803" s="1"/>
      <c r="BF1803" s="1"/>
      <c r="BG1803" s="1"/>
      <c r="BH1803" s="1"/>
    </row>
    <row r="1804" spans="3:60"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F1804" s="1"/>
      <c r="AG1804" s="1"/>
      <c r="AH1804" s="1"/>
      <c r="AI1804" s="1"/>
      <c r="AJ1804" s="1"/>
      <c r="AK1804" s="1"/>
      <c r="AL1804" s="1"/>
      <c r="AM1804" s="1"/>
      <c r="AN1804" s="1"/>
      <c r="AO1804" s="1"/>
      <c r="AP1804" s="1"/>
      <c r="AQ1804" s="1"/>
      <c r="AR1804" s="1"/>
      <c r="AS1804" s="1"/>
      <c r="AT1804" s="1"/>
      <c r="AU1804" s="1"/>
      <c r="AV1804" s="1"/>
      <c r="AW1804" s="1"/>
      <c r="AX1804" s="1"/>
      <c r="AY1804" s="1"/>
      <c r="AZ1804" s="1"/>
      <c r="BA1804" s="1"/>
      <c r="BB1804" s="1"/>
      <c r="BC1804" s="1"/>
      <c r="BD1804" s="1"/>
      <c r="BE1804" s="1"/>
      <c r="BF1804" s="1"/>
      <c r="BG1804" s="1"/>
      <c r="BH1804" s="1"/>
    </row>
    <row r="1805" spans="3:60"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F1805" s="1"/>
      <c r="AG1805" s="1"/>
      <c r="AH1805" s="1"/>
      <c r="AI1805" s="1"/>
      <c r="AJ1805" s="1"/>
      <c r="AK1805" s="1"/>
      <c r="AL1805" s="1"/>
      <c r="AM1805" s="1"/>
      <c r="AN1805" s="1"/>
      <c r="AO1805" s="1"/>
      <c r="AP1805" s="1"/>
      <c r="AQ1805" s="1"/>
      <c r="AR1805" s="1"/>
      <c r="AS1805" s="1"/>
      <c r="AT1805" s="1"/>
      <c r="AU1805" s="1"/>
      <c r="AV1805" s="1"/>
      <c r="AW1805" s="1"/>
      <c r="AX1805" s="1"/>
      <c r="AY1805" s="1"/>
      <c r="AZ1805" s="1"/>
      <c r="BA1805" s="1"/>
      <c r="BB1805" s="1"/>
      <c r="BC1805" s="1"/>
      <c r="BD1805" s="1"/>
      <c r="BE1805" s="1"/>
      <c r="BF1805" s="1"/>
      <c r="BG1805" s="1"/>
      <c r="BH1805" s="1"/>
    </row>
  </sheetData>
  <protectedRanges>
    <protectedRange sqref="AL1:BE1" name="範圍1_2_1"/>
    <protectedRange sqref="AR2:AU2 AA2:AB2" name="範圍1_1_1"/>
    <protectedRange sqref="AP2:AQ2" name="範圍1_1_1_1"/>
    <protectedRange sqref="AL2:AO2" name="範圍1_1_2"/>
  </protectedRanges>
  <autoFilter ref="A1:AMJ2"/>
  <phoneticPr fontId="2" type="noConversion"/>
  <conditionalFormatting sqref="AQ3:BH1048576">
    <cfRule type="cellIs" dxfId="6056" priority="54" operator="equal">
      <formula>"NS"</formula>
    </cfRule>
    <cfRule type="cellIs" dxfId="6055" priority="55" operator="equal">
      <formula>"NA"</formula>
    </cfRule>
    <cfRule type="cellIs" dxfId="6054" priority="56" operator="equal">
      <formula>"X"</formula>
    </cfRule>
    <cfRule type="cellIs" dxfId="6053" priority="57" operator="equal">
      <formula>"V"</formula>
    </cfRule>
  </conditionalFormatting>
  <conditionalFormatting sqref="AL1:BE1">
    <cfRule type="cellIs" dxfId="6052" priority="42" operator="equal">
      <formula>"NS"</formula>
    </cfRule>
    <cfRule type="cellIs" dxfId="6051" priority="43" operator="equal">
      <formula>"NA"</formula>
    </cfRule>
    <cfRule type="cellIs" dxfId="6050" priority="44" operator="equal">
      <formula>"X"</formula>
    </cfRule>
    <cfRule type="cellIs" dxfId="6049" priority="45" operator="equal">
      <formula>"V"</formula>
    </cfRule>
  </conditionalFormatting>
  <conditionalFormatting sqref="AL1:BE1">
    <cfRule type="cellIs" dxfId="6048" priority="38" operator="equal">
      <formula>"NS"</formula>
    </cfRule>
    <cfRule type="cellIs" dxfId="6047" priority="39" operator="equal">
      <formula>"NA"</formula>
    </cfRule>
    <cfRule type="cellIs" dxfId="6046" priority="40" operator="equal">
      <formula>"X"</formula>
    </cfRule>
    <cfRule type="cellIs" dxfId="6045" priority="41" operator="equal">
      <formula>"V"</formula>
    </cfRule>
  </conditionalFormatting>
  <conditionalFormatting sqref="AR2:AU2">
    <cfRule type="cellIs" dxfId="6044" priority="15" operator="equal">
      <formula>"NA"</formula>
    </cfRule>
    <cfRule type="cellIs" dxfId="6043" priority="16" operator="equal">
      <formula>"NS"</formula>
    </cfRule>
    <cfRule type="cellIs" dxfId="6042" priority="17" operator="equal">
      <formula>"S"</formula>
    </cfRule>
    <cfRule type="cellIs" dxfId="6041" priority="18" operator="equal">
      <formula>"A"</formula>
    </cfRule>
    <cfRule type="cellIs" dxfId="6040" priority="19" operator="equal">
      <formula>"X"</formula>
    </cfRule>
    <cfRule type="cellIs" dxfId="6039" priority="20" operator="equal">
      <formula>"L"</formula>
    </cfRule>
    <cfRule type="cellIs" dxfId="6038" priority="21" operator="equal">
      <formula>"V"</formula>
    </cfRule>
  </conditionalFormatting>
  <conditionalFormatting sqref="AP2:AQ2">
    <cfRule type="cellIs" dxfId="6037" priority="8" operator="equal">
      <formula>"NA"</formula>
    </cfRule>
    <cfRule type="cellIs" dxfId="6036" priority="9" operator="equal">
      <formula>"NS"</formula>
    </cfRule>
    <cfRule type="cellIs" dxfId="6035" priority="10" operator="equal">
      <formula>"S"</formula>
    </cfRule>
    <cfRule type="cellIs" dxfId="6034" priority="11" operator="equal">
      <formula>"A"</formula>
    </cfRule>
    <cfRule type="cellIs" dxfId="6033" priority="12" operator="equal">
      <formula>"X"</formula>
    </cfRule>
    <cfRule type="cellIs" dxfId="6032" priority="13" operator="equal">
      <formula>"L"</formula>
    </cfRule>
    <cfRule type="cellIs" dxfId="6031" priority="14" operator="equal">
      <formula>"V"</formula>
    </cfRule>
  </conditionalFormatting>
  <conditionalFormatting sqref="AL2:AO2">
    <cfRule type="cellIs" dxfId="6030" priority="1" operator="equal">
      <formula>"NA"</formula>
    </cfRule>
    <cfRule type="cellIs" dxfId="6029" priority="2" operator="equal">
      <formula>"NS"</formula>
    </cfRule>
    <cfRule type="cellIs" dxfId="6028" priority="3" operator="equal">
      <formula>"S"</formula>
    </cfRule>
    <cfRule type="cellIs" dxfId="6027" priority="4" operator="equal">
      <formula>"A"</formula>
    </cfRule>
    <cfRule type="cellIs" dxfId="6026" priority="5" operator="equal">
      <formula>"X"</formula>
    </cfRule>
    <cfRule type="cellIs" dxfId="6025" priority="6" operator="equal">
      <formula>"L"</formula>
    </cfRule>
    <cfRule type="cellIs" dxfId="6024" priority="7" operator="equal">
      <formula>"V"</formula>
    </cfRule>
  </conditionalFormatting>
  <dataValidations count="2">
    <dataValidation type="list" allowBlank="1" showInputMessage="1" showErrorMessage="1" sqref="B2">
      <formula1>"B(SDV),C(SIT),EELP"</formula1>
    </dataValidation>
    <dataValidation type="list" allowBlank="1" showInputMessage="1" showErrorMessage="1" sqref="A2">
      <formula1>"C38(AIO),C38(AIO)-T88"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</vt:lpstr>
      <vt:lpstr>Main page</vt:lpstr>
      <vt:lpstr>Cal1</vt:lpstr>
      <vt:lpstr>Backup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2020-09-22T05:08:27Z</dcterms:modified>
</cp:coreProperties>
</file>